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20004" yWindow="0" windowWidth="18228" windowHeight="8076" tabRatio="665"/>
  </bookViews>
  <sheets>
    <sheet name="전체(6)" sheetId="212" r:id="rId1"/>
  </sheets>
  <definedNames>
    <definedName name="_xlnm._FilterDatabase" localSheetId="0" hidden="1">'전체(6)'!$A$1:$AY$1</definedName>
    <definedName name="_xlnm.Extract" localSheetId="0">'전체(6)'!#REF!</definedName>
  </definedNames>
  <calcPr calcId="152511"/>
</workbook>
</file>

<file path=xl/calcChain.xml><?xml version="1.0" encoding="utf-8"?>
<calcChain xmlns="http://schemas.openxmlformats.org/spreadsheetml/2006/main">
  <c r="AP2692" i="212" l="1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AR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T2681" i="212"/>
  <c r="I2681" i="212"/>
  <c r="H2681" i="212"/>
  <c r="E2681" i="212"/>
  <c r="D2681" i="212"/>
  <c r="C2681" i="212"/>
  <c r="AV2680" i="212"/>
  <c r="AT2680" i="212"/>
  <c r="I2680" i="212"/>
  <c r="H2680" i="212"/>
  <c r="E2680" i="212"/>
  <c r="D2680" i="212"/>
  <c r="C2680" i="212"/>
  <c r="AV2679" i="212"/>
  <c r="AT2679" i="212"/>
  <c r="I2679" i="212"/>
  <c r="H2679" i="212"/>
  <c r="E2679" i="212"/>
  <c r="D2679" i="212"/>
  <c r="C2679" i="212"/>
  <c r="AV2678" i="212"/>
  <c r="AT2678" i="212"/>
  <c r="AR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AR2676" i="212"/>
  <c r="I2676" i="212"/>
  <c r="H2676" i="212"/>
  <c r="E2676" i="212"/>
  <c r="D2676" i="212"/>
  <c r="C2676" i="212"/>
  <c r="AV2675" i="212"/>
  <c r="AU2675" i="212"/>
  <c r="AT2675" i="212"/>
  <c r="AR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T2673" i="212"/>
  <c r="I2673" i="212"/>
  <c r="H2673" i="212"/>
  <c r="E2673" i="212"/>
  <c r="D2673" i="212"/>
  <c r="C2673" i="212"/>
  <c r="AV2672" i="212"/>
  <c r="AT2672" i="212"/>
  <c r="AR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AR2670" i="212"/>
  <c r="I2670" i="212"/>
  <c r="H2670" i="212"/>
  <c r="E2670" i="212"/>
  <c r="D2670" i="212"/>
  <c r="C2670" i="212"/>
  <c r="AV2669" i="212"/>
  <c r="AT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AR2665" i="212"/>
  <c r="I2665" i="212"/>
  <c r="H2665" i="212"/>
  <c r="E2665" i="212"/>
  <c r="D2665" i="212"/>
  <c r="C2665" i="212"/>
  <c r="AV2664" i="212"/>
  <c r="AT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I2662" i="212"/>
  <c r="H2662" i="212"/>
  <c r="E2662" i="212"/>
  <c r="D2662" i="212"/>
  <c r="C2662" i="212"/>
  <c r="AV2661" i="212"/>
  <c r="AT2661" i="212"/>
  <c r="I2661" i="212"/>
  <c r="H2661" i="212"/>
  <c r="E2661" i="212"/>
  <c r="D2661" i="212"/>
  <c r="C2661" i="212"/>
  <c r="AV2660" i="212"/>
  <c r="AT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I2658" i="212"/>
  <c r="H2658" i="212"/>
  <c r="E2658" i="212"/>
  <c r="D2658" i="212"/>
  <c r="C2658" i="212"/>
  <c r="AV2657" i="212"/>
  <c r="AT2657" i="212"/>
  <c r="AR2657" i="212"/>
  <c r="I2657" i="212"/>
  <c r="H2657" i="212"/>
  <c r="E2657" i="212"/>
  <c r="D2657" i="212"/>
  <c r="C2657" i="212"/>
  <c r="AV2656" i="212"/>
  <c r="AT2656" i="212"/>
  <c r="I2656" i="212"/>
  <c r="H2656" i="212"/>
  <c r="E2656" i="212"/>
  <c r="D2656" i="212"/>
  <c r="C2656" i="212"/>
  <c r="AV2655" i="212"/>
  <c r="I2655" i="212"/>
  <c r="H2655" i="212"/>
  <c r="E2655" i="212"/>
  <c r="D2655" i="212"/>
  <c r="C2655" i="212"/>
  <c r="AV2654" i="212"/>
  <c r="AT2654" i="212"/>
  <c r="I2654" i="212"/>
  <c r="H2654" i="212"/>
  <c r="E2654" i="212"/>
  <c r="D2654" i="212"/>
  <c r="C2654" i="212"/>
  <c r="AV2653" i="212"/>
  <c r="AT2653" i="212"/>
  <c r="I2653" i="212"/>
  <c r="H2653" i="212"/>
  <c r="E2653" i="212"/>
  <c r="D2653" i="212"/>
  <c r="C2653" i="212"/>
  <c r="AV2652" i="212"/>
  <c r="AT2652" i="212"/>
  <c r="AR2652" i="212"/>
  <c r="I2652" i="212"/>
  <c r="H2652" i="212"/>
  <c r="E2652" i="212"/>
  <c r="D2652" i="212"/>
  <c r="C2652" i="212"/>
  <c r="AV2651" i="212"/>
  <c r="AT2651" i="212"/>
  <c r="I2651" i="212"/>
  <c r="H2651" i="212"/>
  <c r="E2651" i="212"/>
  <c r="D2651" i="212"/>
  <c r="C2651" i="212"/>
  <c r="AV2650" i="212"/>
  <c r="AT2650" i="212"/>
  <c r="I2650" i="212"/>
  <c r="H2650" i="212"/>
  <c r="E2650" i="212"/>
  <c r="D2650" i="212"/>
  <c r="C2650" i="212"/>
  <c r="AV2649" i="212"/>
  <c r="AT2649" i="212"/>
  <c r="AR2649" i="212"/>
  <c r="I2649" i="212"/>
  <c r="H2649" i="212"/>
  <c r="E2649" i="212"/>
  <c r="D2649" i="212"/>
  <c r="C2649" i="212"/>
  <c r="AV2648" i="212"/>
  <c r="I2648" i="212"/>
  <c r="H2648" i="212"/>
  <c r="E2648" i="212"/>
  <c r="D2648" i="212"/>
  <c r="C2648" i="212"/>
  <c r="AV2647" i="212"/>
  <c r="AT2647" i="212"/>
  <c r="I2647" i="212"/>
  <c r="H2647" i="212"/>
  <c r="E2647" i="212"/>
  <c r="D2647" i="212"/>
  <c r="C2647" i="212"/>
  <c r="AV2646" i="212"/>
  <c r="AT2646" i="212"/>
  <c r="I2646" i="212"/>
  <c r="H2646" i="212"/>
  <c r="E2646" i="212"/>
  <c r="D2646" i="212"/>
  <c r="C2646" i="212"/>
  <c r="AV2645" i="212"/>
  <c r="AT2645" i="212"/>
  <c r="I2645" i="212"/>
  <c r="H2645" i="212"/>
  <c r="E2645" i="212"/>
  <c r="D2645" i="212"/>
  <c r="C2645" i="212"/>
  <c r="AV2644" i="212"/>
  <c r="AT2644" i="212"/>
  <c r="AR2644" i="212"/>
  <c r="I2644" i="212"/>
  <c r="H2644" i="212"/>
  <c r="E2644" i="212"/>
  <c r="D2644" i="212"/>
  <c r="C2644" i="212"/>
  <c r="AV2643" i="212"/>
  <c r="AT2643" i="212"/>
  <c r="I2643" i="212"/>
  <c r="H2643" i="212"/>
  <c r="E2643" i="212"/>
  <c r="D2643" i="212"/>
  <c r="C2643" i="212"/>
  <c r="AV2642" i="212"/>
  <c r="AT2642" i="212"/>
  <c r="I2642" i="212"/>
  <c r="H2642" i="212"/>
  <c r="E2642" i="212"/>
  <c r="D2642" i="212"/>
  <c r="C2642" i="212"/>
  <c r="AV2641" i="212"/>
  <c r="AT2641" i="212"/>
  <c r="AR2641" i="212"/>
  <c r="I2641" i="212"/>
  <c r="H2641" i="212"/>
  <c r="E2641" i="212"/>
  <c r="D2641" i="212"/>
  <c r="C2641" i="212"/>
  <c r="AV2640" i="212"/>
  <c r="AT2640" i="212"/>
  <c r="I2640" i="212"/>
  <c r="H2640" i="212"/>
  <c r="E2640" i="212"/>
  <c r="D2640" i="212"/>
  <c r="C2640" i="212"/>
  <c r="AV2639" i="212"/>
  <c r="AT2639" i="212"/>
  <c r="I2639" i="212"/>
  <c r="H2639" i="212"/>
  <c r="E2639" i="212"/>
  <c r="D2639" i="212"/>
  <c r="C2639" i="212"/>
  <c r="AV2638" i="212"/>
  <c r="AT2638" i="212"/>
  <c r="I2638" i="212"/>
  <c r="H2638" i="212"/>
  <c r="E2638" i="212"/>
  <c r="D2638" i="212"/>
  <c r="C2638" i="212"/>
  <c r="AV2637" i="212"/>
  <c r="AT2637" i="212"/>
  <c r="I2637" i="212"/>
  <c r="H2637" i="212"/>
  <c r="E2637" i="212"/>
  <c r="D2637" i="212"/>
  <c r="C2637" i="212"/>
  <c r="AV2636" i="212"/>
  <c r="AT2636" i="212"/>
  <c r="I2636" i="212"/>
  <c r="H2636" i="212"/>
  <c r="E2636" i="212"/>
  <c r="D2636" i="212"/>
  <c r="C2636" i="212"/>
  <c r="AV2635" i="212"/>
  <c r="AT2635" i="212"/>
  <c r="I2635" i="212"/>
  <c r="H2635" i="212"/>
  <c r="E2635" i="212"/>
  <c r="D2635" i="212"/>
  <c r="C2635" i="212"/>
  <c r="AV2634" i="212"/>
  <c r="AT2634" i="212"/>
  <c r="I2634" i="212"/>
  <c r="H2634" i="212"/>
  <c r="E2634" i="212"/>
  <c r="D2634" i="212"/>
  <c r="C2634" i="212"/>
  <c r="AV2633" i="212"/>
  <c r="AT2633" i="212"/>
  <c r="I2633" i="212"/>
  <c r="H2633" i="212"/>
  <c r="E2633" i="212"/>
  <c r="D2633" i="212"/>
  <c r="C2633" i="212"/>
  <c r="AV2632" i="212"/>
  <c r="AT2632" i="212"/>
  <c r="AR2632" i="212"/>
  <c r="I2632" i="212"/>
  <c r="H2632" i="212"/>
  <c r="E2632" i="212"/>
  <c r="D2632" i="212"/>
  <c r="C2632" i="212"/>
  <c r="AV2631" i="212"/>
  <c r="AT2631" i="212"/>
  <c r="I2631" i="212"/>
  <c r="H2631" i="212"/>
  <c r="E2631" i="212"/>
  <c r="D2631" i="212"/>
  <c r="C2631" i="212"/>
  <c r="AV2630" i="212"/>
  <c r="AT2630" i="212"/>
  <c r="I2630" i="212"/>
  <c r="H2630" i="212"/>
  <c r="E2630" i="212"/>
  <c r="D2630" i="212"/>
  <c r="C2630" i="212"/>
  <c r="AV2629" i="212"/>
  <c r="AT2629" i="212"/>
  <c r="I2629" i="212"/>
  <c r="H2629" i="212"/>
  <c r="E2629" i="212"/>
  <c r="D2629" i="212"/>
  <c r="C2629" i="212"/>
  <c r="AV2628" i="212"/>
  <c r="AT2628" i="212"/>
  <c r="I2628" i="212"/>
  <c r="H2628" i="212"/>
  <c r="E2628" i="212"/>
  <c r="D2628" i="212"/>
  <c r="C2628" i="212"/>
  <c r="AV2627" i="212"/>
  <c r="AT2627" i="212"/>
  <c r="I2627" i="212"/>
  <c r="H2627" i="212"/>
  <c r="E2627" i="212"/>
  <c r="D2627" i="212"/>
  <c r="C2627" i="212"/>
  <c r="AV2626" i="212"/>
  <c r="AT2626" i="212"/>
  <c r="I2626" i="212"/>
  <c r="H2626" i="212"/>
  <c r="E2626" i="212"/>
  <c r="D2626" i="212"/>
  <c r="C2626" i="212"/>
  <c r="AV2625" i="212"/>
  <c r="AT2625" i="212"/>
  <c r="I2625" i="212"/>
  <c r="H2625" i="212"/>
  <c r="E2625" i="212"/>
  <c r="D2625" i="212"/>
  <c r="C2625" i="212"/>
  <c r="AV2624" i="212"/>
  <c r="AU2624" i="212"/>
  <c r="AT2624" i="212"/>
  <c r="AR2624" i="212"/>
  <c r="I2624" i="212"/>
  <c r="H2624" i="212"/>
  <c r="E2624" i="212"/>
  <c r="D2624" i="212"/>
  <c r="C2624" i="212"/>
  <c r="AV2623" i="212"/>
  <c r="AT2623" i="212"/>
  <c r="AR2623" i="212"/>
  <c r="I2623" i="212"/>
  <c r="H2623" i="212"/>
  <c r="E2623" i="212"/>
  <c r="D2623" i="212"/>
  <c r="C2623" i="212"/>
  <c r="AV2622" i="212"/>
  <c r="AT2622" i="212"/>
  <c r="I2622" i="212"/>
  <c r="H2622" i="212"/>
  <c r="E2622" i="212"/>
  <c r="D2622" i="212"/>
  <c r="C2622" i="212"/>
  <c r="AV2621" i="212"/>
  <c r="AT2621" i="212"/>
  <c r="AR2621" i="212"/>
  <c r="I2621" i="212"/>
  <c r="H2621" i="212"/>
  <c r="E2621" i="212"/>
  <c r="D2621" i="212"/>
  <c r="C2621" i="212"/>
  <c r="AV2620" i="212"/>
  <c r="AT2620" i="212"/>
  <c r="I2620" i="212"/>
  <c r="H2620" i="212"/>
  <c r="E2620" i="212"/>
  <c r="D2620" i="212"/>
  <c r="C2620" i="212"/>
  <c r="AV2619" i="212"/>
  <c r="AT2619" i="212"/>
  <c r="AR2619" i="212"/>
  <c r="I2619" i="212"/>
  <c r="H2619" i="212"/>
  <c r="E2619" i="212"/>
  <c r="D2619" i="212"/>
  <c r="C2619" i="212"/>
  <c r="AV2618" i="212"/>
  <c r="AT2618" i="212"/>
  <c r="I2618" i="212"/>
  <c r="H2618" i="212"/>
  <c r="E2618" i="212"/>
  <c r="D2618" i="212"/>
  <c r="C2618" i="212"/>
  <c r="AV2617" i="212"/>
  <c r="AT2617" i="212"/>
  <c r="AR2617" i="212"/>
  <c r="I2617" i="212"/>
  <c r="H2617" i="212"/>
  <c r="E2617" i="212"/>
  <c r="D2617" i="212"/>
  <c r="C2617" i="212"/>
  <c r="AV2616" i="212"/>
  <c r="AT2616" i="212"/>
  <c r="I2616" i="212"/>
  <c r="H2616" i="212"/>
  <c r="E2616" i="212"/>
  <c r="D2616" i="212"/>
  <c r="C2616" i="212"/>
  <c r="AV2615" i="212"/>
  <c r="AT2615" i="212"/>
  <c r="I2615" i="212"/>
  <c r="H2615" i="212"/>
  <c r="E2615" i="212"/>
  <c r="D2615" i="212"/>
  <c r="C2615" i="212"/>
  <c r="AV2614" i="212"/>
  <c r="AT2614" i="212"/>
  <c r="AR2614" i="212"/>
  <c r="I2614" i="212"/>
  <c r="H2614" i="212"/>
  <c r="E2614" i="212"/>
  <c r="D2614" i="212"/>
  <c r="C2614" i="212"/>
  <c r="AV2613" i="212"/>
  <c r="AT2613" i="212"/>
  <c r="I2613" i="212"/>
  <c r="H2613" i="212"/>
  <c r="E2613" i="212"/>
  <c r="D2613" i="212"/>
  <c r="C2613" i="212"/>
  <c r="AV2612" i="212"/>
  <c r="AT2612" i="212"/>
  <c r="I2612" i="212"/>
  <c r="H2612" i="212"/>
  <c r="E2612" i="212"/>
  <c r="D2612" i="212"/>
  <c r="C2612" i="212"/>
  <c r="AV2611" i="212"/>
  <c r="AT2611" i="212"/>
  <c r="I2611" i="212"/>
  <c r="H2611" i="212"/>
  <c r="E2611" i="212"/>
  <c r="D2611" i="212"/>
  <c r="C2611" i="212"/>
  <c r="AV2610" i="212"/>
  <c r="AT2610" i="212"/>
  <c r="I2610" i="212"/>
  <c r="H2610" i="212"/>
  <c r="E2610" i="212"/>
  <c r="D2610" i="212"/>
  <c r="C2610" i="212"/>
  <c r="AV2609" i="212"/>
  <c r="AT2609" i="212"/>
  <c r="AR2609" i="212"/>
  <c r="I2609" i="212"/>
  <c r="H2609" i="212"/>
  <c r="E2609" i="212"/>
  <c r="D2609" i="212"/>
  <c r="C2609" i="212"/>
  <c r="AV2608" i="212"/>
  <c r="AT2608" i="212"/>
  <c r="I2608" i="212"/>
  <c r="H2608" i="212"/>
  <c r="E2608" i="212"/>
  <c r="D2608" i="212"/>
  <c r="C2608" i="212"/>
  <c r="AV2607" i="212"/>
  <c r="AT2607" i="212"/>
  <c r="I2607" i="212"/>
  <c r="H2607" i="212"/>
  <c r="E2607" i="212"/>
  <c r="D2607" i="212"/>
  <c r="C2607" i="212"/>
  <c r="AV2606" i="212"/>
  <c r="AT2606" i="212"/>
  <c r="I2606" i="212"/>
  <c r="H2606" i="212"/>
  <c r="E2606" i="212"/>
  <c r="D2606" i="212"/>
  <c r="C2606" i="212"/>
  <c r="AV2605" i="212"/>
  <c r="AT2605" i="212"/>
  <c r="I2605" i="212"/>
  <c r="H2605" i="212"/>
  <c r="E2605" i="212"/>
  <c r="D2605" i="212"/>
  <c r="C2605" i="212"/>
  <c r="AV2604" i="212"/>
  <c r="AT2604" i="212"/>
  <c r="I2604" i="212"/>
  <c r="H2604" i="212"/>
  <c r="E2604" i="212"/>
  <c r="D2604" i="212"/>
  <c r="C2604" i="212"/>
  <c r="AV2603" i="212"/>
  <c r="AT2603" i="212"/>
  <c r="I2603" i="212"/>
  <c r="H2603" i="212"/>
  <c r="E2603" i="212"/>
  <c r="D2603" i="212"/>
  <c r="C2603" i="212"/>
  <c r="AV2602" i="212"/>
  <c r="AT2602" i="212"/>
  <c r="I2602" i="212"/>
  <c r="H2602" i="212"/>
  <c r="E2602" i="212"/>
  <c r="D2602" i="212"/>
  <c r="C2602" i="212"/>
  <c r="AV2601" i="212"/>
  <c r="AT2601" i="212"/>
  <c r="AR2601" i="212"/>
  <c r="I2601" i="212"/>
  <c r="H2601" i="212"/>
  <c r="E2601" i="212"/>
  <c r="D2601" i="212"/>
  <c r="C2601" i="212"/>
  <c r="AV2600" i="212"/>
  <c r="AT2600" i="212"/>
  <c r="I2600" i="212"/>
  <c r="H2600" i="212"/>
  <c r="E2600" i="212"/>
  <c r="D2600" i="212"/>
  <c r="C2600" i="212"/>
  <c r="AV2599" i="212"/>
  <c r="AT2599" i="212"/>
  <c r="I2599" i="212"/>
  <c r="H2599" i="212"/>
  <c r="E2599" i="212"/>
  <c r="D2599" i="212"/>
  <c r="C2599" i="212"/>
  <c r="AV2598" i="212"/>
  <c r="AT2598" i="212"/>
  <c r="I2598" i="212"/>
  <c r="H2598" i="212"/>
  <c r="E2598" i="212"/>
  <c r="D2598" i="212"/>
  <c r="C2598" i="212"/>
  <c r="AV2597" i="212"/>
  <c r="AT2597" i="212"/>
  <c r="I2597" i="212"/>
  <c r="H2597" i="212"/>
  <c r="E2597" i="212"/>
  <c r="D2597" i="212"/>
  <c r="C2597" i="212"/>
  <c r="AV2596" i="212"/>
  <c r="AT2596" i="212"/>
  <c r="I2596" i="212"/>
  <c r="H2596" i="212"/>
  <c r="E2596" i="212"/>
  <c r="D2596" i="212"/>
  <c r="C2596" i="212"/>
  <c r="AV2595" i="212"/>
  <c r="AT2595" i="212"/>
  <c r="AR2595" i="212"/>
  <c r="I2595" i="212"/>
  <c r="H2595" i="212"/>
  <c r="E2595" i="212"/>
  <c r="D2595" i="212"/>
  <c r="C2595" i="212"/>
  <c r="AV2594" i="212"/>
  <c r="AT2594" i="212"/>
  <c r="I2594" i="212"/>
  <c r="H2594" i="212"/>
  <c r="E2594" i="212"/>
  <c r="D2594" i="212"/>
  <c r="C2594" i="212"/>
  <c r="AV2593" i="212"/>
  <c r="AT2593" i="212"/>
  <c r="I2593" i="212"/>
  <c r="H2593" i="212"/>
  <c r="E2593" i="212"/>
  <c r="D2593" i="212"/>
  <c r="C2593" i="212"/>
  <c r="AV2592" i="212"/>
  <c r="AT2592" i="212"/>
  <c r="I2592" i="212"/>
  <c r="H2592" i="212"/>
  <c r="E2592" i="212"/>
  <c r="D2592" i="212"/>
  <c r="C2592" i="212"/>
  <c r="AV2591" i="212"/>
  <c r="AT2591" i="212"/>
  <c r="I2591" i="212"/>
  <c r="H2591" i="212"/>
  <c r="E2591" i="212"/>
  <c r="D2591" i="212"/>
  <c r="C2591" i="212"/>
  <c r="AW2590" i="212"/>
  <c r="AV2590" i="212"/>
  <c r="AT2590" i="212"/>
  <c r="AR2590" i="212"/>
  <c r="I2590" i="212"/>
  <c r="H2590" i="212"/>
  <c r="E2590" i="212"/>
  <c r="D2590" i="212"/>
  <c r="C2590" i="212"/>
  <c r="AV2589" i="212"/>
  <c r="AT2589" i="212"/>
  <c r="I2589" i="212"/>
  <c r="H2589" i="212"/>
  <c r="E2589" i="212"/>
  <c r="D2589" i="212"/>
  <c r="C2589" i="212"/>
  <c r="AV2588" i="212"/>
  <c r="AT2588" i="212"/>
  <c r="I2588" i="212"/>
  <c r="H2588" i="212"/>
  <c r="E2588" i="212"/>
  <c r="D2588" i="212"/>
  <c r="C2588" i="212"/>
  <c r="AV2587" i="212"/>
  <c r="AT2587" i="212"/>
  <c r="AR2587" i="212"/>
  <c r="I2587" i="212"/>
  <c r="H2587" i="212"/>
  <c r="E2587" i="212"/>
  <c r="D2587" i="212"/>
  <c r="C2587" i="212"/>
  <c r="AV2586" i="212"/>
  <c r="I2586" i="212"/>
  <c r="H2586" i="212"/>
  <c r="E2586" i="212"/>
  <c r="D2586" i="212"/>
  <c r="C2586" i="212"/>
  <c r="AV2585" i="212"/>
  <c r="AT2585" i="212"/>
  <c r="I2585" i="212"/>
  <c r="H2585" i="212"/>
  <c r="E2585" i="212"/>
  <c r="D2585" i="212"/>
  <c r="C2585" i="212"/>
  <c r="AV2584" i="212"/>
  <c r="AT2584" i="212"/>
  <c r="AR2584" i="212"/>
  <c r="I2584" i="212"/>
  <c r="H2584" i="212"/>
  <c r="E2584" i="212"/>
  <c r="D2584" i="212"/>
  <c r="C2584" i="212"/>
  <c r="AV2583" i="212"/>
  <c r="AT2583" i="212"/>
  <c r="AR2583" i="212"/>
  <c r="I2583" i="212"/>
  <c r="H2583" i="212"/>
  <c r="E2583" i="212"/>
  <c r="D2583" i="212"/>
  <c r="C2583" i="212"/>
  <c r="AV2582" i="212"/>
  <c r="AT2582" i="212"/>
  <c r="I2582" i="212"/>
  <c r="H2582" i="212"/>
  <c r="E2582" i="212"/>
  <c r="D2582" i="212"/>
  <c r="C2582" i="212"/>
  <c r="AV2581" i="212"/>
  <c r="AT2581" i="212"/>
  <c r="I2581" i="212"/>
  <c r="H2581" i="212"/>
  <c r="E2581" i="212"/>
  <c r="D2581" i="212"/>
  <c r="C2581" i="212"/>
  <c r="AV2580" i="212"/>
  <c r="AT2580" i="212"/>
  <c r="I2580" i="212"/>
  <c r="H2580" i="212"/>
  <c r="E2580" i="212"/>
  <c r="D2580" i="212"/>
  <c r="C2580" i="212"/>
  <c r="AV2579" i="212"/>
  <c r="AT2579" i="212"/>
  <c r="I2579" i="212"/>
  <c r="H2579" i="212"/>
  <c r="E2579" i="212"/>
  <c r="D2579" i="212"/>
  <c r="C2579" i="212"/>
  <c r="AV2578" i="212"/>
  <c r="AT2578" i="212"/>
  <c r="I2578" i="212"/>
  <c r="H2578" i="212"/>
  <c r="E2578" i="212"/>
  <c r="D2578" i="212"/>
  <c r="C2578" i="212"/>
  <c r="AV2577" i="212"/>
  <c r="AT2577" i="212"/>
  <c r="I2577" i="212"/>
  <c r="H2577" i="212"/>
  <c r="E2577" i="212"/>
  <c r="D2577" i="212"/>
  <c r="C2577" i="212"/>
  <c r="AV2576" i="212"/>
  <c r="AT2576" i="212"/>
  <c r="I2576" i="212"/>
  <c r="H2576" i="212"/>
  <c r="E2576" i="212"/>
  <c r="D2576" i="212"/>
  <c r="C2576" i="212"/>
  <c r="AV2575" i="212"/>
  <c r="AT2575" i="212"/>
  <c r="I2575" i="212"/>
  <c r="H2575" i="212"/>
  <c r="E2575" i="212"/>
  <c r="D2575" i="212"/>
  <c r="C2575" i="212"/>
  <c r="AV2574" i="212"/>
  <c r="AT2574" i="212"/>
  <c r="I2574" i="212"/>
  <c r="H2574" i="212"/>
  <c r="E2574" i="212"/>
  <c r="D2574" i="212"/>
  <c r="C2574" i="212"/>
  <c r="AV2573" i="212"/>
  <c r="AT2573" i="212"/>
  <c r="I2573" i="212"/>
  <c r="H2573" i="212"/>
  <c r="E2573" i="212"/>
  <c r="D2573" i="212"/>
  <c r="C2573" i="212"/>
  <c r="AV2572" i="212"/>
  <c r="AU2572" i="212"/>
  <c r="AT2572" i="212"/>
  <c r="AR2572" i="212"/>
  <c r="I2572" i="212"/>
  <c r="H2572" i="212"/>
  <c r="E2572" i="212"/>
  <c r="D2572" i="212"/>
  <c r="C2572" i="212"/>
  <c r="AV2571" i="212"/>
  <c r="AT2571" i="212"/>
  <c r="AR2571" i="212"/>
  <c r="I2571" i="212"/>
  <c r="H2571" i="212"/>
  <c r="E2571" i="212"/>
  <c r="D2571" i="212"/>
  <c r="C2571" i="212"/>
  <c r="AV2570" i="212"/>
  <c r="I2570" i="212"/>
  <c r="H2570" i="212"/>
  <c r="E2570" i="212"/>
  <c r="D2570" i="212"/>
  <c r="C2570" i="212"/>
  <c r="AV2569" i="212"/>
  <c r="AT2569" i="212"/>
  <c r="I2569" i="212"/>
  <c r="H2569" i="212"/>
  <c r="E2569" i="212"/>
  <c r="D2569" i="212"/>
  <c r="C2569" i="212"/>
  <c r="AV2568" i="212"/>
  <c r="AT2568" i="212"/>
  <c r="I2568" i="212"/>
  <c r="H2568" i="212"/>
  <c r="E2568" i="212"/>
  <c r="D2568" i="212"/>
  <c r="C2568" i="212"/>
  <c r="AV2567" i="212"/>
  <c r="AT2567" i="212"/>
  <c r="AR2567" i="212"/>
  <c r="I2567" i="212"/>
  <c r="H2567" i="212"/>
  <c r="E2567" i="212"/>
  <c r="D2567" i="212"/>
  <c r="C2567" i="212"/>
  <c r="AV2566" i="212"/>
  <c r="AT2566" i="212"/>
  <c r="I2566" i="212"/>
  <c r="H2566" i="212"/>
  <c r="E2566" i="212"/>
  <c r="D2566" i="212"/>
  <c r="C2566" i="212"/>
  <c r="AV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AR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AR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T2557" i="212"/>
  <c r="AR2557" i="212"/>
  <c r="I2557" i="212"/>
  <c r="H2557" i="212"/>
  <c r="E2557" i="212"/>
  <c r="D2557" i="212"/>
  <c r="C2557" i="212"/>
  <c r="AV2556" i="212"/>
  <c r="AT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V2553" i="212"/>
  <c r="AT2553" i="212"/>
  <c r="I2553" i="212"/>
  <c r="H2553" i="212"/>
  <c r="E2553" i="212"/>
  <c r="D2553" i="212"/>
  <c r="C2553" i="212"/>
  <c r="AV2552" i="212"/>
  <c r="AT2552" i="212"/>
  <c r="I2552" i="212"/>
  <c r="H2552" i="212"/>
  <c r="E2552" i="212"/>
  <c r="D2552" i="212"/>
  <c r="C2552" i="212"/>
  <c r="AV2551" i="212"/>
  <c r="AT2551" i="212"/>
  <c r="I2551" i="212"/>
  <c r="H2551" i="212"/>
  <c r="E2551" i="212"/>
  <c r="D2551" i="212"/>
  <c r="C2551" i="212"/>
  <c r="AV2550" i="212"/>
  <c r="AT2550" i="212"/>
  <c r="I2550" i="212"/>
  <c r="H2550" i="212"/>
  <c r="E2550" i="212"/>
  <c r="D2550" i="212"/>
  <c r="C2550" i="212"/>
  <c r="AV2549" i="212"/>
  <c r="AT2549" i="212"/>
  <c r="I2549" i="212"/>
  <c r="H2549" i="212"/>
  <c r="E2549" i="212"/>
  <c r="D2549" i="212"/>
  <c r="C2549" i="212"/>
  <c r="AV2548" i="212"/>
  <c r="AT2548" i="212"/>
  <c r="AR2548" i="212"/>
  <c r="I2548" i="212"/>
  <c r="H2548" i="212"/>
  <c r="E2548" i="212"/>
  <c r="D2548" i="212"/>
  <c r="C2548" i="212"/>
  <c r="AV2547" i="212"/>
  <c r="AT2547" i="212"/>
  <c r="AR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I2544" i="212"/>
  <c r="H2544" i="212"/>
  <c r="E2544" i="212"/>
  <c r="D2544" i="212"/>
  <c r="C2544" i="212"/>
  <c r="AV2543" i="212"/>
  <c r="AT2543" i="212"/>
  <c r="I2543" i="212"/>
  <c r="H2543" i="212"/>
  <c r="E2543" i="212"/>
  <c r="D2543" i="212"/>
  <c r="C2543" i="212"/>
  <c r="AV2542" i="212"/>
  <c r="AT2542" i="212"/>
  <c r="I2542" i="212"/>
  <c r="H2542" i="212"/>
  <c r="E2542" i="212"/>
  <c r="D2542" i="212"/>
  <c r="C2542" i="212"/>
  <c r="AV2541" i="212"/>
  <c r="AT2541" i="212"/>
  <c r="I2541" i="212"/>
  <c r="H2541" i="212"/>
  <c r="E2541" i="212"/>
  <c r="D2541" i="212"/>
  <c r="C2541" i="212"/>
  <c r="AV2540" i="212"/>
  <c r="AT2540" i="212"/>
  <c r="I2540" i="212"/>
  <c r="H2540" i="212"/>
  <c r="E2540" i="212"/>
  <c r="D2540" i="212"/>
  <c r="C2540" i="212"/>
  <c r="AV2539" i="212"/>
  <c r="AT2539" i="212"/>
  <c r="AR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AR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AR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U2531" i="212"/>
  <c r="AT2531" i="212"/>
  <c r="AR2531" i="212"/>
  <c r="I2531" i="212"/>
  <c r="H2531" i="212"/>
  <c r="E2531" i="212"/>
  <c r="D2531" i="212"/>
  <c r="C2531" i="212"/>
  <c r="AV2530" i="212"/>
  <c r="AT2530" i="212"/>
  <c r="I2530" i="212"/>
  <c r="H2530" i="212"/>
  <c r="E2530" i="212"/>
  <c r="D2530" i="212"/>
  <c r="C2530" i="212"/>
  <c r="AV2529" i="212"/>
  <c r="AT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AR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T2521" i="212"/>
  <c r="I2521" i="212"/>
  <c r="H2521" i="212"/>
  <c r="E2521" i="212"/>
  <c r="D2521" i="212"/>
  <c r="C2521" i="212"/>
  <c r="AV2520" i="212"/>
  <c r="AT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I2517" i="212"/>
  <c r="H2517" i="212"/>
  <c r="E2517" i="212"/>
  <c r="D2517" i="212"/>
  <c r="C2517" i="212"/>
  <c r="AV2516" i="212"/>
  <c r="AT2516" i="212"/>
  <c r="AR2516" i="212"/>
  <c r="I2516" i="212"/>
  <c r="H2516" i="212"/>
  <c r="E2516" i="212"/>
  <c r="D2516" i="212"/>
  <c r="C2516" i="212"/>
  <c r="AV2515" i="212"/>
  <c r="AU2515" i="212"/>
  <c r="AT2515" i="212"/>
  <c r="AR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T2513" i="212"/>
  <c r="I2513" i="212"/>
  <c r="H2513" i="212"/>
  <c r="E2513" i="212"/>
  <c r="D2513" i="212"/>
  <c r="C2513" i="212"/>
  <c r="AV2512" i="212"/>
  <c r="AT2512" i="212"/>
  <c r="AR2512" i="212"/>
  <c r="I2512" i="212"/>
  <c r="H2512" i="212"/>
  <c r="E2512" i="212"/>
  <c r="D2512" i="212"/>
  <c r="C2512" i="212"/>
  <c r="AV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AR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AR2502" i="212"/>
  <c r="I2502" i="212"/>
  <c r="H2502" i="212"/>
  <c r="E2502" i="212"/>
  <c r="D2502" i="212"/>
  <c r="C2502" i="212"/>
  <c r="AV2501" i="212"/>
  <c r="AT2501" i="212"/>
  <c r="I2501" i="212"/>
  <c r="H2501" i="212"/>
  <c r="E2501" i="212"/>
  <c r="D2501" i="212"/>
  <c r="C2501" i="212"/>
  <c r="AV2500" i="212"/>
  <c r="AT2500" i="212"/>
  <c r="I2500" i="212"/>
  <c r="H2500" i="212"/>
  <c r="E2500" i="212"/>
  <c r="D2500" i="212"/>
  <c r="C2500" i="212"/>
  <c r="AV2499" i="212"/>
  <c r="AT2499" i="212"/>
  <c r="I2499" i="212"/>
  <c r="H2499" i="212"/>
  <c r="E2499" i="212"/>
  <c r="D2499" i="212"/>
  <c r="C2499" i="212"/>
  <c r="AV2498" i="212"/>
  <c r="AT2498" i="212"/>
  <c r="AR2498" i="212"/>
  <c r="I2498" i="212"/>
  <c r="H2498" i="212"/>
  <c r="E2498" i="212"/>
  <c r="D2498" i="212"/>
  <c r="C2498" i="212"/>
  <c r="AV2497" i="212"/>
  <c r="AT2497" i="212"/>
  <c r="I2497" i="212"/>
  <c r="H2497" i="212"/>
  <c r="E2497" i="212"/>
  <c r="D2497" i="212"/>
  <c r="C2497" i="212"/>
  <c r="AV2496" i="212"/>
  <c r="I2496" i="212"/>
  <c r="H2496" i="212"/>
  <c r="E2496" i="212"/>
  <c r="D2496" i="212"/>
  <c r="C2496" i="212"/>
  <c r="AV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T2492" i="212"/>
  <c r="AR2492" i="212"/>
  <c r="I2492" i="212"/>
  <c r="H2492" i="212"/>
  <c r="E2492" i="212"/>
  <c r="D2492" i="212"/>
  <c r="C2492" i="212"/>
  <c r="AV2491" i="212"/>
  <c r="AT2491" i="212"/>
  <c r="I2491" i="212"/>
  <c r="H2491" i="212"/>
  <c r="E2491" i="212"/>
  <c r="D2491" i="212"/>
  <c r="C2491" i="212"/>
  <c r="AV2490" i="212"/>
  <c r="AT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T2488" i="212"/>
  <c r="I2488" i="212"/>
  <c r="H2488" i="212"/>
  <c r="E2488" i="212"/>
  <c r="D2488" i="212"/>
  <c r="C2488" i="212"/>
  <c r="AV2487" i="212"/>
  <c r="AU2487" i="212"/>
  <c r="AT2487" i="212"/>
  <c r="I2487" i="212"/>
  <c r="H2487" i="212"/>
  <c r="E2487" i="212"/>
  <c r="D2487" i="212"/>
  <c r="C2487" i="212"/>
  <c r="AV2486" i="212"/>
  <c r="AT2486" i="212"/>
  <c r="AR2486" i="212"/>
  <c r="I2486" i="212"/>
  <c r="H2486" i="212"/>
  <c r="E2486" i="212"/>
  <c r="D2486" i="212"/>
  <c r="C2486" i="212"/>
  <c r="AV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AR2481" i="212"/>
  <c r="I2481" i="212"/>
  <c r="H2481" i="212"/>
  <c r="E2481" i="212"/>
  <c r="D2481" i="212"/>
  <c r="C2481" i="212"/>
  <c r="AV2480" i="212"/>
  <c r="AT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AR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I2475" i="212"/>
  <c r="H2475" i="212"/>
  <c r="E2475" i="212"/>
  <c r="D2475" i="212"/>
  <c r="C2475" i="212"/>
  <c r="AV2474" i="212"/>
  <c r="AT2474" i="212"/>
  <c r="I2474" i="212"/>
  <c r="H2474" i="212"/>
  <c r="E2474" i="212"/>
  <c r="D2474" i="212"/>
  <c r="C2474" i="212"/>
  <c r="AV2473" i="212"/>
  <c r="AT2473" i="212"/>
  <c r="I2473" i="212"/>
  <c r="H2473" i="212"/>
  <c r="E2473" i="212"/>
  <c r="D2473" i="212"/>
  <c r="C2473" i="212"/>
  <c r="AV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AR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I2465" i="212"/>
  <c r="H2465" i="212"/>
  <c r="E2465" i="212"/>
  <c r="D2465" i="212"/>
  <c r="C2465" i="212"/>
  <c r="AV2464" i="212"/>
  <c r="AT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AR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AR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AR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AR2450" i="212"/>
  <c r="I2450" i="212"/>
  <c r="H2450" i="212"/>
  <c r="E2450" i="212"/>
  <c r="D2450" i="212"/>
  <c r="C2450" i="212"/>
  <c r="AV2449" i="212"/>
  <c r="AT2449" i="212"/>
  <c r="I2449" i="212"/>
  <c r="H2449" i="212"/>
  <c r="E2449" i="212"/>
  <c r="D2449" i="212"/>
  <c r="C2449" i="212"/>
  <c r="AV2448" i="212"/>
  <c r="AT2448" i="212"/>
  <c r="I2448" i="212"/>
  <c r="H2448" i="212"/>
  <c r="E2448" i="212"/>
  <c r="D2448" i="212"/>
  <c r="C2448" i="212"/>
  <c r="AV2447" i="212"/>
  <c r="AT2447" i="212"/>
  <c r="AR2447" i="212"/>
  <c r="I2447" i="212"/>
  <c r="H2447" i="212"/>
  <c r="E2447" i="212"/>
  <c r="D2447" i="212"/>
  <c r="C2447" i="212"/>
  <c r="AV2446" i="212"/>
  <c r="AT2446" i="212"/>
  <c r="I2446" i="212"/>
  <c r="H2446" i="212"/>
  <c r="E2446" i="212"/>
  <c r="D2446" i="212"/>
  <c r="C2446" i="212"/>
  <c r="AV2445" i="212"/>
  <c r="AT2445" i="212"/>
  <c r="I2445" i="212"/>
  <c r="H2445" i="212"/>
  <c r="E2445" i="212"/>
  <c r="D2445" i="212"/>
  <c r="C2445" i="212"/>
  <c r="AV2444" i="212"/>
  <c r="AT2444" i="212"/>
  <c r="I2444" i="212"/>
  <c r="H2444" i="212"/>
  <c r="E2444" i="212"/>
  <c r="D2444" i="212"/>
  <c r="C2444" i="212"/>
  <c r="AV2443" i="212"/>
  <c r="AT2443" i="212"/>
  <c r="I2443" i="212"/>
  <c r="H2443" i="212"/>
  <c r="E2443" i="212"/>
  <c r="D2443" i="212"/>
  <c r="C2443" i="212"/>
  <c r="AV2442" i="212"/>
  <c r="AT2442" i="212"/>
  <c r="AR2442" i="212"/>
  <c r="I2442" i="212"/>
  <c r="H2442" i="212"/>
  <c r="E2442" i="212"/>
  <c r="D2442" i="212"/>
  <c r="C2442" i="212"/>
  <c r="AV2441" i="212"/>
  <c r="AT2441" i="212"/>
  <c r="I2441" i="212"/>
  <c r="H2441" i="212"/>
  <c r="E2441" i="212"/>
  <c r="D2441" i="212"/>
  <c r="C2441" i="212"/>
  <c r="AV2440" i="212"/>
  <c r="AT2440" i="212"/>
  <c r="I2440" i="212"/>
  <c r="H2440" i="212"/>
  <c r="E2440" i="212"/>
  <c r="D2440" i="212"/>
  <c r="C2440" i="212"/>
  <c r="AV2439" i="212"/>
  <c r="AT2439" i="212"/>
  <c r="I2439" i="212"/>
  <c r="H2439" i="212"/>
  <c r="E2439" i="212"/>
  <c r="D2439" i="212"/>
  <c r="C2439" i="212"/>
  <c r="AV2438" i="212"/>
  <c r="AT2438" i="212"/>
  <c r="I2438" i="212"/>
  <c r="H2438" i="212"/>
  <c r="E2438" i="212"/>
  <c r="D2438" i="212"/>
  <c r="C2438" i="212"/>
  <c r="AV2437" i="212"/>
  <c r="AT2437" i="212"/>
  <c r="I2437" i="212"/>
  <c r="H2437" i="212"/>
  <c r="E2437" i="212"/>
  <c r="D2437" i="212"/>
  <c r="C2437" i="212"/>
  <c r="AV2436" i="212"/>
  <c r="AT2436" i="212"/>
  <c r="I2436" i="212"/>
  <c r="H2436" i="212"/>
  <c r="E2436" i="212"/>
  <c r="D2436" i="212"/>
  <c r="C2436" i="212"/>
  <c r="AV2435" i="212"/>
  <c r="AT2435" i="212"/>
  <c r="I2435" i="212"/>
  <c r="H2435" i="212"/>
  <c r="E2435" i="212"/>
  <c r="D2435" i="212"/>
  <c r="C2435" i="212"/>
  <c r="AV2434" i="212"/>
  <c r="AT2434" i="212"/>
  <c r="AR2434" i="212"/>
  <c r="I2434" i="212"/>
  <c r="H2434" i="212"/>
  <c r="E2434" i="212"/>
  <c r="D2434" i="212"/>
  <c r="C2434" i="212"/>
  <c r="AV2433" i="212"/>
  <c r="AT2433" i="212"/>
  <c r="I2433" i="212"/>
  <c r="H2433" i="212"/>
  <c r="E2433" i="212"/>
  <c r="D2433" i="212"/>
  <c r="C2433" i="212"/>
  <c r="AV2432" i="212"/>
  <c r="AT2432" i="212"/>
  <c r="I2432" i="212"/>
  <c r="H2432" i="212"/>
  <c r="E2432" i="212"/>
  <c r="D2432" i="212"/>
  <c r="C2432" i="212"/>
  <c r="AV2431" i="212"/>
  <c r="AT2431" i="212"/>
  <c r="I2431" i="212"/>
  <c r="H2431" i="212"/>
  <c r="E2431" i="212"/>
  <c r="D2431" i="212"/>
  <c r="C2431" i="212"/>
  <c r="AV2430" i="212"/>
  <c r="AT2430" i="212"/>
  <c r="I2430" i="212"/>
  <c r="H2430" i="212"/>
  <c r="E2430" i="212"/>
  <c r="D2430" i="212"/>
  <c r="C2430" i="212"/>
  <c r="AV2429" i="212"/>
  <c r="AT2429" i="212"/>
  <c r="I2429" i="212"/>
  <c r="H2429" i="212"/>
  <c r="E2429" i="212"/>
  <c r="D2429" i="212"/>
  <c r="C2429" i="212"/>
  <c r="AV2428" i="212"/>
  <c r="AT2428" i="212"/>
  <c r="I2428" i="212"/>
  <c r="H2428" i="212"/>
  <c r="E2428" i="212"/>
  <c r="D2428" i="212"/>
  <c r="C2428" i="212"/>
  <c r="AV2427" i="212"/>
  <c r="AT2427" i="212"/>
  <c r="I2427" i="212"/>
  <c r="H2427" i="212"/>
  <c r="E2427" i="212"/>
  <c r="D2427" i="212"/>
  <c r="C2427" i="212"/>
  <c r="AV2426" i="212"/>
  <c r="AT2426" i="212"/>
  <c r="I2426" i="212"/>
  <c r="H2426" i="212"/>
  <c r="E2426" i="212"/>
  <c r="D2426" i="212"/>
  <c r="C2426" i="212"/>
  <c r="AV2425" i="212"/>
  <c r="AT2425" i="212"/>
  <c r="I2425" i="212"/>
  <c r="H2425" i="212"/>
  <c r="E2425" i="212"/>
  <c r="D2425" i="212"/>
  <c r="C2425" i="212"/>
  <c r="AV2424" i="212"/>
  <c r="AT2424" i="212"/>
  <c r="I2424" i="212"/>
  <c r="H2424" i="212"/>
  <c r="E2424" i="212"/>
  <c r="D2424" i="212"/>
  <c r="C2424" i="212"/>
  <c r="AV2423" i="212"/>
  <c r="AT2423" i="212"/>
  <c r="AR2423" i="212"/>
  <c r="I2423" i="212"/>
  <c r="H2423" i="212"/>
  <c r="E2423" i="212"/>
  <c r="D2423" i="212"/>
  <c r="C2423" i="212"/>
  <c r="AV2422" i="212"/>
  <c r="AT2422" i="212"/>
  <c r="I2422" i="212"/>
  <c r="H2422" i="212"/>
  <c r="E2422" i="212"/>
  <c r="D2422" i="212"/>
  <c r="C2422" i="212"/>
  <c r="AV2421" i="212"/>
  <c r="AT2421" i="212"/>
  <c r="AR2421" i="212"/>
  <c r="I2421" i="212"/>
  <c r="H2421" i="212"/>
  <c r="E2421" i="212"/>
  <c r="D2421" i="212"/>
  <c r="C2421" i="212"/>
  <c r="AV2420" i="212"/>
  <c r="I2420" i="212"/>
  <c r="H2420" i="212"/>
  <c r="E2420" i="212"/>
  <c r="D2420" i="212"/>
  <c r="C2420" i="212"/>
  <c r="AV2419" i="212"/>
  <c r="AT2419" i="212"/>
  <c r="I2419" i="212"/>
  <c r="H2419" i="212"/>
  <c r="E2419" i="212"/>
  <c r="D2419" i="212"/>
  <c r="C2419" i="212"/>
  <c r="AV2418" i="212"/>
  <c r="AT2418" i="212"/>
  <c r="AR2418" i="212"/>
  <c r="I2418" i="212"/>
  <c r="H2418" i="212"/>
  <c r="E2418" i="212"/>
  <c r="D2418" i="212"/>
  <c r="C2418" i="212"/>
  <c r="AV2417" i="212"/>
  <c r="AT2417" i="212"/>
  <c r="I2417" i="212"/>
  <c r="H2417" i="212"/>
  <c r="E2417" i="212"/>
  <c r="D2417" i="212"/>
  <c r="C2417" i="212"/>
  <c r="AV2416" i="212"/>
  <c r="AT2416" i="212"/>
  <c r="I2416" i="212"/>
  <c r="H2416" i="212"/>
  <c r="E2416" i="212"/>
  <c r="D2416" i="212"/>
  <c r="C2416" i="212"/>
  <c r="AV2415" i="212"/>
  <c r="AT2415" i="212"/>
  <c r="I2415" i="212"/>
  <c r="H2415" i="212"/>
  <c r="E2415" i="212"/>
  <c r="D2415" i="212"/>
  <c r="C2415" i="212"/>
  <c r="AV2414" i="212"/>
  <c r="AT2414" i="212"/>
  <c r="I2414" i="212"/>
  <c r="H2414" i="212"/>
  <c r="E2414" i="212"/>
  <c r="D2414" i="212"/>
  <c r="C2414" i="212"/>
  <c r="AV2413" i="212"/>
  <c r="AT2413" i="212"/>
  <c r="I2413" i="212"/>
  <c r="H2413" i="212"/>
  <c r="E2413" i="212"/>
  <c r="D2413" i="212"/>
  <c r="C2413" i="212"/>
  <c r="AV2412" i="212"/>
  <c r="AT2412" i="212"/>
  <c r="I2412" i="212"/>
  <c r="H2412" i="212"/>
  <c r="E2412" i="212"/>
  <c r="D2412" i="212"/>
  <c r="C2412" i="212"/>
  <c r="AV2411" i="212"/>
  <c r="AT2411" i="212"/>
  <c r="I2411" i="212"/>
  <c r="H2411" i="212"/>
  <c r="E2411" i="212"/>
  <c r="D2411" i="212"/>
  <c r="C2411" i="212"/>
  <c r="AV2410" i="212"/>
  <c r="AT2410" i="212"/>
  <c r="I2410" i="212"/>
  <c r="H2410" i="212"/>
  <c r="E2410" i="212"/>
  <c r="D2410" i="212"/>
  <c r="C2410" i="212"/>
  <c r="AV2409" i="212"/>
  <c r="AT2409" i="212"/>
  <c r="I2409" i="212"/>
  <c r="H2409" i="212"/>
  <c r="E2409" i="212"/>
  <c r="D2409" i="212"/>
  <c r="C2409" i="212"/>
  <c r="AV2408" i="212"/>
  <c r="AT2408" i="212"/>
  <c r="AR2408" i="212"/>
  <c r="I2408" i="212"/>
  <c r="H2408" i="212"/>
  <c r="E2408" i="212"/>
  <c r="D2408" i="212"/>
  <c r="C2408" i="212"/>
  <c r="AV2407" i="212"/>
  <c r="AT2407" i="212"/>
  <c r="I2407" i="212"/>
  <c r="H2407" i="212"/>
  <c r="E2407" i="212"/>
  <c r="D2407" i="212"/>
  <c r="C2407" i="212"/>
  <c r="AV2406" i="212"/>
  <c r="I2406" i="212"/>
  <c r="H2406" i="212"/>
  <c r="E2406" i="212"/>
  <c r="D2406" i="212"/>
  <c r="C2406" i="212"/>
  <c r="AV2405" i="212"/>
  <c r="AT2405" i="212"/>
  <c r="I2405" i="212"/>
  <c r="H2405" i="212"/>
  <c r="E2405" i="212"/>
  <c r="D2405" i="212"/>
  <c r="C2405" i="212"/>
  <c r="AV2404" i="212"/>
  <c r="AT2404" i="212"/>
  <c r="I2404" i="212"/>
  <c r="H2404" i="212"/>
  <c r="E2404" i="212"/>
  <c r="D2404" i="212"/>
  <c r="C2404" i="212"/>
  <c r="AV2403" i="212"/>
  <c r="AT2403" i="212"/>
  <c r="I2403" i="212"/>
  <c r="H2403" i="212"/>
  <c r="E2403" i="212"/>
  <c r="D2403" i="212"/>
  <c r="C2403" i="212"/>
  <c r="AV2402" i="212"/>
  <c r="AT2402" i="212"/>
  <c r="I2402" i="212"/>
  <c r="H2402" i="212"/>
  <c r="E2402" i="212"/>
  <c r="D2402" i="212"/>
  <c r="C2402" i="212"/>
  <c r="AV2401" i="212"/>
  <c r="AT2401" i="212"/>
  <c r="AR2401" i="212"/>
  <c r="I2401" i="212"/>
  <c r="H2401" i="212"/>
  <c r="E2401" i="212"/>
  <c r="D2401" i="212"/>
  <c r="C2401" i="212"/>
  <c r="AV2400" i="212"/>
  <c r="AT2400" i="212"/>
  <c r="I2400" i="212"/>
  <c r="H2400" i="212"/>
  <c r="E2400" i="212"/>
  <c r="D2400" i="212"/>
  <c r="C2400" i="212"/>
  <c r="AV2399" i="212"/>
  <c r="AT2399" i="212"/>
  <c r="I2399" i="212"/>
  <c r="H2399" i="212"/>
  <c r="E2399" i="212"/>
  <c r="D2399" i="212"/>
  <c r="C2399" i="212"/>
  <c r="AV2398" i="212"/>
  <c r="AT2398" i="212"/>
  <c r="I2398" i="212"/>
  <c r="H2398" i="212"/>
  <c r="E2398" i="212"/>
  <c r="D2398" i="212"/>
  <c r="C2398" i="212"/>
  <c r="AV2397" i="212"/>
  <c r="AT2397" i="212"/>
  <c r="I2397" i="212"/>
  <c r="H2397" i="212"/>
  <c r="E2397" i="212"/>
  <c r="D2397" i="212"/>
  <c r="C2397" i="212"/>
  <c r="AV2396" i="212"/>
  <c r="AT2396" i="212"/>
  <c r="AR2396" i="212"/>
  <c r="I2396" i="212"/>
  <c r="H2396" i="212"/>
  <c r="E2396" i="212"/>
  <c r="D2396" i="212"/>
  <c r="C2396" i="212"/>
  <c r="AV2395" i="212"/>
  <c r="AT2395" i="212"/>
  <c r="I2395" i="212"/>
  <c r="H2395" i="212"/>
  <c r="E2395" i="212"/>
  <c r="D2395" i="212"/>
  <c r="C2395" i="212"/>
  <c r="AV2394" i="212"/>
  <c r="AT2394" i="212"/>
  <c r="I2394" i="212"/>
  <c r="H2394" i="212"/>
  <c r="E2394" i="212"/>
  <c r="D2394" i="212"/>
  <c r="C2394" i="212"/>
  <c r="AV2393" i="212"/>
  <c r="AT2393" i="212"/>
  <c r="AR2393" i="212"/>
  <c r="I2393" i="212"/>
  <c r="H2393" i="212"/>
  <c r="E2393" i="212"/>
  <c r="D2393" i="212"/>
  <c r="C2393" i="212"/>
  <c r="AV2392" i="212"/>
  <c r="AT2392" i="212"/>
  <c r="I2392" i="212"/>
  <c r="H2392" i="212"/>
  <c r="E2392" i="212"/>
  <c r="D2392" i="212"/>
  <c r="C2392" i="212"/>
  <c r="AV2391" i="212"/>
  <c r="AT2391" i="212"/>
  <c r="I2391" i="212"/>
  <c r="H2391" i="212"/>
  <c r="E2391" i="212"/>
  <c r="D2391" i="212"/>
  <c r="C2391" i="212"/>
  <c r="AV2390" i="212"/>
  <c r="AT2390" i="212"/>
  <c r="AR2390" i="212"/>
  <c r="I2390" i="212"/>
  <c r="H2390" i="212"/>
  <c r="E2390" i="212"/>
  <c r="D2390" i="212"/>
  <c r="C2390" i="212"/>
  <c r="AV2389" i="212"/>
  <c r="AT2389" i="212"/>
  <c r="I2389" i="212"/>
  <c r="H2389" i="212"/>
  <c r="E2389" i="212"/>
  <c r="D2389" i="212"/>
  <c r="C2389" i="212"/>
  <c r="AV2388" i="212"/>
  <c r="AT2388" i="212"/>
  <c r="I2388" i="212"/>
  <c r="H2388" i="212"/>
  <c r="E2388" i="212"/>
  <c r="D2388" i="212"/>
  <c r="C2388" i="212"/>
  <c r="AV2387" i="212"/>
  <c r="AT2387" i="212"/>
  <c r="I2387" i="212"/>
  <c r="H2387" i="212"/>
  <c r="E2387" i="212"/>
  <c r="D2387" i="212"/>
  <c r="C2387" i="212"/>
  <c r="AV2386" i="212"/>
  <c r="AT2386" i="212"/>
  <c r="I2386" i="212"/>
  <c r="H2386" i="212"/>
  <c r="E2386" i="212"/>
  <c r="D2386" i="212"/>
  <c r="C2386" i="212"/>
  <c r="AV2385" i="212"/>
  <c r="AT2385" i="212"/>
  <c r="I2385" i="212"/>
  <c r="H2385" i="212"/>
  <c r="E2385" i="212"/>
  <c r="D2385" i="212"/>
  <c r="C2385" i="212"/>
  <c r="AV2384" i="212"/>
  <c r="AT2384" i="212"/>
  <c r="I2384" i="212"/>
  <c r="H2384" i="212"/>
  <c r="E2384" i="212"/>
  <c r="D2384" i="212"/>
  <c r="C2384" i="212"/>
  <c r="AV2383" i="212"/>
  <c r="AT2383" i="212"/>
  <c r="I2383" i="212"/>
  <c r="H2383" i="212"/>
  <c r="E2383" i="212"/>
  <c r="D2383" i="212"/>
  <c r="C2383" i="212"/>
  <c r="AV2382" i="212"/>
  <c r="AT2382" i="212"/>
  <c r="I2382" i="212"/>
  <c r="H2382" i="212"/>
  <c r="E2382" i="212"/>
  <c r="D2382" i="212"/>
  <c r="C2382" i="212"/>
  <c r="AV2381" i="212"/>
  <c r="AT2381" i="212"/>
  <c r="AR2381" i="212"/>
  <c r="I2381" i="212"/>
  <c r="H2381" i="212"/>
  <c r="E2381" i="212"/>
  <c r="D2381" i="212"/>
  <c r="C2381" i="212"/>
  <c r="AV2380" i="212"/>
  <c r="AT2380" i="212"/>
  <c r="I2380" i="212"/>
  <c r="H2380" i="212"/>
  <c r="E2380" i="212"/>
  <c r="D2380" i="212"/>
  <c r="C2380" i="212"/>
  <c r="AV2379" i="212"/>
  <c r="I2379" i="212"/>
  <c r="H2379" i="212"/>
  <c r="E2379" i="212"/>
  <c r="D2379" i="212"/>
  <c r="C2379" i="212"/>
  <c r="AV2378" i="212"/>
  <c r="I2378" i="212"/>
  <c r="H2378" i="212"/>
  <c r="E2378" i="212"/>
  <c r="D2378" i="212"/>
  <c r="C2378" i="212"/>
  <c r="AV2377" i="212"/>
  <c r="AT2377" i="212"/>
  <c r="AR2377" i="212"/>
  <c r="I2377" i="212"/>
  <c r="H2377" i="212"/>
  <c r="E2377" i="212"/>
  <c r="D2377" i="212"/>
  <c r="C2377" i="212"/>
  <c r="AV2376" i="212"/>
  <c r="AT2376" i="212"/>
  <c r="I2376" i="212"/>
  <c r="H2376" i="212"/>
  <c r="E2376" i="212"/>
  <c r="D2376" i="212"/>
  <c r="C2376" i="212"/>
  <c r="AV2375" i="212"/>
  <c r="AT2375" i="212"/>
  <c r="I2375" i="212"/>
  <c r="H2375" i="212"/>
  <c r="E2375" i="212"/>
  <c r="D2375" i="212"/>
  <c r="C2375" i="212"/>
  <c r="AV2374" i="212"/>
  <c r="AT2374" i="212"/>
  <c r="I2374" i="212"/>
  <c r="H2374" i="212"/>
  <c r="E2374" i="212"/>
  <c r="D2374" i="212"/>
  <c r="C2374" i="212"/>
  <c r="AV2373" i="212"/>
  <c r="AT2373" i="212"/>
  <c r="I2373" i="212"/>
  <c r="H2373" i="212"/>
  <c r="E2373" i="212"/>
  <c r="D2373" i="212"/>
  <c r="C2373" i="212"/>
  <c r="AV2372" i="212"/>
  <c r="AT2372" i="212"/>
  <c r="I2372" i="212"/>
  <c r="H2372" i="212"/>
  <c r="E2372" i="212"/>
  <c r="D2372" i="212"/>
  <c r="C2372" i="212"/>
  <c r="AV2371" i="212"/>
  <c r="AT2371" i="212"/>
  <c r="I2371" i="212"/>
  <c r="H2371" i="212"/>
  <c r="E2371" i="212"/>
  <c r="D2371" i="212"/>
  <c r="C2371" i="212"/>
  <c r="AV2370" i="212"/>
  <c r="AT2370" i="212"/>
  <c r="I2370" i="212"/>
  <c r="H2370" i="212"/>
  <c r="E2370" i="212"/>
  <c r="D2370" i="212"/>
  <c r="C2370" i="212"/>
  <c r="AV2369" i="212"/>
  <c r="AT2369" i="212"/>
  <c r="AR2369" i="212"/>
  <c r="I2369" i="212"/>
  <c r="H2369" i="212"/>
  <c r="E2369" i="212"/>
  <c r="D2369" i="212"/>
  <c r="C2369" i="212"/>
  <c r="AV2368" i="212"/>
  <c r="AT2368" i="212"/>
  <c r="AR2368" i="212"/>
  <c r="I2368" i="212"/>
  <c r="H2368" i="212"/>
  <c r="E2368" i="212"/>
  <c r="D2368" i="212"/>
  <c r="C2368" i="212"/>
  <c r="AV2367" i="212"/>
  <c r="AT2367" i="212"/>
  <c r="I2367" i="212"/>
  <c r="H2367" i="212"/>
  <c r="E2367" i="212"/>
  <c r="D2367" i="212"/>
  <c r="C2367" i="212"/>
  <c r="AV2366" i="212"/>
  <c r="AT2366" i="212"/>
  <c r="I2366" i="212"/>
  <c r="H2366" i="212"/>
  <c r="E2366" i="212"/>
  <c r="D2366" i="212"/>
  <c r="C2366" i="212"/>
  <c r="AV2365" i="212"/>
  <c r="AT2365" i="212"/>
  <c r="I2365" i="212"/>
  <c r="H2365" i="212"/>
  <c r="E2365" i="212"/>
  <c r="D2365" i="212"/>
  <c r="C2365" i="212"/>
  <c r="AV2364" i="212"/>
  <c r="AT2364" i="212"/>
  <c r="AR2364" i="212"/>
  <c r="I2364" i="212"/>
  <c r="H2364" i="212"/>
  <c r="E2364" i="212"/>
  <c r="D2364" i="212"/>
  <c r="C2364" i="212"/>
  <c r="AV2363" i="212"/>
  <c r="AT2363" i="212"/>
  <c r="I2363" i="212"/>
  <c r="H2363" i="212"/>
  <c r="E2363" i="212"/>
  <c r="D2363" i="212"/>
  <c r="C2363" i="212"/>
  <c r="AV2362" i="212"/>
  <c r="AT2362" i="212"/>
  <c r="I2362" i="212"/>
  <c r="H2362" i="212"/>
  <c r="E2362" i="212"/>
  <c r="D2362" i="212"/>
  <c r="C2362" i="212"/>
  <c r="AV2361" i="212"/>
  <c r="AT2361" i="212"/>
  <c r="I2361" i="212"/>
  <c r="H2361" i="212"/>
  <c r="E2361" i="212"/>
  <c r="D2361" i="212"/>
  <c r="C2361" i="212"/>
  <c r="AV2360" i="212"/>
  <c r="I2360" i="212"/>
  <c r="H2360" i="212"/>
  <c r="E2360" i="212"/>
  <c r="D2360" i="212"/>
  <c r="C2360" i="212"/>
  <c r="AV2359" i="212"/>
  <c r="AT2359" i="212"/>
  <c r="I2359" i="212"/>
  <c r="H2359" i="212"/>
  <c r="E2359" i="212"/>
  <c r="D2359" i="212"/>
  <c r="C2359" i="212"/>
  <c r="AV2358" i="212"/>
  <c r="AT2358" i="212"/>
  <c r="AR2358" i="212"/>
  <c r="I2358" i="212"/>
  <c r="H2358" i="212"/>
  <c r="E2358" i="212"/>
  <c r="D2358" i="212"/>
  <c r="C2358" i="212"/>
  <c r="AV2357" i="212"/>
  <c r="AT2357" i="212"/>
  <c r="I2357" i="212"/>
  <c r="H2357" i="212"/>
  <c r="E2357" i="212"/>
  <c r="D2357" i="212"/>
  <c r="C2357" i="212"/>
  <c r="AV2356" i="212"/>
  <c r="AT2356" i="212"/>
  <c r="I2356" i="212"/>
  <c r="H2356" i="212"/>
  <c r="E2356" i="212"/>
  <c r="D2356" i="212"/>
  <c r="C2356" i="212"/>
  <c r="AV2355" i="212"/>
  <c r="AT2355" i="212"/>
  <c r="I2355" i="212"/>
  <c r="H2355" i="212"/>
  <c r="E2355" i="212"/>
  <c r="D2355" i="212"/>
  <c r="C2355" i="212"/>
  <c r="AV2354" i="212"/>
  <c r="AT2354" i="212"/>
  <c r="I2354" i="212"/>
  <c r="H2354" i="212"/>
  <c r="E2354" i="212"/>
  <c r="D2354" i="212"/>
  <c r="C2354" i="212"/>
  <c r="AV2353" i="212"/>
  <c r="AT2353" i="212"/>
  <c r="I2353" i="212"/>
  <c r="H2353" i="212"/>
  <c r="E2353" i="212"/>
  <c r="D2353" i="212"/>
  <c r="C2353" i="212"/>
  <c r="AV2352" i="212"/>
  <c r="AT2352" i="212"/>
  <c r="I2352" i="212"/>
  <c r="H2352" i="212"/>
  <c r="E2352" i="212"/>
  <c r="D2352" i="212"/>
  <c r="C2352" i="212"/>
  <c r="AV2351" i="212"/>
  <c r="AT2351" i="212"/>
  <c r="I2351" i="212"/>
  <c r="H2351" i="212"/>
  <c r="E2351" i="212"/>
  <c r="D2351" i="212"/>
  <c r="C2351" i="212"/>
  <c r="AV2350" i="212"/>
  <c r="AT2350" i="212"/>
  <c r="I2350" i="212"/>
  <c r="H2350" i="212"/>
  <c r="E2350" i="212"/>
  <c r="D2350" i="212"/>
  <c r="C2350" i="212"/>
  <c r="AV2349" i="212"/>
  <c r="AT2349" i="212"/>
  <c r="I2349" i="212"/>
  <c r="H2349" i="212"/>
  <c r="E2349" i="212"/>
  <c r="D2349" i="212"/>
  <c r="C2349" i="212"/>
  <c r="AV2348" i="212"/>
  <c r="AT2348" i="212"/>
  <c r="AR2348" i="212"/>
  <c r="I2348" i="212"/>
  <c r="H2348" i="212"/>
  <c r="E2348" i="212"/>
  <c r="D2348" i="212"/>
  <c r="C2348" i="212"/>
  <c r="AV2347" i="212"/>
  <c r="AU2347" i="212"/>
  <c r="AT2347" i="212"/>
  <c r="AR2347" i="212"/>
  <c r="I2347" i="212"/>
  <c r="H2347" i="212"/>
  <c r="E2347" i="212"/>
  <c r="D2347" i="212"/>
  <c r="C2347" i="212"/>
  <c r="AV2346" i="212"/>
  <c r="AT2346" i="212"/>
  <c r="I2346" i="212"/>
  <c r="H2346" i="212"/>
  <c r="E2346" i="212"/>
  <c r="D2346" i="212"/>
  <c r="C2346" i="212"/>
  <c r="AV2345" i="212"/>
  <c r="AT2345" i="212"/>
  <c r="I2345" i="212"/>
  <c r="H2345" i="212"/>
  <c r="E2345" i="212"/>
  <c r="D2345" i="212"/>
  <c r="C2345" i="212"/>
  <c r="AV2344" i="212"/>
  <c r="AT2344" i="212"/>
  <c r="AR2344" i="212"/>
  <c r="I2344" i="212"/>
  <c r="H2344" i="212"/>
  <c r="E2344" i="212"/>
  <c r="D2344" i="212"/>
  <c r="C2344" i="212"/>
  <c r="AV2343" i="212"/>
  <c r="AT2343" i="212"/>
  <c r="I2343" i="212"/>
  <c r="H2343" i="212"/>
  <c r="E2343" i="212"/>
  <c r="D2343" i="212"/>
  <c r="C2343" i="212"/>
  <c r="AV2342" i="212"/>
  <c r="AT2342" i="212"/>
  <c r="I2342" i="212"/>
  <c r="H2342" i="212"/>
  <c r="E2342" i="212"/>
  <c r="D2342" i="212"/>
  <c r="C2342" i="212"/>
  <c r="AV2341" i="212"/>
  <c r="AT2341" i="212"/>
  <c r="AR2341" i="212"/>
  <c r="I2341" i="212"/>
  <c r="H2341" i="212"/>
  <c r="E2341" i="212"/>
  <c r="D2341" i="212"/>
  <c r="C2341" i="212"/>
  <c r="AV2340" i="212"/>
  <c r="AT2340" i="212"/>
  <c r="I2340" i="212"/>
  <c r="H2340" i="212"/>
  <c r="E2340" i="212"/>
  <c r="D2340" i="212"/>
  <c r="C2340" i="212"/>
  <c r="AV2339" i="212"/>
  <c r="AT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T2336" i="212"/>
  <c r="AR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T2332" i="212"/>
  <c r="I2332" i="212"/>
  <c r="H2332" i="212"/>
  <c r="E2332" i="212"/>
  <c r="D2332" i="212"/>
  <c r="C2332" i="212"/>
  <c r="AV2331" i="212"/>
  <c r="AT2331" i="212"/>
  <c r="I2331" i="212"/>
  <c r="H2331" i="212"/>
  <c r="E2331" i="212"/>
  <c r="D2331" i="212"/>
  <c r="C2331" i="212"/>
  <c r="AV2330" i="212"/>
  <c r="AT2330" i="212"/>
  <c r="I2330" i="212"/>
  <c r="H2330" i="212"/>
  <c r="E2330" i="212"/>
  <c r="D2330" i="212"/>
  <c r="C2330" i="212"/>
  <c r="AV2329" i="212"/>
  <c r="AT2329" i="212"/>
  <c r="I2329" i="212"/>
  <c r="H2329" i="212"/>
  <c r="E2329" i="212"/>
  <c r="D2329" i="212"/>
  <c r="C2329" i="212"/>
  <c r="AV2328" i="212"/>
  <c r="AT2328" i="212"/>
  <c r="AR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AR2323" i="212"/>
  <c r="I2323" i="212"/>
  <c r="H2323" i="212"/>
  <c r="E2323" i="212"/>
  <c r="D2323" i="212"/>
  <c r="C2323" i="212"/>
  <c r="AV2322" i="212"/>
  <c r="AT2322" i="212"/>
  <c r="AR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T2319" i="212"/>
  <c r="AR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AR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I2312" i="212"/>
  <c r="H2312" i="212"/>
  <c r="E2312" i="212"/>
  <c r="D2312" i="212"/>
  <c r="C2312" i="212"/>
  <c r="AV2311" i="212"/>
  <c r="AT2311" i="212"/>
  <c r="AR2311" i="212"/>
  <c r="I2311" i="212"/>
  <c r="H2311" i="212"/>
  <c r="E2311" i="212"/>
  <c r="D2311" i="212"/>
  <c r="C2311" i="212"/>
  <c r="AV2310" i="212"/>
  <c r="AT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T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AR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AR2291" i="212"/>
  <c r="I2291" i="212"/>
  <c r="H2291" i="212"/>
  <c r="E2291" i="212"/>
  <c r="D2291" i="212"/>
  <c r="C2291" i="212"/>
  <c r="AV2290" i="212"/>
  <c r="AT2290" i="212"/>
  <c r="I2290" i="212"/>
  <c r="H2290" i="212"/>
  <c r="E2290" i="212"/>
  <c r="D2290" i="212"/>
  <c r="C2290" i="212"/>
  <c r="AV2289" i="212"/>
  <c r="AT2289" i="212"/>
  <c r="AR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T2286" i="212"/>
  <c r="I2286" i="212"/>
  <c r="H2286" i="212"/>
  <c r="E2286" i="212"/>
  <c r="D2286" i="212"/>
  <c r="C2286" i="212"/>
  <c r="AV2285" i="212"/>
  <c r="AT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AR2283" i="212"/>
  <c r="I2283" i="212"/>
  <c r="H2283" i="212"/>
  <c r="E2283" i="212"/>
  <c r="D2283" i="212"/>
  <c r="C2283" i="212"/>
  <c r="AV2282" i="212"/>
  <c r="AT2282" i="212"/>
  <c r="I2282" i="212"/>
  <c r="H2282" i="212"/>
  <c r="E2282" i="212"/>
  <c r="D2282" i="212"/>
  <c r="C2282" i="212"/>
  <c r="AV2281" i="212"/>
  <c r="AT2281" i="212"/>
  <c r="I2281" i="212"/>
  <c r="H2281" i="212"/>
  <c r="E2281" i="212"/>
  <c r="D2281" i="212"/>
  <c r="C2281" i="212"/>
  <c r="AV2280" i="212"/>
  <c r="AT2280" i="212"/>
  <c r="AR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T2276" i="212"/>
  <c r="I2276" i="212"/>
  <c r="H2276" i="212"/>
  <c r="E2276" i="212"/>
  <c r="D2276" i="212"/>
  <c r="C2276" i="212"/>
  <c r="AV2275" i="212"/>
  <c r="AT2275" i="212"/>
  <c r="AR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T2273" i="212"/>
  <c r="I2273" i="212"/>
  <c r="H2273" i="212"/>
  <c r="E2273" i="212"/>
  <c r="D2273" i="212"/>
  <c r="C2273" i="212"/>
  <c r="AV2272" i="212"/>
  <c r="AT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I2267" i="212"/>
  <c r="H2267" i="212"/>
  <c r="E2267" i="212"/>
  <c r="D2267" i="212"/>
  <c r="C2267" i="212"/>
  <c r="AV2266" i="212"/>
  <c r="AT2266" i="212"/>
  <c r="I2266" i="212"/>
  <c r="H2266" i="212"/>
  <c r="E2266" i="212"/>
  <c r="D2266" i="212"/>
  <c r="C2266" i="212"/>
  <c r="AV2265" i="212"/>
  <c r="AT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I2261" i="212"/>
  <c r="H2261" i="212"/>
  <c r="E2261" i="212"/>
  <c r="D2261" i="212"/>
  <c r="C2261" i="212"/>
  <c r="AV2260" i="212"/>
  <c r="AT2260" i="212"/>
  <c r="I2260" i="212"/>
  <c r="H2260" i="212"/>
  <c r="E2260" i="212"/>
  <c r="D2260" i="212"/>
  <c r="C2260" i="212"/>
  <c r="AV2259" i="212"/>
  <c r="AT2259" i="212"/>
  <c r="AR2259" i="212"/>
  <c r="I2259" i="212"/>
  <c r="H2259" i="212"/>
  <c r="E2259" i="212"/>
  <c r="D2259" i="212"/>
  <c r="C2259" i="212"/>
  <c r="AV2258" i="212"/>
  <c r="AU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T2255" i="212"/>
  <c r="AR2255" i="212"/>
  <c r="I2255" i="212"/>
  <c r="H2255" i="212"/>
  <c r="E2255" i="212"/>
  <c r="D2255" i="212"/>
  <c r="C2255" i="212"/>
  <c r="AV2254" i="212"/>
  <c r="AT2254" i="212"/>
  <c r="I2254" i="212"/>
  <c r="H2254" i="212"/>
  <c r="E2254" i="212"/>
  <c r="D2254" i="212"/>
  <c r="C2254" i="212"/>
  <c r="AV2253" i="212"/>
  <c r="AT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AR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T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AR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I2240" i="212"/>
  <c r="H2240" i="212"/>
  <c r="E2240" i="212"/>
  <c r="D2240" i="212"/>
  <c r="C2240" i="212"/>
  <c r="AV2239" i="212"/>
  <c r="AT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AR2237" i="212"/>
  <c r="I2237" i="212"/>
  <c r="H2237" i="212"/>
  <c r="E2237" i="212"/>
  <c r="D2237" i="212"/>
  <c r="C2237" i="212"/>
  <c r="AV2236" i="212"/>
  <c r="AT2236" i="212"/>
  <c r="I2236" i="212"/>
  <c r="H2236" i="212"/>
  <c r="E2236" i="212"/>
  <c r="D2236" i="212"/>
  <c r="C2236" i="212"/>
  <c r="AV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AR2232" i="212"/>
  <c r="I2232" i="212"/>
  <c r="H2232" i="212"/>
  <c r="E2232" i="212"/>
  <c r="D2232" i="212"/>
  <c r="C2232" i="212"/>
  <c r="AV2231" i="212"/>
  <c r="I2231" i="212"/>
  <c r="H2231" i="212"/>
  <c r="E2231" i="212"/>
  <c r="D2231" i="212"/>
  <c r="C2231" i="212"/>
  <c r="AV2230" i="212"/>
  <c r="AT2230" i="212"/>
  <c r="AR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T2228" i="212"/>
  <c r="I2228" i="212"/>
  <c r="H2228" i="212"/>
  <c r="E2228" i="212"/>
  <c r="D2228" i="212"/>
  <c r="C2228" i="212"/>
  <c r="AV2227" i="212"/>
  <c r="AT2227" i="212"/>
  <c r="I2227" i="212"/>
  <c r="H2227" i="212"/>
  <c r="E2227" i="212"/>
  <c r="D2227" i="212"/>
  <c r="C2227" i="212"/>
  <c r="AV2226" i="212"/>
  <c r="AT2226" i="212"/>
  <c r="AR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AR2223" i="212"/>
  <c r="I2223" i="212"/>
  <c r="H2223" i="212"/>
  <c r="E2223" i="212"/>
  <c r="D2223" i="212"/>
  <c r="C2223" i="212"/>
  <c r="AV2222" i="212"/>
  <c r="AT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T2220" i="212"/>
  <c r="I2220" i="212"/>
  <c r="H2220" i="212"/>
  <c r="E2220" i="212"/>
  <c r="D2220" i="212"/>
  <c r="C2220" i="212"/>
  <c r="AV2219" i="212"/>
  <c r="AT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I2215" i="212"/>
  <c r="H2215" i="212"/>
  <c r="E2215" i="212"/>
  <c r="D2215" i="212"/>
  <c r="C2215" i="212"/>
  <c r="AV2214" i="212"/>
  <c r="AT2214" i="212"/>
  <c r="AR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AR2206" i="212"/>
  <c r="I2206" i="212"/>
  <c r="H2206" i="212"/>
  <c r="E2206" i="212"/>
  <c r="D2206" i="212"/>
  <c r="C2206" i="212"/>
  <c r="AV2205" i="212"/>
  <c r="AT2205" i="212"/>
  <c r="AR2205" i="212"/>
  <c r="I2205" i="212"/>
  <c r="H2205" i="212"/>
  <c r="E2205" i="212"/>
  <c r="D2205" i="212"/>
  <c r="C2205" i="212"/>
  <c r="AV2204" i="212"/>
  <c r="AT2204" i="212"/>
  <c r="I2204" i="212"/>
  <c r="H2204" i="212"/>
  <c r="E2204" i="212"/>
  <c r="D2204" i="212"/>
  <c r="C2204" i="212"/>
  <c r="AV2203" i="212"/>
  <c r="AT2203" i="212"/>
  <c r="AR2203" i="212"/>
  <c r="I2203" i="212"/>
  <c r="H2203" i="212"/>
  <c r="E2203" i="212"/>
  <c r="D2203" i="212"/>
  <c r="C2203" i="212"/>
  <c r="AV2202" i="212"/>
  <c r="AT2202" i="212"/>
  <c r="I2202" i="212"/>
  <c r="H2202" i="212"/>
  <c r="E2202" i="212"/>
  <c r="D2202" i="212"/>
  <c r="C2202" i="212"/>
  <c r="AV2201" i="212"/>
  <c r="AT2201" i="212"/>
  <c r="AR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AR2198" i="212"/>
  <c r="I2198" i="212"/>
  <c r="H2198" i="212"/>
  <c r="E2198" i="212"/>
  <c r="D2198" i="212"/>
  <c r="C2198" i="212"/>
  <c r="AV2197" i="212"/>
  <c r="AT2197" i="212"/>
  <c r="I2197" i="212"/>
  <c r="H2197" i="212"/>
  <c r="E2197" i="212"/>
  <c r="D2197" i="212"/>
  <c r="C2197" i="212"/>
  <c r="AV2196" i="212"/>
  <c r="AT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I2193" i="212"/>
  <c r="H2193" i="212"/>
  <c r="E2193" i="212"/>
  <c r="D2193" i="212"/>
  <c r="C2193" i="212"/>
  <c r="AV2192" i="212"/>
  <c r="AT2192" i="212"/>
  <c r="AR2192" i="212"/>
  <c r="I2192" i="212"/>
  <c r="H2192" i="212"/>
  <c r="E2192" i="212"/>
  <c r="D2192" i="212"/>
  <c r="C2192" i="212"/>
  <c r="AV2191" i="212"/>
  <c r="AT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I2183" i="212"/>
  <c r="H2183" i="212"/>
  <c r="E2183" i="212"/>
  <c r="D2183" i="212"/>
  <c r="C2183" i="212"/>
  <c r="AV2182" i="212"/>
  <c r="AT2182" i="212"/>
  <c r="AR2182" i="212"/>
  <c r="I2182" i="212"/>
  <c r="H2182" i="212"/>
  <c r="E2182" i="212"/>
  <c r="D2182" i="212"/>
  <c r="C2182" i="212"/>
  <c r="AV2181" i="212"/>
  <c r="AT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I2177" i="212"/>
  <c r="H2177" i="212"/>
  <c r="E2177" i="212"/>
  <c r="D2177" i="212"/>
  <c r="C2177" i="212"/>
  <c r="AV2176" i="212"/>
  <c r="AT2176" i="212"/>
  <c r="AR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AR2169" i="212"/>
  <c r="I2169" i="212"/>
  <c r="H2169" i="212"/>
  <c r="E2169" i="212"/>
  <c r="D2169" i="212"/>
  <c r="C2169" i="212"/>
  <c r="AV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AR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U2155" i="212"/>
  <c r="AT2155" i="212"/>
  <c r="AR2155" i="212"/>
  <c r="I2155" i="212"/>
  <c r="H2155" i="212"/>
  <c r="E2155" i="212"/>
  <c r="D2155" i="212"/>
  <c r="C2155" i="212"/>
  <c r="AV2154" i="212"/>
  <c r="AT2154" i="212"/>
  <c r="AR2154" i="212"/>
  <c r="I2154" i="212"/>
  <c r="H2154" i="212"/>
  <c r="E2154" i="212"/>
  <c r="D2154" i="212"/>
  <c r="C2154" i="212"/>
  <c r="AV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AR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AR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AR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I2130" i="212"/>
  <c r="H2130" i="212"/>
  <c r="E2130" i="212"/>
  <c r="D2130" i="212"/>
  <c r="C2130" i="212"/>
  <c r="AV2129" i="212"/>
  <c r="AT2129" i="212"/>
  <c r="AR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AR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AR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AR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AR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U2107" i="212"/>
  <c r="AT2107" i="212"/>
  <c r="AR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AR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U2082" i="212"/>
  <c r="AT2082" i="212"/>
  <c r="AR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AR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U2062" i="212"/>
  <c r="AT2062" i="212"/>
  <c r="AR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AR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I2051" i="212"/>
  <c r="H2051" i="212"/>
  <c r="E2051" i="212"/>
  <c r="D2051" i="212"/>
  <c r="C2051" i="212"/>
  <c r="AV2050" i="212"/>
  <c r="AT2050" i="212"/>
  <c r="AR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U2048" i="212"/>
  <c r="AT2048" i="212"/>
  <c r="AR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U2035" i="212"/>
  <c r="AT2035" i="212"/>
  <c r="AR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AR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U2013" i="212"/>
  <c r="AT2013" i="212"/>
  <c r="AR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U2010" i="212"/>
  <c r="AT2010" i="212"/>
  <c r="AR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AR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AR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U1968" i="212"/>
  <c r="AT1968" i="212"/>
  <c r="AR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AR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U1958" i="212"/>
  <c r="AT1958" i="212"/>
  <c r="AR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AR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AR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U1914" i="212"/>
  <c r="AT1914" i="212"/>
  <c r="AR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AR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U1902" i="212"/>
  <c r="AT1902" i="212"/>
  <c r="AR1902" i="212"/>
  <c r="I1902" i="212"/>
  <c r="H1902" i="212"/>
  <c r="E1902" i="212"/>
  <c r="D1902" i="212"/>
  <c r="C1902" i="212"/>
  <c r="AV1901" i="212"/>
  <c r="AT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AR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AR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AR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AR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AR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AR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U1842" i="212"/>
  <c r="AT1842" i="212"/>
  <c r="AR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U1831" i="212"/>
  <c r="AT1831" i="212"/>
  <c r="AR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AR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U1815" i="212"/>
  <c r="AT1815" i="212"/>
  <c r="AR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AR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AR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U1767" i="212"/>
  <c r="AT1767" i="212"/>
  <c r="AR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AR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U1749" i="212"/>
  <c r="AT1749" i="212"/>
  <c r="AR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AR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U1737" i="212"/>
  <c r="AT1737" i="212"/>
  <c r="AR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U1723" i="212"/>
  <c r="AT1723" i="212"/>
  <c r="AR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AR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U1700" i="212"/>
  <c r="AT1700" i="212"/>
  <c r="AR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U1697" i="212"/>
  <c r="AT1697" i="212"/>
  <c r="AR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AR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AR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U1668" i="212"/>
  <c r="AT1668" i="212"/>
  <c r="AR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U1654" i="212"/>
  <c r="AT1654" i="212"/>
  <c r="AR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AR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U1645" i="212"/>
  <c r="AT1645" i="212"/>
  <c r="AR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AR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AR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U1600" i="212"/>
  <c r="AT1600" i="212"/>
  <c r="AR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AR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U1586" i="212"/>
  <c r="AT1586" i="212"/>
  <c r="AR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AR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AR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AR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U1567" i="212"/>
  <c r="AT1567" i="212"/>
  <c r="AR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AR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AR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AR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U1523" i="212"/>
  <c r="AT1523" i="212"/>
  <c r="AR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U1513" i="212"/>
  <c r="AT1513" i="212"/>
  <c r="AR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AR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U1497" i="212"/>
  <c r="AT1497" i="212"/>
  <c r="AR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AR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U1470" i="212"/>
  <c r="AT1470" i="212"/>
  <c r="AR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AR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U1446" i="212"/>
  <c r="AT1446" i="212"/>
  <c r="AR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AR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U1428" i="212"/>
  <c r="AT1428" i="212"/>
  <c r="AR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AR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AR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U1415" i="212"/>
  <c r="AT1415" i="212"/>
  <c r="AR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U1398" i="212"/>
  <c r="AT1398" i="212"/>
  <c r="AR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U1396" i="212"/>
  <c r="AT1396" i="212"/>
  <c r="AR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AR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U1373" i="212"/>
  <c r="AT1373" i="212"/>
  <c r="AR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AR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AR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AR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U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U1330" i="212"/>
  <c r="AT1330" i="212"/>
  <c r="AR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AR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U1320" i="212"/>
  <c r="AT1320" i="212"/>
  <c r="AR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AR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AR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AR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U1277" i="212"/>
  <c r="AT1277" i="212"/>
  <c r="AR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AR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U1266" i="212"/>
  <c r="AT1266" i="212"/>
  <c r="AR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U1259" i="212"/>
  <c r="AT1259" i="212"/>
  <c r="AR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AR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AR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U1245" i="212"/>
  <c r="AT1245" i="212"/>
  <c r="AR1245" i="212"/>
  <c r="I1245" i="212"/>
  <c r="H1245" i="212"/>
  <c r="E1245" i="212"/>
  <c r="D1245" i="212"/>
  <c r="C1245" i="212"/>
  <c r="AV1244" i="212"/>
  <c r="AT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AR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AR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U1207" i="212"/>
  <c r="AT1207" i="212"/>
  <c r="AR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U1204" i="212"/>
  <c r="AT1204" i="212"/>
  <c r="AR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U1193" i="212"/>
  <c r="AT1193" i="212"/>
  <c r="AR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AR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U1176" i="212"/>
  <c r="AT1176" i="212"/>
  <c r="AR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AR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AR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U1150" i="212"/>
  <c r="AT1150" i="212"/>
  <c r="AR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AR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U1126" i="212"/>
  <c r="AT1126" i="212"/>
  <c r="AR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AR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U1107" i="212"/>
  <c r="AT1107" i="212"/>
  <c r="AR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AR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U1095" i="212"/>
  <c r="AT1095" i="212"/>
  <c r="AR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AR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U1075" i="212"/>
  <c r="AT1075" i="212"/>
  <c r="AR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AR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U1053" i="212"/>
  <c r="AT1053" i="212"/>
  <c r="AR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AR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U1027" i="212"/>
  <c r="AT1027" i="212"/>
  <c r="AR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AR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U1011" i="212"/>
  <c r="AT1011" i="212"/>
  <c r="AR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T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W795" i="212"/>
  <c r="AV795" i="212"/>
  <c r="AT795" i="212"/>
  <c r="AR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W671" i="212"/>
  <c r="AV671" i="212"/>
  <c r="AT671" i="212"/>
  <c r="AR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AR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AR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I558" i="212"/>
  <c r="H558" i="212"/>
  <c r="E558" i="212"/>
  <c r="D558" i="212"/>
  <c r="C558" i="212"/>
  <c r="AV557" i="212"/>
  <c r="AT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W519" i="212"/>
  <c r="AV519" i="212"/>
  <c r="AT519" i="212"/>
  <c r="AR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AR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AR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AR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I443" i="212"/>
  <c r="H443" i="212"/>
  <c r="E443" i="212"/>
  <c r="D443" i="212"/>
  <c r="C443" i="212"/>
  <c r="AV442" i="212"/>
  <c r="AT442" i="212"/>
  <c r="AR442" i="212"/>
  <c r="I442" i="212"/>
  <c r="H442" i="212"/>
  <c r="E442" i="212"/>
  <c r="D442" i="212"/>
  <c r="C442" i="212"/>
  <c r="AV441" i="212"/>
  <c r="AT441" i="212"/>
  <c r="I441" i="212"/>
  <c r="H441" i="212"/>
  <c r="E441" i="212"/>
  <c r="D441" i="212"/>
  <c r="C441" i="212"/>
  <c r="AV440" i="212"/>
  <c r="AT440" i="212"/>
  <c r="AR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AR438" i="212"/>
  <c r="I438" i="212"/>
  <c r="H438" i="212"/>
  <c r="E438" i="212"/>
  <c r="D438" i="212"/>
  <c r="C438" i="212"/>
  <c r="AV437" i="212"/>
  <c r="AT437" i="212"/>
  <c r="AR437" i="212"/>
  <c r="I437" i="212"/>
  <c r="H437" i="212"/>
  <c r="E437" i="212"/>
  <c r="D437" i="212"/>
  <c r="C437" i="212"/>
  <c r="AW436" i="212"/>
  <c r="AV436" i="212"/>
  <c r="AT436" i="212"/>
  <c r="AR436" i="212"/>
  <c r="I436" i="212"/>
  <c r="H436" i="212"/>
  <c r="E436" i="212"/>
  <c r="D436" i="212"/>
  <c r="C436" i="212"/>
  <c r="AV435" i="212"/>
  <c r="AT435" i="212"/>
  <c r="AR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W433" i="212"/>
  <c r="AV433" i="212"/>
  <c r="AT433" i="212"/>
  <c r="AR433" i="212"/>
  <c r="I433" i="212"/>
  <c r="H433" i="212"/>
  <c r="E433" i="212"/>
  <c r="D433" i="212"/>
  <c r="C433" i="212"/>
  <c r="AV432" i="212"/>
  <c r="AT432" i="212"/>
  <c r="AR432" i="212"/>
  <c r="I432" i="212"/>
  <c r="H432" i="212"/>
  <c r="E432" i="212"/>
  <c r="D432" i="212"/>
  <c r="C432" i="212"/>
  <c r="AV431" i="212"/>
  <c r="AT431" i="212"/>
  <c r="AR431" i="212"/>
  <c r="I431" i="212"/>
  <c r="H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H428" i="212"/>
  <c r="E428" i="212"/>
  <c r="C428" i="212"/>
  <c r="AV427" i="212"/>
  <c r="AT427" i="212"/>
  <c r="I427" i="212"/>
  <c r="H427" i="212"/>
  <c r="E427" i="212"/>
  <c r="D427" i="212"/>
  <c r="C427" i="212"/>
  <c r="AV426" i="212"/>
  <c r="AT426" i="212"/>
  <c r="I426" i="212"/>
  <c r="H426" i="212"/>
  <c r="E426" i="212"/>
  <c r="D426" i="212"/>
  <c r="C426" i="212"/>
  <c r="AW425" i="212"/>
  <c r="AV425" i="212"/>
  <c r="AT425" i="212"/>
  <c r="AR425" i="212"/>
  <c r="H425" i="212"/>
  <c r="E425" i="212"/>
  <c r="C425" i="212"/>
  <c r="AV424" i="212"/>
  <c r="AT424" i="212"/>
  <c r="I424" i="212"/>
  <c r="H424" i="212"/>
  <c r="E424" i="212"/>
  <c r="D424" i="212"/>
  <c r="C424" i="212"/>
  <c r="AV423" i="212"/>
  <c r="AT423" i="212"/>
  <c r="I423" i="212"/>
  <c r="H423" i="212"/>
  <c r="E423" i="212"/>
  <c r="D423" i="212"/>
  <c r="C423" i="212"/>
  <c r="AV422" i="212"/>
  <c r="AT422" i="212"/>
  <c r="AR422" i="212"/>
  <c r="I422" i="212"/>
  <c r="H422" i="212"/>
  <c r="E422" i="212"/>
  <c r="D422" i="212"/>
  <c r="C422" i="212"/>
  <c r="AV421" i="212"/>
  <c r="AT421" i="212"/>
  <c r="I421" i="212"/>
  <c r="H421" i="212"/>
  <c r="E421" i="212"/>
  <c r="D421" i="212"/>
  <c r="C421" i="212"/>
  <c r="AV420" i="212"/>
  <c r="AT420" i="212"/>
  <c r="I420" i="212"/>
  <c r="H420" i="212"/>
  <c r="E420" i="212"/>
  <c r="D420" i="212"/>
  <c r="C420" i="212"/>
  <c r="AV419" i="212"/>
  <c r="AT419" i="212"/>
  <c r="I419" i="212"/>
  <c r="H419" i="212"/>
  <c r="E419" i="212"/>
  <c r="D419" i="212"/>
  <c r="C419" i="212"/>
  <c r="AV418" i="212"/>
  <c r="AT418" i="212"/>
  <c r="I418" i="212"/>
  <c r="H418" i="212"/>
  <c r="E418" i="212"/>
  <c r="D418" i="212"/>
  <c r="C418" i="212"/>
  <c r="AV417" i="212"/>
  <c r="AT417" i="212"/>
  <c r="I417" i="212"/>
  <c r="H417" i="212"/>
  <c r="E417" i="212"/>
  <c r="D417" i="212"/>
  <c r="C417" i="212"/>
  <c r="AV416" i="212"/>
  <c r="AT416" i="212"/>
  <c r="I416" i="212"/>
  <c r="H416" i="212"/>
  <c r="E416" i="212"/>
  <c r="D416" i="212"/>
  <c r="C416" i="212"/>
  <c r="AW415" i="212"/>
  <c r="AV415" i="212"/>
  <c r="AT415" i="212"/>
  <c r="AR415" i="212"/>
  <c r="H415" i="212"/>
  <c r="E415" i="212"/>
  <c r="C415" i="212"/>
  <c r="AV414" i="212"/>
  <c r="AT414" i="212"/>
  <c r="I414" i="212"/>
  <c r="H414" i="212"/>
  <c r="E414" i="212"/>
  <c r="D414" i="212"/>
  <c r="C414" i="212"/>
  <c r="AV413" i="212"/>
  <c r="AT413" i="212"/>
  <c r="AR413" i="212"/>
  <c r="I413" i="212"/>
  <c r="H413" i="212"/>
  <c r="E413" i="212"/>
  <c r="D413" i="212"/>
  <c r="C413" i="212"/>
  <c r="AV412" i="212"/>
  <c r="AT412" i="212"/>
  <c r="AR412" i="212"/>
  <c r="I412" i="212"/>
  <c r="H412" i="212"/>
  <c r="E412" i="212"/>
  <c r="D412" i="212"/>
  <c r="C412" i="212"/>
  <c r="AV411" i="212"/>
  <c r="AT411" i="212"/>
  <c r="I411" i="212"/>
  <c r="H411" i="212"/>
  <c r="E411" i="212"/>
  <c r="D411" i="212"/>
  <c r="C411" i="212"/>
  <c r="AV410" i="212"/>
  <c r="AT410" i="212"/>
  <c r="I410" i="212"/>
  <c r="H410" i="212"/>
  <c r="E410" i="212"/>
  <c r="D410" i="212"/>
  <c r="C410" i="212"/>
  <c r="AV409" i="212"/>
  <c r="AT409" i="212"/>
  <c r="I409" i="212"/>
  <c r="H409" i="212"/>
  <c r="E409" i="212"/>
  <c r="D409" i="212"/>
  <c r="C409" i="212"/>
  <c r="AV408" i="212"/>
  <c r="AT408" i="212"/>
  <c r="I408" i="212"/>
  <c r="H408" i="212"/>
  <c r="E408" i="212"/>
  <c r="D408" i="212"/>
  <c r="C408" i="212"/>
  <c r="AV407" i="212"/>
  <c r="AT407" i="212"/>
  <c r="I407" i="212"/>
  <c r="H407" i="212"/>
  <c r="E407" i="212"/>
  <c r="D407" i="212"/>
  <c r="C407" i="212"/>
  <c r="AV406" i="212"/>
  <c r="AT406" i="212"/>
  <c r="I406" i="212"/>
  <c r="H406" i="212"/>
  <c r="E406" i="212"/>
  <c r="D406" i="212"/>
  <c r="C406" i="212"/>
  <c r="AV405" i="212"/>
  <c r="AT405" i="212"/>
  <c r="I405" i="212"/>
  <c r="H405" i="212"/>
  <c r="E405" i="212"/>
  <c r="D405" i="212"/>
  <c r="C405" i="212"/>
  <c r="AV404" i="212"/>
  <c r="AT404" i="212"/>
  <c r="I404" i="212"/>
  <c r="H404" i="212"/>
  <c r="E404" i="212"/>
  <c r="D404" i="212"/>
  <c r="C404" i="212"/>
  <c r="AV403" i="212"/>
  <c r="AT403" i="212"/>
  <c r="AR403" i="212"/>
  <c r="H403" i="212"/>
  <c r="E403" i="212"/>
  <c r="C403" i="212"/>
  <c r="AV402" i="212"/>
  <c r="AT402" i="212"/>
  <c r="I402" i="212"/>
  <c r="H402" i="212"/>
  <c r="E402" i="212"/>
  <c r="D402" i="212"/>
  <c r="C402" i="212"/>
  <c r="AV401" i="212"/>
  <c r="AT401" i="212"/>
  <c r="H401" i="212"/>
  <c r="E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I398" i="212"/>
  <c r="H398" i="212"/>
  <c r="E398" i="212"/>
  <c r="D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I393" i="212"/>
  <c r="H393" i="212"/>
  <c r="E393" i="212"/>
  <c r="D393" i="212"/>
  <c r="C393" i="212"/>
  <c r="AV392" i="212"/>
  <c r="AT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V390" i="212"/>
  <c r="AT390" i="212"/>
  <c r="I390" i="212"/>
  <c r="H390" i="212"/>
  <c r="E390" i="212"/>
  <c r="D390" i="212"/>
  <c r="C390" i="212"/>
  <c r="AV389" i="212"/>
  <c r="AT389" i="212"/>
  <c r="I389" i="212"/>
  <c r="H389" i="212"/>
  <c r="E389" i="212"/>
  <c r="D389" i="212"/>
  <c r="C389" i="212"/>
  <c r="AW388" i="212"/>
  <c r="AV388" i="212"/>
  <c r="AT388" i="212"/>
  <c r="AR388" i="212"/>
  <c r="H388" i="212"/>
  <c r="E388" i="212"/>
  <c r="C388" i="212"/>
  <c r="AV387" i="212"/>
  <c r="AT387" i="212"/>
  <c r="AR387" i="212"/>
  <c r="I387" i="212"/>
  <c r="H387" i="212"/>
  <c r="E387" i="212"/>
  <c r="D387" i="212"/>
  <c r="C387" i="212"/>
  <c r="AV386" i="212"/>
  <c r="AT386" i="212"/>
  <c r="AR386" i="212"/>
  <c r="I386" i="212"/>
  <c r="H386" i="212"/>
  <c r="E386" i="212"/>
  <c r="D386" i="212"/>
  <c r="C386" i="212"/>
  <c r="AV385" i="212"/>
  <c r="AT385" i="212"/>
  <c r="I385" i="212"/>
  <c r="H385" i="212"/>
  <c r="E385" i="212"/>
  <c r="D385" i="212"/>
  <c r="C385" i="212"/>
  <c r="AV384" i="212"/>
  <c r="AT384" i="212"/>
  <c r="AR384" i="212"/>
  <c r="I384" i="212"/>
  <c r="H384" i="212"/>
  <c r="E384" i="212"/>
  <c r="D384" i="212"/>
  <c r="C384" i="212"/>
  <c r="AV383" i="212"/>
  <c r="AT383" i="212"/>
  <c r="AR383" i="212"/>
  <c r="I383" i="212"/>
  <c r="H383" i="212"/>
  <c r="E383" i="212"/>
  <c r="D383" i="212"/>
  <c r="C383" i="212"/>
  <c r="AV382" i="212"/>
  <c r="AT382" i="212"/>
  <c r="AR382" i="212"/>
  <c r="I382" i="212"/>
  <c r="H382" i="212"/>
  <c r="E382" i="212"/>
  <c r="D382" i="212"/>
  <c r="C382" i="212"/>
  <c r="AV381" i="212"/>
  <c r="AT381" i="212"/>
  <c r="AR381" i="212"/>
  <c r="I381" i="212"/>
  <c r="H381" i="212"/>
  <c r="E381" i="212"/>
  <c r="D381" i="212"/>
  <c r="C381" i="212"/>
  <c r="AV380" i="212"/>
  <c r="AT380" i="212"/>
  <c r="I380" i="212"/>
  <c r="H380" i="212"/>
  <c r="E380" i="212"/>
  <c r="D380" i="212"/>
  <c r="C380" i="212"/>
  <c r="AV379" i="212"/>
  <c r="AT379" i="212"/>
  <c r="AR379" i="212"/>
  <c r="I379" i="212"/>
  <c r="H379" i="212"/>
  <c r="E379" i="212"/>
  <c r="D379" i="212"/>
  <c r="C379" i="212"/>
  <c r="AW378" i="212"/>
  <c r="AV378" i="212"/>
  <c r="AT378" i="212"/>
  <c r="AR378" i="212"/>
  <c r="I378" i="212"/>
  <c r="H378" i="212"/>
  <c r="E378" i="212"/>
  <c r="D378" i="212"/>
  <c r="C378" i="212"/>
  <c r="AV377" i="212"/>
  <c r="AT377" i="212"/>
  <c r="AR377" i="212"/>
  <c r="I377" i="212"/>
  <c r="H377" i="212"/>
  <c r="E377" i="212"/>
  <c r="D377" i="212"/>
  <c r="C377" i="212"/>
  <c r="AV376" i="212"/>
  <c r="AT376" i="212"/>
  <c r="I376" i="212"/>
  <c r="H376" i="212"/>
  <c r="E376" i="212"/>
  <c r="D376" i="212"/>
  <c r="C376" i="212"/>
  <c r="AW375" i="212"/>
  <c r="AV375" i="212"/>
  <c r="AT375" i="212"/>
  <c r="AR375" i="212"/>
  <c r="I375" i="212"/>
  <c r="H375" i="212"/>
  <c r="E375" i="212"/>
  <c r="D375" i="212"/>
  <c r="C375" i="212"/>
  <c r="AV374" i="212"/>
  <c r="AT374" i="212"/>
  <c r="AR374" i="212"/>
  <c r="I374" i="212"/>
  <c r="H374" i="212"/>
  <c r="E374" i="212"/>
  <c r="D374" i="212"/>
  <c r="C374" i="212"/>
  <c r="AV373" i="212"/>
  <c r="AT373" i="212"/>
  <c r="I373" i="212"/>
  <c r="H373" i="212"/>
  <c r="E373" i="212"/>
  <c r="D373" i="212"/>
  <c r="C373" i="212"/>
  <c r="AV372" i="212"/>
  <c r="AT372" i="212"/>
  <c r="AR372" i="212"/>
  <c r="I372" i="212"/>
  <c r="H372" i="212"/>
  <c r="E372" i="212"/>
  <c r="D372" i="212"/>
  <c r="C372" i="212"/>
  <c r="AV371" i="212"/>
  <c r="AT371" i="212"/>
  <c r="AR371" i="212"/>
  <c r="I371" i="212"/>
  <c r="H371" i="212"/>
  <c r="E371" i="212"/>
  <c r="D371" i="212"/>
  <c r="C371" i="212"/>
  <c r="AV370" i="212"/>
  <c r="AT370" i="212"/>
  <c r="AR370" i="212"/>
  <c r="I370" i="212"/>
  <c r="H370" i="212"/>
  <c r="E370" i="212"/>
  <c r="D370" i="212"/>
  <c r="C370" i="212"/>
  <c r="AV369" i="212"/>
  <c r="AT369" i="212"/>
  <c r="AR369" i="212"/>
  <c r="I369" i="212"/>
  <c r="H369" i="212"/>
  <c r="E369" i="212"/>
  <c r="D369" i="212"/>
  <c r="C369" i="212"/>
  <c r="AV368" i="212"/>
  <c r="AT368" i="212"/>
  <c r="AR368" i="212"/>
  <c r="I368" i="212"/>
  <c r="H368" i="212"/>
  <c r="E368" i="212"/>
  <c r="D368" i="212"/>
  <c r="C368" i="212"/>
  <c r="AV367" i="212"/>
  <c r="AT367" i="212"/>
  <c r="AR367" i="212"/>
  <c r="I367" i="212"/>
  <c r="H367" i="212"/>
  <c r="E367" i="212"/>
  <c r="D367" i="212"/>
  <c r="C367" i="212"/>
  <c r="AV366" i="212"/>
  <c r="AT366" i="212"/>
  <c r="AR366" i="212"/>
  <c r="I366" i="212"/>
  <c r="H366" i="212"/>
  <c r="E366" i="212"/>
  <c r="D366" i="212"/>
  <c r="C366" i="212"/>
  <c r="AV365" i="212"/>
  <c r="AT365" i="212"/>
  <c r="AR365" i="212"/>
  <c r="I365" i="212"/>
  <c r="H365" i="212"/>
  <c r="E365" i="212"/>
  <c r="D365" i="212"/>
  <c r="C365" i="212"/>
  <c r="AV364" i="212"/>
  <c r="AT364" i="212"/>
  <c r="AR364" i="212"/>
  <c r="I364" i="212"/>
  <c r="H364" i="212"/>
  <c r="E364" i="212"/>
  <c r="D364" i="212"/>
  <c r="C364" i="212"/>
  <c r="AV363" i="212"/>
  <c r="AT363" i="212"/>
  <c r="AR363" i="212"/>
  <c r="I363" i="212"/>
  <c r="H363" i="212"/>
  <c r="E363" i="212"/>
  <c r="D363" i="212"/>
  <c r="C363" i="212"/>
  <c r="AV362" i="212"/>
  <c r="AT362" i="212"/>
  <c r="AR362" i="212"/>
  <c r="I362" i="212"/>
  <c r="H362" i="212"/>
  <c r="E362" i="212"/>
  <c r="D362" i="212"/>
  <c r="C362" i="212"/>
  <c r="AV361" i="212"/>
  <c r="AT361" i="212"/>
  <c r="I361" i="212"/>
  <c r="H361" i="212"/>
  <c r="E361" i="212"/>
  <c r="D361" i="212"/>
  <c r="C361" i="212"/>
  <c r="AV360" i="212"/>
  <c r="AT360" i="212"/>
  <c r="AR360" i="212"/>
  <c r="I360" i="212"/>
  <c r="H360" i="212"/>
  <c r="E360" i="212"/>
  <c r="D360" i="212"/>
  <c r="C360" i="212"/>
  <c r="AV359" i="212"/>
  <c r="AT359" i="212"/>
  <c r="AR359" i="212"/>
  <c r="I359" i="212"/>
  <c r="H359" i="212"/>
  <c r="E359" i="212"/>
  <c r="D359" i="212"/>
  <c r="C359" i="212"/>
  <c r="AV358" i="212"/>
  <c r="AT358" i="212"/>
  <c r="AR358" i="212"/>
  <c r="I358" i="212"/>
  <c r="H358" i="212"/>
  <c r="E358" i="212"/>
  <c r="D358" i="212"/>
  <c r="C358" i="212"/>
  <c r="AV357" i="212"/>
  <c r="AT357" i="212"/>
  <c r="AR357" i="212"/>
  <c r="I357" i="212"/>
  <c r="H357" i="212"/>
  <c r="E357" i="212"/>
  <c r="D357" i="212"/>
  <c r="C357" i="212"/>
  <c r="AV356" i="212"/>
  <c r="AT356" i="212"/>
  <c r="I356" i="212"/>
  <c r="H356" i="212"/>
  <c r="E356" i="212"/>
  <c r="D356" i="212"/>
  <c r="C356" i="212"/>
  <c r="AW355" i="212"/>
  <c r="AV355" i="212"/>
  <c r="AT355" i="212"/>
  <c r="AR355" i="212"/>
  <c r="I355" i="212"/>
  <c r="H355" i="212"/>
  <c r="E355" i="212"/>
  <c r="D355" i="212"/>
  <c r="C355" i="212"/>
  <c r="AV354" i="212"/>
  <c r="AT354" i="212"/>
  <c r="AR354" i="212"/>
  <c r="I354" i="212"/>
  <c r="H354" i="212"/>
  <c r="E354" i="212"/>
  <c r="D354" i="212"/>
  <c r="C354" i="212"/>
  <c r="AV353" i="212"/>
  <c r="I353" i="212"/>
  <c r="H353" i="212"/>
  <c r="E353" i="212"/>
  <c r="D353" i="212"/>
  <c r="C353" i="212"/>
  <c r="AV352" i="212"/>
  <c r="I352" i="212"/>
  <c r="H352" i="212"/>
  <c r="E352" i="212"/>
  <c r="D352" i="212"/>
  <c r="C352" i="212"/>
  <c r="AV351" i="212"/>
  <c r="I351" i="212"/>
  <c r="H351" i="212"/>
  <c r="E351" i="212"/>
  <c r="D351" i="212"/>
  <c r="C351" i="212"/>
  <c r="AV350" i="212"/>
  <c r="AT350" i="212"/>
  <c r="I350" i="212"/>
  <c r="H350" i="212"/>
  <c r="E350" i="212"/>
  <c r="D350" i="212"/>
  <c r="C350" i="212"/>
  <c r="AV349" i="212"/>
  <c r="AT349" i="212"/>
  <c r="AR349" i="212"/>
  <c r="I349" i="212"/>
  <c r="H349" i="212"/>
  <c r="E349" i="212"/>
  <c r="D349" i="212"/>
  <c r="C349" i="212"/>
  <c r="AV348" i="212"/>
  <c r="I348" i="212"/>
  <c r="H348" i="212"/>
  <c r="E348" i="212"/>
  <c r="D348" i="212"/>
  <c r="C348" i="212"/>
  <c r="AV347" i="212"/>
  <c r="I347" i="212"/>
  <c r="H347" i="212"/>
  <c r="E347" i="212"/>
  <c r="D347" i="212"/>
  <c r="C347" i="212"/>
  <c r="AV346" i="212"/>
  <c r="AT346" i="212"/>
  <c r="I346" i="212"/>
  <c r="H346" i="212"/>
  <c r="E346" i="212"/>
  <c r="D346" i="212"/>
  <c r="C346" i="212"/>
  <c r="AV345" i="212"/>
  <c r="AT345" i="212"/>
  <c r="I345" i="212"/>
  <c r="H345" i="212"/>
  <c r="E345" i="212"/>
  <c r="D345" i="212"/>
  <c r="C345" i="212"/>
  <c r="AV344" i="212"/>
  <c r="AT344" i="212"/>
  <c r="I344" i="212"/>
  <c r="H344" i="212"/>
  <c r="E344" i="212"/>
  <c r="D344" i="212"/>
  <c r="C344" i="212"/>
  <c r="AV343" i="212"/>
  <c r="AT343" i="212"/>
  <c r="I343" i="212"/>
  <c r="H343" i="212"/>
  <c r="E343" i="212"/>
  <c r="D343" i="212"/>
  <c r="C343" i="212"/>
  <c r="AV342" i="212"/>
  <c r="I342" i="212"/>
  <c r="H342" i="212"/>
  <c r="E342" i="212"/>
  <c r="D342" i="212"/>
  <c r="C342" i="212"/>
  <c r="AV341" i="212"/>
  <c r="I341" i="212"/>
  <c r="H341" i="212"/>
  <c r="E341" i="212"/>
  <c r="D341" i="212"/>
  <c r="C341" i="212"/>
  <c r="AV340" i="212"/>
  <c r="AT340" i="212"/>
  <c r="I340" i="212"/>
  <c r="H340" i="212"/>
  <c r="E340" i="212"/>
  <c r="D340" i="212"/>
  <c r="C340" i="212"/>
  <c r="AV339" i="212"/>
  <c r="AT339" i="212"/>
  <c r="I339" i="212"/>
  <c r="H339" i="212"/>
  <c r="E339" i="212"/>
  <c r="D339" i="212"/>
  <c r="C339" i="212"/>
  <c r="AV338" i="212"/>
  <c r="AT338" i="212"/>
  <c r="AR338" i="212"/>
  <c r="I338" i="212"/>
  <c r="H338" i="212"/>
  <c r="E338" i="212"/>
  <c r="D338" i="212"/>
  <c r="C338" i="212"/>
  <c r="AV337" i="212"/>
  <c r="I337" i="212"/>
  <c r="H337" i="212"/>
  <c r="E337" i="212"/>
  <c r="D337" i="212"/>
  <c r="C337" i="212"/>
  <c r="AV336" i="212"/>
  <c r="I336" i="212"/>
  <c r="H336" i="212"/>
  <c r="E336" i="212"/>
  <c r="D336" i="212"/>
  <c r="C336" i="212"/>
  <c r="AV335" i="212"/>
  <c r="I335" i="212"/>
  <c r="H335" i="212"/>
  <c r="E335" i="212"/>
  <c r="D335" i="212"/>
  <c r="C335" i="212"/>
  <c r="AV334" i="212"/>
  <c r="AT334" i="212"/>
  <c r="AR334" i="212"/>
  <c r="H334" i="212"/>
  <c r="E334" i="212"/>
  <c r="C334" i="212"/>
  <c r="AV333" i="212"/>
  <c r="AT333" i="212"/>
  <c r="I333" i="212"/>
  <c r="H333" i="212"/>
  <c r="E333" i="212"/>
  <c r="D333" i="212"/>
  <c r="C333" i="212"/>
  <c r="AV332" i="212"/>
  <c r="AT332" i="212"/>
  <c r="AR332" i="212"/>
  <c r="I332" i="212"/>
  <c r="H332" i="212"/>
  <c r="E332" i="212"/>
  <c r="D332" i="212"/>
  <c r="C332" i="212"/>
  <c r="AV331" i="212"/>
  <c r="AT331" i="212"/>
  <c r="AR331" i="212"/>
  <c r="I331" i="212"/>
  <c r="H331" i="212"/>
  <c r="E331" i="212"/>
  <c r="D331" i="212"/>
  <c r="C331" i="212"/>
  <c r="AV330" i="212"/>
  <c r="AT330" i="212"/>
  <c r="I330" i="212"/>
  <c r="H330" i="212"/>
  <c r="E330" i="212"/>
  <c r="D330" i="212"/>
  <c r="C330" i="212"/>
  <c r="AV329" i="212"/>
  <c r="AT329" i="212"/>
  <c r="I329" i="212"/>
  <c r="H329" i="212"/>
  <c r="E329" i="212"/>
  <c r="D329" i="212"/>
  <c r="C329" i="212"/>
  <c r="AV328" i="212"/>
  <c r="AT328" i="212"/>
  <c r="AR328" i="212"/>
  <c r="I328" i="212"/>
  <c r="H328" i="212"/>
  <c r="E328" i="212"/>
  <c r="D328" i="212"/>
  <c r="C328" i="212"/>
  <c r="AV327" i="212"/>
  <c r="I327" i="212"/>
  <c r="H327" i="212"/>
  <c r="E327" i="212"/>
  <c r="D327" i="212"/>
  <c r="C327" i="212"/>
  <c r="AV326" i="212"/>
  <c r="I326" i="212"/>
  <c r="H326" i="212"/>
  <c r="E326" i="212"/>
  <c r="D326" i="212"/>
  <c r="C326" i="212"/>
  <c r="AV325" i="212"/>
  <c r="I325" i="212"/>
  <c r="H325" i="212"/>
  <c r="E325" i="212"/>
  <c r="D325" i="212"/>
  <c r="C325" i="212"/>
  <c r="AV324" i="212"/>
  <c r="AT324" i="212"/>
  <c r="AR324" i="212"/>
  <c r="I324" i="212"/>
  <c r="H324" i="212"/>
  <c r="E324" i="212"/>
  <c r="D324" i="212"/>
  <c r="C324" i="212"/>
  <c r="AV323" i="212"/>
  <c r="AT323" i="212"/>
  <c r="I323" i="212"/>
  <c r="H323" i="212"/>
  <c r="E323" i="212"/>
  <c r="D323" i="212"/>
  <c r="C323" i="212"/>
  <c r="AV322" i="212"/>
  <c r="I322" i="212"/>
  <c r="H322" i="212"/>
  <c r="E322" i="212"/>
  <c r="D322" i="212"/>
  <c r="C322" i="212"/>
  <c r="AV321" i="212"/>
  <c r="AT321" i="212"/>
  <c r="I321" i="212"/>
  <c r="H321" i="212"/>
  <c r="E321" i="212"/>
  <c r="D321" i="212"/>
  <c r="C321" i="212"/>
  <c r="AV320" i="212"/>
  <c r="AT320" i="212"/>
  <c r="I320" i="212"/>
  <c r="H320" i="212"/>
  <c r="E320" i="212"/>
  <c r="D320" i="212"/>
  <c r="C320" i="212"/>
  <c r="AV319" i="212"/>
  <c r="I319" i="212"/>
  <c r="H319" i="212"/>
  <c r="E319" i="212"/>
  <c r="D319" i="212"/>
  <c r="C319" i="212"/>
  <c r="AV318" i="212"/>
  <c r="I318" i="212"/>
  <c r="H318" i="212"/>
  <c r="E318" i="212"/>
  <c r="D318" i="212"/>
  <c r="C318" i="212"/>
  <c r="AV317" i="212"/>
  <c r="AT317" i="212"/>
  <c r="AR317" i="212"/>
  <c r="I317" i="212"/>
  <c r="H317" i="212"/>
  <c r="E317" i="212"/>
  <c r="D317" i="212"/>
  <c r="C317" i="212"/>
  <c r="AV316" i="212"/>
  <c r="AT316" i="212"/>
  <c r="I316" i="212"/>
  <c r="H316" i="212"/>
  <c r="E316" i="212"/>
  <c r="D316" i="212"/>
  <c r="C316" i="212"/>
  <c r="AV315" i="212"/>
  <c r="I315" i="212"/>
  <c r="H315" i="212"/>
  <c r="E315" i="212"/>
  <c r="D315" i="212"/>
  <c r="C315" i="212"/>
  <c r="AV314" i="212"/>
  <c r="AT314" i="212"/>
  <c r="I314" i="212"/>
  <c r="H314" i="212"/>
  <c r="E314" i="212"/>
  <c r="D314" i="212"/>
  <c r="C314" i="212"/>
  <c r="AV313" i="212"/>
  <c r="AT313" i="212"/>
  <c r="I313" i="212"/>
  <c r="H313" i="212"/>
  <c r="E313" i="212"/>
  <c r="D313" i="212"/>
  <c r="C313" i="212"/>
  <c r="AV312" i="212"/>
  <c r="AT312" i="212"/>
  <c r="AR312" i="212"/>
  <c r="I312" i="212"/>
  <c r="H312" i="212"/>
  <c r="E312" i="212"/>
  <c r="D312" i="212"/>
  <c r="C312" i="212"/>
  <c r="AV311" i="212"/>
  <c r="AT311" i="212"/>
  <c r="I311" i="212"/>
  <c r="H311" i="212"/>
  <c r="E311" i="212"/>
  <c r="D311" i="212"/>
  <c r="C311" i="212"/>
  <c r="AV310" i="212"/>
  <c r="AT310" i="212"/>
  <c r="I310" i="212"/>
  <c r="H310" i="212"/>
  <c r="E310" i="212"/>
  <c r="D310" i="212"/>
  <c r="C310" i="212"/>
  <c r="AV309" i="212"/>
  <c r="I309" i="212"/>
  <c r="H309" i="212"/>
  <c r="E309" i="212"/>
  <c r="D309" i="212"/>
  <c r="C309" i="212"/>
  <c r="AV308" i="212"/>
  <c r="I308" i="212"/>
  <c r="H308" i="212"/>
  <c r="E308" i="212"/>
  <c r="D308" i="212"/>
  <c r="C308" i="212"/>
  <c r="AV307" i="212"/>
  <c r="I307" i="212"/>
  <c r="H307" i="212"/>
  <c r="E307" i="212"/>
  <c r="D307" i="212"/>
  <c r="C307" i="212"/>
  <c r="AV306" i="212"/>
  <c r="AT306" i="212"/>
  <c r="I306" i="212"/>
  <c r="H306" i="212"/>
  <c r="E306" i="212"/>
  <c r="D306" i="212"/>
  <c r="C306" i="212"/>
  <c r="AV305" i="212"/>
  <c r="AT305" i="212"/>
  <c r="AR305" i="212"/>
  <c r="I305" i="212"/>
  <c r="H305" i="212"/>
  <c r="E305" i="212"/>
  <c r="D305" i="212"/>
  <c r="C305" i="212"/>
  <c r="AV304" i="212"/>
  <c r="I304" i="212"/>
  <c r="H304" i="212"/>
  <c r="E304" i="212"/>
  <c r="D304" i="212"/>
  <c r="C304" i="212"/>
  <c r="AV303" i="212"/>
  <c r="AT303" i="212"/>
  <c r="I303" i="212"/>
  <c r="H303" i="212"/>
  <c r="E303" i="212"/>
  <c r="D303" i="212"/>
  <c r="C303" i="212"/>
  <c r="AV302" i="212"/>
  <c r="AT302" i="212"/>
  <c r="AR302" i="212"/>
  <c r="I302" i="212"/>
  <c r="H302" i="212"/>
  <c r="E302" i="212"/>
  <c r="D302" i="212"/>
  <c r="C302" i="212"/>
  <c r="AV301" i="212"/>
  <c r="AT301" i="212"/>
  <c r="I301" i="212"/>
  <c r="H301" i="212"/>
  <c r="E301" i="212"/>
  <c r="D301" i="212"/>
  <c r="C301" i="212"/>
  <c r="AV300" i="212"/>
  <c r="I300" i="212"/>
  <c r="H300" i="212"/>
  <c r="E300" i="212"/>
  <c r="D300" i="212"/>
  <c r="C300" i="212"/>
  <c r="AV299" i="212"/>
  <c r="I299" i="212"/>
  <c r="H299" i="212"/>
  <c r="E299" i="212"/>
  <c r="D299" i="212"/>
  <c r="C299" i="212"/>
  <c r="AV298" i="212"/>
  <c r="AT298" i="212"/>
  <c r="I298" i="212"/>
  <c r="H298" i="212"/>
  <c r="E298" i="212"/>
  <c r="D298" i="212"/>
  <c r="C298" i="212"/>
  <c r="AW297" i="212"/>
  <c r="AV297" i="212"/>
  <c r="AT297" i="212"/>
  <c r="AR297" i="212"/>
  <c r="I297" i="212"/>
  <c r="H297" i="212"/>
  <c r="E297" i="212"/>
  <c r="D297" i="212"/>
  <c r="C297" i="212"/>
  <c r="AV296" i="212"/>
  <c r="I296" i="212"/>
  <c r="H296" i="212"/>
  <c r="E296" i="212"/>
  <c r="D296" i="212"/>
  <c r="C296" i="212"/>
  <c r="AV295" i="212"/>
  <c r="I295" i="212"/>
  <c r="H295" i="212"/>
  <c r="E295" i="212"/>
  <c r="D295" i="212"/>
  <c r="C295" i="212"/>
  <c r="AV294" i="212"/>
  <c r="I294" i="212"/>
  <c r="H294" i="212"/>
  <c r="E294" i="212"/>
  <c r="D294" i="212"/>
  <c r="C294" i="212"/>
  <c r="AV293" i="212"/>
  <c r="AT293" i="212"/>
  <c r="I293" i="212"/>
  <c r="H293" i="212"/>
  <c r="E293" i="212"/>
  <c r="D293" i="212"/>
  <c r="C293" i="212"/>
  <c r="AV292" i="212"/>
  <c r="AT292" i="212"/>
  <c r="I292" i="212"/>
  <c r="H292" i="212"/>
  <c r="E292" i="212"/>
  <c r="D292" i="212"/>
  <c r="C292" i="212"/>
  <c r="AV291" i="212"/>
  <c r="AT291" i="212"/>
  <c r="AR291" i="212"/>
  <c r="I291" i="212"/>
  <c r="H291" i="212"/>
  <c r="E291" i="212"/>
  <c r="D291" i="212"/>
  <c r="C291" i="212"/>
  <c r="AV290" i="212"/>
  <c r="I290" i="212"/>
  <c r="H290" i="212"/>
  <c r="E290" i="212"/>
  <c r="D290" i="212"/>
  <c r="C290" i="212"/>
  <c r="AV289" i="212"/>
  <c r="AT289" i="212"/>
  <c r="I289" i="212"/>
  <c r="H289" i="212"/>
  <c r="E289" i="212"/>
  <c r="D289" i="212"/>
  <c r="C289" i="212"/>
  <c r="AV288" i="212"/>
  <c r="AT288" i="212"/>
  <c r="I288" i="212"/>
  <c r="H288" i="212"/>
  <c r="E288" i="212"/>
  <c r="D288" i="212"/>
  <c r="C288" i="212"/>
  <c r="AV287" i="212"/>
  <c r="AT287" i="212"/>
  <c r="I287" i="212"/>
  <c r="H287" i="212"/>
  <c r="E287" i="212"/>
  <c r="D287" i="212"/>
  <c r="C287" i="212"/>
  <c r="AV286" i="212"/>
  <c r="AT286" i="212"/>
  <c r="I286" i="212"/>
  <c r="H286" i="212"/>
  <c r="E286" i="212"/>
  <c r="D286" i="212"/>
  <c r="C286" i="212"/>
  <c r="AV285" i="212"/>
  <c r="I285" i="212"/>
  <c r="H285" i="212"/>
  <c r="E285" i="212"/>
  <c r="D285" i="212"/>
  <c r="C285" i="212"/>
  <c r="AV284" i="212"/>
  <c r="I284" i="212"/>
  <c r="H284" i="212"/>
  <c r="E284" i="212"/>
  <c r="D284" i="212"/>
  <c r="C284" i="212"/>
  <c r="AV283" i="212"/>
  <c r="I283" i="212"/>
  <c r="H283" i="212"/>
  <c r="E283" i="212"/>
  <c r="D283" i="212"/>
  <c r="C283" i="212"/>
  <c r="AV282" i="212"/>
  <c r="AT282" i="212"/>
  <c r="AR282" i="212"/>
  <c r="I282" i="212"/>
  <c r="H282" i="212"/>
  <c r="E282" i="212"/>
  <c r="D282" i="212"/>
  <c r="C282" i="212"/>
  <c r="AV281" i="212"/>
  <c r="I281" i="212"/>
  <c r="H281" i="212"/>
  <c r="E281" i="212"/>
  <c r="D281" i="212"/>
  <c r="C281" i="212"/>
  <c r="AV280" i="212"/>
  <c r="AT280" i="212"/>
  <c r="I280" i="212"/>
  <c r="H280" i="212"/>
  <c r="E280" i="212"/>
  <c r="D280" i="212"/>
  <c r="C280" i="212"/>
  <c r="AV279" i="212"/>
  <c r="AT279" i="212"/>
  <c r="AR279" i="212"/>
  <c r="I279" i="212"/>
  <c r="H279" i="212"/>
  <c r="E279" i="212"/>
  <c r="D279" i="212"/>
  <c r="C279" i="212"/>
  <c r="AV278" i="212"/>
  <c r="AT278" i="212"/>
  <c r="AR278" i="212"/>
  <c r="H278" i="212"/>
  <c r="E278" i="212"/>
  <c r="C278" i="212"/>
  <c r="AV277" i="212"/>
  <c r="AT277" i="212"/>
  <c r="AR277" i="212"/>
  <c r="I277" i="212"/>
  <c r="H277" i="212"/>
  <c r="E277" i="212"/>
  <c r="D277" i="212"/>
  <c r="C277" i="212"/>
  <c r="AV276" i="212"/>
  <c r="AT276" i="212"/>
  <c r="AR276" i="212"/>
  <c r="I276" i="212"/>
  <c r="H276" i="212"/>
  <c r="E276" i="212"/>
  <c r="D276" i="212"/>
  <c r="C276" i="212"/>
  <c r="AV275" i="212"/>
  <c r="AT275" i="212"/>
  <c r="AR275" i="212"/>
  <c r="I275" i="212"/>
  <c r="H275" i="212"/>
  <c r="E275" i="212"/>
  <c r="D275" i="212"/>
  <c r="C275" i="212"/>
  <c r="AV274" i="212"/>
  <c r="AT274" i="212"/>
  <c r="AR274" i="212"/>
  <c r="I274" i="212"/>
  <c r="H274" i="212"/>
  <c r="E274" i="212"/>
  <c r="D274" i="212"/>
  <c r="C274" i="212"/>
  <c r="AV273" i="212"/>
  <c r="AU273" i="212"/>
  <c r="AT273" i="212"/>
  <c r="AR273" i="212"/>
  <c r="I273" i="212"/>
  <c r="H273" i="212"/>
  <c r="E273" i="212"/>
  <c r="D273" i="212"/>
  <c r="C273" i="212"/>
  <c r="AV272" i="212"/>
  <c r="AT272" i="212"/>
  <c r="AR272" i="212"/>
  <c r="H272" i="212"/>
  <c r="E272" i="212"/>
  <c r="C272" i="212"/>
  <c r="AV271" i="212"/>
  <c r="AT271" i="212"/>
  <c r="AR271" i="212"/>
  <c r="I271" i="212"/>
  <c r="H271" i="212"/>
  <c r="E271" i="212"/>
  <c r="D271" i="212"/>
  <c r="C271" i="212"/>
  <c r="AV270" i="212"/>
  <c r="AT270" i="212"/>
  <c r="AR270" i="212"/>
  <c r="H270" i="212"/>
  <c r="E270" i="212"/>
  <c r="C270" i="212"/>
  <c r="AW269" i="212"/>
  <c r="AV269" i="212"/>
  <c r="AT269" i="212"/>
  <c r="AR269" i="212"/>
  <c r="I269" i="212"/>
  <c r="H269" i="212"/>
  <c r="E269" i="212"/>
  <c r="D269" i="212"/>
  <c r="C269" i="212"/>
  <c r="AV268" i="212"/>
  <c r="AU268" i="212"/>
  <c r="AT268" i="212"/>
  <c r="AR268" i="212"/>
  <c r="I268" i="212"/>
  <c r="H268" i="212"/>
  <c r="E268" i="212"/>
  <c r="D268" i="212"/>
  <c r="C268" i="212"/>
  <c r="AV267" i="212"/>
  <c r="AT267" i="212"/>
  <c r="AR267" i="212"/>
  <c r="I267" i="212"/>
  <c r="H267" i="212"/>
  <c r="E267" i="212"/>
  <c r="D267" i="212"/>
  <c r="C267" i="212"/>
  <c r="AV266" i="212"/>
  <c r="AT266" i="212"/>
  <c r="AR266" i="212"/>
  <c r="I266" i="212"/>
  <c r="H266" i="212"/>
  <c r="E266" i="212"/>
  <c r="D266" i="212"/>
  <c r="C266" i="212"/>
  <c r="AV265" i="212"/>
  <c r="AT265" i="212"/>
  <c r="AR265" i="212"/>
  <c r="I265" i="212"/>
  <c r="H265" i="212"/>
  <c r="E265" i="212"/>
  <c r="D265" i="212"/>
  <c r="C265" i="212"/>
  <c r="AV264" i="212"/>
  <c r="AT264" i="212"/>
  <c r="AR264" i="212"/>
  <c r="I264" i="212"/>
  <c r="H264" i="212"/>
  <c r="E264" i="212"/>
  <c r="D264" i="212"/>
  <c r="C264" i="212"/>
  <c r="AV263" i="212"/>
  <c r="AT263" i="212"/>
  <c r="AR263" i="212"/>
  <c r="I263" i="212"/>
  <c r="H263" i="212"/>
  <c r="E263" i="212"/>
  <c r="D263" i="212"/>
  <c r="C263" i="212"/>
  <c r="AW262" i="212"/>
  <c r="AV262" i="212"/>
  <c r="AT262" i="212"/>
  <c r="AR262" i="212"/>
  <c r="I262" i="212"/>
  <c r="H262" i="212"/>
  <c r="E262" i="212"/>
  <c r="D262" i="212"/>
  <c r="C262" i="212"/>
  <c r="AV261" i="212"/>
  <c r="AT261" i="212"/>
  <c r="AR261" i="212"/>
  <c r="I261" i="212"/>
  <c r="H261" i="212"/>
  <c r="E261" i="212"/>
  <c r="D261" i="212"/>
  <c r="C261" i="212"/>
  <c r="AW260" i="212"/>
  <c r="AV260" i="212"/>
  <c r="AT260" i="212"/>
  <c r="AR260" i="212"/>
  <c r="H260" i="212"/>
  <c r="E260" i="212"/>
  <c r="C260" i="212"/>
  <c r="AV259" i="212"/>
  <c r="AT259" i="212"/>
  <c r="AR259" i="212"/>
  <c r="I259" i="212"/>
  <c r="H259" i="212"/>
  <c r="E259" i="212"/>
  <c r="D259" i="212"/>
  <c r="C259" i="212"/>
  <c r="AW258" i="212"/>
  <c r="AV258" i="212"/>
  <c r="AT258" i="212"/>
  <c r="AR258" i="212"/>
  <c r="I258" i="212"/>
  <c r="H258" i="212"/>
  <c r="E258" i="212"/>
  <c r="D258" i="212"/>
  <c r="C258" i="212"/>
  <c r="AV257" i="212"/>
  <c r="AT257" i="212"/>
  <c r="AR257" i="212"/>
  <c r="I257" i="212"/>
  <c r="H257" i="212"/>
  <c r="E257" i="212"/>
  <c r="D257" i="212"/>
  <c r="C257" i="212"/>
  <c r="AV256" i="212"/>
  <c r="AT256" i="212"/>
  <c r="AR256" i="212"/>
  <c r="I256" i="212"/>
  <c r="H256" i="212"/>
  <c r="E256" i="212"/>
  <c r="D256" i="212"/>
  <c r="C256" i="212"/>
  <c r="AW255" i="212"/>
  <c r="AV255" i="212"/>
  <c r="AT255" i="212"/>
  <c r="AR255" i="212"/>
  <c r="H255" i="212"/>
  <c r="E255" i="212"/>
  <c r="C255" i="212"/>
  <c r="AV254" i="212"/>
  <c r="AT254" i="212"/>
  <c r="AR254" i="212"/>
  <c r="I254" i="212"/>
  <c r="H254" i="212"/>
  <c r="E254" i="212"/>
  <c r="D254" i="212"/>
  <c r="C254" i="212"/>
  <c r="AV253" i="212"/>
  <c r="AT253" i="212"/>
  <c r="I253" i="212"/>
  <c r="H253" i="212"/>
  <c r="E253" i="212"/>
  <c r="D253" i="212"/>
  <c r="C253" i="212"/>
  <c r="AW252" i="212"/>
  <c r="AV252" i="212"/>
  <c r="AT252" i="212"/>
  <c r="H252" i="212"/>
  <c r="E252" i="212"/>
  <c r="C252" i="212"/>
  <c r="AW251" i="212"/>
  <c r="AV251" i="212"/>
  <c r="AT251" i="212"/>
  <c r="AR251" i="212"/>
  <c r="I251" i="212"/>
  <c r="H251" i="212"/>
  <c r="E251" i="212"/>
  <c r="D251" i="212"/>
  <c r="C251" i="212"/>
  <c r="AW250" i="212"/>
  <c r="AV250" i="212"/>
  <c r="AT250" i="212"/>
  <c r="AR250" i="212"/>
  <c r="I250" i="212"/>
  <c r="H250" i="212"/>
  <c r="E250" i="212"/>
  <c r="D250" i="212"/>
  <c r="C250" i="212"/>
  <c r="AW249" i="212"/>
  <c r="AV249" i="212"/>
  <c r="AT249" i="212"/>
  <c r="AR249" i="212"/>
  <c r="I249" i="212"/>
  <c r="H249" i="212"/>
  <c r="E249" i="212"/>
  <c r="D249" i="212"/>
  <c r="C249" i="212"/>
  <c r="AV248" i="212"/>
  <c r="AT248" i="212"/>
  <c r="AR248" i="212"/>
  <c r="I248" i="212"/>
  <c r="H248" i="212"/>
  <c r="E248" i="212"/>
  <c r="D248" i="212"/>
  <c r="C248" i="212"/>
  <c r="AV247" i="212"/>
  <c r="AT247" i="212"/>
  <c r="AR247" i="212"/>
  <c r="H247" i="212"/>
  <c r="E247" i="212"/>
  <c r="C247" i="212"/>
  <c r="AV246" i="212"/>
  <c r="AT246" i="212"/>
  <c r="AR246" i="212"/>
  <c r="H246" i="212"/>
  <c r="E246" i="212"/>
  <c r="C246" i="212"/>
  <c r="AW245" i="212"/>
  <c r="AV245" i="212"/>
  <c r="AT245" i="212"/>
  <c r="AR245" i="212"/>
  <c r="I245" i="212"/>
  <c r="H245" i="212"/>
  <c r="E245" i="212"/>
  <c r="D245" i="212"/>
  <c r="C245" i="212"/>
  <c r="AV244" i="212"/>
  <c r="AT244" i="212"/>
  <c r="AR244" i="212"/>
  <c r="I244" i="212"/>
  <c r="H244" i="212"/>
  <c r="E244" i="212"/>
  <c r="D244" i="212"/>
  <c r="C244" i="212"/>
  <c r="AW243" i="212"/>
  <c r="AV243" i="212"/>
  <c r="AT243" i="212"/>
  <c r="H243" i="212"/>
  <c r="E243" i="212"/>
  <c r="C243" i="212"/>
  <c r="AV242" i="212"/>
  <c r="AT242" i="212"/>
  <c r="AR242" i="212"/>
  <c r="I242" i="212"/>
  <c r="H242" i="212"/>
  <c r="E242" i="212"/>
  <c r="D242" i="212"/>
  <c r="C242" i="212"/>
  <c r="AV241" i="212"/>
  <c r="AT241" i="212"/>
  <c r="I241" i="212"/>
  <c r="H241" i="212"/>
  <c r="E241" i="212"/>
  <c r="D241" i="212"/>
  <c r="C241" i="212"/>
  <c r="AV240" i="212"/>
  <c r="AT240" i="212"/>
  <c r="AR240" i="212"/>
  <c r="I240" i="212"/>
  <c r="H240" i="212"/>
  <c r="E240" i="212"/>
  <c r="D240" i="212"/>
  <c r="C240" i="212"/>
  <c r="AV239" i="212"/>
  <c r="AT239" i="212"/>
  <c r="AR239" i="212"/>
  <c r="I239" i="212"/>
  <c r="H239" i="212"/>
  <c r="E239" i="212"/>
  <c r="D239" i="212"/>
  <c r="C239" i="212"/>
  <c r="AW238" i="212"/>
  <c r="AV238" i="212"/>
  <c r="AT238" i="212"/>
  <c r="H238" i="212"/>
  <c r="E238" i="212"/>
  <c r="C238" i="212"/>
  <c r="AV237" i="212"/>
  <c r="I237" i="212"/>
  <c r="H237" i="212"/>
  <c r="E237" i="212"/>
  <c r="D237" i="212"/>
  <c r="C237" i="212"/>
  <c r="AV236" i="212"/>
  <c r="I236" i="212"/>
  <c r="H236" i="212"/>
  <c r="E236" i="212"/>
  <c r="D236" i="212"/>
  <c r="C236" i="212"/>
  <c r="AV235" i="212"/>
  <c r="I235" i="212"/>
  <c r="H235" i="212"/>
  <c r="E235" i="212"/>
  <c r="D235" i="212"/>
  <c r="C235" i="212"/>
  <c r="AV234" i="212"/>
  <c r="I234" i="212"/>
  <c r="H234" i="212"/>
  <c r="E234" i="212"/>
  <c r="D234" i="212"/>
  <c r="C234" i="212"/>
  <c r="AV233" i="212"/>
  <c r="I233" i="212"/>
  <c r="H233" i="212"/>
  <c r="E233" i="212"/>
  <c r="D233" i="212"/>
  <c r="C233" i="212"/>
  <c r="AV232" i="212"/>
  <c r="AT232" i="212"/>
  <c r="I232" i="212"/>
  <c r="H232" i="212"/>
  <c r="E232" i="212"/>
  <c r="D232" i="212"/>
  <c r="C232" i="212"/>
  <c r="AV231" i="212"/>
  <c r="AT231" i="212"/>
  <c r="AR231" i="212"/>
  <c r="I231" i="212"/>
  <c r="H231" i="212"/>
  <c r="E231" i="212"/>
  <c r="D231" i="212"/>
  <c r="C231" i="212"/>
  <c r="AV230" i="212"/>
  <c r="I230" i="212"/>
  <c r="H230" i="212"/>
  <c r="E230" i="212"/>
  <c r="D230" i="212"/>
  <c r="C230" i="212"/>
  <c r="AV229" i="212"/>
  <c r="I229" i="212"/>
  <c r="H229" i="212"/>
  <c r="E229" i="212"/>
  <c r="D229" i="212"/>
  <c r="C229" i="212"/>
  <c r="AV228" i="212"/>
  <c r="AT228" i="212"/>
  <c r="I228" i="212"/>
  <c r="H228" i="212"/>
  <c r="E228" i="212"/>
  <c r="D228" i="212"/>
  <c r="C228" i="212"/>
  <c r="AV227" i="212"/>
  <c r="I227" i="212"/>
  <c r="H227" i="212"/>
  <c r="E227" i="212"/>
  <c r="D227" i="212"/>
  <c r="C227" i="212"/>
  <c r="AV226" i="212"/>
  <c r="I226" i="212"/>
  <c r="H226" i="212"/>
  <c r="E226" i="212"/>
  <c r="D226" i="212"/>
  <c r="C226" i="212"/>
  <c r="AV225" i="212"/>
  <c r="I225" i="212"/>
  <c r="H225" i="212"/>
  <c r="E225" i="212"/>
  <c r="D225" i="212"/>
  <c r="C225" i="212"/>
  <c r="AV224" i="212"/>
  <c r="I224" i="212"/>
  <c r="H224" i="212"/>
  <c r="E224" i="212"/>
  <c r="D224" i="212"/>
  <c r="C224" i="212"/>
  <c r="AV223" i="212"/>
  <c r="I223" i="212"/>
  <c r="H223" i="212"/>
  <c r="E223" i="212"/>
  <c r="D223" i="212"/>
  <c r="C223" i="212"/>
  <c r="AV222" i="212"/>
  <c r="I222" i="212"/>
  <c r="H222" i="212"/>
  <c r="E222" i="212"/>
  <c r="D222" i="212"/>
  <c r="C222" i="212"/>
  <c r="AV221" i="212"/>
  <c r="I221" i="212"/>
  <c r="H221" i="212"/>
  <c r="E221" i="212"/>
  <c r="D221" i="212"/>
  <c r="C221" i="212"/>
  <c r="AV220" i="212"/>
  <c r="I220" i="212"/>
  <c r="H220" i="212"/>
  <c r="E220" i="212"/>
  <c r="D220" i="212"/>
  <c r="C220" i="212"/>
  <c r="AV219" i="212"/>
  <c r="AT219" i="212"/>
  <c r="AR219" i="212"/>
  <c r="I219" i="212"/>
  <c r="H219" i="212"/>
  <c r="E219" i="212"/>
  <c r="D219" i="212"/>
  <c r="C219" i="212"/>
  <c r="AV218" i="212"/>
  <c r="I218" i="212"/>
  <c r="H218" i="212"/>
  <c r="E218" i="212"/>
  <c r="D218" i="212"/>
  <c r="C218" i="212"/>
  <c r="AV217" i="212"/>
  <c r="I217" i="212"/>
  <c r="H217" i="212"/>
  <c r="E217" i="212"/>
  <c r="D217" i="212"/>
  <c r="C217" i="212"/>
  <c r="AV216" i="212"/>
  <c r="I216" i="212"/>
  <c r="H216" i="212"/>
  <c r="E216" i="212"/>
  <c r="D216" i="212"/>
  <c r="C216" i="212"/>
  <c r="AV215" i="212"/>
  <c r="I215" i="212"/>
  <c r="H215" i="212"/>
  <c r="E215" i="212"/>
  <c r="D215" i="212"/>
  <c r="C215" i="212"/>
  <c r="AV214" i="212"/>
  <c r="I214" i="212"/>
  <c r="H214" i="212"/>
  <c r="E214" i="212"/>
  <c r="D214" i="212"/>
  <c r="C214" i="212"/>
  <c r="AV213" i="212"/>
  <c r="AT213" i="212"/>
  <c r="I213" i="212"/>
  <c r="H213" i="212"/>
  <c r="E213" i="212"/>
  <c r="D213" i="212"/>
  <c r="C213" i="212"/>
  <c r="AV212" i="212"/>
  <c r="I212" i="212"/>
  <c r="H212" i="212"/>
  <c r="E212" i="212"/>
  <c r="D212" i="212"/>
  <c r="C212" i="212"/>
  <c r="AV211" i="212"/>
  <c r="AT211" i="212"/>
  <c r="I211" i="212"/>
  <c r="H211" i="212"/>
  <c r="E211" i="212"/>
  <c r="D211" i="212"/>
  <c r="C211" i="212"/>
  <c r="AV210" i="212"/>
  <c r="I210" i="212"/>
  <c r="H210" i="212"/>
  <c r="E210" i="212"/>
  <c r="D210" i="212"/>
  <c r="C210" i="212"/>
  <c r="AV209" i="212"/>
  <c r="I209" i="212"/>
  <c r="H209" i="212"/>
  <c r="E209" i="212"/>
  <c r="D209" i="212"/>
  <c r="C209" i="212"/>
  <c r="AV208" i="212"/>
  <c r="I208" i="212"/>
  <c r="H208" i="212"/>
  <c r="E208" i="212"/>
  <c r="D208" i="212"/>
  <c r="C208" i="212"/>
  <c r="AV207" i="212"/>
  <c r="I207" i="212"/>
  <c r="H207" i="212"/>
  <c r="E207" i="212"/>
  <c r="D207" i="212"/>
  <c r="C207" i="212"/>
  <c r="AV206" i="212"/>
  <c r="I206" i="212"/>
  <c r="H206" i="212"/>
  <c r="E206" i="212"/>
  <c r="D206" i="212"/>
  <c r="C206" i="212"/>
  <c r="AV205" i="212"/>
  <c r="I205" i="212"/>
  <c r="H205" i="212"/>
  <c r="E205" i="212"/>
  <c r="D205" i="212"/>
  <c r="C205" i="212"/>
  <c r="AV204" i="212"/>
  <c r="I204" i="212"/>
  <c r="H204" i="212"/>
  <c r="E204" i="212"/>
  <c r="D204" i="212"/>
  <c r="C204" i="212"/>
  <c r="AV203" i="212"/>
  <c r="I203" i="212"/>
  <c r="H203" i="212"/>
  <c r="E203" i="212"/>
  <c r="D203" i="212"/>
  <c r="C203" i="212"/>
  <c r="AV202" i="212"/>
  <c r="AT202" i="212"/>
  <c r="AR202" i="212"/>
  <c r="I202" i="212"/>
  <c r="H202" i="212"/>
  <c r="E202" i="212"/>
  <c r="D202" i="212"/>
  <c r="C202" i="212"/>
  <c r="AV201" i="212"/>
  <c r="I201" i="212"/>
  <c r="H201" i="212"/>
  <c r="E201" i="212"/>
  <c r="D201" i="212"/>
  <c r="C201" i="212"/>
  <c r="AV200" i="212"/>
  <c r="I200" i="212"/>
  <c r="H200" i="212"/>
  <c r="E200" i="212"/>
  <c r="D200" i="212"/>
  <c r="C200" i="212"/>
  <c r="AV199" i="212"/>
  <c r="I199" i="212"/>
  <c r="H199" i="212"/>
  <c r="E199" i="212"/>
  <c r="D199" i="212"/>
  <c r="C199" i="212"/>
  <c r="AV198" i="212"/>
  <c r="I198" i="212"/>
  <c r="H198" i="212"/>
  <c r="E198" i="212"/>
  <c r="D198" i="212"/>
  <c r="C198" i="212"/>
  <c r="AV197" i="212"/>
  <c r="AT197" i="212"/>
  <c r="I197" i="212"/>
  <c r="H197" i="212"/>
  <c r="E197" i="212"/>
  <c r="D197" i="212"/>
  <c r="C197" i="212"/>
  <c r="AV196" i="212"/>
  <c r="I196" i="212"/>
  <c r="H196" i="212"/>
  <c r="E196" i="212"/>
  <c r="D196" i="212"/>
  <c r="C196" i="212"/>
  <c r="AV195" i="212"/>
  <c r="AT195" i="212"/>
  <c r="I195" i="212"/>
  <c r="H195" i="212"/>
  <c r="E195" i="212"/>
  <c r="D195" i="212"/>
  <c r="C195" i="212"/>
  <c r="AV194" i="212"/>
  <c r="I194" i="212"/>
  <c r="H194" i="212"/>
  <c r="E194" i="212"/>
  <c r="D194" i="212"/>
  <c r="C194" i="212"/>
  <c r="AV193" i="212"/>
  <c r="I193" i="212"/>
  <c r="H193" i="212"/>
  <c r="E193" i="212"/>
  <c r="D193" i="212"/>
  <c r="C193" i="212"/>
  <c r="AV192" i="212"/>
  <c r="I192" i="212"/>
  <c r="H192" i="212"/>
  <c r="E192" i="212"/>
  <c r="D192" i="212"/>
  <c r="C192" i="212"/>
  <c r="AV191" i="212"/>
  <c r="AT191" i="212"/>
  <c r="I191" i="212"/>
  <c r="H191" i="212"/>
  <c r="E191" i="212"/>
  <c r="D191" i="212"/>
  <c r="C191" i="212"/>
  <c r="AV190" i="212"/>
  <c r="I190" i="212"/>
  <c r="H190" i="212"/>
  <c r="E190" i="212"/>
  <c r="D190" i="212"/>
  <c r="C190" i="212"/>
  <c r="AV189" i="212"/>
  <c r="I189" i="212"/>
  <c r="H189" i="212"/>
  <c r="E189" i="212"/>
  <c r="D189" i="212"/>
  <c r="C189" i="212"/>
  <c r="AV188" i="212"/>
  <c r="AT188" i="212"/>
  <c r="I188" i="212"/>
  <c r="H188" i="212"/>
  <c r="E188" i="212"/>
  <c r="D188" i="212"/>
  <c r="C188" i="212"/>
  <c r="AV187" i="212"/>
  <c r="I187" i="212"/>
  <c r="H187" i="212"/>
  <c r="E187" i="212"/>
  <c r="D187" i="212"/>
  <c r="C187" i="212"/>
  <c r="AV186" i="212"/>
  <c r="AT186" i="212"/>
  <c r="AR186" i="212"/>
  <c r="I186" i="212"/>
  <c r="H186" i="212"/>
  <c r="E186" i="212"/>
  <c r="D186" i="212"/>
  <c r="C186" i="212"/>
  <c r="AV185" i="212"/>
  <c r="I185" i="212"/>
  <c r="H185" i="212"/>
  <c r="E185" i="212"/>
  <c r="D185" i="212"/>
  <c r="C185" i="212"/>
  <c r="AV184" i="212"/>
  <c r="I184" i="212"/>
  <c r="H184" i="212"/>
  <c r="E184" i="212"/>
  <c r="D184" i="212"/>
  <c r="C184" i="212"/>
  <c r="AV183" i="212"/>
  <c r="I183" i="212"/>
  <c r="H183" i="212"/>
  <c r="E183" i="212"/>
  <c r="D183" i="212"/>
  <c r="C183" i="212"/>
  <c r="AV182" i="212"/>
  <c r="I182" i="212"/>
  <c r="H182" i="212"/>
  <c r="E182" i="212"/>
  <c r="D182" i="212"/>
  <c r="C182" i="212"/>
  <c r="AV181" i="212"/>
  <c r="I181" i="212"/>
  <c r="H181" i="212"/>
  <c r="E181" i="212"/>
  <c r="D181" i="212"/>
  <c r="C181" i="212"/>
  <c r="AV180" i="212"/>
  <c r="I180" i="212"/>
  <c r="H180" i="212"/>
  <c r="E180" i="212"/>
  <c r="D180" i="212"/>
  <c r="C180" i="212"/>
  <c r="AV179" i="212"/>
  <c r="AT179" i="212"/>
  <c r="I179" i="212"/>
  <c r="H179" i="212"/>
  <c r="E179" i="212"/>
  <c r="D179" i="212"/>
  <c r="C179" i="212"/>
  <c r="AV178" i="212"/>
  <c r="I178" i="212"/>
  <c r="H178" i="212"/>
  <c r="E178" i="212"/>
  <c r="D178" i="212"/>
  <c r="C178" i="212"/>
  <c r="AV177" i="212"/>
  <c r="I177" i="212"/>
  <c r="H177" i="212"/>
  <c r="E177" i="212"/>
  <c r="D177" i="212"/>
  <c r="C177" i="212"/>
  <c r="AV176" i="212"/>
  <c r="I176" i="212"/>
  <c r="H176" i="212"/>
  <c r="E176" i="212"/>
  <c r="D176" i="212"/>
  <c r="C176" i="212"/>
  <c r="AV175" i="212"/>
  <c r="AT175" i="212"/>
  <c r="AR175" i="212"/>
  <c r="I175" i="212"/>
  <c r="H175" i="212"/>
  <c r="E175" i="212"/>
  <c r="D175" i="212"/>
  <c r="C175" i="212"/>
  <c r="AV174" i="212"/>
  <c r="I174" i="212"/>
  <c r="H174" i="212"/>
  <c r="E174" i="212"/>
  <c r="D174" i="212"/>
  <c r="C174" i="212"/>
  <c r="AV173" i="212"/>
  <c r="I173" i="212"/>
  <c r="H173" i="212"/>
  <c r="E173" i="212"/>
  <c r="D173" i="212"/>
  <c r="C173" i="212"/>
  <c r="AV172" i="212"/>
  <c r="AT172" i="212"/>
  <c r="AR172" i="212"/>
  <c r="I172" i="212"/>
  <c r="H172" i="212"/>
  <c r="E172" i="212"/>
  <c r="D172" i="212"/>
  <c r="C172" i="212"/>
  <c r="AV171" i="212"/>
  <c r="AT171" i="212"/>
  <c r="AR171" i="212"/>
  <c r="I171" i="212"/>
  <c r="H171" i="212"/>
  <c r="E171" i="212"/>
  <c r="D171" i="212"/>
  <c r="C171" i="212"/>
  <c r="AV170" i="212"/>
  <c r="AT170" i="212"/>
  <c r="AR170" i="212"/>
  <c r="I170" i="212"/>
  <c r="H170" i="212"/>
  <c r="E170" i="212"/>
  <c r="D170" i="212"/>
  <c r="C170" i="212"/>
  <c r="AV169" i="212"/>
  <c r="AT169" i="212"/>
  <c r="AR169" i="212"/>
  <c r="H169" i="212"/>
  <c r="E169" i="212"/>
  <c r="C169" i="212"/>
  <c r="AV168" i="212"/>
  <c r="AT168" i="212"/>
  <c r="AR168" i="212"/>
  <c r="I168" i="212"/>
  <c r="H168" i="212"/>
  <c r="E168" i="212"/>
  <c r="D168" i="212"/>
  <c r="C168" i="212"/>
  <c r="AV167" i="212"/>
  <c r="AT167" i="212"/>
  <c r="AR167" i="212"/>
  <c r="I167" i="212"/>
  <c r="H167" i="212"/>
  <c r="E167" i="212"/>
  <c r="D167" i="212"/>
  <c r="C167" i="212"/>
  <c r="AW166" i="212"/>
  <c r="AV166" i="212"/>
  <c r="AT166" i="212"/>
  <c r="AR166" i="212"/>
  <c r="H166" i="212"/>
  <c r="E166" i="212"/>
  <c r="C166" i="212"/>
  <c r="AV165" i="212"/>
  <c r="AT165" i="212"/>
  <c r="AR165" i="212"/>
  <c r="H165" i="212"/>
  <c r="E165" i="212"/>
  <c r="C165" i="212"/>
  <c r="AV164" i="212"/>
  <c r="AT164" i="212"/>
  <c r="I164" i="212"/>
  <c r="H164" i="212"/>
  <c r="E164" i="212"/>
  <c r="D164" i="212"/>
  <c r="C164" i="212"/>
  <c r="AW163" i="212"/>
  <c r="AV163" i="212"/>
  <c r="AT163" i="212"/>
  <c r="H163" i="212"/>
  <c r="E163" i="212"/>
  <c r="C163" i="212"/>
  <c r="AV162" i="212"/>
  <c r="AT162" i="212"/>
  <c r="AR162" i="212"/>
  <c r="I162" i="212"/>
  <c r="H162" i="212"/>
  <c r="E162" i="212"/>
  <c r="D162" i="212"/>
  <c r="C162" i="212"/>
  <c r="AW161" i="212"/>
  <c r="AV161" i="212"/>
  <c r="AT161" i="212"/>
  <c r="AR161" i="212"/>
  <c r="I161" i="212"/>
  <c r="H161" i="212"/>
  <c r="E161" i="212"/>
  <c r="D161" i="212"/>
  <c r="C161" i="212"/>
  <c r="AW160" i="212"/>
  <c r="AV160" i="212"/>
  <c r="AT160" i="212"/>
  <c r="AR160" i="212"/>
  <c r="I160" i="212"/>
  <c r="H160" i="212"/>
  <c r="E160" i="212"/>
  <c r="D160" i="212"/>
  <c r="C160" i="212"/>
  <c r="AV159" i="212"/>
  <c r="AT159" i="212"/>
  <c r="AR159" i="212"/>
  <c r="I159" i="212"/>
  <c r="H159" i="212"/>
  <c r="E159" i="212"/>
  <c r="D159" i="212"/>
  <c r="C159" i="212"/>
  <c r="AW158" i="212"/>
  <c r="AV158" i="212"/>
  <c r="AT158" i="212"/>
  <c r="AR158" i="212"/>
  <c r="H158" i="212"/>
  <c r="E158" i="212"/>
  <c r="C158" i="212"/>
  <c r="AV157" i="212"/>
  <c r="AT157" i="212"/>
  <c r="AR157" i="212"/>
  <c r="I157" i="212"/>
  <c r="H157" i="212"/>
  <c r="E157" i="212"/>
  <c r="D157" i="212"/>
  <c r="C157" i="212"/>
  <c r="AW156" i="212"/>
  <c r="AV156" i="212"/>
  <c r="AT156" i="212"/>
  <c r="H156" i="212"/>
  <c r="E156" i="212"/>
  <c r="C156" i="212"/>
  <c r="AW155" i="212"/>
  <c r="AV155" i="212"/>
  <c r="AT155" i="212"/>
  <c r="AR155" i="212"/>
  <c r="I155" i="212"/>
  <c r="H155" i="212"/>
  <c r="E155" i="212"/>
  <c r="D155" i="212"/>
  <c r="C155" i="212"/>
  <c r="AW154" i="212"/>
  <c r="AV154" i="212"/>
  <c r="AT154" i="212"/>
  <c r="H154" i="212"/>
  <c r="E154" i="212"/>
  <c r="C154" i="212"/>
  <c r="AV153" i="212"/>
  <c r="AT153" i="212"/>
  <c r="I153" i="212"/>
  <c r="H153" i="212"/>
  <c r="E153" i="212"/>
  <c r="D153" i="212"/>
  <c r="C153" i="212"/>
  <c r="AV152" i="212"/>
  <c r="AT152" i="212"/>
  <c r="I152" i="212"/>
  <c r="H152" i="212"/>
  <c r="E152" i="212"/>
  <c r="D152" i="212"/>
  <c r="C152" i="212"/>
  <c r="AV151" i="212"/>
  <c r="AT151" i="212"/>
  <c r="I151" i="212"/>
  <c r="H151" i="212"/>
  <c r="E151" i="212"/>
  <c r="D151" i="212"/>
  <c r="C151" i="212"/>
  <c r="AV150" i="212"/>
  <c r="AT150" i="212"/>
  <c r="I150" i="212"/>
  <c r="H150" i="212"/>
  <c r="E150" i="212"/>
  <c r="D150" i="212"/>
  <c r="C150" i="212"/>
  <c r="AV149" i="212"/>
  <c r="AT149" i="212"/>
  <c r="I149" i="212"/>
  <c r="H149" i="212"/>
  <c r="E149" i="212"/>
  <c r="D149" i="212"/>
  <c r="C149" i="212"/>
  <c r="AV148" i="212"/>
  <c r="AT148" i="212"/>
  <c r="I148" i="212"/>
  <c r="H148" i="212"/>
  <c r="E148" i="212"/>
  <c r="D148" i="212"/>
  <c r="C148" i="212"/>
  <c r="AV147" i="212"/>
  <c r="AT147" i="212"/>
  <c r="I147" i="212"/>
  <c r="H147" i="212"/>
  <c r="E147" i="212"/>
  <c r="D147" i="212"/>
  <c r="C147" i="212"/>
  <c r="AV146" i="212"/>
  <c r="I146" i="212"/>
  <c r="H146" i="212"/>
  <c r="E146" i="212"/>
  <c r="D146" i="212"/>
  <c r="C146" i="212"/>
  <c r="AV145" i="212"/>
  <c r="AT145" i="212"/>
  <c r="I145" i="212"/>
  <c r="H145" i="212"/>
  <c r="E145" i="212"/>
  <c r="D145" i="212"/>
  <c r="C145" i="212"/>
  <c r="AV144" i="212"/>
  <c r="AT144" i="212"/>
  <c r="I144" i="212"/>
  <c r="H144" i="212"/>
  <c r="E144" i="212"/>
  <c r="D144" i="212"/>
  <c r="C144" i="212"/>
  <c r="AV143" i="212"/>
  <c r="AT143" i="212"/>
  <c r="I143" i="212"/>
  <c r="H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I141" i="212"/>
  <c r="H141" i="212"/>
  <c r="E141" i="212"/>
  <c r="D141" i="212"/>
  <c r="C141" i="212"/>
  <c r="AV140" i="212"/>
  <c r="I140" i="212"/>
  <c r="H140" i="212"/>
  <c r="E140" i="212"/>
  <c r="D140" i="212"/>
  <c r="C140" i="212"/>
  <c r="AV139" i="212"/>
  <c r="AT139" i="212"/>
  <c r="I139" i="212"/>
  <c r="H139" i="212"/>
  <c r="E139" i="212"/>
  <c r="D139" i="212"/>
  <c r="C139" i="212"/>
  <c r="AV138" i="212"/>
  <c r="AT138" i="212"/>
  <c r="I138" i="212"/>
  <c r="H138" i="212"/>
  <c r="E138" i="212"/>
  <c r="D138" i="212"/>
  <c r="C138" i="212"/>
  <c r="AV137" i="212"/>
  <c r="AT137" i="212"/>
  <c r="I137" i="212"/>
  <c r="H137" i="212"/>
  <c r="E137" i="212"/>
  <c r="D137" i="212"/>
  <c r="C137" i="212"/>
  <c r="AV136" i="212"/>
  <c r="AT136" i="212"/>
  <c r="I136" i="212"/>
  <c r="H136" i="212"/>
  <c r="E136" i="212"/>
  <c r="D136" i="212"/>
  <c r="C136" i="212"/>
  <c r="AV135" i="212"/>
  <c r="AT135" i="212"/>
  <c r="I135" i="212"/>
  <c r="H135" i="212"/>
  <c r="E135" i="212"/>
  <c r="D135" i="212"/>
  <c r="C135" i="212"/>
  <c r="AV134" i="212"/>
  <c r="AT134" i="212"/>
  <c r="I134" i="212"/>
  <c r="H134" i="212"/>
  <c r="E134" i="212"/>
  <c r="D134" i="212"/>
  <c r="C134" i="212"/>
  <c r="AV133" i="212"/>
  <c r="AT133" i="212"/>
  <c r="I133" i="212"/>
  <c r="H133" i="212"/>
  <c r="E133" i="212"/>
  <c r="D133" i="212"/>
  <c r="C133" i="212"/>
  <c r="AV132" i="212"/>
  <c r="AT132" i="212"/>
  <c r="I132" i="212"/>
  <c r="H132" i="212"/>
  <c r="E132" i="212"/>
  <c r="D132" i="212"/>
  <c r="C132" i="212"/>
  <c r="AV131" i="212"/>
  <c r="AT131" i="212"/>
  <c r="I131" i="212"/>
  <c r="H131" i="212"/>
  <c r="E131" i="212"/>
  <c r="D131" i="212"/>
  <c r="C131" i="212"/>
  <c r="AV130" i="212"/>
  <c r="AT130" i="212"/>
  <c r="I130" i="212"/>
  <c r="H130" i="212"/>
  <c r="E130" i="212"/>
  <c r="D130" i="212"/>
  <c r="C130" i="212"/>
  <c r="AV129" i="212"/>
  <c r="AT129" i="212"/>
  <c r="H129" i="212"/>
  <c r="E129" i="212"/>
  <c r="C129" i="212"/>
  <c r="AW128" i="212"/>
  <c r="AV128" i="212"/>
  <c r="AT128" i="212"/>
  <c r="AR128" i="212"/>
  <c r="I128" i="212"/>
  <c r="H128" i="212"/>
  <c r="E128" i="212"/>
  <c r="D128" i="212"/>
  <c r="C128" i="212"/>
  <c r="AV127" i="212"/>
  <c r="AT127" i="212"/>
  <c r="AR127" i="212"/>
  <c r="I127" i="212"/>
  <c r="H127" i="212"/>
  <c r="E127" i="212"/>
  <c r="D127" i="212"/>
  <c r="C127" i="212"/>
  <c r="AW126" i="212"/>
  <c r="AV126" i="212"/>
  <c r="AT126" i="212"/>
  <c r="AR126" i="212"/>
  <c r="I126" i="212"/>
  <c r="H126" i="212"/>
  <c r="E126" i="212"/>
  <c r="D126" i="212"/>
  <c r="C126" i="212"/>
  <c r="AV125" i="212"/>
  <c r="AT125" i="212"/>
  <c r="AR125" i="212"/>
  <c r="I125" i="212"/>
  <c r="H125" i="212"/>
  <c r="E125" i="212"/>
  <c r="D125" i="212"/>
  <c r="C125" i="212"/>
  <c r="AV124" i="212"/>
  <c r="AT124" i="212"/>
  <c r="AR124" i="212"/>
  <c r="I124" i="212"/>
  <c r="H124" i="212"/>
  <c r="E124" i="212"/>
  <c r="D124" i="212"/>
  <c r="C124" i="212"/>
  <c r="AV123" i="212"/>
  <c r="AT123" i="212"/>
  <c r="AR123" i="212"/>
  <c r="I123" i="212"/>
  <c r="H123" i="212"/>
  <c r="E123" i="212"/>
  <c r="D123" i="212"/>
  <c r="C123" i="212"/>
  <c r="AV122" i="212"/>
  <c r="AT122" i="212"/>
  <c r="AR122" i="212"/>
  <c r="H122" i="212"/>
  <c r="E122" i="212"/>
  <c r="C122" i="212"/>
  <c r="AV121" i="212"/>
  <c r="AT121" i="212"/>
  <c r="I121" i="212"/>
  <c r="H121" i="212"/>
  <c r="E121" i="212"/>
  <c r="D121" i="212"/>
  <c r="C121" i="212"/>
  <c r="AV120" i="212"/>
  <c r="AT120" i="212"/>
  <c r="I120" i="212"/>
  <c r="H120" i="212"/>
  <c r="E120" i="212"/>
  <c r="D120" i="212"/>
  <c r="C120" i="212"/>
  <c r="AV119" i="212"/>
  <c r="AT119" i="212"/>
  <c r="AR119" i="212"/>
  <c r="I119" i="212"/>
  <c r="H119" i="212"/>
  <c r="E119" i="212"/>
  <c r="D119" i="212"/>
  <c r="C119" i="212"/>
  <c r="AV118" i="212"/>
  <c r="AT118" i="212"/>
  <c r="I118" i="212"/>
  <c r="H118" i="212"/>
  <c r="E118" i="212"/>
  <c r="D118" i="212"/>
  <c r="C118" i="212"/>
  <c r="AW117" i="212"/>
  <c r="AV117" i="212"/>
  <c r="AT117" i="212"/>
  <c r="H117" i="212"/>
  <c r="E117" i="212"/>
  <c r="C117" i="212"/>
  <c r="AV116" i="212"/>
  <c r="AT116" i="212"/>
  <c r="I116" i="212"/>
  <c r="H116" i="212"/>
  <c r="E116" i="212"/>
  <c r="D116" i="212"/>
  <c r="C116" i="212"/>
  <c r="AV115" i="212"/>
  <c r="AT115" i="212"/>
  <c r="AR115" i="212"/>
  <c r="I115" i="212"/>
  <c r="H115" i="212"/>
  <c r="E115" i="212"/>
  <c r="D115" i="212"/>
  <c r="C115" i="212"/>
  <c r="AV114" i="212"/>
  <c r="AT114" i="212"/>
  <c r="AR114" i="212"/>
  <c r="I114" i="212"/>
  <c r="H114" i="212"/>
  <c r="E114" i="212"/>
  <c r="D114" i="212"/>
  <c r="C114" i="212"/>
  <c r="AV113" i="212"/>
  <c r="AT113" i="212"/>
  <c r="I113" i="212"/>
  <c r="H113" i="212"/>
  <c r="E113" i="212"/>
  <c r="D113" i="212"/>
  <c r="C113" i="212"/>
  <c r="AV112" i="212"/>
  <c r="AT112" i="212"/>
  <c r="I112" i="212"/>
  <c r="H112" i="212"/>
  <c r="E112" i="212"/>
  <c r="D112" i="212"/>
  <c r="C112" i="212"/>
  <c r="AV111" i="212"/>
  <c r="AT111" i="212"/>
  <c r="AR111" i="212"/>
  <c r="I111" i="212"/>
  <c r="H111" i="212"/>
  <c r="E111" i="212"/>
  <c r="D111" i="212"/>
  <c r="C111" i="212"/>
  <c r="AV110" i="212"/>
  <c r="AT110" i="212"/>
  <c r="AR110" i="212"/>
  <c r="I110" i="212"/>
  <c r="H110" i="212"/>
  <c r="E110" i="212"/>
  <c r="D110" i="212"/>
  <c r="C110" i="212"/>
  <c r="AV109" i="212"/>
  <c r="AT109" i="212"/>
  <c r="I109" i="212"/>
  <c r="H109" i="212"/>
  <c r="E109" i="212"/>
  <c r="D109" i="212"/>
  <c r="C109" i="212"/>
  <c r="AV108" i="212"/>
  <c r="AT108" i="212"/>
  <c r="I108" i="212"/>
  <c r="H108" i="212"/>
  <c r="E108" i="212"/>
  <c r="D108" i="212"/>
  <c r="C108" i="212"/>
  <c r="AV107" i="212"/>
  <c r="AT107" i="212"/>
  <c r="I107" i="212"/>
  <c r="H107" i="212"/>
  <c r="E107" i="212"/>
  <c r="D107" i="212"/>
  <c r="C107" i="212"/>
  <c r="AV106" i="212"/>
  <c r="AT106" i="212"/>
  <c r="I106" i="212"/>
  <c r="H106" i="212"/>
  <c r="E106" i="212"/>
  <c r="D106" i="212"/>
  <c r="C106" i="212"/>
  <c r="AV105" i="212"/>
  <c r="AT105" i="212"/>
  <c r="AR105" i="212"/>
  <c r="I105" i="212"/>
  <c r="H105" i="212"/>
  <c r="E105" i="212"/>
  <c r="D105" i="212"/>
  <c r="C105" i="212"/>
  <c r="AV104" i="212"/>
  <c r="AT104" i="212"/>
  <c r="AR104" i="212"/>
  <c r="I104" i="212"/>
  <c r="H104" i="212"/>
  <c r="E104" i="212"/>
  <c r="D104" i="212"/>
  <c r="C104" i="212"/>
  <c r="AV103" i="212"/>
  <c r="AT103" i="212"/>
  <c r="I103" i="212"/>
  <c r="H103" i="212"/>
  <c r="E103" i="212"/>
  <c r="D103" i="212"/>
  <c r="C103" i="212"/>
  <c r="AV102" i="212"/>
  <c r="AT102" i="212"/>
  <c r="I102" i="212"/>
  <c r="H102" i="212"/>
  <c r="E102" i="212"/>
  <c r="D102" i="212"/>
  <c r="C102" i="212"/>
  <c r="AV101" i="212"/>
  <c r="AT101" i="212"/>
  <c r="AR101" i="212"/>
  <c r="I101" i="212"/>
  <c r="H101" i="212"/>
  <c r="E101" i="212"/>
  <c r="D101" i="212"/>
  <c r="C101" i="212"/>
  <c r="AV100" i="212"/>
  <c r="AT100" i="212"/>
  <c r="AR100" i="212"/>
  <c r="I100" i="212"/>
  <c r="H100" i="212"/>
  <c r="E100" i="212"/>
  <c r="D100" i="212"/>
  <c r="C100" i="212"/>
  <c r="AV99" i="212"/>
  <c r="AT99" i="212"/>
  <c r="I99" i="212"/>
  <c r="H99" i="212"/>
  <c r="E99" i="212"/>
  <c r="D99" i="212"/>
  <c r="C99" i="212"/>
  <c r="AV98" i="212"/>
  <c r="AT98" i="212"/>
  <c r="I98" i="212"/>
  <c r="H98" i="212"/>
  <c r="E98" i="212"/>
  <c r="D98" i="212"/>
  <c r="C98" i="212"/>
  <c r="AV97" i="212"/>
  <c r="AT97" i="212"/>
  <c r="I97" i="212"/>
  <c r="H97" i="212"/>
  <c r="E97" i="212"/>
  <c r="D97" i="212"/>
  <c r="C97" i="212"/>
  <c r="AV96" i="212"/>
  <c r="AT96" i="212"/>
  <c r="AR96" i="212"/>
  <c r="I96" i="212"/>
  <c r="H96" i="212"/>
  <c r="E96" i="212"/>
  <c r="D96" i="212"/>
  <c r="C96" i="212"/>
  <c r="AV95" i="212"/>
  <c r="AT95" i="212"/>
  <c r="AR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I93" i="212"/>
  <c r="H93" i="212"/>
  <c r="E93" i="212"/>
  <c r="D93" i="212"/>
  <c r="C93" i="212"/>
  <c r="AV92" i="212"/>
  <c r="AT92" i="212"/>
  <c r="AR92" i="212"/>
  <c r="I92" i="212"/>
  <c r="H92" i="212"/>
  <c r="E92" i="212"/>
  <c r="D92" i="212"/>
  <c r="C92" i="212"/>
  <c r="AV91" i="212"/>
  <c r="AT91" i="212"/>
  <c r="AR91" i="212"/>
  <c r="I91" i="212"/>
  <c r="H91" i="212"/>
  <c r="E91" i="212"/>
  <c r="D91" i="212"/>
  <c r="C91" i="212"/>
  <c r="AV90" i="212"/>
  <c r="AT90" i="212"/>
  <c r="I90" i="212"/>
  <c r="H90" i="212"/>
  <c r="E90" i="212"/>
  <c r="D90" i="212"/>
  <c r="C90" i="212"/>
  <c r="AV89" i="212"/>
  <c r="AT89" i="212"/>
  <c r="I89" i="212"/>
  <c r="H89" i="212"/>
  <c r="E89" i="212"/>
  <c r="D89" i="212"/>
  <c r="C89" i="212"/>
  <c r="AV88" i="212"/>
  <c r="AT88" i="212"/>
  <c r="I88" i="212"/>
  <c r="H88" i="212"/>
  <c r="E88" i="212"/>
  <c r="D88" i="212"/>
  <c r="C88" i="212"/>
  <c r="AV87" i="212"/>
  <c r="AT87" i="212"/>
  <c r="AR87" i="212"/>
  <c r="I87" i="212"/>
  <c r="H87" i="212"/>
  <c r="E87" i="212"/>
  <c r="D87" i="212"/>
  <c r="C87" i="212"/>
  <c r="AV86" i="212"/>
  <c r="AT86" i="212"/>
  <c r="AR86" i="212"/>
  <c r="I86" i="212"/>
  <c r="H86" i="212"/>
  <c r="E86" i="212"/>
  <c r="D86" i="212"/>
  <c r="C86" i="212"/>
  <c r="AV85" i="212"/>
  <c r="AT85" i="212"/>
  <c r="AR85" i="212"/>
  <c r="I85" i="212"/>
  <c r="H85" i="212"/>
  <c r="E85" i="212"/>
  <c r="D85" i="212"/>
  <c r="C85" i="212"/>
  <c r="AV84" i="212"/>
  <c r="AT84" i="212"/>
  <c r="I84" i="212"/>
  <c r="H84" i="212"/>
  <c r="E84" i="212"/>
  <c r="D84" i="212"/>
  <c r="C84" i="212"/>
  <c r="AV83" i="212"/>
  <c r="AT83" i="212"/>
  <c r="I83" i="212"/>
  <c r="H83" i="212"/>
  <c r="E83" i="212"/>
  <c r="D83" i="212"/>
  <c r="C83" i="212"/>
  <c r="AV82" i="212"/>
  <c r="AT82" i="212"/>
  <c r="I82" i="212"/>
  <c r="H82" i="212"/>
  <c r="E82" i="212"/>
  <c r="D82" i="212"/>
  <c r="C82" i="212"/>
  <c r="AV81" i="212"/>
  <c r="AT81" i="212"/>
  <c r="AR81" i="212"/>
  <c r="I81" i="212"/>
  <c r="H81" i="212"/>
  <c r="E81" i="212"/>
  <c r="D81" i="212"/>
  <c r="C81" i="212"/>
  <c r="AW80" i="212"/>
  <c r="AV80" i="212"/>
  <c r="AT80" i="212"/>
  <c r="H80" i="212"/>
  <c r="E80" i="212"/>
  <c r="C80" i="212"/>
  <c r="AW79" i="212"/>
  <c r="AV79" i="212"/>
  <c r="AT79" i="212"/>
  <c r="H79" i="212"/>
  <c r="E79" i="212"/>
  <c r="C79" i="212"/>
  <c r="AV78" i="212"/>
  <c r="AT78" i="212"/>
  <c r="AR78" i="212"/>
  <c r="I78" i="212"/>
  <c r="H78" i="212"/>
  <c r="E78" i="212"/>
  <c r="D78" i="212"/>
  <c r="C78" i="212"/>
  <c r="AV77" i="212"/>
  <c r="AT77" i="212"/>
  <c r="AR77" i="212"/>
  <c r="I77" i="212"/>
  <c r="H77" i="212"/>
  <c r="E77" i="212"/>
  <c r="D77" i="212"/>
  <c r="C77" i="212"/>
  <c r="AV76" i="212"/>
  <c r="AT76" i="212"/>
  <c r="AR76" i="212"/>
  <c r="I76" i="212"/>
  <c r="H76" i="212"/>
  <c r="E76" i="212"/>
  <c r="D76" i="212"/>
  <c r="C76" i="212"/>
  <c r="AV75" i="212"/>
  <c r="AT75" i="212"/>
  <c r="I75" i="212"/>
  <c r="H75" i="212"/>
  <c r="E75" i="212"/>
  <c r="D75" i="212"/>
  <c r="C75" i="212"/>
  <c r="AV74" i="212"/>
  <c r="AT74" i="212"/>
  <c r="AR74" i="212"/>
  <c r="I74" i="212"/>
  <c r="H74" i="212"/>
  <c r="E74" i="212"/>
  <c r="D74" i="212"/>
  <c r="C74" i="212"/>
  <c r="AW73" i="212"/>
  <c r="AV73" i="212"/>
  <c r="AT73" i="212"/>
  <c r="AR73" i="212"/>
  <c r="H73" i="212"/>
  <c r="E73" i="212"/>
  <c r="C73" i="212"/>
  <c r="AW72" i="212"/>
  <c r="AV72" i="212"/>
  <c r="AT72" i="212"/>
  <c r="AR72" i="212"/>
  <c r="H72" i="212"/>
  <c r="E72" i="212"/>
  <c r="C72" i="212"/>
  <c r="AW71" i="212"/>
  <c r="AV71" i="212"/>
  <c r="AT71" i="212"/>
  <c r="H71" i="212"/>
  <c r="E71" i="212"/>
  <c r="C71" i="212"/>
  <c r="AV70" i="212"/>
  <c r="AT70" i="212"/>
  <c r="I70" i="212"/>
  <c r="H70" i="212"/>
  <c r="E70" i="212"/>
  <c r="D70" i="212"/>
  <c r="C70" i="212"/>
  <c r="AV69" i="212"/>
  <c r="AT69" i="212"/>
  <c r="AR69" i="212"/>
  <c r="I69" i="212"/>
  <c r="H69" i="212"/>
  <c r="E69" i="212"/>
  <c r="D69" i="212"/>
  <c r="C69" i="212"/>
  <c r="AV68" i="212"/>
  <c r="AT68" i="212"/>
  <c r="I68" i="212"/>
  <c r="H68" i="212"/>
  <c r="E68" i="212"/>
  <c r="D68" i="212"/>
  <c r="C68" i="212"/>
  <c r="AW67" i="212"/>
  <c r="AV67" i="212"/>
  <c r="AT67" i="212"/>
  <c r="AR67" i="212"/>
  <c r="H67" i="212"/>
  <c r="E67" i="212"/>
  <c r="C67" i="212"/>
  <c r="AW66" i="212"/>
  <c r="AV66" i="212"/>
  <c r="AT66" i="212"/>
  <c r="AR66" i="212"/>
  <c r="H66" i="212"/>
  <c r="E66" i="212"/>
  <c r="C66" i="212"/>
  <c r="AV65" i="212"/>
  <c r="AT65" i="212"/>
  <c r="AR65" i="212"/>
  <c r="I65" i="212"/>
  <c r="H65" i="212"/>
  <c r="E65" i="212"/>
  <c r="D65" i="212"/>
  <c r="C65" i="212"/>
  <c r="AV64" i="212"/>
  <c r="AT64" i="212"/>
  <c r="I64" i="212"/>
  <c r="H64" i="212"/>
  <c r="E64" i="212"/>
  <c r="D64" i="212"/>
  <c r="C64" i="212"/>
  <c r="AV63" i="212"/>
  <c r="AT63" i="212"/>
  <c r="AR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W61" i="212"/>
  <c r="AV61" i="212"/>
  <c r="AT61" i="212"/>
  <c r="H61" i="212"/>
  <c r="E61" i="212"/>
  <c r="C61" i="212"/>
  <c r="AV60" i="212"/>
  <c r="AT60" i="212"/>
  <c r="AR60" i="212"/>
  <c r="I60" i="212"/>
  <c r="H60" i="212"/>
  <c r="E60" i="212"/>
  <c r="D60" i="212"/>
  <c r="C60" i="212"/>
  <c r="AV59" i="212"/>
  <c r="AT59" i="212"/>
  <c r="AR59" i="212"/>
  <c r="I59" i="212"/>
  <c r="H59" i="212"/>
  <c r="E59" i="212"/>
  <c r="D59" i="212"/>
  <c r="C59" i="212"/>
  <c r="AV58" i="212"/>
  <c r="AT58" i="212"/>
  <c r="AR58" i="212"/>
  <c r="I58" i="212"/>
  <c r="H58" i="212"/>
  <c r="E58" i="212"/>
  <c r="D58" i="212"/>
  <c r="C58" i="212"/>
  <c r="AV57" i="212"/>
  <c r="AT57" i="212"/>
  <c r="AR57" i="212"/>
  <c r="I57" i="212"/>
  <c r="H57" i="212"/>
  <c r="E57" i="212"/>
  <c r="D57" i="212"/>
  <c r="C57" i="212"/>
  <c r="AV56" i="212"/>
  <c r="AT56" i="212"/>
  <c r="AR56" i="212"/>
  <c r="I56" i="212"/>
  <c r="H56" i="212"/>
  <c r="E56" i="212"/>
  <c r="D56" i="212"/>
  <c r="C56" i="212"/>
  <c r="AV55" i="212"/>
  <c r="AT55" i="212"/>
  <c r="AR55" i="212"/>
  <c r="I55" i="212"/>
  <c r="H55" i="212"/>
  <c r="E55" i="212"/>
  <c r="D55" i="212"/>
  <c r="C55" i="212"/>
  <c r="AW54" i="212"/>
  <c r="AV54" i="212"/>
  <c r="AT54" i="212"/>
  <c r="AR54" i="212"/>
  <c r="H54" i="212"/>
  <c r="E54" i="212"/>
  <c r="C54" i="212"/>
  <c r="AV53" i="212"/>
  <c r="AT53" i="212"/>
  <c r="AR53" i="212"/>
  <c r="I53" i="212"/>
  <c r="H53" i="212"/>
  <c r="E53" i="212"/>
  <c r="D53" i="212"/>
  <c r="C53" i="212"/>
  <c r="AV52" i="212"/>
  <c r="AT52" i="212"/>
  <c r="AR52" i="212"/>
  <c r="I52" i="212"/>
  <c r="H52" i="212"/>
  <c r="E52" i="212"/>
  <c r="D52" i="212"/>
  <c r="C52" i="212"/>
  <c r="AW51" i="212"/>
  <c r="AV51" i="212"/>
  <c r="AT51" i="212"/>
  <c r="H51" i="212"/>
  <c r="E51" i="212"/>
  <c r="C51" i="212"/>
  <c r="AW50" i="212"/>
  <c r="AV50" i="212"/>
  <c r="AT50" i="212"/>
  <c r="H50" i="212"/>
  <c r="E50" i="212"/>
  <c r="C50" i="212"/>
  <c r="AV49" i="212"/>
  <c r="AT49" i="212"/>
  <c r="I49" i="212"/>
  <c r="H49" i="212"/>
  <c r="E49" i="212"/>
  <c r="D49" i="212"/>
  <c r="C49" i="212"/>
  <c r="AV48" i="212"/>
  <c r="AT48" i="212"/>
  <c r="I48" i="212"/>
  <c r="H48" i="212"/>
  <c r="E48" i="212"/>
  <c r="D48" i="212"/>
  <c r="C48" i="212"/>
  <c r="AV47" i="212"/>
  <c r="AT47" i="212"/>
  <c r="AR47" i="212"/>
  <c r="I47" i="212"/>
  <c r="H47" i="212"/>
  <c r="E47" i="212"/>
  <c r="D47" i="212"/>
  <c r="C47" i="212"/>
  <c r="AV46" i="212"/>
  <c r="AT46" i="212"/>
  <c r="AR46" i="212"/>
  <c r="I46" i="212"/>
  <c r="H46" i="212"/>
  <c r="E46" i="212"/>
  <c r="D46" i="212"/>
  <c r="C46" i="212"/>
  <c r="AV45" i="212"/>
  <c r="AT45" i="212"/>
  <c r="AR45" i="212"/>
  <c r="I45" i="212"/>
  <c r="H45" i="212"/>
  <c r="E45" i="212"/>
  <c r="D45" i="212"/>
  <c r="C45" i="212"/>
  <c r="AV44" i="212"/>
  <c r="AT44" i="212"/>
  <c r="AR44" i="212"/>
  <c r="I44" i="212"/>
  <c r="H44" i="212"/>
  <c r="E44" i="212"/>
  <c r="D44" i="212"/>
  <c r="C44" i="212"/>
  <c r="AW43" i="212"/>
  <c r="AV43" i="212"/>
  <c r="AT43" i="212"/>
  <c r="AR43" i="212"/>
  <c r="H43" i="212"/>
  <c r="E43" i="212"/>
  <c r="C43" i="212"/>
  <c r="AV42" i="212"/>
  <c r="AT42" i="212"/>
  <c r="AR42" i="212"/>
  <c r="I42" i="212"/>
  <c r="H42" i="212"/>
  <c r="E42" i="212"/>
  <c r="D42" i="212"/>
  <c r="C42" i="212"/>
  <c r="AW41" i="212"/>
  <c r="AV41" i="212"/>
  <c r="AT41" i="212"/>
  <c r="AR41" i="212"/>
  <c r="H41" i="212"/>
  <c r="E41" i="212"/>
  <c r="C41" i="212"/>
  <c r="AW40" i="212"/>
  <c r="AV40" i="212"/>
  <c r="AT40" i="212"/>
  <c r="H40" i="212"/>
  <c r="E40" i="212"/>
  <c r="C40" i="212"/>
  <c r="AV39" i="212"/>
  <c r="AT39" i="212"/>
  <c r="AR39" i="212"/>
  <c r="I39" i="212"/>
  <c r="H39" i="212"/>
  <c r="E39" i="212"/>
  <c r="D39" i="212"/>
  <c r="C39" i="212"/>
  <c r="AW38" i="212"/>
  <c r="AV38" i="212"/>
  <c r="AT38" i="212"/>
  <c r="H38" i="212"/>
  <c r="E38" i="212"/>
  <c r="C38" i="212"/>
  <c r="AV37" i="212"/>
  <c r="AT37" i="212"/>
  <c r="H37" i="212"/>
  <c r="E37" i="212"/>
  <c r="C37" i="212"/>
  <c r="AW36" i="212"/>
  <c r="AV36" i="212"/>
  <c r="AT36" i="212"/>
  <c r="H36" i="212"/>
  <c r="E36" i="212"/>
  <c r="C36" i="212"/>
  <c r="AW35" i="212"/>
  <c r="AV35" i="212"/>
  <c r="AT35" i="212"/>
  <c r="H35" i="212"/>
  <c r="E35" i="212"/>
  <c r="C35" i="212"/>
  <c r="AV34" i="212"/>
  <c r="AT34" i="212"/>
  <c r="AR34" i="212"/>
  <c r="I34" i="212"/>
  <c r="H34" i="212"/>
  <c r="E34" i="212"/>
  <c r="D34" i="212"/>
  <c r="C34" i="212"/>
  <c r="AV33" i="212"/>
  <c r="AT33" i="212"/>
  <c r="AR33" i="212"/>
  <c r="H33" i="212"/>
  <c r="E33" i="212"/>
  <c r="C33" i="212"/>
  <c r="AV32" i="212"/>
  <c r="AT32" i="212"/>
  <c r="AR32" i="212"/>
  <c r="I32" i="212"/>
  <c r="H32" i="212"/>
  <c r="E32" i="212"/>
  <c r="D32" i="212"/>
  <c r="C32" i="212"/>
  <c r="AV31" i="212"/>
  <c r="AT31" i="212"/>
  <c r="AR31" i="212"/>
  <c r="H31" i="212"/>
  <c r="E31" i="212"/>
  <c r="C31" i="212"/>
  <c r="AW30" i="212"/>
  <c r="AV30" i="212"/>
  <c r="AT30" i="212"/>
  <c r="AR30" i="212"/>
  <c r="H30" i="212"/>
  <c r="E30" i="212"/>
  <c r="C30" i="212"/>
  <c r="AV29" i="212"/>
  <c r="AT29" i="212"/>
  <c r="H29" i="212"/>
  <c r="E29" i="212"/>
  <c r="C29" i="212"/>
  <c r="AV28" i="212"/>
  <c r="AT28" i="212"/>
  <c r="AR28" i="212"/>
  <c r="H28" i="212"/>
  <c r="E28" i="212"/>
  <c r="C28" i="212"/>
  <c r="AW27" i="212"/>
  <c r="AV27" i="212"/>
  <c r="AT27" i="212"/>
  <c r="H27" i="212"/>
  <c r="E27" i="212"/>
  <c r="C27" i="212"/>
  <c r="AW26" i="212"/>
  <c r="AV26" i="212"/>
  <c r="AT26" i="212"/>
  <c r="H26" i="212"/>
  <c r="E26" i="212"/>
  <c r="C26" i="212"/>
  <c r="AW25" i="212"/>
  <c r="AV25" i="212"/>
  <c r="AT25" i="212"/>
  <c r="H25" i="212"/>
  <c r="E25" i="212"/>
  <c r="C25" i="212"/>
  <c r="AW24" i="212"/>
  <c r="AV24" i="212"/>
  <c r="AT24" i="212"/>
  <c r="H24" i="212"/>
  <c r="E24" i="212"/>
  <c r="C24" i="212"/>
  <c r="AV23" i="212"/>
  <c r="AT23" i="212"/>
  <c r="H23" i="212"/>
  <c r="E23" i="212"/>
  <c r="C23" i="212"/>
  <c r="AV22" i="212"/>
  <c r="AT22" i="212"/>
  <c r="AR22" i="212"/>
  <c r="I22" i="212"/>
  <c r="H22" i="212"/>
  <c r="E22" i="212"/>
  <c r="D22" i="212"/>
  <c r="C22" i="212"/>
  <c r="AW21" i="212"/>
  <c r="AV21" i="212"/>
  <c r="AT21" i="212"/>
  <c r="AR21" i="212"/>
  <c r="H21" i="212"/>
  <c r="E21" i="212"/>
  <c r="C21" i="212"/>
  <c r="AV20" i="212"/>
  <c r="AT20" i="212"/>
  <c r="AR20" i="212"/>
  <c r="I20" i="212"/>
  <c r="H20" i="212"/>
  <c r="E20" i="212"/>
  <c r="D20" i="212"/>
  <c r="C20" i="212"/>
  <c r="AW19" i="212"/>
  <c r="AV19" i="212"/>
  <c r="AT19" i="212"/>
  <c r="H19" i="212"/>
  <c r="E19" i="212"/>
  <c r="C19" i="212"/>
  <c r="AW18" i="212"/>
  <c r="AV18" i="212"/>
  <c r="AT18" i="212"/>
  <c r="AR18" i="212"/>
  <c r="H18" i="212"/>
  <c r="E18" i="212"/>
  <c r="C18" i="212"/>
  <c r="AV17" i="212"/>
  <c r="AT17" i="212"/>
  <c r="H17" i="212"/>
  <c r="E17" i="212"/>
  <c r="C17" i="212"/>
  <c r="AW16" i="212"/>
  <c r="AV16" i="212"/>
  <c r="AT16" i="212"/>
  <c r="H16" i="212"/>
  <c r="E16" i="212"/>
  <c r="C16" i="212"/>
  <c r="AW15" i="212"/>
  <c r="AV15" i="212"/>
  <c r="AT15" i="212"/>
  <c r="H15" i="212"/>
  <c r="E15" i="212"/>
  <c r="C15" i="212"/>
  <c r="AV14" i="212"/>
  <c r="AT14" i="212"/>
  <c r="H14" i="212"/>
  <c r="E14" i="212"/>
  <c r="C14" i="212"/>
  <c r="AW13" i="212"/>
  <c r="AV13" i="212"/>
  <c r="AT13" i="212"/>
  <c r="AR13" i="212"/>
  <c r="H13" i="212"/>
  <c r="E13" i="212"/>
  <c r="C13" i="212"/>
  <c r="AW12" i="212"/>
  <c r="AV12" i="212"/>
  <c r="AT12" i="212"/>
  <c r="H12" i="212"/>
  <c r="E12" i="212"/>
  <c r="C12" i="212"/>
  <c r="AV11" i="212"/>
  <c r="AT11" i="212"/>
  <c r="I11" i="212"/>
  <c r="H11" i="212"/>
  <c r="E11" i="212"/>
  <c r="D11" i="212"/>
  <c r="C11" i="212"/>
  <c r="AV10" i="212"/>
  <c r="AT10" i="212"/>
  <c r="I10" i="212"/>
  <c r="H10" i="212"/>
  <c r="E10" i="212"/>
  <c r="D10" i="212"/>
  <c r="C10" i="212"/>
  <c r="AV9" i="212"/>
  <c r="AT9" i="212"/>
  <c r="H9" i="212"/>
  <c r="E9" i="212"/>
  <c r="C9" i="212"/>
  <c r="AW8" i="212"/>
  <c r="AV8" i="212"/>
  <c r="AT8" i="212"/>
  <c r="H8" i="212"/>
  <c r="E8" i="212"/>
  <c r="C8" i="212"/>
  <c r="AW7" i="212"/>
  <c r="AV7" i="212"/>
  <c r="AT7" i="212"/>
  <c r="H7" i="212"/>
  <c r="E7" i="212"/>
  <c r="C7" i="212"/>
  <c r="AV6" i="212"/>
  <c r="AT6" i="212"/>
  <c r="H6" i="212"/>
  <c r="E6" i="212"/>
  <c r="C6" i="212"/>
  <c r="AW5" i="212"/>
  <c r="AV5" i="212"/>
  <c r="AT5" i="212"/>
  <c r="H5" i="212"/>
  <c r="E5" i="212"/>
  <c r="C5" i="212"/>
  <c r="AW4" i="212"/>
  <c r="AV4" i="212"/>
  <c r="AT4" i="212"/>
  <c r="H4" i="212"/>
  <c r="E4" i="212"/>
  <c r="C4" i="212"/>
  <c r="AW3" i="212"/>
  <c r="AV3" i="212"/>
  <c r="AT3" i="212"/>
  <c r="H3" i="212"/>
  <c r="E3" i="212"/>
  <c r="C3" i="212"/>
  <c r="AW2" i="212"/>
  <c r="AV2" i="212"/>
  <c r="AT2" i="212"/>
  <c r="H2" i="212"/>
  <c r="E2" i="212"/>
  <c r="C2" i="212"/>
</calcChain>
</file>

<file path=xl/sharedStrings.xml><?xml version="1.0" encoding="utf-8"?>
<sst xmlns="http://schemas.openxmlformats.org/spreadsheetml/2006/main" count="51" uniqueCount="51">
  <si>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</si>
  <si>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</si>
  <si>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</si>
  <si>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</si>
  <si>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</si>
  <si>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</si>
  <si>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</si>
  <si>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</si>
  <si>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</si>
  <si>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</si>
  <si>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</si>
  <si>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</si>
  <si>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</si>
  <si>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</si>
  <si>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</si>
  <si>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</si>
  <si>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</si>
  <si>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</si>
  <si>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</si>
  <si>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</si>
  <si>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</si>
  <si>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</si>
  <si>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</si>
  <si>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</si>
  <si>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</si>
  <si>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</si>
  <si>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</si>
  <si>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</si>
  <si>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</si>
  <si>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</si>
  <si>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</si>
  <si>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</si>
  <si>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</si>
  <si>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</si>
  <si>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</si>
  <si>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</si>
  <si>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</si>
  <si>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</si>
  <si>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</si>
  <si>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</si>
  <si>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</si>
  <si>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</si>
  <si>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</si>
  <si>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</si>
  <si>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</si>
  <si>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</si>
  <si>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</si>
  <si>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</si>
  <si>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</si>
  <si>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출판사</t>
    <phoneticPr fontId="20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</si>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</sst>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Y2692"/>
  <sheetViews>
    <sheetView tabSelected="1" topLeftCell="V2683" zoomScale="85" zoomScaleNormal="85" workbookViewId="0">
      <selection activeCell="AP2692" sqref="AP2692"/>
    </sheetView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51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s="4" t="s">
        <v>49</v>
      </c>
      <c r="AY1" s="5" t="s">
        <v>50</v>
      </c>
    </row>
    <row r="2" spans="1:51" x14ac:dyDescent="0.4">
      <c r="B2">
        <v>1525014426</v>
      </c>
      <c r="C2" t="str">
        <f>T("[e북]무심코")</f>
        <v>[e북]무심코</v>
      </c>
      <c r="E2" t="str">
        <f>T("달로")</f>
        <v>달로</v>
      </c>
      <c r="H2" t="str">
        <f t="shared" ref="H2:H9" si="0">T("밀리오리지널")</f>
        <v>밀리오리지널</v>
      </c>
      <c r="J2">
        <v>2000</v>
      </c>
      <c r="K2">
        <v>11064000</v>
      </c>
      <c r="L2">
        <v>5532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-46000</v>
      </c>
      <c r="X2">
        <v>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11064000</v>
      </c>
      <c r="AH2">
        <v>5532</v>
      </c>
      <c r="AI2">
        <v>-46000</v>
      </c>
      <c r="AJ2">
        <v>23</v>
      </c>
      <c r="AK2">
        <v>10856422</v>
      </c>
      <c r="AL2">
        <v>-39410</v>
      </c>
      <c r="AM2">
        <v>217864.69</v>
      </c>
      <c r="AN2">
        <v>-18542.62</v>
      </c>
      <c r="AO2">
        <v>-6590</v>
      </c>
      <c r="AP2" s="2">
        <v>7706820.8499999996</v>
      </c>
      <c r="AT2" t="str">
        <f>T("9791191562798")</f>
        <v>9791191562798</v>
      </c>
      <c r="AV2" t="str">
        <f t="shared" ref="AV2:AV9" si="1">T("로맨스 e북 &gt; 현대물")</f>
        <v>로맨스 e북 &gt; 현대물</v>
      </c>
      <c r="AW2" t="str">
        <f>T("로맨스 e북 &gt; 19+")</f>
        <v>로맨스 e북 &gt; 19+</v>
      </c>
    </row>
    <row r="3" spans="1:51" x14ac:dyDescent="0.4">
      <c r="B3">
        <v>1525014423</v>
      </c>
      <c r="C3" t="str">
        <f>T("[e북]여름, 밤의 사정")</f>
        <v>[e북]여름, 밤의 사정</v>
      </c>
      <c r="E3" t="str">
        <f>T("춈춈")</f>
        <v>춈춈</v>
      </c>
      <c r="H3" t="str">
        <f t="shared" si="0"/>
        <v>밀리오리지널</v>
      </c>
      <c r="J3">
        <v>2000</v>
      </c>
      <c r="K3">
        <v>5368000</v>
      </c>
      <c r="L3">
        <v>2684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-18000</v>
      </c>
      <c r="X3">
        <v>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5368000</v>
      </c>
      <c r="AH3">
        <v>2684</v>
      </c>
      <c r="AI3">
        <v>-18000</v>
      </c>
      <c r="AJ3">
        <v>9</v>
      </c>
      <c r="AK3">
        <v>5266128</v>
      </c>
      <c r="AL3">
        <v>-18000</v>
      </c>
      <c r="AM3">
        <v>108483.55</v>
      </c>
      <c r="AN3">
        <v>-11936.56</v>
      </c>
      <c r="AO3">
        <v>0</v>
      </c>
      <c r="AP3" s="2">
        <v>3741272.51</v>
      </c>
      <c r="AT3" t="str">
        <f>T("9791191562361")</f>
        <v>9791191562361</v>
      </c>
      <c r="AV3" t="str">
        <f t="shared" si="1"/>
        <v>로맨스 e북 &gt; 현대물</v>
      </c>
      <c r="AW3" t="str">
        <f>T("로맨스 e북 &gt; 19+")</f>
        <v>로맨스 e북 &gt; 19+</v>
      </c>
    </row>
    <row r="4" spans="1:51" x14ac:dyDescent="0.4">
      <c r="B4">
        <v>1525014434</v>
      </c>
      <c r="C4" t="str">
        <f>T("[e북]테이크 백(Take Back)")</f>
        <v>[e북]테이크 백(Take Back)</v>
      </c>
      <c r="E4" t="str">
        <f>T("일락")</f>
        <v>일락</v>
      </c>
      <c r="H4" t="str">
        <f t="shared" si="0"/>
        <v>밀리오리지널</v>
      </c>
      <c r="J4">
        <v>2500</v>
      </c>
      <c r="K4">
        <v>2540000</v>
      </c>
      <c r="L4">
        <v>1016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-5000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2540000</v>
      </c>
      <c r="AH4">
        <v>1016</v>
      </c>
      <c r="AI4">
        <v>-5000</v>
      </c>
      <c r="AJ4">
        <v>2</v>
      </c>
      <c r="AK4">
        <v>2504300</v>
      </c>
      <c r="AL4">
        <v>-5000</v>
      </c>
      <c r="AM4">
        <v>36700</v>
      </c>
      <c r="AN4">
        <v>-1800</v>
      </c>
      <c r="AO4">
        <v>0</v>
      </c>
      <c r="AP4" s="2">
        <v>1773940</v>
      </c>
      <c r="AT4" t="str">
        <f>T("9791191562507")</f>
        <v>9791191562507</v>
      </c>
      <c r="AV4" t="str">
        <f t="shared" si="1"/>
        <v>로맨스 e북 &gt; 현대물</v>
      </c>
      <c r="AW4" t="str">
        <f>T("로맨스 e북 &gt; 19+")</f>
        <v>로맨스 e북 &gt; 19+</v>
      </c>
    </row>
    <row r="5" spans="1:51" x14ac:dyDescent="0.4">
      <c r="B5">
        <v>1525014431</v>
      </c>
      <c r="C5" t="str">
        <f>T("[e북]우기에는 비가 와요")</f>
        <v>[e북]우기에는 비가 와요</v>
      </c>
      <c r="E5" t="str">
        <f>T("이리")</f>
        <v>이리</v>
      </c>
      <c r="H5" t="str">
        <f t="shared" si="0"/>
        <v>밀리오리지널</v>
      </c>
      <c r="J5">
        <v>2000</v>
      </c>
      <c r="K5">
        <v>964000</v>
      </c>
      <c r="L5">
        <v>482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-8000</v>
      </c>
      <c r="X5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964000</v>
      </c>
      <c r="AH5">
        <v>482</v>
      </c>
      <c r="AI5">
        <v>-8000</v>
      </c>
      <c r="AJ5">
        <v>4</v>
      </c>
      <c r="AK5">
        <v>929368</v>
      </c>
      <c r="AL5">
        <v>-8000</v>
      </c>
      <c r="AM5">
        <v>35432</v>
      </c>
      <c r="AN5">
        <v>-1440</v>
      </c>
      <c r="AO5">
        <v>0</v>
      </c>
      <c r="AP5" s="2">
        <v>668752</v>
      </c>
      <c r="AT5" t="str">
        <f>T("9791191562545")</f>
        <v>9791191562545</v>
      </c>
      <c r="AV5" t="str">
        <f t="shared" si="1"/>
        <v>로맨스 e북 &gt; 현대물</v>
      </c>
      <c r="AW5" t="str">
        <f>T("로맨스 e북 &gt; 19+")</f>
        <v>로맨스 e북 &gt; 19+</v>
      </c>
    </row>
    <row r="6" spans="1:51" x14ac:dyDescent="0.4">
      <c r="B6">
        <v>1525014435</v>
      </c>
      <c r="C6" t="str">
        <f>T("[e북]짝사랑 중입니다")</f>
        <v>[e북]짝사랑 중입니다</v>
      </c>
      <c r="E6" t="str">
        <f>T("진양")</f>
        <v>진양</v>
      </c>
      <c r="H6" t="str">
        <f t="shared" si="0"/>
        <v>밀리오리지널</v>
      </c>
      <c r="J6">
        <v>3600</v>
      </c>
      <c r="K6">
        <v>680400</v>
      </c>
      <c r="L6">
        <v>189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-3600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680400</v>
      </c>
      <c r="AH6">
        <v>189</v>
      </c>
      <c r="AI6">
        <v>-3600</v>
      </c>
      <c r="AJ6">
        <v>1</v>
      </c>
      <c r="AK6">
        <v>648670</v>
      </c>
      <c r="AL6">
        <v>-3600</v>
      </c>
      <c r="AM6">
        <v>32450</v>
      </c>
      <c r="AN6">
        <v>-1296</v>
      </c>
      <c r="AO6">
        <v>0</v>
      </c>
      <c r="AP6" s="2">
        <v>473356.79999999999</v>
      </c>
      <c r="AT6" t="str">
        <f>T("9791191562774")</f>
        <v>9791191562774</v>
      </c>
      <c r="AV6" t="str">
        <f t="shared" si="1"/>
        <v>로맨스 e북 &gt; 현대물</v>
      </c>
    </row>
    <row r="7" spans="1:51" x14ac:dyDescent="0.4">
      <c r="B7">
        <v>1525013445</v>
      </c>
      <c r="C7" t="str">
        <f>T("[e북]바스락")</f>
        <v>[e북]바스락</v>
      </c>
      <c r="E7" t="str">
        <f>T("달로")</f>
        <v>달로</v>
      </c>
      <c r="H7" t="str">
        <f t="shared" si="0"/>
        <v>밀리오리지널</v>
      </c>
      <c r="J7">
        <v>2000</v>
      </c>
      <c r="K7">
        <v>554000</v>
      </c>
      <c r="L7">
        <v>277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554000</v>
      </c>
      <c r="AH7">
        <v>277</v>
      </c>
      <c r="AI7">
        <v>0</v>
      </c>
      <c r="AJ7">
        <v>0</v>
      </c>
      <c r="AK7">
        <v>524030</v>
      </c>
      <c r="AL7">
        <v>0</v>
      </c>
      <c r="AM7">
        <v>31895.08</v>
      </c>
      <c r="AN7">
        <v>-3487.52</v>
      </c>
      <c r="AO7">
        <v>0</v>
      </c>
      <c r="AP7" s="2">
        <v>386706.29</v>
      </c>
      <c r="AT7" t="str">
        <f>T("9791191562187")</f>
        <v>9791191562187</v>
      </c>
      <c r="AV7" t="str">
        <f t="shared" si="1"/>
        <v>로맨스 e북 &gt; 현대물</v>
      </c>
      <c r="AW7" t="str">
        <f>T("로맨스 e북 &gt; 19+")</f>
        <v>로맨스 e북 &gt; 19+</v>
      </c>
    </row>
    <row r="8" spans="1:51" x14ac:dyDescent="0.4">
      <c r="B8">
        <v>1525014430</v>
      </c>
      <c r="C8" t="str">
        <f>T("[e북]뜨겁게 안녕")</f>
        <v>[e북]뜨겁게 안녕</v>
      </c>
      <c r="E8" t="str">
        <f>T("러브니")</f>
        <v>러브니</v>
      </c>
      <c r="H8" t="str">
        <f t="shared" si="0"/>
        <v>밀리오리지널</v>
      </c>
      <c r="J8">
        <v>2000</v>
      </c>
      <c r="K8">
        <v>466000</v>
      </c>
      <c r="L8">
        <v>233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-2000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466000</v>
      </c>
      <c r="AH8">
        <v>233</v>
      </c>
      <c r="AI8">
        <v>-2000</v>
      </c>
      <c r="AJ8">
        <v>1</v>
      </c>
      <c r="AK8">
        <v>461473</v>
      </c>
      <c r="AL8">
        <v>-2000</v>
      </c>
      <c r="AM8">
        <v>4876.3999999999996</v>
      </c>
      <c r="AN8">
        <v>-628.91999999999996</v>
      </c>
      <c r="AO8">
        <v>0</v>
      </c>
      <c r="AP8" s="2">
        <v>324604.34000000003</v>
      </c>
      <c r="AT8" t="str">
        <f>T("9791191562828")</f>
        <v>9791191562828</v>
      </c>
      <c r="AV8" t="str">
        <f t="shared" si="1"/>
        <v>로맨스 e북 &gt; 현대물</v>
      </c>
      <c r="AW8" t="str">
        <f>T("로맨스 e북 &gt; 19+")</f>
        <v>로맨스 e북 &gt; 19+</v>
      </c>
    </row>
    <row r="9" spans="1:51" x14ac:dyDescent="0.4">
      <c r="B9">
        <v>1525013655</v>
      </c>
      <c r="C9" t="str">
        <f>T("[e북]일교차")</f>
        <v>[e북]일교차</v>
      </c>
      <c r="E9" t="str">
        <f>T("해화")</f>
        <v>해화</v>
      </c>
      <c r="H9" t="str">
        <f t="shared" si="0"/>
        <v>밀리오리지널</v>
      </c>
      <c r="J9">
        <v>2500</v>
      </c>
      <c r="K9">
        <v>345000</v>
      </c>
      <c r="L9">
        <v>138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345000</v>
      </c>
      <c r="AH9">
        <v>138</v>
      </c>
      <c r="AI9">
        <v>0</v>
      </c>
      <c r="AJ9">
        <v>0</v>
      </c>
      <c r="AK9">
        <v>314000</v>
      </c>
      <c r="AL9">
        <v>0</v>
      </c>
      <c r="AM9">
        <v>31500</v>
      </c>
      <c r="AN9">
        <v>-900</v>
      </c>
      <c r="AO9">
        <v>0</v>
      </c>
      <c r="AP9" s="2">
        <v>241220</v>
      </c>
      <c r="AT9" t="str">
        <f>T("9791191562309")</f>
        <v>9791191562309</v>
      </c>
      <c r="AV9" t="str">
        <f t="shared" si="1"/>
        <v>로맨스 e북 &gt; 현대물</v>
      </c>
    </row>
    <row r="10" spans="1:51" x14ac:dyDescent="0.4">
      <c r="A10">
        <v>1525012769</v>
      </c>
      <c r="B10">
        <v>1525012769</v>
      </c>
      <c r="C10" t="str">
        <f>T("[e북]하루하루 1권")</f>
        <v>[e북]하루하루 1권</v>
      </c>
      <c r="D10" t="str">
        <f>T("1")</f>
        <v>1</v>
      </c>
      <c r="E10" t="str">
        <f>T("사틴")</f>
        <v>사틴</v>
      </c>
      <c r="H10" t="str">
        <f>T("블러쉬")</f>
        <v>블러쉬</v>
      </c>
      <c r="I10" t="str">
        <f>T("[e북]하루하루")</f>
        <v>[e북]하루하루</v>
      </c>
      <c r="J10">
        <v>3600</v>
      </c>
      <c r="K10">
        <v>327600</v>
      </c>
      <c r="L10">
        <v>91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327600</v>
      </c>
      <c r="AH10">
        <v>91</v>
      </c>
      <c r="AI10">
        <v>0</v>
      </c>
      <c r="AJ10">
        <v>0</v>
      </c>
      <c r="AK10">
        <v>320400</v>
      </c>
      <c r="AL10">
        <v>0</v>
      </c>
      <c r="AM10">
        <v>7200</v>
      </c>
      <c r="AN10">
        <v>0</v>
      </c>
      <c r="AO10">
        <v>0</v>
      </c>
      <c r="AP10" s="2">
        <v>229320</v>
      </c>
      <c r="AT10" t="str">
        <f>T("9791166482557")</f>
        <v>9791166482557</v>
      </c>
      <c r="AV10" t="str">
        <f>T("BL 소설 e북 &gt; 현대물")</f>
        <v>BL 소설 e북 &gt; 현대물</v>
      </c>
    </row>
    <row r="11" spans="1:51" x14ac:dyDescent="0.4">
      <c r="A11">
        <v>1525012769</v>
      </c>
      <c r="B11">
        <v>1525012770</v>
      </c>
      <c r="C11" t="str">
        <f>T("[e북]하루하루 2권 (완결)")</f>
        <v>[e북]하루하루 2권 (완결)</v>
      </c>
      <c r="D11" t="str">
        <f>T("2")</f>
        <v>2</v>
      </c>
      <c r="E11" t="str">
        <f>T("사틴")</f>
        <v>사틴</v>
      </c>
      <c r="H11" t="str">
        <f>T("블러쉬")</f>
        <v>블러쉬</v>
      </c>
      <c r="I11" t="str">
        <f>T("[e북]하루하루")</f>
        <v>[e북]하루하루</v>
      </c>
      <c r="J11">
        <v>3600</v>
      </c>
      <c r="K11">
        <v>327600</v>
      </c>
      <c r="L11">
        <v>91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327600</v>
      </c>
      <c r="AH11">
        <v>91</v>
      </c>
      <c r="AI11">
        <v>0</v>
      </c>
      <c r="AJ11">
        <v>0</v>
      </c>
      <c r="AK11">
        <v>317100</v>
      </c>
      <c r="AL11">
        <v>0</v>
      </c>
      <c r="AM11">
        <v>10500</v>
      </c>
      <c r="AN11">
        <v>0</v>
      </c>
      <c r="AO11">
        <v>0</v>
      </c>
      <c r="AP11" s="2">
        <v>229320</v>
      </c>
      <c r="AT11" t="str">
        <f>T("9791166482564")</f>
        <v>9791166482564</v>
      </c>
      <c r="AV11" t="str">
        <f>T("BL 소설 e북 &gt; 현대물")</f>
        <v>BL 소설 e북 &gt; 현대물</v>
      </c>
    </row>
    <row r="12" spans="1:51" x14ac:dyDescent="0.4">
      <c r="B12">
        <v>1525014432</v>
      </c>
      <c r="C12" t="str">
        <f>T("[e북]한 번은 이별하자")</f>
        <v>[e북]한 번은 이별하자</v>
      </c>
      <c r="E12" t="str">
        <f>T("서연")</f>
        <v>서연</v>
      </c>
      <c r="H12" t="str">
        <f t="shared" ref="H12:H19" si="2">T("밀리오리지널")</f>
        <v>밀리오리지널</v>
      </c>
      <c r="J12">
        <v>2000</v>
      </c>
      <c r="K12">
        <v>302000</v>
      </c>
      <c r="L12">
        <v>151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-2000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302000</v>
      </c>
      <c r="AH12">
        <v>151</v>
      </c>
      <c r="AI12">
        <v>-2000</v>
      </c>
      <c r="AJ12">
        <v>1</v>
      </c>
      <c r="AK12">
        <v>300200</v>
      </c>
      <c r="AL12">
        <v>-2000</v>
      </c>
      <c r="AM12">
        <v>1800</v>
      </c>
      <c r="AN12">
        <v>0</v>
      </c>
      <c r="AO12">
        <v>0</v>
      </c>
      <c r="AP12" s="2">
        <v>210000</v>
      </c>
      <c r="AT12" t="str">
        <f>T("9791191562521")</f>
        <v>9791191562521</v>
      </c>
      <c r="AV12" t="str">
        <f>T("로맨스 e북 &gt; 현대물")</f>
        <v>로맨스 e북 &gt; 현대물</v>
      </c>
      <c r="AW12" t="str">
        <f>T("로맨스 e북 &gt; 19+")</f>
        <v>로맨스 e북 &gt; 19+</v>
      </c>
    </row>
    <row r="13" spans="1:51" x14ac:dyDescent="0.4">
      <c r="B13">
        <v>1525014014</v>
      </c>
      <c r="C13" t="str">
        <f>T("[e북]첫사랑을 종료하시겠습니까")</f>
        <v>[e북]첫사랑을 종료하시겠습니까</v>
      </c>
      <c r="E13" t="str">
        <f>T("이파람")</f>
        <v>이파람</v>
      </c>
      <c r="H13" t="str">
        <f t="shared" si="2"/>
        <v>밀리오리지널</v>
      </c>
      <c r="J13">
        <v>2000</v>
      </c>
      <c r="K13">
        <v>272000</v>
      </c>
      <c r="L13">
        <v>136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-2000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272000</v>
      </c>
      <c r="AH13">
        <v>136</v>
      </c>
      <c r="AI13">
        <v>-2000</v>
      </c>
      <c r="AJ13">
        <v>1</v>
      </c>
      <c r="AK13">
        <v>267900</v>
      </c>
      <c r="AL13">
        <v>-2000</v>
      </c>
      <c r="AM13">
        <v>4520</v>
      </c>
      <c r="AN13">
        <v>-756</v>
      </c>
      <c r="AO13">
        <v>0</v>
      </c>
      <c r="AP13" s="2">
        <v>188764.79999999999</v>
      </c>
      <c r="AR13" t="str">
        <f>T("0000000000000")</f>
        <v>0000000000000</v>
      </c>
      <c r="AT13" t="str">
        <f>T("9791191562385")</f>
        <v>9791191562385</v>
      </c>
      <c r="AV13" t="str">
        <f>T("로맨스 e북 &gt; 현대물")</f>
        <v>로맨스 e북 &gt; 현대물</v>
      </c>
      <c r="AW13" t="str">
        <f>T("로맨스 e북 &gt; 19+")</f>
        <v>로맨스 e북 &gt; 19+</v>
      </c>
    </row>
    <row r="14" spans="1:51" x14ac:dyDescent="0.4">
      <c r="B14">
        <v>1525014427</v>
      </c>
      <c r="C14" t="str">
        <f>T("[e북]밤이 오는 소리")</f>
        <v>[e북]밤이 오는 소리</v>
      </c>
      <c r="E14" t="str">
        <f>T("마뇽")</f>
        <v>마뇽</v>
      </c>
      <c r="H14" t="str">
        <f t="shared" si="2"/>
        <v>밀리오리지널</v>
      </c>
      <c r="J14">
        <v>2000</v>
      </c>
      <c r="K14">
        <v>264000</v>
      </c>
      <c r="L14">
        <v>132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-2000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264000</v>
      </c>
      <c r="AH14">
        <v>132</v>
      </c>
      <c r="AI14">
        <v>-2000</v>
      </c>
      <c r="AJ14">
        <v>1</v>
      </c>
      <c r="AK14">
        <v>246900</v>
      </c>
      <c r="AL14">
        <v>-2000</v>
      </c>
      <c r="AM14">
        <v>17500</v>
      </c>
      <c r="AN14">
        <v>-720</v>
      </c>
      <c r="AO14">
        <v>0</v>
      </c>
      <c r="AP14" s="2">
        <v>183176</v>
      </c>
      <c r="AT14" t="str">
        <f>T("9791191562538")</f>
        <v>9791191562538</v>
      </c>
      <c r="AV14" t="str">
        <f>T("로판 e북 &gt; 가상 세계 로판")</f>
        <v>로판 e북 &gt; 가상 세계 로판</v>
      </c>
    </row>
    <row r="15" spans="1:51" x14ac:dyDescent="0.4">
      <c r="B15">
        <v>1525014428</v>
      </c>
      <c r="C15" t="str">
        <f>T("[e북]처녀 보쌈")</f>
        <v>[e북]처녀 보쌈</v>
      </c>
      <c r="E15" t="str">
        <f>T("김원경")</f>
        <v>김원경</v>
      </c>
      <c r="H15" t="str">
        <f t="shared" si="2"/>
        <v>밀리오리지널</v>
      </c>
      <c r="J15">
        <v>2500</v>
      </c>
      <c r="K15">
        <v>232500</v>
      </c>
      <c r="L15">
        <v>93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-2500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232500</v>
      </c>
      <c r="AH15">
        <v>93</v>
      </c>
      <c r="AI15">
        <v>-2500</v>
      </c>
      <c r="AJ15">
        <v>1</v>
      </c>
      <c r="AK15">
        <v>229963</v>
      </c>
      <c r="AL15">
        <v>-2500</v>
      </c>
      <c r="AM15">
        <v>2537</v>
      </c>
      <c r="AN15">
        <v>0</v>
      </c>
      <c r="AO15">
        <v>0</v>
      </c>
      <c r="AP15" s="2">
        <v>161000</v>
      </c>
      <c r="AT15" t="str">
        <f>T("9791191562804")</f>
        <v>9791191562804</v>
      </c>
      <c r="AV15" t="str">
        <f>T("로맨스 e북 &gt; 역사/시대물")</f>
        <v>로맨스 e북 &gt; 역사/시대물</v>
      </c>
      <c r="AW15" t="str">
        <f>T("로맨스 e북 &gt; 19+")</f>
        <v>로맨스 e북 &gt; 19+</v>
      </c>
    </row>
    <row r="16" spans="1:51" x14ac:dyDescent="0.4">
      <c r="B16">
        <v>1525014436</v>
      </c>
      <c r="C16" t="str">
        <f>T("[e북]탈각")</f>
        <v>[e북]탈각</v>
      </c>
      <c r="E16" t="str">
        <f>T("공호")</f>
        <v>공호</v>
      </c>
      <c r="H16" t="str">
        <f t="shared" si="2"/>
        <v>밀리오리지널</v>
      </c>
      <c r="J16">
        <v>3000</v>
      </c>
      <c r="K16">
        <v>228000</v>
      </c>
      <c r="L16">
        <v>76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228000</v>
      </c>
      <c r="AH16">
        <v>76</v>
      </c>
      <c r="AI16">
        <v>0</v>
      </c>
      <c r="AJ16">
        <v>0</v>
      </c>
      <c r="AK16">
        <v>228000</v>
      </c>
      <c r="AL16">
        <v>0</v>
      </c>
      <c r="AM16">
        <v>0</v>
      </c>
      <c r="AN16">
        <v>0</v>
      </c>
      <c r="AO16">
        <v>0</v>
      </c>
      <c r="AP16" s="2">
        <v>159600</v>
      </c>
      <c r="AT16" t="str">
        <f>T("9791191562811")</f>
        <v>9791191562811</v>
      </c>
      <c r="AV16" t="str">
        <f>T("로맨스 e북 &gt; 현대물")</f>
        <v>로맨스 e북 &gt; 현대물</v>
      </c>
      <c r="AW16" t="str">
        <f>T("로맨스 e북 &gt; 19+")</f>
        <v>로맨스 e북 &gt; 19+</v>
      </c>
    </row>
    <row r="17" spans="1:49" x14ac:dyDescent="0.4">
      <c r="B17">
        <v>1525014421</v>
      </c>
      <c r="C17" t="str">
        <f>T("[e북]브레이크 어웨이(Break Away)")</f>
        <v>[e북]브레이크 어웨이(Break Away)</v>
      </c>
      <c r="E17" t="str">
        <f>T("서정윤")</f>
        <v>서정윤</v>
      </c>
      <c r="H17" t="str">
        <f t="shared" si="2"/>
        <v>밀리오리지널</v>
      </c>
      <c r="J17">
        <v>2500</v>
      </c>
      <c r="K17">
        <v>157500</v>
      </c>
      <c r="L17">
        <v>63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-2500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157500</v>
      </c>
      <c r="AH17">
        <v>63</v>
      </c>
      <c r="AI17">
        <v>-2500</v>
      </c>
      <c r="AJ17">
        <v>1</v>
      </c>
      <c r="AK17">
        <v>142684</v>
      </c>
      <c r="AL17">
        <v>-2500</v>
      </c>
      <c r="AM17">
        <v>15316</v>
      </c>
      <c r="AN17">
        <v>-900</v>
      </c>
      <c r="AO17">
        <v>0</v>
      </c>
      <c r="AP17" s="2">
        <v>108220</v>
      </c>
      <c r="AT17" t="str">
        <f>T("9791191562453")</f>
        <v>9791191562453</v>
      </c>
      <c r="AV17" t="str">
        <f>T("로맨스 e북 &gt; 현대물")</f>
        <v>로맨스 e북 &gt; 현대물</v>
      </c>
    </row>
    <row r="18" spans="1:49" x14ac:dyDescent="0.4">
      <c r="B18">
        <v>1525013366</v>
      </c>
      <c r="C18" t="str">
        <f>T("[e북]낯선 밤에 마주친")</f>
        <v>[e북]낯선 밤에 마주친</v>
      </c>
      <c r="E18" t="str">
        <f>T("춈춈")</f>
        <v>춈춈</v>
      </c>
      <c r="H18" t="str">
        <f t="shared" si="2"/>
        <v>밀리오리지널</v>
      </c>
      <c r="J18">
        <v>2000</v>
      </c>
      <c r="K18">
        <v>146000</v>
      </c>
      <c r="L18">
        <v>73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-2000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146000</v>
      </c>
      <c r="AH18">
        <v>73</v>
      </c>
      <c r="AI18">
        <v>-2000</v>
      </c>
      <c r="AJ18">
        <v>1</v>
      </c>
      <c r="AK18">
        <v>140745</v>
      </c>
      <c r="AL18">
        <v>-2000</v>
      </c>
      <c r="AM18">
        <v>5608.27</v>
      </c>
      <c r="AN18">
        <v>-635.48</v>
      </c>
      <c r="AO18">
        <v>0</v>
      </c>
      <c r="AP18" s="2">
        <v>100602.45</v>
      </c>
      <c r="AR18" t="str">
        <f>T("0000000000000")</f>
        <v>0000000000000</v>
      </c>
      <c r="AT18" t="str">
        <f>T("9791191562019")</f>
        <v>9791191562019</v>
      </c>
      <c r="AV18" t="str">
        <f>T("로맨스 e북 &gt; 19+")</f>
        <v>로맨스 e북 &gt; 19+</v>
      </c>
      <c r="AW18" t="str">
        <f>T("로맨스 e북 &gt; 현대물")</f>
        <v>로맨스 e북 &gt; 현대물</v>
      </c>
    </row>
    <row r="19" spans="1:49" x14ac:dyDescent="0.4">
      <c r="B19">
        <v>1525014420</v>
      </c>
      <c r="C19" t="str">
        <f>T("[e북]사내 연애의 끝")</f>
        <v>[e북]사내 연애의 끝</v>
      </c>
      <c r="E19" t="str">
        <f>T("라벤더블루")</f>
        <v>라벤더블루</v>
      </c>
      <c r="H19" t="str">
        <f t="shared" si="2"/>
        <v>밀리오리지널</v>
      </c>
      <c r="J19">
        <v>2500</v>
      </c>
      <c r="K19">
        <v>120000</v>
      </c>
      <c r="L19">
        <v>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120000</v>
      </c>
      <c r="AH19">
        <v>48</v>
      </c>
      <c r="AI19">
        <v>0</v>
      </c>
      <c r="AJ19">
        <v>0</v>
      </c>
      <c r="AK19">
        <v>117500</v>
      </c>
      <c r="AL19">
        <v>0</v>
      </c>
      <c r="AM19">
        <v>3000</v>
      </c>
      <c r="AN19">
        <v>-900</v>
      </c>
      <c r="AO19">
        <v>0</v>
      </c>
      <c r="AP19" s="2">
        <v>83720</v>
      </c>
      <c r="AT19" t="str">
        <f>T("9791191562439")</f>
        <v>9791191562439</v>
      </c>
      <c r="AV19" t="str">
        <f>T("로맨스 e북 &gt; 현대물")</f>
        <v>로맨스 e북 &gt; 현대물</v>
      </c>
      <c r="AW19" t="str">
        <f>T("로맨스 e북 &gt; 19+")</f>
        <v>로맨스 e북 &gt; 19+</v>
      </c>
    </row>
    <row r="20" spans="1:49" x14ac:dyDescent="0.4">
      <c r="A20">
        <v>1525008170</v>
      </c>
      <c r="B20">
        <v>1525008171</v>
      </c>
      <c r="C20" t="str">
        <f>T("[e북]익스클루시브(Exclusive) 2권 (완결)")</f>
        <v>[e북]익스클루시브(Exclusive) 2권 (완결)</v>
      </c>
      <c r="D20" t="str">
        <f>T("2")</f>
        <v>2</v>
      </c>
      <c r="E20" t="str">
        <f>T("사틴")</f>
        <v>사틴</v>
      </c>
      <c r="H20" t="str">
        <f>T("블러쉬")</f>
        <v>블러쉬</v>
      </c>
      <c r="I20" t="str">
        <f>T("[e북]익스클루시브(Exclusive)")</f>
        <v>[e북]익스클루시브(Exclusive)</v>
      </c>
      <c r="J20">
        <v>3000</v>
      </c>
      <c r="K20">
        <v>111000</v>
      </c>
      <c r="L20">
        <v>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-3000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111000</v>
      </c>
      <c r="AH20">
        <v>37</v>
      </c>
      <c r="AI20">
        <v>-3000</v>
      </c>
      <c r="AJ20">
        <v>1</v>
      </c>
      <c r="AK20">
        <v>105670</v>
      </c>
      <c r="AL20">
        <v>-3000</v>
      </c>
      <c r="AM20">
        <v>6407.07</v>
      </c>
      <c r="AN20">
        <v>-1922.12</v>
      </c>
      <c r="AO20">
        <v>0</v>
      </c>
      <c r="AP20" s="2">
        <v>75008.47</v>
      </c>
      <c r="AR20" t="str">
        <f>T("0000000000000")</f>
        <v>0000000000000</v>
      </c>
      <c r="AT20" t="str">
        <f>T("9791166481710")</f>
        <v>9791166481710</v>
      </c>
      <c r="AV20" t="str">
        <f>T("BL 소설 e북 &gt; 현대물")</f>
        <v>BL 소설 e북 &gt; 현대물</v>
      </c>
    </row>
    <row r="21" spans="1:49" x14ac:dyDescent="0.4">
      <c r="B21">
        <v>1525013360</v>
      </c>
      <c r="C21" t="str">
        <f>T("[e북]너만 보면 두근 두근")</f>
        <v>[e북]너만 보면 두근 두근</v>
      </c>
      <c r="E21" t="str">
        <f>T("정경하")</f>
        <v>정경하</v>
      </c>
      <c r="H21" t="str">
        <f>T("밀리오리지널")</f>
        <v>밀리오리지널</v>
      </c>
      <c r="J21">
        <v>2500</v>
      </c>
      <c r="K21">
        <v>110000</v>
      </c>
      <c r="L21">
        <v>44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110000</v>
      </c>
      <c r="AH21">
        <v>44</v>
      </c>
      <c r="AI21">
        <v>0</v>
      </c>
      <c r="AJ21">
        <v>0</v>
      </c>
      <c r="AK21">
        <v>105332</v>
      </c>
      <c r="AL21">
        <v>0</v>
      </c>
      <c r="AM21">
        <v>5594.25</v>
      </c>
      <c r="AN21">
        <v>-1651.88</v>
      </c>
      <c r="AO21">
        <v>0</v>
      </c>
      <c r="AP21" s="2">
        <v>76492.06</v>
      </c>
      <c r="AR21" t="str">
        <f>T("0000000000000")</f>
        <v>0000000000000</v>
      </c>
      <c r="AT21" t="str">
        <f>T("9791191562002")</f>
        <v>9791191562002</v>
      </c>
      <c r="AV21" t="str">
        <f>T("로맨스 e북 &gt; 현대물")</f>
        <v>로맨스 e북 &gt; 현대물</v>
      </c>
      <c r="AW21" t="str">
        <f>T("로맨스 e북 &gt; 19+")</f>
        <v>로맨스 e북 &gt; 19+</v>
      </c>
    </row>
    <row r="22" spans="1:49" x14ac:dyDescent="0.4">
      <c r="A22">
        <v>1525008170</v>
      </c>
      <c r="B22">
        <v>1525008170</v>
      </c>
      <c r="C22" t="str">
        <f>T("[e북]익스클루시브(Exclusive) 1권")</f>
        <v>[e북]익스클루시브(Exclusive) 1권</v>
      </c>
      <c r="D22" t="str">
        <f>T("1")</f>
        <v>1</v>
      </c>
      <c r="E22" t="str">
        <f>T("사틴")</f>
        <v>사틴</v>
      </c>
      <c r="H22" t="str">
        <f>T("블러쉬")</f>
        <v>블러쉬</v>
      </c>
      <c r="I22" t="str">
        <f>T("[e북]익스클루시브(Exclusive)")</f>
        <v>[e북]익스클루시브(Exclusive)</v>
      </c>
      <c r="J22">
        <v>3000</v>
      </c>
      <c r="K22">
        <v>108000</v>
      </c>
      <c r="L22">
        <v>36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-3000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108000</v>
      </c>
      <c r="AH22">
        <v>36</v>
      </c>
      <c r="AI22">
        <v>-3000</v>
      </c>
      <c r="AJ22">
        <v>1</v>
      </c>
      <c r="AK22">
        <v>101600</v>
      </c>
      <c r="AL22">
        <v>-3000</v>
      </c>
      <c r="AM22">
        <v>6940</v>
      </c>
      <c r="AN22">
        <v>-972</v>
      </c>
      <c r="AO22">
        <v>0</v>
      </c>
      <c r="AP22" s="2">
        <v>73197.600000000006</v>
      </c>
      <c r="AR22" t="str">
        <f>T("0000000000000")</f>
        <v>0000000000000</v>
      </c>
      <c r="AT22" t="str">
        <f>T("9791166481703")</f>
        <v>9791166481703</v>
      </c>
      <c r="AV22" t="str">
        <f>T("BL 소설 e북 &gt; 현대물")</f>
        <v>BL 소설 e북 &gt; 현대물</v>
      </c>
    </row>
    <row r="23" spans="1:49" x14ac:dyDescent="0.4">
      <c r="B23">
        <v>1525014422</v>
      </c>
      <c r="C23" t="str">
        <f>T("[e북]이번 생은 망한 줄 알았는데")</f>
        <v>[e북]이번 생은 망한 줄 알았는데</v>
      </c>
      <c r="E23" t="str">
        <f>T("이윤미")</f>
        <v>이윤미</v>
      </c>
      <c r="H23" t="str">
        <f t="shared" ref="H23:H31" si="3">T("밀리오리지널")</f>
        <v>밀리오리지널</v>
      </c>
      <c r="J23">
        <v>2500</v>
      </c>
      <c r="K23">
        <v>95000</v>
      </c>
      <c r="L23">
        <v>38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95000</v>
      </c>
      <c r="AH23">
        <v>38</v>
      </c>
      <c r="AI23">
        <v>0</v>
      </c>
      <c r="AJ23">
        <v>0</v>
      </c>
      <c r="AK23">
        <v>95000</v>
      </c>
      <c r="AL23">
        <v>0</v>
      </c>
      <c r="AM23">
        <v>0</v>
      </c>
      <c r="AN23">
        <v>0</v>
      </c>
      <c r="AO23">
        <v>0</v>
      </c>
      <c r="AP23" s="2">
        <v>66500</v>
      </c>
      <c r="AT23" t="str">
        <f>T("9791191562460")</f>
        <v>9791191562460</v>
      </c>
      <c r="AV23" t="str">
        <f>T("로맨스 e북 &gt; 현대물")</f>
        <v>로맨스 e북 &gt; 현대물</v>
      </c>
    </row>
    <row r="24" spans="1:49" x14ac:dyDescent="0.4">
      <c r="B24">
        <v>1525014433</v>
      </c>
      <c r="C24" t="str">
        <f>T("[e북]깃들다")</f>
        <v>[e북]깃들다</v>
      </c>
      <c r="E24" t="str">
        <f>T("현진서")</f>
        <v>현진서</v>
      </c>
      <c r="H24" t="str">
        <f t="shared" si="3"/>
        <v>밀리오리지널</v>
      </c>
      <c r="J24">
        <v>2500</v>
      </c>
      <c r="K24">
        <v>80000</v>
      </c>
      <c r="L24">
        <v>32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-7500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80000</v>
      </c>
      <c r="AH24">
        <v>32</v>
      </c>
      <c r="AI24">
        <v>-7500</v>
      </c>
      <c r="AJ24">
        <v>3</v>
      </c>
      <c r="AK24">
        <v>80000</v>
      </c>
      <c r="AL24">
        <v>-7500</v>
      </c>
      <c r="AM24">
        <v>0</v>
      </c>
      <c r="AN24">
        <v>0</v>
      </c>
      <c r="AO24">
        <v>0</v>
      </c>
      <c r="AP24" s="2">
        <v>50750</v>
      </c>
      <c r="AT24" t="str">
        <f>T("9791191562514")</f>
        <v>9791191562514</v>
      </c>
      <c r="AV24" t="str">
        <f>T("로맨스 e북 &gt; 현대물")</f>
        <v>로맨스 e북 &gt; 현대물</v>
      </c>
      <c r="AW24" t="str">
        <f>T("로맨스 e북 &gt; 19+")</f>
        <v>로맨스 e북 &gt; 19+</v>
      </c>
    </row>
    <row r="25" spans="1:49" x14ac:dyDescent="0.4">
      <c r="B25">
        <v>1525013429</v>
      </c>
      <c r="C25" t="str">
        <f>T("[e북]연애의 시작")</f>
        <v>[e북]연애의 시작</v>
      </c>
      <c r="E25" t="str">
        <f>T("차크")</f>
        <v>차크</v>
      </c>
      <c r="H25" t="str">
        <f t="shared" si="3"/>
        <v>밀리오리지널</v>
      </c>
      <c r="J25">
        <v>3000</v>
      </c>
      <c r="K25">
        <v>75600</v>
      </c>
      <c r="L25">
        <v>28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75600</v>
      </c>
      <c r="AH25">
        <v>28</v>
      </c>
      <c r="AI25">
        <v>0</v>
      </c>
      <c r="AJ25">
        <v>0</v>
      </c>
      <c r="AK25">
        <v>69500</v>
      </c>
      <c r="AL25">
        <v>0</v>
      </c>
      <c r="AM25">
        <v>6100</v>
      </c>
      <c r="AN25">
        <v>0</v>
      </c>
      <c r="AO25">
        <v>0</v>
      </c>
      <c r="AP25" s="2">
        <v>52920</v>
      </c>
      <c r="AT25" t="str">
        <f>T("9791191562101")</f>
        <v>9791191562101</v>
      </c>
      <c r="AV25" t="str">
        <f>T("로맨스 e북 &gt; 현대물")</f>
        <v>로맨스 e북 &gt; 현대물</v>
      </c>
      <c r="AW25" t="str">
        <f>T("로맨스 e북 &gt; 19+")</f>
        <v>로맨스 e북 &gt; 19+</v>
      </c>
    </row>
    <row r="26" spans="1:49" x14ac:dyDescent="0.4">
      <c r="B26">
        <v>1525014013</v>
      </c>
      <c r="C26" t="str">
        <f>T("[e북]이별 그리고 그 후")</f>
        <v>[e북]이별 그리고 그 후</v>
      </c>
      <c r="E26" t="str">
        <f>T("최현자")</f>
        <v>최현자</v>
      </c>
      <c r="H26" t="str">
        <f t="shared" si="3"/>
        <v>밀리오리지널</v>
      </c>
      <c r="J26">
        <v>2000</v>
      </c>
      <c r="K26">
        <v>68000</v>
      </c>
      <c r="L26">
        <v>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68000</v>
      </c>
      <c r="AH26">
        <v>34</v>
      </c>
      <c r="AI26">
        <v>0</v>
      </c>
      <c r="AJ26">
        <v>0</v>
      </c>
      <c r="AK26">
        <v>66000</v>
      </c>
      <c r="AL26">
        <v>0</v>
      </c>
      <c r="AM26">
        <v>2000</v>
      </c>
      <c r="AN26">
        <v>0</v>
      </c>
      <c r="AO26">
        <v>0</v>
      </c>
      <c r="AP26" s="2">
        <v>47600</v>
      </c>
      <c r="AT26" t="str">
        <f>T("9791191562415")</f>
        <v>9791191562415</v>
      </c>
      <c r="AV26" t="str">
        <f>T("로맨스 e북 &gt; 현대물")</f>
        <v>로맨스 e북 &gt; 현대물</v>
      </c>
      <c r="AW26" t="str">
        <f>T("로맨스 e북 &gt; 19+")</f>
        <v>로맨스 e북 &gt; 19+</v>
      </c>
    </row>
    <row r="27" spans="1:49" x14ac:dyDescent="0.4">
      <c r="B27">
        <v>1525014007</v>
      </c>
      <c r="C27" t="str">
        <f>T("[e북]어게인(Again)")</f>
        <v>[e북]어게인(Again)</v>
      </c>
      <c r="E27" t="str">
        <f>T("최준서")</f>
        <v>최준서</v>
      </c>
      <c r="H27" t="str">
        <f t="shared" si="3"/>
        <v>밀리오리지널</v>
      </c>
      <c r="J27">
        <v>3500</v>
      </c>
      <c r="K27">
        <v>66500</v>
      </c>
      <c r="L27">
        <v>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66500</v>
      </c>
      <c r="AH27">
        <v>19</v>
      </c>
      <c r="AI27">
        <v>0</v>
      </c>
      <c r="AJ27">
        <v>0</v>
      </c>
      <c r="AK27">
        <v>66500</v>
      </c>
      <c r="AL27">
        <v>0</v>
      </c>
      <c r="AM27">
        <v>0</v>
      </c>
      <c r="AN27">
        <v>0</v>
      </c>
      <c r="AO27">
        <v>0</v>
      </c>
      <c r="AP27" s="2">
        <v>46550</v>
      </c>
      <c r="AT27" t="str">
        <f>T("9791191562330")</f>
        <v>9791191562330</v>
      </c>
      <c r="AV27" t="str">
        <f>T("로맨스 e북 &gt; 현대물")</f>
        <v>로맨스 e북 &gt; 현대물</v>
      </c>
      <c r="AW27" t="str">
        <f>T("로맨스 e북 &gt; 19+")</f>
        <v>로맨스 e북 &gt; 19+</v>
      </c>
    </row>
    <row r="28" spans="1:49" x14ac:dyDescent="0.4">
      <c r="B28">
        <v>1525013343</v>
      </c>
      <c r="C28" t="str">
        <f>T("[e북]붉은 정자-살라댕")</f>
        <v>[e북]붉은 정자-살라댕</v>
      </c>
      <c r="E28" t="str">
        <f>T("라벤더블루")</f>
        <v>라벤더블루</v>
      </c>
      <c r="H28" t="str">
        <f t="shared" si="3"/>
        <v>밀리오리지널</v>
      </c>
      <c r="J28">
        <v>2500</v>
      </c>
      <c r="K28">
        <v>65000</v>
      </c>
      <c r="L28">
        <v>26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65000</v>
      </c>
      <c r="AH28">
        <v>26</v>
      </c>
      <c r="AI28">
        <v>0</v>
      </c>
      <c r="AJ28">
        <v>0</v>
      </c>
      <c r="AK28">
        <v>65000</v>
      </c>
      <c r="AL28">
        <v>0</v>
      </c>
      <c r="AM28">
        <v>0</v>
      </c>
      <c r="AN28">
        <v>0</v>
      </c>
      <c r="AO28">
        <v>0</v>
      </c>
      <c r="AP28" s="2">
        <v>45500</v>
      </c>
      <c r="AR28" t="str">
        <f>T("0000000000000")</f>
        <v>0000000000000</v>
      </c>
      <c r="AT28" t="str">
        <f>T("9791196945268")</f>
        <v>9791196945268</v>
      </c>
      <c r="AV28" t="str">
        <f>T("로판 e북 &gt; 서양풍 로판")</f>
        <v>로판 e북 &gt; 서양풍 로판</v>
      </c>
    </row>
    <row r="29" spans="1:49" x14ac:dyDescent="0.4">
      <c r="B29">
        <v>1525014429</v>
      </c>
      <c r="C29" t="str">
        <f>T("[e북]아득히 먼 훗날 우리가")</f>
        <v>[e북]아득히 먼 훗날 우리가</v>
      </c>
      <c r="E29" t="str">
        <f>T("수련")</f>
        <v>수련</v>
      </c>
      <c r="H29" t="str">
        <f t="shared" si="3"/>
        <v>밀리오리지널</v>
      </c>
      <c r="J29">
        <v>2500</v>
      </c>
      <c r="K29">
        <v>65000</v>
      </c>
      <c r="L29">
        <v>26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65000</v>
      </c>
      <c r="AH29">
        <v>26</v>
      </c>
      <c r="AI29">
        <v>0</v>
      </c>
      <c r="AJ29">
        <v>0</v>
      </c>
      <c r="AK29">
        <v>62500</v>
      </c>
      <c r="AL29">
        <v>0</v>
      </c>
      <c r="AM29">
        <v>2500</v>
      </c>
      <c r="AN29">
        <v>0</v>
      </c>
      <c r="AO29">
        <v>0</v>
      </c>
      <c r="AP29" s="2">
        <v>45500</v>
      </c>
      <c r="AT29" t="str">
        <f>T("9791191562781")</f>
        <v>9791191562781</v>
      </c>
      <c r="AV29" t="str">
        <f>T("로맨스 e북 &gt; 현대물")</f>
        <v>로맨스 e북 &gt; 현대물</v>
      </c>
    </row>
    <row r="30" spans="1:49" x14ac:dyDescent="0.4">
      <c r="B30">
        <v>1525013439</v>
      </c>
      <c r="C30" t="str">
        <f>T("[e북]이차적 일탈")</f>
        <v>[e북]이차적 일탈</v>
      </c>
      <c r="E30" t="str">
        <f>T("서혜은")</f>
        <v>서혜은</v>
      </c>
      <c r="H30" t="str">
        <f t="shared" si="3"/>
        <v>밀리오리지널</v>
      </c>
      <c r="J30">
        <v>2000</v>
      </c>
      <c r="K30">
        <v>56000</v>
      </c>
      <c r="L30">
        <v>28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56000</v>
      </c>
      <c r="AH30">
        <v>28</v>
      </c>
      <c r="AI30">
        <v>0</v>
      </c>
      <c r="AJ30">
        <v>0</v>
      </c>
      <c r="AK30">
        <v>54000</v>
      </c>
      <c r="AL30">
        <v>0</v>
      </c>
      <c r="AM30">
        <v>2400</v>
      </c>
      <c r="AN30">
        <v>-720</v>
      </c>
      <c r="AO30">
        <v>0</v>
      </c>
      <c r="AP30" s="2">
        <v>38976</v>
      </c>
      <c r="AR30" t="str">
        <f>T("0000000000000")</f>
        <v>0000000000000</v>
      </c>
      <c r="AT30" t="str">
        <f>T("9791191562163")</f>
        <v>9791191562163</v>
      </c>
      <c r="AV30" t="str">
        <f>T("로맨스 e북 &gt; 현대물")</f>
        <v>로맨스 e북 &gt; 현대물</v>
      </c>
      <c r="AW30" t="str">
        <f>T("로맨스 e북 &gt; 19+")</f>
        <v>로맨스 e북 &gt; 19+</v>
      </c>
    </row>
    <row r="31" spans="1:49" x14ac:dyDescent="0.4">
      <c r="B31">
        <v>1525014011</v>
      </c>
      <c r="C31" t="str">
        <f>T("[e북]유일한 취미")</f>
        <v>[e북]유일한 취미</v>
      </c>
      <c r="E31" t="str">
        <f>T("서혜은")</f>
        <v>서혜은</v>
      </c>
      <c r="H31" t="str">
        <f t="shared" si="3"/>
        <v>밀리오리지널</v>
      </c>
      <c r="J31">
        <v>2000</v>
      </c>
      <c r="K31">
        <v>52000</v>
      </c>
      <c r="L31">
        <v>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52000</v>
      </c>
      <c r="AH31">
        <v>26</v>
      </c>
      <c r="AI31">
        <v>0</v>
      </c>
      <c r="AJ31">
        <v>0</v>
      </c>
      <c r="AK31">
        <v>52000</v>
      </c>
      <c r="AL31">
        <v>0</v>
      </c>
      <c r="AM31">
        <v>0</v>
      </c>
      <c r="AN31">
        <v>0</v>
      </c>
      <c r="AO31">
        <v>0</v>
      </c>
      <c r="AP31" s="2">
        <v>36400</v>
      </c>
      <c r="AR31" t="str">
        <f>T("0000000000000")</f>
        <v>0000000000000</v>
      </c>
      <c r="AT31" t="str">
        <f>T("9791191562408")</f>
        <v>9791191562408</v>
      </c>
      <c r="AV31" t="str">
        <f>T("로판 e북 &gt; 서양풍 로판")</f>
        <v>로판 e북 &gt; 서양풍 로판</v>
      </c>
    </row>
    <row r="32" spans="1:49" x14ac:dyDescent="0.4">
      <c r="A32">
        <v>1525008174</v>
      </c>
      <c r="B32">
        <v>1525008174</v>
      </c>
      <c r="C32" t="str">
        <f>T("[e북]자비를 베푸소서(Miserere Nobis) 1권")</f>
        <v>[e북]자비를 베푸소서(Miserere Nobis) 1권</v>
      </c>
      <c r="D32" t="str">
        <f>T("1")</f>
        <v>1</v>
      </c>
      <c r="E32" t="str">
        <f>T("SISSI")</f>
        <v>SISSI</v>
      </c>
      <c r="H32" t="str">
        <f>T("블러쉬")</f>
        <v>블러쉬</v>
      </c>
      <c r="I32" t="str">
        <f>T("[e북]자비를 베푸소서(Miserere Nobis)")</f>
        <v>[e북]자비를 베푸소서(Miserere Nobis)</v>
      </c>
      <c r="J32">
        <v>2800</v>
      </c>
      <c r="K32">
        <v>47600</v>
      </c>
      <c r="L32">
        <v>17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47600</v>
      </c>
      <c r="AH32">
        <v>17</v>
      </c>
      <c r="AI32">
        <v>0</v>
      </c>
      <c r="AJ32">
        <v>0</v>
      </c>
      <c r="AK32">
        <v>47600</v>
      </c>
      <c r="AL32">
        <v>0</v>
      </c>
      <c r="AM32">
        <v>0</v>
      </c>
      <c r="AN32">
        <v>0</v>
      </c>
      <c r="AO32">
        <v>0</v>
      </c>
      <c r="AP32" s="2">
        <v>33320</v>
      </c>
      <c r="AR32" t="str">
        <f>T("0000000000000")</f>
        <v>0000000000000</v>
      </c>
      <c r="AT32" t="str">
        <f>T("9791166481086")</f>
        <v>9791166481086</v>
      </c>
      <c r="AV32" t="str">
        <f>T("BL 소설 e북 &gt; 현대물")</f>
        <v>BL 소설 e북 &gt; 현대물</v>
      </c>
    </row>
    <row r="33" spans="1:49" x14ac:dyDescent="0.4">
      <c r="B33">
        <v>1525013365</v>
      </c>
      <c r="C33" t="str">
        <f>T("[e북]세이브 미(Save Me)")</f>
        <v>[e북]세이브 미(Save Me)</v>
      </c>
      <c r="E33" t="str">
        <f>T("우유양")</f>
        <v>우유양</v>
      </c>
      <c r="H33" t="str">
        <f>T("밀리오리지널")</f>
        <v>밀리오리지널</v>
      </c>
      <c r="J33">
        <v>2500</v>
      </c>
      <c r="K33">
        <v>47500</v>
      </c>
      <c r="L33">
        <v>19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47500</v>
      </c>
      <c r="AH33">
        <v>19</v>
      </c>
      <c r="AI33">
        <v>0</v>
      </c>
      <c r="AJ33">
        <v>0</v>
      </c>
      <c r="AK33">
        <v>42400</v>
      </c>
      <c r="AL33">
        <v>0</v>
      </c>
      <c r="AM33">
        <v>5664.3</v>
      </c>
      <c r="AN33">
        <v>-1024.29</v>
      </c>
      <c r="AO33">
        <v>0</v>
      </c>
      <c r="AP33" s="2">
        <v>32928.01</v>
      </c>
      <c r="AR33" t="str">
        <f>T("0000000000000")</f>
        <v>0000000000000</v>
      </c>
      <c r="AT33" t="str">
        <f>T("9791196945275")</f>
        <v>9791196945275</v>
      </c>
      <c r="AV33" t="str">
        <f>T("로맨스 e북 &gt; 현대물")</f>
        <v>로맨스 e북 &gt; 현대물</v>
      </c>
    </row>
    <row r="34" spans="1:49" x14ac:dyDescent="0.4">
      <c r="A34">
        <v>1525008174</v>
      </c>
      <c r="B34">
        <v>1525008175</v>
      </c>
      <c r="C34" t="str">
        <f>T("[e북]자비를 베푸소서(Miserere Nobis) 2권 (완결)")</f>
        <v>[e북]자비를 베푸소서(Miserere Nobis) 2권 (완결)</v>
      </c>
      <c r="D34" t="str">
        <f>T("2")</f>
        <v>2</v>
      </c>
      <c r="E34" t="str">
        <f>T("SISSI")</f>
        <v>SISSI</v>
      </c>
      <c r="H34" t="str">
        <f>T("블러쉬")</f>
        <v>블러쉬</v>
      </c>
      <c r="I34" t="str">
        <f>T("[e북]자비를 베푸소서(Miserere Nobis)")</f>
        <v>[e북]자비를 베푸소서(Miserere Nobis)</v>
      </c>
      <c r="J34">
        <v>2800</v>
      </c>
      <c r="K34">
        <v>42000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42000</v>
      </c>
      <c r="AH34">
        <v>15</v>
      </c>
      <c r="AI34">
        <v>0</v>
      </c>
      <c r="AJ34">
        <v>0</v>
      </c>
      <c r="AK34">
        <v>42000</v>
      </c>
      <c r="AL34">
        <v>0</v>
      </c>
      <c r="AM34">
        <v>0</v>
      </c>
      <c r="AN34">
        <v>0</v>
      </c>
      <c r="AO34">
        <v>0</v>
      </c>
      <c r="AP34" s="2">
        <v>29400</v>
      </c>
      <c r="AR34" t="str">
        <f>T("0000000000000")</f>
        <v>0000000000000</v>
      </c>
      <c r="AT34" t="str">
        <f>T("9791166481093")</f>
        <v>9791166481093</v>
      </c>
      <c r="AV34" t="str">
        <f>T("BL 소설 e북 &gt; 현대물")</f>
        <v>BL 소설 e북 &gt; 현대물</v>
      </c>
    </row>
    <row r="35" spans="1:49" x14ac:dyDescent="0.4">
      <c r="B35">
        <v>1525013652</v>
      </c>
      <c r="C35" t="str">
        <f>T("[e북]꽃처럼 너를 안는다")</f>
        <v>[e북]꽃처럼 너를 안는다</v>
      </c>
      <c r="E35" t="str">
        <f>T("반지영")</f>
        <v>반지영</v>
      </c>
      <c r="H35" t="str">
        <f>T("밀리오리지널")</f>
        <v>밀리오리지널</v>
      </c>
      <c r="J35">
        <v>2000</v>
      </c>
      <c r="K35">
        <v>38000</v>
      </c>
      <c r="L35">
        <v>19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38000</v>
      </c>
      <c r="AH35">
        <v>19</v>
      </c>
      <c r="AI35">
        <v>0</v>
      </c>
      <c r="AJ35">
        <v>0</v>
      </c>
      <c r="AK35">
        <v>36000</v>
      </c>
      <c r="AL35">
        <v>0</v>
      </c>
      <c r="AM35">
        <v>2000</v>
      </c>
      <c r="AN35">
        <v>0</v>
      </c>
      <c r="AO35">
        <v>0</v>
      </c>
      <c r="AP35" s="2">
        <v>26600</v>
      </c>
      <c r="AT35" t="str">
        <f>T("9791191562255")</f>
        <v>9791191562255</v>
      </c>
      <c r="AV35" t="str">
        <f>T("로맨스 e북 &gt; 현대물")</f>
        <v>로맨스 e북 &gt; 현대물</v>
      </c>
      <c r="AW35" t="str">
        <f>T("로맨스 e북 &gt; 19+")</f>
        <v>로맨스 e북 &gt; 19+</v>
      </c>
    </row>
    <row r="36" spans="1:49" x14ac:dyDescent="0.4">
      <c r="B36">
        <v>1525013654</v>
      </c>
      <c r="C36" t="str">
        <f>T("[e북]너와 나의 절정")</f>
        <v>[e북]너와 나의 절정</v>
      </c>
      <c r="E36" t="str">
        <f>T("공호")</f>
        <v>공호</v>
      </c>
      <c r="H36" t="str">
        <f>T("밀리오리지널")</f>
        <v>밀리오리지널</v>
      </c>
      <c r="J36">
        <v>2500</v>
      </c>
      <c r="K36">
        <v>35000</v>
      </c>
      <c r="L36">
        <v>14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35000</v>
      </c>
      <c r="AH36">
        <v>14</v>
      </c>
      <c r="AI36">
        <v>0</v>
      </c>
      <c r="AJ36">
        <v>0</v>
      </c>
      <c r="AK36">
        <v>35000</v>
      </c>
      <c r="AL36">
        <v>0</v>
      </c>
      <c r="AM36">
        <v>0</v>
      </c>
      <c r="AN36">
        <v>0</v>
      </c>
      <c r="AO36">
        <v>0</v>
      </c>
      <c r="AP36" s="2">
        <v>24500</v>
      </c>
      <c r="AT36" t="str">
        <f>T("9791191562224")</f>
        <v>9791191562224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4">
      <c r="B37">
        <v>1525013430</v>
      </c>
      <c r="C37" t="str">
        <f>T("[e북]고은 나의 고은")</f>
        <v>[e북]고은 나의 고은</v>
      </c>
      <c r="E37" t="str">
        <f>T("서풍")</f>
        <v>서풍</v>
      </c>
      <c r="H37" t="str">
        <f>T("밀리오리지널")</f>
        <v>밀리오리지널</v>
      </c>
      <c r="J37">
        <v>3600</v>
      </c>
      <c r="K37">
        <v>32760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32760</v>
      </c>
      <c r="AH37">
        <v>10</v>
      </c>
      <c r="AI37">
        <v>0</v>
      </c>
      <c r="AJ37">
        <v>0</v>
      </c>
      <c r="AK37">
        <v>32760</v>
      </c>
      <c r="AL37">
        <v>0</v>
      </c>
      <c r="AM37">
        <v>0</v>
      </c>
      <c r="AN37">
        <v>0</v>
      </c>
      <c r="AO37">
        <v>0</v>
      </c>
      <c r="AP37" s="2">
        <v>22932</v>
      </c>
      <c r="AT37" t="str">
        <f>T("9791191562095")</f>
        <v>9791191562095</v>
      </c>
      <c r="AV37" t="str">
        <f>T("로맨스 e북 &gt; 현대물")</f>
        <v>로맨스 e북 &gt; 현대물</v>
      </c>
    </row>
    <row r="38" spans="1:49" x14ac:dyDescent="0.4">
      <c r="B38">
        <v>1525014424</v>
      </c>
      <c r="C38" t="str">
        <f>T("[e북]수면제")</f>
        <v>[e북]수면제</v>
      </c>
      <c r="E38" t="str">
        <f>T("명우")</f>
        <v>명우</v>
      </c>
      <c r="H38" t="str">
        <f>T("밀리오리지널")</f>
        <v>밀리오리지널</v>
      </c>
      <c r="J38">
        <v>2000</v>
      </c>
      <c r="K38">
        <v>32000</v>
      </c>
      <c r="L38">
        <v>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32000</v>
      </c>
      <c r="AH38">
        <v>16</v>
      </c>
      <c r="AI38">
        <v>0</v>
      </c>
      <c r="AJ38">
        <v>0</v>
      </c>
      <c r="AK38">
        <v>32000</v>
      </c>
      <c r="AL38">
        <v>0</v>
      </c>
      <c r="AM38">
        <v>0</v>
      </c>
      <c r="AN38">
        <v>0</v>
      </c>
      <c r="AO38">
        <v>0</v>
      </c>
      <c r="AP38" s="2">
        <v>22400</v>
      </c>
      <c r="AT38" t="str">
        <f>T("9791191562477")</f>
        <v>9791191562477</v>
      </c>
      <c r="AV38" t="str">
        <f>T("로맨스 e북 &gt; 현대물")</f>
        <v>로맨스 e북 &gt; 현대물</v>
      </c>
      <c r="AW38" t="str">
        <f>T("로맨스 e북 &gt; 19+")</f>
        <v>로맨스 e북 &gt; 19+</v>
      </c>
    </row>
    <row r="39" spans="1:49" x14ac:dyDescent="0.4">
      <c r="A39">
        <v>1525008193</v>
      </c>
      <c r="B39">
        <v>1525008193</v>
      </c>
      <c r="C39" t="str">
        <f>T("[e북]택스 프리(TAX FREE) 1권")</f>
        <v>[e북]택스 프리(TAX FREE) 1권</v>
      </c>
      <c r="D39" t="str">
        <f>T("1")</f>
        <v>1</v>
      </c>
      <c r="E39" t="str">
        <f>T("SISSI")</f>
        <v>SISSI</v>
      </c>
      <c r="H39" t="str">
        <f>T("블러쉬")</f>
        <v>블러쉬</v>
      </c>
      <c r="I39" t="str">
        <f>T("[e북]택스 프리(TAX FREE)")</f>
        <v>[e북]택스 프리(TAX FREE)</v>
      </c>
      <c r="J39">
        <v>2800</v>
      </c>
      <c r="K39">
        <v>30800</v>
      </c>
      <c r="L39">
        <v>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30800</v>
      </c>
      <c r="AH39">
        <v>11</v>
      </c>
      <c r="AI39">
        <v>0</v>
      </c>
      <c r="AJ39">
        <v>0</v>
      </c>
      <c r="AK39">
        <v>30800</v>
      </c>
      <c r="AL39">
        <v>0</v>
      </c>
      <c r="AM39">
        <v>0</v>
      </c>
      <c r="AN39">
        <v>0</v>
      </c>
      <c r="AO39">
        <v>0</v>
      </c>
      <c r="AP39" s="2">
        <v>21560</v>
      </c>
      <c r="AR39" t="str">
        <f>T("0000000000000")</f>
        <v>0000000000000</v>
      </c>
      <c r="AT39" t="str">
        <f>T("9791166481871")</f>
        <v>9791166481871</v>
      </c>
      <c r="AV39" t="str">
        <f>T("BL 소설 e북 &gt; 현대물")</f>
        <v>BL 소설 e북 &gt; 현대물</v>
      </c>
    </row>
    <row r="40" spans="1:49" x14ac:dyDescent="0.4">
      <c r="B40">
        <v>1525013441</v>
      </c>
      <c r="C40" t="str">
        <f>T("[e북]사랑 그리고 그 후")</f>
        <v>[e북]사랑 그리고 그 후</v>
      </c>
      <c r="E40" t="str">
        <f>T("최현자")</f>
        <v>최현자</v>
      </c>
      <c r="H40" t="str">
        <f>T("밀리오리지널")</f>
        <v>밀리오리지널</v>
      </c>
      <c r="J40">
        <v>2000</v>
      </c>
      <c r="K40">
        <v>30000</v>
      </c>
      <c r="L40">
        <v>15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30000</v>
      </c>
      <c r="AH40">
        <v>15</v>
      </c>
      <c r="AI40">
        <v>0</v>
      </c>
      <c r="AJ40">
        <v>0</v>
      </c>
      <c r="AK40">
        <v>28000</v>
      </c>
      <c r="AL40">
        <v>0</v>
      </c>
      <c r="AM40">
        <v>2000</v>
      </c>
      <c r="AN40">
        <v>0</v>
      </c>
      <c r="AO40">
        <v>0</v>
      </c>
      <c r="AP40" s="2">
        <v>21000</v>
      </c>
      <c r="AT40" t="str">
        <f>T("9791191562149")</f>
        <v>9791191562149</v>
      </c>
      <c r="AV40" t="str">
        <f>T("로맨스 e북 &gt; 현대물")</f>
        <v>로맨스 e북 &gt; 현대물</v>
      </c>
      <c r="AW40" t="str">
        <f>T("로맨스 e북 &gt; 19+")</f>
        <v>로맨스 e북 &gt; 19+</v>
      </c>
    </row>
    <row r="41" spans="1:49" x14ac:dyDescent="0.4">
      <c r="B41">
        <v>1525013361</v>
      </c>
      <c r="C41" t="str">
        <f>T("[e북]설국연가")</f>
        <v>[e북]설국연가</v>
      </c>
      <c r="E41" t="str">
        <f>T("마뇽")</f>
        <v>마뇽</v>
      </c>
      <c r="H41" t="str">
        <f>T("밀리오리지널")</f>
        <v>밀리오리지널</v>
      </c>
      <c r="J41">
        <v>2000</v>
      </c>
      <c r="K41">
        <v>30000</v>
      </c>
      <c r="L41">
        <v>15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30000</v>
      </c>
      <c r="AH41">
        <v>15</v>
      </c>
      <c r="AI41">
        <v>0</v>
      </c>
      <c r="AJ41">
        <v>0</v>
      </c>
      <c r="AK41">
        <v>26000</v>
      </c>
      <c r="AL41">
        <v>0</v>
      </c>
      <c r="AM41">
        <v>4400</v>
      </c>
      <c r="AN41">
        <v>-720</v>
      </c>
      <c r="AO41">
        <v>0</v>
      </c>
      <c r="AP41" s="2">
        <v>20776</v>
      </c>
      <c r="AR41" t="str">
        <f t="shared" ref="AR41:AR47" si="4">T("0000000000000")</f>
        <v>0000000000000</v>
      </c>
      <c r="AT41" t="str">
        <f>T("9791191562033")</f>
        <v>9791191562033</v>
      </c>
      <c r="AV41" t="str">
        <f>T("로맨스 e북 &gt; 19+")</f>
        <v>로맨스 e북 &gt; 19+</v>
      </c>
      <c r="AW41" t="str">
        <f>T("로맨스 e북 &gt; 역사/시대물")</f>
        <v>로맨스 e북 &gt; 역사/시대물</v>
      </c>
    </row>
    <row r="42" spans="1:49" x14ac:dyDescent="0.4">
      <c r="A42">
        <v>1525005640</v>
      </c>
      <c r="B42">
        <v>1525013334</v>
      </c>
      <c r="C42" t="str">
        <f>T("[e북]회귀의 전설 3부 46권")</f>
        <v>[e북]회귀의 전설 3부 46권</v>
      </c>
      <c r="D42" t="str">
        <f>T("46")</f>
        <v>46</v>
      </c>
      <c r="E42" t="str">
        <f>T("김광수")</f>
        <v>김광수</v>
      </c>
      <c r="H42" t="str">
        <f>T("스토리위즈")</f>
        <v>스토리위즈</v>
      </c>
      <c r="I42" t="str">
        <f>T("[e북]회귀의 전설")</f>
        <v>[e북]회귀의 전설</v>
      </c>
      <c r="J42">
        <v>3200</v>
      </c>
      <c r="K42">
        <v>28800</v>
      </c>
      <c r="L42">
        <v>9</v>
      </c>
      <c r="M42">
        <v>0</v>
      </c>
      <c r="N42">
        <v>900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2250</v>
      </c>
      <c r="V42">
        <v>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31950</v>
      </c>
      <c r="AH42">
        <v>15</v>
      </c>
      <c r="AI42">
        <v>0</v>
      </c>
      <c r="AJ42">
        <v>0</v>
      </c>
      <c r="AK42">
        <v>25717</v>
      </c>
      <c r="AL42">
        <v>0</v>
      </c>
      <c r="AM42">
        <v>6839.6</v>
      </c>
      <c r="AN42">
        <v>-1091.8800000000001</v>
      </c>
      <c r="AO42">
        <v>0</v>
      </c>
      <c r="AP42" s="2">
        <v>22025.3</v>
      </c>
      <c r="AR42" t="str">
        <f t="shared" si="4"/>
        <v>0000000000000</v>
      </c>
      <c r="AT42" t="str">
        <f>T("9791166300820")</f>
        <v>9791166300820</v>
      </c>
      <c r="AV42" t="str">
        <f>T("판타지 e북 &gt; 현대 판타지")</f>
        <v>판타지 e북 &gt; 현대 판타지</v>
      </c>
    </row>
    <row r="43" spans="1:49" x14ac:dyDescent="0.4">
      <c r="B43">
        <v>1525013426</v>
      </c>
      <c r="C43" t="str">
        <f>T("[e북]새벽달")</f>
        <v>[e북]새벽달</v>
      </c>
      <c r="E43" t="str">
        <f>T("김혜연")</f>
        <v>김혜연</v>
      </c>
      <c r="H43" t="str">
        <f>T("밀리오리지널")</f>
        <v>밀리오리지널</v>
      </c>
      <c r="J43">
        <v>2500</v>
      </c>
      <c r="K43">
        <v>27000</v>
      </c>
      <c r="L43">
        <v>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27000</v>
      </c>
      <c r="AH43">
        <v>12</v>
      </c>
      <c r="AI43">
        <v>0</v>
      </c>
      <c r="AJ43">
        <v>0</v>
      </c>
      <c r="AK43">
        <v>27000</v>
      </c>
      <c r="AL43">
        <v>0</v>
      </c>
      <c r="AM43">
        <v>0</v>
      </c>
      <c r="AN43">
        <v>0</v>
      </c>
      <c r="AO43">
        <v>0</v>
      </c>
      <c r="AP43" s="2">
        <v>18900</v>
      </c>
      <c r="AR43" t="str">
        <f t="shared" si="4"/>
        <v>0000000000000</v>
      </c>
      <c r="AT43" t="str">
        <f>T("9791191562057")</f>
        <v>9791191562057</v>
      </c>
      <c r="AV43" t="str">
        <f>T("로맨스 e북 &gt; 역사/시대물")</f>
        <v>로맨스 e북 &gt; 역사/시대물</v>
      </c>
      <c r="AW43" t="str">
        <f>T("로맨스 e북 &gt; 19+")</f>
        <v>로맨스 e북 &gt; 19+</v>
      </c>
    </row>
    <row r="44" spans="1:49" x14ac:dyDescent="0.4">
      <c r="A44">
        <v>1525005640</v>
      </c>
      <c r="B44">
        <v>1525013336</v>
      </c>
      <c r="C44" t="str">
        <f>T("[e북]회귀의 전설 3부 48권")</f>
        <v>[e북]회귀의 전설 3부 48권</v>
      </c>
      <c r="D44" t="str">
        <f>T("48")</f>
        <v>48</v>
      </c>
      <c r="E44" t="str">
        <f t="shared" ref="E44:E49" si="5">T("김광수")</f>
        <v>김광수</v>
      </c>
      <c r="H44" t="str">
        <f t="shared" ref="H44:H49" si="6">T("스토리위즈")</f>
        <v>스토리위즈</v>
      </c>
      <c r="I44" t="str">
        <f t="shared" ref="I44:I49" si="7">T("[e북]회귀의 전설")</f>
        <v>[e북]회귀의 전설</v>
      </c>
      <c r="J44">
        <v>3200</v>
      </c>
      <c r="K44">
        <v>25600</v>
      </c>
      <c r="L44">
        <v>8</v>
      </c>
      <c r="M44">
        <v>0</v>
      </c>
      <c r="N44">
        <v>900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2250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28750</v>
      </c>
      <c r="AH44">
        <v>14</v>
      </c>
      <c r="AI44">
        <v>0</v>
      </c>
      <c r="AJ44">
        <v>0</v>
      </c>
      <c r="AK44">
        <v>25717</v>
      </c>
      <c r="AL44">
        <v>0</v>
      </c>
      <c r="AM44">
        <v>3639.6</v>
      </c>
      <c r="AN44">
        <v>-1091.8800000000001</v>
      </c>
      <c r="AO44">
        <v>0</v>
      </c>
      <c r="AP44" s="2">
        <v>19785.3</v>
      </c>
      <c r="AR44" t="str">
        <f t="shared" si="4"/>
        <v>0000000000000</v>
      </c>
      <c r="AT44" t="str">
        <f>T("9791166300844")</f>
        <v>9791166300844</v>
      </c>
      <c r="AV44" t="str">
        <f t="shared" ref="AV44:AV49" si="8">T("판타지 e북 &gt; 현대 판타지")</f>
        <v>판타지 e북 &gt; 현대 판타지</v>
      </c>
    </row>
    <row r="45" spans="1:49" x14ac:dyDescent="0.4">
      <c r="A45">
        <v>1525005640</v>
      </c>
      <c r="B45">
        <v>1525013340</v>
      </c>
      <c r="C45" t="str">
        <f>T("[e북]회귀의 전설 3부 52권 (3부 완결)")</f>
        <v>[e북]회귀의 전설 3부 52권 (3부 완결)</v>
      </c>
      <c r="D45" t="str">
        <f>T("52")</f>
        <v>52</v>
      </c>
      <c r="E45" t="str">
        <f t="shared" si="5"/>
        <v>김광수</v>
      </c>
      <c r="H45" t="str">
        <f t="shared" si="6"/>
        <v>스토리위즈</v>
      </c>
      <c r="I45" t="str">
        <f t="shared" si="7"/>
        <v>[e북]회귀의 전설</v>
      </c>
      <c r="J45">
        <v>3200</v>
      </c>
      <c r="K45">
        <v>25600</v>
      </c>
      <c r="L45">
        <v>8</v>
      </c>
      <c r="M45">
        <v>0</v>
      </c>
      <c r="N45">
        <v>1800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2250</v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29650</v>
      </c>
      <c r="AH45">
        <v>15</v>
      </c>
      <c r="AI45">
        <v>0</v>
      </c>
      <c r="AJ45">
        <v>0</v>
      </c>
      <c r="AK45">
        <v>26617</v>
      </c>
      <c r="AL45">
        <v>0</v>
      </c>
      <c r="AM45">
        <v>3639.6</v>
      </c>
      <c r="AN45">
        <v>-1091.8800000000001</v>
      </c>
      <c r="AO45">
        <v>0</v>
      </c>
      <c r="AP45" s="2">
        <v>20415.3</v>
      </c>
      <c r="AR45" t="str">
        <f t="shared" si="4"/>
        <v>0000000000000</v>
      </c>
      <c r="AT45" t="str">
        <f>T("9791166300882")</f>
        <v>9791166300882</v>
      </c>
      <c r="AV45" t="str">
        <f t="shared" si="8"/>
        <v>판타지 e북 &gt; 현대 판타지</v>
      </c>
    </row>
    <row r="46" spans="1:49" x14ac:dyDescent="0.4">
      <c r="A46">
        <v>1525005640</v>
      </c>
      <c r="B46">
        <v>1525013333</v>
      </c>
      <c r="C46" t="str">
        <f>T("[e북]회귀의 전설 3부 45권")</f>
        <v>[e북]회귀의 전설 3부 45권</v>
      </c>
      <c r="D46" t="str">
        <f>T("45")</f>
        <v>45</v>
      </c>
      <c r="E46" t="str">
        <f t="shared" si="5"/>
        <v>김광수</v>
      </c>
      <c r="H46" t="str">
        <f t="shared" si="6"/>
        <v>스토리위즈</v>
      </c>
      <c r="I46" t="str">
        <f t="shared" si="7"/>
        <v>[e북]회귀의 전설</v>
      </c>
      <c r="J46">
        <v>3200</v>
      </c>
      <c r="K46">
        <v>25600</v>
      </c>
      <c r="L46">
        <v>8</v>
      </c>
      <c r="M46">
        <v>0</v>
      </c>
      <c r="N46">
        <v>1800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2250</v>
      </c>
      <c r="V46">
        <v>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29650</v>
      </c>
      <c r="AH46">
        <v>15</v>
      </c>
      <c r="AI46">
        <v>0</v>
      </c>
      <c r="AJ46">
        <v>0</v>
      </c>
      <c r="AK46">
        <v>23417</v>
      </c>
      <c r="AL46">
        <v>0</v>
      </c>
      <c r="AM46">
        <v>6839.6</v>
      </c>
      <c r="AN46">
        <v>-1091.8800000000001</v>
      </c>
      <c r="AO46">
        <v>0</v>
      </c>
      <c r="AP46" s="2">
        <v>20415.3</v>
      </c>
      <c r="AR46" t="str">
        <f t="shared" si="4"/>
        <v>0000000000000</v>
      </c>
      <c r="AT46" t="str">
        <f>T("9791166300813")</f>
        <v>9791166300813</v>
      </c>
      <c r="AV46" t="str">
        <f t="shared" si="8"/>
        <v>판타지 e북 &gt; 현대 판타지</v>
      </c>
    </row>
    <row r="47" spans="1:49" x14ac:dyDescent="0.4">
      <c r="A47">
        <v>1525005640</v>
      </c>
      <c r="B47">
        <v>1525013337</v>
      </c>
      <c r="C47" t="str">
        <f>T("[e북]회귀의 전설 3부 49권")</f>
        <v>[e북]회귀의 전설 3부 49권</v>
      </c>
      <c r="D47" t="str">
        <f>T("49")</f>
        <v>49</v>
      </c>
      <c r="E47" t="str">
        <f t="shared" si="5"/>
        <v>김광수</v>
      </c>
      <c r="H47" t="str">
        <f t="shared" si="6"/>
        <v>스토리위즈</v>
      </c>
      <c r="I47" t="str">
        <f t="shared" si="7"/>
        <v>[e북]회귀의 전설</v>
      </c>
      <c r="J47">
        <v>3200</v>
      </c>
      <c r="K47">
        <v>25600</v>
      </c>
      <c r="L47">
        <v>8</v>
      </c>
      <c r="M47">
        <v>0</v>
      </c>
      <c r="N47">
        <v>1800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2250</v>
      </c>
      <c r="V47">
        <v>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29650</v>
      </c>
      <c r="AH47">
        <v>15</v>
      </c>
      <c r="AI47">
        <v>0</v>
      </c>
      <c r="AJ47">
        <v>0</v>
      </c>
      <c r="AK47">
        <v>26617</v>
      </c>
      <c r="AL47">
        <v>0</v>
      </c>
      <c r="AM47">
        <v>3639.6</v>
      </c>
      <c r="AN47">
        <v>-1091.8800000000001</v>
      </c>
      <c r="AO47">
        <v>0</v>
      </c>
      <c r="AP47" s="2">
        <v>20415.3</v>
      </c>
      <c r="AR47" t="str">
        <f t="shared" si="4"/>
        <v>0000000000000</v>
      </c>
      <c r="AT47" t="str">
        <f>T("9791166300851")</f>
        <v>9791166300851</v>
      </c>
      <c r="AV47" t="str">
        <f t="shared" si="8"/>
        <v>판타지 e북 &gt; 현대 판타지</v>
      </c>
    </row>
    <row r="48" spans="1:49" x14ac:dyDescent="0.4">
      <c r="A48">
        <v>1525005640</v>
      </c>
      <c r="B48">
        <v>1525013335</v>
      </c>
      <c r="C48" t="str">
        <f>T("[e북]회귀의 전설 3부 47권")</f>
        <v>[e북]회귀의 전설 3부 47권</v>
      </c>
      <c r="D48" t="str">
        <f>T("47")</f>
        <v>47</v>
      </c>
      <c r="E48" t="str">
        <f t="shared" si="5"/>
        <v>김광수</v>
      </c>
      <c r="H48" t="str">
        <f t="shared" si="6"/>
        <v>스토리위즈</v>
      </c>
      <c r="I48" t="str">
        <f t="shared" si="7"/>
        <v>[e북]회귀의 전설</v>
      </c>
      <c r="J48">
        <v>3200</v>
      </c>
      <c r="K48">
        <v>25600</v>
      </c>
      <c r="L48">
        <v>8</v>
      </c>
      <c r="M48">
        <v>0</v>
      </c>
      <c r="N48">
        <v>900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2250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28750</v>
      </c>
      <c r="AH48">
        <v>14</v>
      </c>
      <c r="AI48">
        <v>0</v>
      </c>
      <c r="AJ48">
        <v>0</v>
      </c>
      <c r="AK48">
        <v>25717</v>
      </c>
      <c r="AL48">
        <v>0</v>
      </c>
      <c r="AM48">
        <v>3639.6</v>
      </c>
      <c r="AN48">
        <v>-1091.8800000000001</v>
      </c>
      <c r="AO48">
        <v>0</v>
      </c>
      <c r="AP48" s="2">
        <v>19785.3</v>
      </c>
      <c r="AT48" t="str">
        <f>T("9791166300837")</f>
        <v>9791166300837</v>
      </c>
      <c r="AV48" t="str">
        <f t="shared" si="8"/>
        <v>판타지 e북 &gt; 현대 판타지</v>
      </c>
    </row>
    <row r="49" spans="1:49" x14ac:dyDescent="0.4">
      <c r="A49">
        <v>1525005640</v>
      </c>
      <c r="B49">
        <v>1525013332</v>
      </c>
      <c r="C49" t="str">
        <f>T("[e북]회귀의 전설 3부 44권")</f>
        <v>[e북]회귀의 전설 3부 44권</v>
      </c>
      <c r="D49" t="str">
        <f>T("44")</f>
        <v>44</v>
      </c>
      <c r="E49" t="str">
        <f t="shared" si="5"/>
        <v>김광수</v>
      </c>
      <c r="H49" t="str">
        <f t="shared" si="6"/>
        <v>스토리위즈</v>
      </c>
      <c r="I49" t="str">
        <f t="shared" si="7"/>
        <v>[e북]회귀의 전설</v>
      </c>
      <c r="J49">
        <v>3200</v>
      </c>
      <c r="K49">
        <v>25600</v>
      </c>
      <c r="L49">
        <v>8</v>
      </c>
      <c r="M49">
        <v>0</v>
      </c>
      <c r="N49">
        <v>1800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2250</v>
      </c>
      <c r="V49">
        <v>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29650</v>
      </c>
      <c r="AH49">
        <v>15</v>
      </c>
      <c r="AI49">
        <v>0</v>
      </c>
      <c r="AJ49">
        <v>0</v>
      </c>
      <c r="AK49">
        <v>23616</v>
      </c>
      <c r="AL49">
        <v>0</v>
      </c>
      <c r="AM49">
        <v>6640.8</v>
      </c>
      <c r="AN49">
        <v>-1092.24</v>
      </c>
      <c r="AO49">
        <v>0</v>
      </c>
      <c r="AP49" s="2">
        <v>20415.189999999999</v>
      </c>
      <c r="AT49" t="str">
        <f>T("9791166300806")</f>
        <v>9791166300806</v>
      </c>
      <c r="AV49" t="str">
        <f t="shared" si="8"/>
        <v>판타지 e북 &gt; 현대 판타지</v>
      </c>
    </row>
    <row r="50" spans="1:49" x14ac:dyDescent="0.4">
      <c r="B50">
        <v>1525014003</v>
      </c>
      <c r="C50" t="str">
        <f>T("[e북]집착 상사")</f>
        <v>[e북]집착 상사</v>
      </c>
      <c r="E50" t="str">
        <f>T("장현미")</f>
        <v>장현미</v>
      </c>
      <c r="H50" t="str">
        <f>T("밀리오리지널")</f>
        <v>밀리오리지널</v>
      </c>
      <c r="J50">
        <v>2000</v>
      </c>
      <c r="K50">
        <v>24000</v>
      </c>
      <c r="L50">
        <v>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24000</v>
      </c>
      <c r="AH50">
        <v>12</v>
      </c>
      <c r="AI50">
        <v>0</v>
      </c>
      <c r="AJ50">
        <v>0</v>
      </c>
      <c r="AK50">
        <v>24000</v>
      </c>
      <c r="AL50">
        <v>0</v>
      </c>
      <c r="AM50">
        <v>0</v>
      </c>
      <c r="AN50">
        <v>0</v>
      </c>
      <c r="AO50">
        <v>0</v>
      </c>
      <c r="AP50" s="2">
        <v>16800</v>
      </c>
      <c r="AT50" t="str">
        <f>T("9791191562286")</f>
        <v>9791191562286</v>
      </c>
      <c r="AV50" t="str">
        <f>T("로맨스 e북 &gt; 현대물")</f>
        <v>로맨스 e북 &gt; 현대물</v>
      </c>
      <c r="AW50" t="str">
        <f>T("로맨스 e북 &gt; 19+")</f>
        <v>로맨스 e북 &gt; 19+</v>
      </c>
    </row>
    <row r="51" spans="1:49" x14ac:dyDescent="0.4">
      <c r="B51">
        <v>1525014001</v>
      </c>
      <c r="C51" t="str">
        <f>T("[e북]슈크림")</f>
        <v>[e북]슈크림</v>
      </c>
      <c r="E51" t="str">
        <f>T("송민선")</f>
        <v>송민선</v>
      </c>
      <c r="H51" t="str">
        <f>T("밀리오리지널")</f>
        <v>밀리오리지널</v>
      </c>
      <c r="J51">
        <v>2500</v>
      </c>
      <c r="K51">
        <v>22500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22500</v>
      </c>
      <c r="AH51">
        <v>9</v>
      </c>
      <c r="AI51">
        <v>0</v>
      </c>
      <c r="AJ51">
        <v>0</v>
      </c>
      <c r="AK51">
        <v>22500</v>
      </c>
      <c r="AL51">
        <v>0</v>
      </c>
      <c r="AM51">
        <v>0</v>
      </c>
      <c r="AN51">
        <v>0</v>
      </c>
      <c r="AO51">
        <v>0</v>
      </c>
      <c r="AP51" s="2">
        <v>15750</v>
      </c>
      <c r="AT51" t="str">
        <f>T("9791191562316")</f>
        <v>9791191562316</v>
      </c>
      <c r="AV51" t="str">
        <f>T("로맨스 e북 &gt; 현대물")</f>
        <v>로맨스 e북 &gt; 현대물</v>
      </c>
      <c r="AW51" t="str">
        <f>T("로맨스 e북 &gt; 19+")</f>
        <v>로맨스 e북 &gt; 19+</v>
      </c>
    </row>
    <row r="52" spans="1:49" x14ac:dyDescent="0.4">
      <c r="A52">
        <v>1525005640</v>
      </c>
      <c r="B52">
        <v>1525013338</v>
      </c>
      <c r="C52" t="str">
        <f>T("[e북]회귀의 전설 3부 50권")</f>
        <v>[e북]회귀의 전설 3부 50권</v>
      </c>
      <c r="D52" t="str">
        <f>T("50")</f>
        <v>50</v>
      </c>
      <c r="E52" t="str">
        <f>T("김광수")</f>
        <v>김광수</v>
      </c>
      <c r="H52" t="str">
        <f>T("스토리위즈")</f>
        <v>스토리위즈</v>
      </c>
      <c r="I52" t="str">
        <f>T("[e북]회귀의 전설")</f>
        <v>[e북]회귀의 전설</v>
      </c>
      <c r="J52">
        <v>3200</v>
      </c>
      <c r="K52">
        <v>22400</v>
      </c>
      <c r="L52">
        <v>7</v>
      </c>
      <c r="M52">
        <v>0</v>
      </c>
      <c r="N52">
        <v>1800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2250</v>
      </c>
      <c r="V52">
        <v>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26450</v>
      </c>
      <c r="AH52">
        <v>14</v>
      </c>
      <c r="AI52">
        <v>0</v>
      </c>
      <c r="AJ52">
        <v>0</v>
      </c>
      <c r="AK52">
        <v>23417</v>
      </c>
      <c r="AL52">
        <v>0</v>
      </c>
      <c r="AM52">
        <v>3639.6</v>
      </c>
      <c r="AN52">
        <v>-1091.8800000000001</v>
      </c>
      <c r="AO52">
        <v>0</v>
      </c>
      <c r="AP52" s="2">
        <v>18175.3</v>
      </c>
      <c r="AR52" t="str">
        <f t="shared" ref="AR52:AR60" si="9">T("0000000000000")</f>
        <v>0000000000000</v>
      </c>
      <c r="AT52" t="str">
        <f>T("9791166300868")</f>
        <v>9791166300868</v>
      </c>
      <c r="AV52" t="str">
        <f>T("판타지 e북 &gt; 현대 판타지")</f>
        <v>판타지 e북 &gt; 현대 판타지</v>
      </c>
    </row>
    <row r="53" spans="1:49" x14ac:dyDescent="0.4">
      <c r="A53">
        <v>1525005640</v>
      </c>
      <c r="B53">
        <v>1525013339</v>
      </c>
      <c r="C53" t="str">
        <f>T("[e북]회귀의 전설 3부 51권")</f>
        <v>[e북]회귀의 전설 3부 51권</v>
      </c>
      <c r="D53" t="str">
        <f>T("51")</f>
        <v>51</v>
      </c>
      <c r="E53" t="str">
        <f>T("김광수")</f>
        <v>김광수</v>
      </c>
      <c r="H53" t="str">
        <f>T("스토리위즈")</f>
        <v>스토리위즈</v>
      </c>
      <c r="I53" t="str">
        <f>T("[e북]회귀의 전설")</f>
        <v>[e북]회귀의 전설</v>
      </c>
      <c r="J53">
        <v>3200</v>
      </c>
      <c r="K53">
        <v>22400</v>
      </c>
      <c r="L53">
        <v>7</v>
      </c>
      <c r="M53">
        <v>0</v>
      </c>
      <c r="N53">
        <v>1800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2250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26450</v>
      </c>
      <c r="AH53">
        <v>14</v>
      </c>
      <c r="AI53">
        <v>0</v>
      </c>
      <c r="AJ53">
        <v>0</v>
      </c>
      <c r="AK53">
        <v>23417</v>
      </c>
      <c r="AL53">
        <v>0</v>
      </c>
      <c r="AM53">
        <v>3639.6</v>
      </c>
      <c r="AN53">
        <v>-1091.8800000000001</v>
      </c>
      <c r="AO53">
        <v>0</v>
      </c>
      <c r="AP53" s="2">
        <v>18175.3</v>
      </c>
      <c r="AR53" t="str">
        <f t="shared" si="9"/>
        <v>0000000000000</v>
      </c>
      <c r="AT53" t="str">
        <f>T("9791166300875")</f>
        <v>9791166300875</v>
      </c>
      <c r="AV53" t="str">
        <f>T("판타지 e북 &gt; 현대 판타지")</f>
        <v>판타지 e북 &gt; 현대 판타지</v>
      </c>
    </row>
    <row r="54" spans="1:49" x14ac:dyDescent="0.4">
      <c r="B54">
        <v>1525014010</v>
      </c>
      <c r="C54" t="str">
        <f>T("[e북]오후 4시의 남자")</f>
        <v>[e북]오후 4시의 남자</v>
      </c>
      <c r="E54" t="str">
        <f>T("차연유")</f>
        <v>차연유</v>
      </c>
      <c r="H54" t="str">
        <f>T("밀리오리지널")</f>
        <v>밀리오리지널</v>
      </c>
      <c r="J54">
        <v>2000</v>
      </c>
      <c r="K54">
        <v>20000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-2000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20000</v>
      </c>
      <c r="AH54">
        <v>10</v>
      </c>
      <c r="AI54">
        <v>-2000</v>
      </c>
      <c r="AJ54">
        <v>1</v>
      </c>
      <c r="AK54">
        <v>20000</v>
      </c>
      <c r="AL54">
        <v>-2000</v>
      </c>
      <c r="AM54">
        <v>0</v>
      </c>
      <c r="AN54">
        <v>0</v>
      </c>
      <c r="AO54">
        <v>0</v>
      </c>
      <c r="AP54" s="2">
        <v>12600</v>
      </c>
      <c r="AR54" t="str">
        <f t="shared" si="9"/>
        <v>0000000000000</v>
      </c>
      <c r="AT54" t="str">
        <f>T("9791191562392")</f>
        <v>9791191562392</v>
      </c>
      <c r="AV54" t="str">
        <f>T("로맨스 e북 &gt; 현대물")</f>
        <v>로맨스 e북 &gt; 현대물</v>
      </c>
      <c r="AW54" t="str">
        <f>T("로맨스 e북 &gt; 19+")</f>
        <v>로맨스 e북 &gt; 19+</v>
      </c>
    </row>
    <row r="55" spans="1:49" x14ac:dyDescent="0.4">
      <c r="A55">
        <v>1525008193</v>
      </c>
      <c r="B55">
        <v>1525008194</v>
      </c>
      <c r="C55" t="str">
        <f>T("[e북]택스 프리(TAX FREE) 2권 (완결)")</f>
        <v>[e북]택스 프리(TAX FREE) 2권 (완결)</v>
      </c>
      <c r="D55" t="str">
        <f>T("2")</f>
        <v>2</v>
      </c>
      <c r="E55" t="str">
        <f>T("SISSI")</f>
        <v>SISSI</v>
      </c>
      <c r="H55" t="str">
        <f>T("블러쉬")</f>
        <v>블러쉬</v>
      </c>
      <c r="I55" t="str">
        <f>T("[e북]택스 프리(TAX FREE)")</f>
        <v>[e북]택스 프리(TAX FREE)</v>
      </c>
      <c r="J55">
        <v>2800</v>
      </c>
      <c r="K55">
        <v>19600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19600</v>
      </c>
      <c r="AH55">
        <v>7</v>
      </c>
      <c r="AI55">
        <v>0</v>
      </c>
      <c r="AJ55">
        <v>0</v>
      </c>
      <c r="AK55">
        <v>19600</v>
      </c>
      <c r="AL55">
        <v>0</v>
      </c>
      <c r="AM55">
        <v>0</v>
      </c>
      <c r="AN55">
        <v>0</v>
      </c>
      <c r="AO55">
        <v>0</v>
      </c>
      <c r="AP55" s="2">
        <v>13720</v>
      </c>
      <c r="AR55" t="str">
        <f t="shared" si="9"/>
        <v>0000000000000</v>
      </c>
      <c r="AT55" t="str">
        <f>T("9791166481888")</f>
        <v>9791166481888</v>
      </c>
      <c r="AV55" t="str">
        <f>T("BL 소설 e북 &gt; 현대물")</f>
        <v>BL 소설 e북 &gt; 현대물</v>
      </c>
    </row>
    <row r="56" spans="1:49" x14ac:dyDescent="0.4">
      <c r="A56">
        <v>1525007764</v>
      </c>
      <c r="B56">
        <v>1525007764</v>
      </c>
      <c r="C56" t="str">
        <f>T("[e북]대공의 아내 1권")</f>
        <v>[e북]대공의 아내 1권</v>
      </c>
      <c r="D56" t="str">
        <f>T("1")</f>
        <v>1</v>
      </c>
      <c r="E56" t="str">
        <f>T("문시티")</f>
        <v>문시티</v>
      </c>
      <c r="H56" t="str">
        <f>T("쉬라즈")</f>
        <v>쉬라즈</v>
      </c>
      <c r="I56" t="str">
        <f>T("[e북]대공의 아내")</f>
        <v>[e북]대공의 아내</v>
      </c>
      <c r="J56">
        <v>3200</v>
      </c>
      <c r="K56">
        <v>19200</v>
      </c>
      <c r="L56">
        <v>6</v>
      </c>
      <c r="M56">
        <v>0</v>
      </c>
      <c r="N56">
        <v>0</v>
      </c>
      <c r="O56">
        <v>0</v>
      </c>
      <c r="P56">
        <v>145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19200</v>
      </c>
      <c r="AH56">
        <v>151</v>
      </c>
      <c r="AI56">
        <v>0</v>
      </c>
      <c r="AJ56">
        <v>0</v>
      </c>
      <c r="AK56">
        <v>16960</v>
      </c>
      <c r="AL56">
        <v>0</v>
      </c>
      <c r="AM56">
        <v>2240</v>
      </c>
      <c r="AN56">
        <v>0</v>
      </c>
      <c r="AO56">
        <v>0</v>
      </c>
      <c r="AP56" s="2">
        <v>13440</v>
      </c>
      <c r="AR56" t="str">
        <f t="shared" si="9"/>
        <v>0000000000000</v>
      </c>
      <c r="AT56" t="str">
        <f>T("9791164896776")</f>
        <v>9791164896776</v>
      </c>
      <c r="AV56" t="str">
        <f>T("로판 e북 &gt; 서양풍 로판")</f>
        <v>로판 e북 &gt; 서양풍 로판</v>
      </c>
    </row>
    <row r="57" spans="1:49" x14ac:dyDescent="0.4">
      <c r="A57">
        <v>1525007764</v>
      </c>
      <c r="B57">
        <v>1525007769</v>
      </c>
      <c r="C57" t="str">
        <f>T("[e북]대공의 아내 6권")</f>
        <v>[e북]대공의 아내 6권</v>
      </c>
      <c r="D57" t="str">
        <f>T("6")</f>
        <v>6</v>
      </c>
      <c r="E57" t="str">
        <f>T("문시티")</f>
        <v>문시티</v>
      </c>
      <c r="H57" t="str">
        <f>T("쉬라즈")</f>
        <v>쉬라즈</v>
      </c>
      <c r="I57" t="str">
        <f>T("[e북]대공의 아내")</f>
        <v>[e북]대공의 아내</v>
      </c>
      <c r="J57">
        <v>3200</v>
      </c>
      <c r="K57">
        <v>19200</v>
      </c>
      <c r="L57">
        <v>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19200</v>
      </c>
      <c r="AH57">
        <v>6</v>
      </c>
      <c r="AI57">
        <v>0</v>
      </c>
      <c r="AJ57">
        <v>0</v>
      </c>
      <c r="AK57">
        <v>18940</v>
      </c>
      <c r="AL57">
        <v>0</v>
      </c>
      <c r="AM57">
        <v>260</v>
      </c>
      <c r="AN57">
        <v>0</v>
      </c>
      <c r="AO57">
        <v>0</v>
      </c>
      <c r="AP57" s="2">
        <v>13440</v>
      </c>
      <c r="AR57" t="str">
        <f t="shared" si="9"/>
        <v>0000000000000</v>
      </c>
      <c r="AT57" t="str">
        <f>T("9791164896820")</f>
        <v>9791164896820</v>
      </c>
      <c r="AV57" t="str">
        <f>T("로판 e북 &gt; 서양풍 로판")</f>
        <v>로판 e북 &gt; 서양풍 로판</v>
      </c>
    </row>
    <row r="58" spans="1:49" x14ac:dyDescent="0.4">
      <c r="A58">
        <v>1525007764</v>
      </c>
      <c r="B58">
        <v>1525007770</v>
      </c>
      <c r="C58" t="str">
        <f>T("[e북]대공의 아내 7권 (완결)")</f>
        <v>[e북]대공의 아내 7권 (완결)</v>
      </c>
      <c r="D58" t="str">
        <f>T("7")</f>
        <v>7</v>
      </c>
      <c r="E58" t="str">
        <f>T("문시티")</f>
        <v>문시티</v>
      </c>
      <c r="H58" t="str">
        <f>T("쉬라즈")</f>
        <v>쉬라즈</v>
      </c>
      <c r="I58" t="str">
        <f>T("[e북]대공의 아내")</f>
        <v>[e북]대공의 아내</v>
      </c>
      <c r="J58">
        <v>3200</v>
      </c>
      <c r="K58">
        <v>19200</v>
      </c>
      <c r="L58">
        <v>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19200</v>
      </c>
      <c r="AH58">
        <v>6</v>
      </c>
      <c r="AI58">
        <v>0</v>
      </c>
      <c r="AJ58">
        <v>0</v>
      </c>
      <c r="AK58">
        <v>18940</v>
      </c>
      <c r="AL58">
        <v>0</v>
      </c>
      <c r="AM58">
        <v>260</v>
      </c>
      <c r="AN58">
        <v>0</v>
      </c>
      <c r="AO58">
        <v>0</v>
      </c>
      <c r="AP58" s="2">
        <v>13440</v>
      </c>
      <c r="AR58" t="str">
        <f t="shared" si="9"/>
        <v>0000000000000</v>
      </c>
      <c r="AT58" t="str">
        <f>T("9791164896837")</f>
        <v>9791164896837</v>
      </c>
      <c r="AV58" t="str">
        <f>T("로판 e북 &gt; 서양풍 로판")</f>
        <v>로판 e북 &gt; 서양풍 로판</v>
      </c>
    </row>
    <row r="59" spans="1:49" x14ac:dyDescent="0.4">
      <c r="A59">
        <v>1525013656</v>
      </c>
      <c r="B59">
        <v>1525013656</v>
      </c>
      <c r="C59" t="str">
        <f>T("[e북]선량한 야만인(Salvaje) 1권")</f>
        <v>[e북]선량한 야만인(Salvaje) 1권</v>
      </c>
      <c r="D59" t="str">
        <f>T("1")</f>
        <v>1</v>
      </c>
      <c r="E59" t="str">
        <f>T("무슈슈")</f>
        <v>무슈슈</v>
      </c>
      <c r="H59" t="str">
        <f>T("블러쉬")</f>
        <v>블러쉬</v>
      </c>
      <c r="I59" t="str">
        <f>T("[e북]선량한 야만인(Salvaje)")</f>
        <v>[e북]선량한 야만인(Salvaje)</v>
      </c>
      <c r="J59">
        <v>3000</v>
      </c>
      <c r="K59">
        <v>18000</v>
      </c>
      <c r="L59">
        <v>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18000</v>
      </c>
      <c r="AH59">
        <v>6</v>
      </c>
      <c r="AI59">
        <v>0</v>
      </c>
      <c r="AJ59">
        <v>0</v>
      </c>
      <c r="AK59">
        <v>18000</v>
      </c>
      <c r="AL59">
        <v>0</v>
      </c>
      <c r="AM59">
        <v>0</v>
      </c>
      <c r="AN59">
        <v>0</v>
      </c>
      <c r="AO59">
        <v>0</v>
      </c>
      <c r="AP59" s="2">
        <v>12600</v>
      </c>
      <c r="AR59" t="str">
        <f t="shared" si="9"/>
        <v>0000000000000</v>
      </c>
      <c r="AT59" t="str">
        <f>T("9791166483165")</f>
        <v>9791166483165</v>
      </c>
      <c r="AV59" t="str">
        <f>T("BL 소설 e북 &gt; 현대물")</f>
        <v>BL 소설 e북 &gt; 현대물</v>
      </c>
    </row>
    <row r="60" spans="1:49" x14ac:dyDescent="0.4">
      <c r="A60">
        <v>1525008208</v>
      </c>
      <c r="B60">
        <v>1525008208</v>
      </c>
      <c r="C60" t="str">
        <f>T("[e북]하고 싶어 1권")</f>
        <v>[e북]하고 싶어 1권</v>
      </c>
      <c r="D60" t="str">
        <f>T("1")</f>
        <v>1</v>
      </c>
      <c r="E60" t="str">
        <f>T("시아")</f>
        <v>시아</v>
      </c>
      <c r="H60" t="str">
        <f>T("블러쉬")</f>
        <v>블러쉬</v>
      </c>
      <c r="I60" t="str">
        <f>T("[e북]하고 싶어")</f>
        <v>[e북]하고 싶어</v>
      </c>
      <c r="J60">
        <v>3500</v>
      </c>
      <c r="K60">
        <v>17500</v>
      </c>
      <c r="L60">
        <v>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17500</v>
      </c>
      <c r="AH60">
        <v>5</v>
      </c>
      <c r="AI60">
        <v>0</v>
      </c>
      <c r="AJ60">
        <v>0</v>
      </c>
      <c r="AK60">
        <v>17500</v>
      </c>
      <c r="AL60">
        <v>0</v>
      </c>
      <c r="AM60">
        <v>0</v>
      </c>
      <c r="AN60">
        <v>0</v>
      </c>
      <c r="AO60">
        <v>0</v>
      </c>
      <c r="AP60" s="2">
        <v>12250</v>
      </c>
      <c r="AR60" t="str">
        <f t="shared" si="9"/>
        <v>0000000000000</v>
      </c>
      <c r="AT60" t="str">
        <f>T("9791190132312")</f>
        <v>9791190132312</v>
      </c>
      <c r="AV60" t="str">
        <f>T("BL 소설 e북 &gt; 현대물")</f>
        <v>BL 소설 e북 &gt; 현대물</v>
      </c>
    </row>
    <row r="61" spans="1:49" x14ac:dyDescent="0.4">
      <c r="B61">
        <v>1525013427</v>
      </c>
      <c r="C61" t="str">
        <f>T("[e북]수리 낭군")</f>
        <v>[e북]수리 낭군</v>
      </c>
      <c r="E61" t="str">
        <f>T("하루가")</f>
        <v>하루가</v>
      </c>
      <c r="H61" t="str">
        <f>T("밀리오리지널")</f>
        <v>밀리오리지널</v>
      </c>
      <c r="J61">
        <v>2000</v>
      </c>
      <c r="K61">
        <v>16200</v>
      </c>
      <c r="L61">
        <v>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16200</v>
      </c>
      <c r="AH61">
        <v>9</v>
      </c>
      <c r="AI61">
        <v>0</v>
      </c>
      <c r="AJ61">
        <v>0</v>
      </c>
      <c r="AK61">
        <v>12700</v>
      </c>
      <c r="AL61">
        <v>0</v>
      </c>
      <c r="AM61">
        <v>3500</v>
      </c>
      <c r="AN61">
        <v>0</v>
      </c>
      <c r="AO61">
        <v>0</v>
      </c>
      <c r="AP61" s="2">
        <v>11340</v>
      </c>
      <c r="AT61" t="str">
        <f>T("9791191562064")</f>
        <v>9791191562064</v>
      </c>
      <c r="AV61" t="str">
        <f>T("로맨스 e북 &gt; 역사/시대물")</f>
        <v>로맨스 e북 &gt; 역사/시대물</v>
      </c>
      <c r="AW61" t="str">
        <f>T("로맨스 e북 &gt; 19+")</f>
        <v>로맨스 e북 &gt; 19+</v>
      </c>
    </row>
    <row r="62" spans="1:49" x14ac:dyDescent="0.4">
      <c r="A62">
        <v>1525005640</v>
      </c>
      <c r="B62">
        <v>1525005652</v>
      </c>
      <c r="C62" t="str">
        <f>T("[e북]회귀의 전설 1부 13권")</f>
        <v>[e북]회귀의 전설 1부 13권</v>
      </c>
      <c r="D62" t="str">
        <f>T("13")</f>
        <v>13</v>
      </c>
      <c r="E62" t="str">
        <f>T("김광수")</f>
        <v>김광수</v>
      </c>
      <c r="H62" t="str">
        <f>T("스토리위즈")</f>
        <v>스토리위즈</v>
      </c>
      <c r="I62" t="str">
        <f>T("[e북]회귀의 전설")</f>
        <v>[e북]회귀의 전설</v>
      </c>
      <c r="J62">
        <v>3200</v>
      </c>
      <c r="K62">
        <v>16000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2250</v>
      </c>
      <c r="V62">
        <v>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18250</v>
      </c>
      <c r="AH62">
        <v>10</v>
      </c>
      <c r="AI62">
        <v>0</v>
      </c>
      <c r="AJ62">
        <v>0</v>
      </c>
      <c r="AK62">
        <v>18250</v>
      </c>
      <c r="AL62">
        <v>0</v>
      </c>
      <c r="AM62">
        <v>0</v>
      </c>
      <c r="AN62">
        <v>0</v>
      </c>
      <c r="AO62">
        <v>0</v>
      </c>
      <c r="AP62" s="2">
        <v>12775</v>
      </c>
      <c r="AT62" t="str">
        <f>T("9791190937887")</f>
        <v>9791190937887</v>
      </c>
      <c r="AV62" t="str">
        <f>T("판타지 e북 &gt; 현대 판타지")</f>
        <v>판타지 e북 &gt; 현대 판타지</v>
      </c>
    </row>
    <row r="63" spans="1:49" x14ac:dyDescent="0.4">
      <c r="A63">
        <v>1525007764</v>
      </c>
      <c r="B63">
        <v>1525007768</v>
      </c>
      <c r="C63" t="str">
        <f>T("[e북]대공의 아내 5권")</f>
        <v>[e북]대공의 아내 5권</v>
      </c>
      <c r="D63" t="str">
        <f>T("5")</f>
        <v>5</v>
      </c>
      <c r="E63" t="str">
        <f>T("문시티")</f>
        <v>문시티</v>
      </c>
      <c r="H63" t="str">
        <f>T("쉬라즈")</f>
        <v>쉬라즈</v>
      </c>
      <c r="I63" t="str">
        <f>T("[e북]대공의 아내")</f>
        <v>[e북]대공의 아내</v>
      </c>
      <c r="J63">
        <v>3200</v>
      </c>
      <c r="K63">
        <v>16000</v>
      </c>
      <c r="L63">
        <v>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16000</v>
      </c>
      <c r="AH63">
        <v>5</v>
      </c>
      <c r="AI63">
        <v>0</v>
      </c>
      <c r="AJ63">
        <v>0</v>
      </c>
      <c r="AK63">
        <v>15740</v>
      </c>
      <c r="AL63">
        <v>0</v>
      </c>
      <c r="AM63">
        <v>260</v>
      </c>
      <c r="AN63">
        <v>0</v>
      </c>
      <c r="AO63">
        <v>0</v>
      </c>
      <c r="AP63" s="2">
        <v>11200</v>
      </c>
      <c r="AR63" t="str">
        <f>T("0000000000000")</f>
        <v>0000000000000</v>
      </c>
      <c r="AT63" t="str">
        <f>T("9791164896813")</f>
        <v>9791164896813</v>
      </c>
      <c r="AV63" t="str">
        <f>T("로판 e북 &gt; 서양풍 로판")</f>
        <v>로판 e북 &gt; 서양풍 로판</v>
      </c>
    </row>
    <row r="64" spans="1:49" x14ac:dyDescent="0.4">
      <c r="A64">
        <v>1525005640</v>
      </c>
      <c r="B64">
        <v>1525007220</v>
      </c>
      <c r="C64" t="str">
        <f>T("[e북]회귀의 전설 2부 41권")</f>
        <v>[e북]회귀의 전설 2부 41권</v>
      </c>
      <c r="D64" t="str">
        <f>T("41")</f>
        <v>41</v>
      </c>
      <c r="E64" t="str">
        <f>T("김광수")</f>
        <v>김광수</v>
      </c>
      <c r="H64" t="str">
        <f>T("스토리위즈")</f>
        <v>스토리위즈</v>
      </c>
      <c r="I64" t="str">
        <f>T("[e북]회귀의 전설")</f>
        <v>[e북]회귀의 전설</v>
      </c>
      <c r="J64">
        <v>3200</v>
      </c>
      <c r="K64">
        <v>16000</v>
      </c>
      <c r="L64">
        <v>5</v>
      </c>
      <c r="M64">
        <v>0</v>
      </c>
      <c r="N64">
        <v>900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2250</v>
      </c>
      <c r="V64">
        <v>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19150</v>
      </c>
      <c r="AH64">
        <v>11</v>
      </c>
      <c r="AI64">
        <v>0</v>
      </c>
      <c r="AJ64">
        <v>0</v>
      </c>
      <c r="AK64">
        <v>12916</v>
      </c>
      <c r="AL64">
        <v>0</v>
      </c>
      <c r="AM64">
        <v>6840.8</v>
      </c>
      <c r="AN64">
        <v>-1092.24</v>
      </c>
      <c r="AO64">
        <v>0</v>
      </c>
      <c r="AP64" s="2">
        <v>13065.19</v>
      </c>
      <c r="AT64" t="str">
        <f>T("9791166300660")</f>
        <v>9791166300660</v>
      </c>
      <c r="AV64" t="str">
        <f>T("판타지 e북 &gt; 현대 판타지")</f>
        <v>판타지 e북 &gt; 현대 판타지</v>
      </c>
    </row>
    <row r="65" spans="1:49" x14ac:dyDescent="0.4">
      <c r="A65">
        <v>1525007764</v>
      </c>
      <c r="B65">
        <v>1525007765</v>
      </c>
      <c r="C65" t="str">
        <f>T("[e북]대공의 아내 2권")</f>
        <v>[e북]대공의 아내 2권</v>
      </c>
      <c r="D65" t="str">
        <f>T("2")</f>
        <v>2</v>
      </c>
      <c r="E65" t="str">
        <f>T("문시티")</f>
        <v>문시티</v>
      </c>
      <c r="H65" t="str">
        <f>T("쉬라즈")</f>
        <v>쉬라즈</v>
      </c>
      <c r="I65" t="str">
        <f>T("[e북]대공의 아내")</f>
        <v>[e북]대공의 아내</v>
      </c>
      <c r="J65">
        <v>3200</v>
      </c>
      <c r="K65">
        <v>16000</v>
      </c>
      <c r="L65">
        <v>5</v>
      </c>
      <c r="M65">
        <v>0</v>
      </c>
      <c r="N65">
        <v>0</v>
      </c>
      <c r="O65">
        <v>0</v>
      </c>
      <c r="P65">
        <v>143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16000</v>
      </c>
      <c r="AH65">
        <v>148</v>
      </c>
      <c r="AI65">
        <v>0</v>
      </c>
      <c r="AJ65">
        <v>0</v>
      </c>
      <c r="AK65">
        <v>12800</v>
      </c>
      <c r="AL65">
        <v>0</v>
      </c>
      <c r="AM65">
        <v>3200</v>
      </c>
      <c r="AN65">
        <v>0</v>
      </c>
      <c r="AO65">
        <v>0</v>
      </c>
      <c r="AP65" s="2">
        <v>11200</v>
      </c>
      <c r="AR65" t="str">
        <f>T("0000000000000")</f>
        <v>0000000000000</v>
      </c>
      <c r="AT65" t="str">
        <f>T("9791164896783")</f>
        <v>9791164896783</v>
      </c>
      <c r="AV65" t="str">
        <f>T("로판 e북 &gt; 서양풍 로판")</f>
        <v>로판 e북 &gt; 서양풍 로판</v>
      </c>
    </row>
    <row r="66" spans="1:49" x14ac:dyDescent="0.4">
      <c r="B66">
        <v>1525013358</v>
      </c>
      <c r="C66" t="str">
        <f>T("[e북]분홍의 작약")</f>
        <v>[e북]분홍의 작약</v>
      </c>
      <c r="E66" t="str">
        <f>T("송여희")</f>
        <v>송여희</v>
      </c>
      <c r="H66" t="str">
        <f>T("밀리오리지널")</f>
        <v>밀리오리지널</v>
      </c>
      <c r="J66">
        <v>2000</v>
      </c>
      <c r="K66">
        <v>16000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16000</v>
      </c>
      <c r="AH66">
        <v>8</v>
      </c>
      <c r="AI66">
        <v>0</v>
      </c>
      <c r="AJ66">
        <v>0</v>
      </c>
      <c r="AK66">
        <v>16000</v>
      </c>
      <c r="AL66">
        <v>0</v>
      </c>
      <c r="AM66">
        <v>0</v>
      </c>
      <c r="AN66">
        <v>0</v>
      </c>
      <c r="AO66">
        <v>0</v>
      </c>
      <c r="AP66" s="2">
        <v>11200</v>
      </c>
      <c r="AR66" t="str">
        <f>T("0000000000000")</f>
        <v>0000000000000</v>
      </c>
      <c r="AT66" t="str">
        <f>T("9791196945251")</f>
        <v>9791196945251</v>
      </c>
      <c r="AV66" t="str">
        <f>T("로맨스 e북 &gt; 19+")</f>
        <v>로맨스 e북 &gt; 19+</v>
      </c>
      <c r="AW66" t="str">
        <f>T("로맨스 e북 &gt; 역사/시대물")</f>
        <v>로맨스 e북 &gt; 역사/시대물</v>
      </c>
    </row>
    <row r="67" spans="1:49" x14ac:dyDescent="0.4">
      <c r="B67">
        <v>1525013362</v>
      </c>
      <c r="C67" t="str">
        <f>T("[e북]호랑헌화가")</f>
        <v>[e북]호랑헌화가</v>
      </c>
      <c r="E67" t="str">
        <f>T("여도흔")</f>
        <v>여도흔</v>
      </c>
      <c r="H67" t="str">
        <f>T("밀리오리지널")</f>
        <v>밀리오리지널</v>
      </c>
      <c r="J67">
        <v>2000</v>
      </c>
      <c r="K67">
        <v>16000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16000</v>
      </c>
      <c r="AH67">
        <v>8</v>
      </c>
      <c r="AI67">
        <v>0</v>
      </c>
      <c r="AJ67">
        <v>0</v>
      </c>
      <c r="AK67">
        <v>14000</v>
      </c>
      <c r="AL67">
        <v>0</v>
      </c>
      <c r="AM67">
        <v>2400</v>
      </c>
      <c r="AN67">
        <v>-720</v>
      </c>
      <c r="AO67">
        <v>0</v>
      </c>
      <c r="AP67" s="2">
        <v>10976</v>
      </c>
      <c r="AR67" t="str">
        <f>T("0000000000000")</f>
        <v>0000000000000</v>
      </c>
      <c r="AT67" t="str">
        <f>T("9791196945282")</f>
        <v>9791196945282</v>
      </c>
      <c r="AV67" t="str">
        <f>T("로맨스 e북 &gt; 19+")</f>
        <v>로맨스 e북 &gt; 19+</v>
      </c>
      <c r="AW67" t="str">
        <f>T("로맨스 e북 &gt; 역사/시대물")</f>
        <v>로맨스 e북 &gt; 역사/시대물</v>
      </c>
    </row>
    <row r="68" spans="1:49" x14ac:dyDescent="0.4">
      <c r="A68">
        <v>1525005640</v>
      </c>
      <c r="B68">
        <v>1525007221</v>
      </c>
      <c r="C68" t="str">
        <f>T("[e북]회귀의 전설 2부 42권")</f>
        <v>[e북]회귀의 전설 2부 42권</v>
      </c>
      <c r="D68" t="str">
        <f>T("42")</f>
        <v>42</v>
      </c>
      <c r="E68" t="str">
        <f>T("김광수")</f>
        <v>김광수</v>
      </c>
      <c r="H68" t="str">
        <f>T("스토리위즈")</f>
        <v>스토리위즈</v>
      </c>
      <c r="I68" t="str">
        <f>T("[e북]회귀의 전설")</f>
        <v>[e북]회귀의 전설</v>
      </c>
      <c r="J68">
        <v>3200</v>
      </c>
      <c r="K68">
        <v>16000</v>
      </c>
      <c r="L68">
        <v>5</v>
      </c>
      <c r="M68">
        <v>0</v>
      </c>
      <c r="N68">
        <v>900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2250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19150</v>
      </c>
      <c r="AH68">
        <v>11</v>
      </c>
      <c r="AI68">
        <v>0</v>
      </c>
      <c r="AJ68">
        <v>0</v>
      </c>
      <c r="AK68">
        <v>12916</v>
      </c>
      <c r="AL68">
        <v>0</v>
      </c>
      <c r="AM68">
        <v>6840.8</v>
      </c>
      <c r="AN68">
        <v>-1092.24</v>
      </c>
      <c r="AO68">
        <v>0</v>
      </c>
      <c r="AP68" s="2">
        <v>13065.19</v>
      </c>
      <c r="AT68" t="str">
        <f>T("9791166300653")</f>
        <v>9791166300653</v>
      </c>
      <c r="AV68" t="str">
        <f>T("판타지 e북 &gt; 현대 판타지")</f>
        <v>판타지 e북 &gt; 현대 판타지</v>
      </c>
    </row>
    <row r="69" spans="1:49" x14ac:dyDescent="0.4">
      <c r="A69">
        <v>1525007764</v>
      </c>
      <c r="B69">
        <v>1525007766</v>
      </c>
      <c r="C69" t="str">
        <f>T("[e북]대공의 아내 3권")</f>
        <v>[e북]대공의 아내 3권</v>
      </c>
      <c r="D69" t="str">
        <f>T("3")</f>
        <v>3</v>
      </c>
      <c r="E69" t="str">
        <f>T("문시티")</f>
        <v>문시티</v>
      </c>
      <c r="H69" t="str">
        <f>T("쉬라즈")</f>
        <v>쉬라즈</v>
      </c>
      <c r="I69" t="str">
        <f>T("[e북]대공의 아내")</f>
        <v>[e북]대공의 아내</v>
      </c>
      <c r="J69">
        <v>3200</v>
      </c>
      <c r="K69">
        <v>16000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16000</v>
      </c>
      <c r="AH69">
        <v>5</v>
      </c>
      <c r="AI69">
        <v>0</v>
      </c>
      <c r="AJ69">
        <v>0</v>
      </c>
      <c r="AK69">
        <v>12800</v>
      </c>
      <c r="AL69">
        <v>0</v>
      </c>
      <c r="AM69">
        <v>3200</v>
      </c>
      <c r="AN69">
        <v>0</v>
      </c>
      <c r="AO69">
        <v>0</v>
      </c>
      <c r="AP69" s="2">
        <v>11200</v>
      </c>
      <c r="AR69" t="str">
        <f>T("0000000000000")</f>
        <v>0000000000000</v>
      </c>
      <c r="AT69" t="str">
        <f>T("9791164896790")</f>
        <v>9791164896790</v>
      </c>
      <c r="AV69" t="str">
        <f>T("로판 e북 &gt; 서양풍 로판")</f>
        <v>로판 e북 &gt; 서양풍 로판</v>
      </c>
    </row>
    <row r="70" spans="1:49" x14ac:dyDescent="0.4">
      <c r="A70">
        <v>1525012548</v>
      </c>
      <c r="B70">
        <v>1525012548</v>
      </c>
      <c r="C70" t="str">
        <f>T("[e북]너드 공략집 1권")</f>
        <v>[e북]너드 공략집 1권</v>
      </c>
      <c r="D70" t="str">
        <f>T("1")</f>
        <v>1</v>
      </c>
      <c r="E70" t="str">
        <f>T("이다겸")</f>
        <v>이다겸</v>
      </c>
      <c r="H70" t="str">
        <f>T("블러쉬")</f>
        <v>블러쉬</v>
      </c>
      <c r="I70" t="str">
        <f>T("[e북]너드 공략집")</f>
        <v>[e북]너드 공략집</v>
      </c>
      <c r="J70">
        <v>3200</v>
      </c>
      <c r="K70">
        <v>16000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16000</v>
      </c>
      <c r="AH70">
        <v>5</v>
      </c>
      <c r="AI70">
        <v>0</v>
      </c>
      <c r="AJ70">
        <v>0</v>
      </c>
      <c r="AK70">
        <v>16000</v>
      </c>
      <c r="AL70">
        <v>0</v>
      </c>
      <c r="AM70">
        <v>0</v>
      </c>
      <c r="AN70">
        <v>0</v>
      </c>
      <c r="AO70">
        <v>0</v>
      </c>
      <c r="AP70" s="2">
        <v>11200</v>
      </c>
      <c r="AT70" t="str">
        <f>T("9791166482458")</f>
        <v>9791166482458</v>
      </c>
      <c r="AV70" t="str">
        <f>T("BL 소설 e북 &gt; 현대물")</f>
        <v>BL 소설 e북 &gt; 현대물</v>
      </c>
    </row>
    <row r="71" spans="1:49" x14ac:dyDescent="0.4">
      <c r="B71">
        <v>1525013653</v>
      </c>
      <c r="C71" t="str">
        <f>T("[e북]넘어와")</f>
        <v>[e북]넘어와</v>
      </c>
      <c r="E71" t="str">
        <f>T("송여희")</f>
        <v>송여희</v>
      </c>
      <c r="H71" t="str">
        <f>T("밀리오리지널")</f>
        <v>밀리오리지널</v>
      </c>
      <c r="J71">
        <v>2000</v>
      </c>
      <c r="K71">
        <v>16000</v>
      </c>
      <c r="L71">
        <v>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16000</v>
      </c>
      <c r="AH71">
        <v>8</v>
      </c>
      <c r="AI71">
        <v>0</v>
      </c>
      <c r="AJ71">
        <v>0</v>
      </c>
      <c r="AK71">
        <v>16000</v>
      </c>
      <c r="AL71">
        <v>0</v>
      </c>
      <c r="AM71">
        <v>0</v>
      </c>
      <c r="AN71">
        <v>0</v>
      </c>
      <c r="AO71">
        <v>0</v>
      </c>
      <c r="AP71" s="2">
        <v>11200</v>
      </c>
      <c r="AT71" t="str">
        <f>T("9791191562217")</f>
        <v>9791191562217</v>
      </c>
      <c r="AV71" t="str">
        <f>T("로맨스 e북 &gt; 현대물")</f>
        <v>로맨스 e북 &gt; 현대물</v>
      </c>
      <c r="AW71" t="str">
        <f>T("로맨스 e북 &gt; 19+")</f>
        <v>로맨스 e북 &gt; 19+</v>
      </c>
    </row>
    <row r="72" spans="1:49" x14ac:dyDescent="0.4">
      <c r="B72">
        <v>1525013363</v>
      </c>
      <c r="C72" t="str">
        <f>T("[e북]모닝콜(Morning Call)")</f>
        <v>[e북]모닝콜(Morning Call)</v>
      </c>
      <c r="E72" t="str">
        <f>T("하이지")</f>
        <v>하이지</v>
      </c>
      <c r="H72" t="str">
        <f>T("밀리오리지널")</f>
        <v>밀리오리지널</v>
      </c>
      <c r="J72">
        <v>2000</v>
      </c>
      <c r="K72">
        <v>16000</v>
      </c>
      <c r="L72">
        <v>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-4000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16000</v>
      </c>
      <c r="AH72">
        <v>8</v>
      </c>
      <c r="AI72">
        <v>-4000</v>
      </c>
      <c r="AJ72">
        <v>2</v>
      </c>
      <c r="AK72">
        <v>16000</v>
      </c>
      <c r="AL72">
        <v>-4000</v>
      </c>
      <c r="AM72">
        <v>0</v>
      </c>
      <c r="AN72">
        <v>0</v>
      </c>
      <c r="AO72">
        <v>0</v>
      </c>
      <c r="AP72" s="2">
        <v>8400</v>
      </c>
      <c r="AR72" t="str">
        <f>T("0000000000000")</f>
        <v>0000000000000</v>
      </c>
      <c r="AT72" t="str">
        <f>T("9791191562026")</f>
        <v>9791191562026</v>
      </c>
      <c r="AV72" t="str">
        <f>T("로맨스 e북 &gt; 19+")</f>
        <v>로맨스 e북 &gt; 19+</v>
      </c>
      <c r="AW72" t="str">
        <f>T("로맨스 e북 &gt; 현대물")</f>
        <v>로맨스 e북 &gt; 현대물</v>
      </c>
    </row>
    <row r="73" spans="1:49" x14ac:dyDescent="0.4">
      <c r="B73">
        <v>1525014009</v>
      </c>
      <c r="C73" t="str">
        <f>T("[e북]인턴사원")</f>
        <v>[e북]인턴사원</v>
      </c>
      <c r="E73" t="str">
        <f>T("트리플베리")</f>
        <v>트리플베리</v>
      </c>
      <c r="H73" t="str">
        <f>T("밀리오리지널")</f>
        <v>밀리오리지널</v>
      </c>
      <c r="J73">
        <v>3200</v>
      </c>
      <c r="K73">
        <v>16000</v>
      </c>
      <c r="L73">
        <v>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16000</v>
      </c>
      <c r="AH73">
        <v>5</v>
      </c>
      <c r="AI73">
        <v>0</v>
      </c>
      <c r="AJ73">
        <v>0</v>
      </c>
      <c r="AK73">
        <v>16000</v>
      </c>
      <c r="AL73">
        <v>0</v>
      </c>
      <c r="AM73">
        <v>0</v>
      </c>
      <c r="AN73">
        <v>0</v>
      </c>
      <c r="AO73">
        <v>0</v>
      </c>
      <c r="AP73" s="2">
        <v>11200</v>
      </c>
      <c r="AR73" t="str">
        <f>T("0000000000000")</f>
        <v>0000000000000</v>
      </c>
      <c r="AT73" t="str">
        <f>T("9791191562347")</f>
        <v>9791191562347</v>
      </c>
      <c r="AV73" t="str">
        <f>T("로맨스 e북 &gt; 현대물")</f>
        <v>로맨스 e북 &gt; 현대물</v>
      </c>
      <c r="AW73" t="str">
        <f>T("로맨스 e북 &gt; 19+")</f>
        <v>로맨스 e북 &gt; 19+</v>
      </c>
    </row>
    <row r="74" spans="1:49" x14ac:dyDescent="0.4">
      <c r="A74">
        <v>1525007764</v>
      </c>
      <c r="B74">
        <v>1525007767</v>
      </c>
      <c r="C74" t="str">
        <f>T("[e북]대공의 아내 4권")</f>
        <v>[e북]대공의 아내 4권</v>
      </c>
      <c r="D74" t="str">
        <f>T("4")</f>
        <v>4</v>
      </c>
      <c r="E74" t="str">
        <f>T("문시티")</f>
        <v>문시티</v>
      </c>
      <c r="H74" t="str">
        <f>T("쉬라즈")</f>
        <v>쉬라즈</v>
      </c>
      <c r="I74" t="str">
        <f>T("[e북]대공의 아내")</f>
        <v>[e북]대공의 아내</v>
      </c>
      <c r="J74">
        <v>3200</v>
      </c>
      <c r="K74">
        <v>16000</v>
      </c>
      <c r="L74">
        <v>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16000</v>
      </c>
      <c r="AH74">
        <v>5</v>
      </c>
      <c r="AI74">
        <v>0</v>
      </c>
      <c r="AJ74">
        <v>0</v>
      </c>
      <c r="AK74">
        <v>15740</v>
      </c>
      <c r="AL74">
        <v>0</v>
      </c>
      <c r="AM74">
        <v>260</v>
      </c>
      <c r="AN74">
        <v>0</v>
      </c>
      <c r="AO74">
        <v>0</v>
      </c>
      <c r="AP74" s="2">
        <v>11200</v>
      </c>
      <c r="AR74" t="str">
        <f>T("0000000000000")</f>
        <v>0000000000000</v>
      </c>
      <c r="AT74" t="str">
        <f>T("9791164896806")</f>
        <v>9791164896806</v>
      </c>
      <c r="AV74" t="str">
        <f>T("로판 e북 &gt; 서양풍 로판")</f>
        <v>로판 e북 &gt; 서양풍 로판</v>
      </c>
    </row>
    <row r="75" spans="1:49" x14ac:dyDescent="0.4">
      <c r="A75">
        <v>1525005640</v>
      </c>
      <c r="B75">
        <v>1525007201</v>
      </c>
      <c r="C75" t="str">
        <f>T("[e북]회귀의 전설 2부 22권")</f>
        <v>[e북]회귀의 전설 2부 22권</v>
      </c>
      <c r="D75" t="str">
        <f>T("22")</f>
        <v>22</v>
      </c>
      <c r="E75" t="str">
        <f>T("김광수")</f>
        <v>김광수</v>
      </c>
      <c r="H75" t="str">
        <f>T("스토리위즈")</f>
        <v>스토리위즈</v>
      </c>
      <c r="I75" t="str">
        <f>T("[e북]회귀의 전설")</f>
        <v>[e북]회귀의 전설</v>
      </c>
      <c r="J75">
        <v>3200</v>
      </c>
      <c r="K75">
        <v>16000</v>
      </c>
      <c r="L75">
        <v>5</v>
      </c>
      <c r="M75">
        <v>0</v>
      </c>
      <c r="N75">
        <v>900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2250</v>
      </c>
      <c r="V75">
        <v>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19150</v>
      </c>
      <c r="AH75">
        <v>11</v>
      </c>
      <c r="AI75">
        <v>0</v>
      </c>
      <c r="AJ75">
        <v>0</v>
      </c>
      <c r="AK75">
        <v>13350</v>
      </c>
      <c r="AL75">
        <v>0</v>
      </c>
      <c r="AM75">
        <v>5800</v>
      </c>
      <c r="AN75">
        <v>0</v>
      </c>
      <c r="AO75">
        <v>0</v>
      </c>
      <c r="AP75" s="2">
        <v>13405</v>
      </c>
      <c r="AT75" t="str">
        <f>T("9791166300462")</f>
        <v>9791166300462</v>
      </c>
      <c r="AV75" t="str">
        <f>T("판타지 e북 &gt; 현대 판타지")</f>
        <v>판타지 e북 &gt; 현대 판타지</v>
      </c>
    </row>
    <row r="76" spans="1:49" x14ac:dyDescent="0.4">
      <c r="A76">
        <v>1525013996</v>
      </c>
      <c r="B76">
        <v>1525013996</v>
      </c>
      <c r="C76" t="str">
        <f>T("[e북]집착의 맛 1권")</f>
        <v>[e북]집착의 맛 1권</v>
      </c>
      <c r="D76" t="str">
        <f>T("1")</f>
        <v>1</v>
      </c>
      <c r="E76" t="str">
        <f>T("sJessi")</f>
        <v>sJessi</v>
      </c>
      <c r="H76" t="str">
        <f>T("쉬라즈")</f>
        <v>쉬라즈</v>
      </c>
      <c r="I76" t="str">
        <f>T("[e북]집착의 맛")</f>
        <v>[e북]집착의 맛</v>
      </c>
      <c r="J76">
        <v>3000</v>
      </c>
      <c r="K76">
        <v>15000</v>
      </c>
      <c r="L76">
        <v>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15000</v>
      </c>
      <c r="AH76">
        <v>5</v>
      </c>
      <c r="AI76">
        <v>0</v>
      </c>
      <c r="AJ76">
        <v>0</v>
      </c>
      <c r="AK76">
        <v>12000</v>
      </c>
      <c r="AL76">
        <v>0</v>
      </c>
      <c r="AM76">
        <v>3600</v>
      </c>
      <c r="AN76">
        <v>-1080</v>
      </c>
      <c r="AO76">
        <v>0</v>
      </c>
      <c r="AP76" s="2">
        <v>10164</v>
      </c>
      <c r="AR76" t="str">
        <f>T("0000000000000")</f>
        <v>0000000000000</v>
      </c>
      <c r="AT76" t="str">
        <f>T("9791166483233")</f>
        <v>9791166483233</v>
      </c>
      <c r="AV76" t="str">
        <f>T("로맨스 e북 &gt; 현대물")</f>
        <v>로맨스 e북 &gt; 현대물</v>
      </c>
    </row>
    <row r="77" spans="1:49" x14ac:dyDescent="0.4">
      <c r="A77">
        <v>1525008201</v>
      </c>
      <c r="B77">
        <v>1525008201</v>
      </c>
      <c r="C77" t="str">
        <f>T("[e북]폭군의 공물 1권")</f>
        <v>[e북]폭군의 공물 1권</v>
      </c>
      <c r="D77" t="str">
        <f>T("1")</f>
        <v>1</v>
      </c>
      <c r="E77" t="str">
        <f>T("여러해살이풀")</f>
        <v>여러해살이풀</v>
      </c>
      <c r="H77" t="str">
        <f>T("블러쉬")</f>
        <v>블러쉬</v>
      </c>
      <c r="I77" t="str">
        <f>T("[e북]폭군의 공물")</f>
        <v>[e북]폭군의 공물</v>
      </c>
      <c r="J77">
        <v>3600</v>
      </c>
      <c r="K77">
        <v>14400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14400</v>
      </c>
      <c r="AH77">
        <v>4</v>
      </c>
      <c r="AI77">
        <v>0</v>
      </c>
      <c r="AJ77">
        <v>0</v>
      </c>
      <c r="AK77">
        <v>14400</v>
      </c>
      <c r="AL77">
        <v>0</v>
      </c>
      <c r="AM77">
        <v>0</v>
      </c>
      <c r="AN77">
        <v>0</v>
      </c>
      <c r="AO77">
        <v>0</v>
      </c>
      <c r="AP77" s="2">
        <v>10080</v>
      </c>
      <c r="AR77" t="str">
        <f>T("0000000000000")</f>
        <v>0000000000000</v>
      </c>
      <c r="AT77" t="str">
        <f>T("9791190132138")</f>
        <v>9791190132138</v>
      </c>
      <c r="AV77" t="str">
        <f>T("BL 소설 e북 &gt; 역사/시대물")</f>
        <v>BL 소설 e북 &gt; 역사/시대물</v>
      </c>
    </row>
    <row r="78" spans="1:49" x14ac:dyDescent="0.4">
      <c r="A78">
        <v>1525008201</v>
      </c>
      <c r="B78">
        <v>1525008202</v>
      </c>
      <c r="C78" t="str">
        <f>T("[e북]폭군의 공물 2권 (완결)")</f>
        <v>[e북]폭군의 공물 2권 (완결)</v>
      </c>
      <c r="D78" t="str">
        <f>T("2")</f>
        <v>2</v>
      </c>
      <c r="E78" t="str">
        <f>T("여러해살이풀")</f>
        <v>여러해살이풀</v>
      </c>
      <c r="H78" t="str">
        <f>T("블러쉬")</f>
        <v>블러쉬</v>
      </c>
      <c r="I78" t="str">
        <f>T("[e북]폭군의 공물")</f>
        <v>[e북]폭군의 공물</v>
      </c>
      <c r="J78">
        <v>3600</v>
      </c>
      <c r="K78">
        <v>14400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14400</v>
      </c>
      <c r="AH78">
        <v>4</v>
      </c>
      <c r="AI78">
        <v>0</v>
      </c>
      <c r="AJ78">
        <v>0</v>
      </c>
      <c r="AK78">
        <v>14400</v>
      </c>
      <c r="AL78">
        <v>0</v>
      </c>
      <c r="AM78">
        <v>0</v>
      </c>
      <c r="AN78">
        <v>0</v>
      </c>
      <c r="AO78">
        <v>0</v>
      </c>
      <c r="AP78" s="2">
        <v>10080</v>
      </c>
      <c r="AR78" t="str">
        <f>T("0000000000000")</f>
        <v>0000000000000</v>
      </c>
      <c r="AT78" t="str">
        <f>T("9791190132145")</f>
        <v>9791190132145</v>
      </c>
      <c r="AV78" t="str">
        <f>T("BL 소설 e북 &gt; 역사/시대물")</f>
        <v>BL 소설 e북 &gt; 역사/시대물</v>
      </c>
    </row>
    <row r="79" spans="1:49" x14ac:dyDescent="0.4">
      <c r="B79">
        <v>1525013999</v>
      </c>
      <c r="C79" t="str">
        <f>T("[e북]엑스 비서")</f>
        <v>[e북]엑스 비서</v>
      </c>
      <c r="E79" t="str">
        <f>T("비향")</f>
        <v>비향</v>
      </c>
      <c r="H79" t="str">
        <f>T("밀리오리지널")</f>
        <v>밀리오리지널</v>
      </c>
      <c r="J79">
        <v>2000</v>
      </c>
      <c r="K79">
        <v>14000</v>
      </c>
      <c r="L79">
        <v>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14000</v>
      </c>
      <c r="AH79">
        <v>7</v>
      </c>
      <c r="AI79">
        <v>0</v>
      </c>
      <c r="AJ79">
        <v>0</v>
      </c>
      <c r="AK79">
        <v>12280</v>
      </c>
      <c r="AL79">
        <v>0</v>
      </c>
      <c r="AM79">
        <v>1720</v>
      </c>
      <c r="AN79">
        <v>0</v>
      </c>
      <c r="AO79">
        <v>0</v>
      </c>
      <c r="AP79" s="2">
        <v>9800</v>
      </c>
      <c r="AT79" t="str">
        <f>T("9791191562248")</f>
        <v>9791191562248</v>
      </c>
      <c r="AV79" t="str">
        <f>T("로맨스 e북 &gt; 현대물")</f>
        <v>로맨스 e북 &gt; 현대물</v>
      </c>
      <c r="AW79" t="str">
        <f>T("로맨스 e북 &gt; 19+")</f>
        <v>로맨스 e북 &gt; 19+</v>
      </c>
    </row>
    <row r="80" spans="1:49" x14ac:dyDescent="0.4">
      <c r="B80">
        <v>1525013444</v>
      </c>
      <c r="C80" t="str">
        <f>T("[e북]황궁의 밤")</f>
        <v>[e북]황궁의 밤</v>
      </c>
      <c r="E80" t="str">
        <f>T("현진서")</f>
        <v>현진서</v>
      </c>
      <c r="H80" t="str">
        <f>T("밀리오리지널")</f>
        <v>밀리오리지널</v>
      </c>
      <c r="J80">
        <v>3500</v>
      </c>
      <c r="K80">
        <v>14000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14000</v>
      </c>
      <c r="AH80">
        <v>4</v>
      </c>
      <c r="AI80">
        <v>0</v>
      </c>
      <c r="AJ80">
        <v>0</v>
      </c>
      <c r="AK80">
        <v>14000</v>
      </c>
      <c r="AL80">
        <v>0</v>
      </c>
      <c r="AM80">
        <v>0</v>
      </c>
      <c r="AN80">
        <v>0</v>
      </c>
      <c r="AO80">
        <v>0</v>
      </c>
      <c r="AP80" s="2">
        <v>9800</v>
      </c>
      <c r="AT80" t="str">
        <f>T("9791191562132")</f>
        <v>9791191562132</v>
      </c>
      <c r="AV80" t="str">
        <f>T("로맨스 e북 &gt; 역사/시대물")</f>
        <v>로맨스 e북 &gt; 역사/시대물</v>
      </c>
      <c r="AW80" t="str">
        <f>T("로맨스 e북 &gt; 19+")</f>
        <v>로맨스 e북 &gt; 19+</v>
      </c>
    </row>
    <row r="81" spans="1:48" x14ac:dyDescent="0.4">
      <c r="A81">
        <v>1525008174</v>
      </c>
      <c r="B81">
        <v>1525008173</v>
      </c>
      <c r="C81" t="str">
        <f>T("[e북]자비를 베푸소서(Miserere Nobis) (외전)")</f>
        <v>[e북]자비를 베푸소서(Miserere Nobis) (외전)</v>
      </c>
      <c r="D81" t="str">
        <f>T("3")</f>
        <v>3</v>
      </c>
      <c r="E81" t="str">
        <f>T("SISSI")</f>
        <v>SISSI</v>
      </c>
      <c r="H81" t="str">
        <f>T("블러쉬")</f>
        <v>블러쉬</v>
      </c>
      <c r="I81" t="str">
        <f>T("[e북]자비를 베푸소서(Miserere Nobis)")</f>
        <v>[e북]자비를 베푸소서(Miserere Nobis)</v>
      </c>
      <c r="J81">
        <v>1000</v>
      </c>
      <c r="K81">
        <v>14000</v>
      </c>
      <c r="L81">
        <v>14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14000</v>
      </c>
      <c r="AH81">
        <v>14</v>
      </c>
      <c r="AI81">
        <v>0</v>
      </c>
      <c r="AJ81">
        <v>0</v>
      </c>
      <c r="AK81">
        <v>14000</v>
      </c>
      <c r="AL81">
        <v>0</v>
      </c>
      <c r="AM81">
        <v>0</v>
      </c>
      <c r="AN81">
        <v>0</v>
      </c>
      <c r="AO81">
        <v>0</v>
      </c>
      <c r="AP81" s="2">
        <v>9800</v>
      </c>
      <c r="AR81" t="str">
        <f>T("0000000000000")</f>
        <v>0000000000000</v>
      </c>
      <c r="AT81" t="str">
        <f>T("9791166481277")</f>
        <v>9791166481277</v>
      </c>
      <c r="AV81" t="str">
        <f>T("BL 소설 e북 &gt; 현대물")</f>
        <v>BL 소설 e북 &gt; 현대물</v>
      </c>
    </row>
    <row r="82" spans="1:48" x14ac:dyDescent="0.4">
      <c r="A82">
        <v>1525005640</v>
      </c>
      <c r="B82">
        <v>1525005659</v>
      </c>
      <c r="C82" t="str">
        <f>T("[e북]회귀의 전설 1부 20권")</f>
        <v>[e북]회귀의 전설 1부 20권</v>
      </c>
      <c r="D82" t="str">
        <f>T("20")</f>
        <v>20</v>
      </c>
      <c r="E82" t="str">
        <f>T("김광수")</f>
        <v>김광수</v>
      </c>
      <c r="H82" t="str">
        <f>T("스토리위즈")</f>
        <v>스토리위즈</v>
      </c>
      <c r="I82" t="str">
        <f>T("[e북]회귀의 전설")</f>
        <v>[e북]회귀의 전설</v>
      </c>
      <c r="J82">
        <v>3200</v>
      </c>
      <c r="K82">
        <v>12800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2250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15050</v>
      </c>
      <c r="AH82">
        <v>9</v>
      </c>
      <c r="AI82">
        <v>0</v>
      </c>
      <c r="AJ82">
        <v>0</v>
      </c>
      <c r="AK82">
        <v>11850</v>
      </c>
      <c r="AL82">
        <v>0</v>
      </c>
      <c r="AM82">
        <v>3200</v>
      </c>
      <c r="AN82">
        <v>0</v>
      </c>
      <c r="AO82">
        <v>0</v>
      </c>
      <c r="AP82" s="2">
        <v>10535</v>
      </c>
      <c r="AT82" t="str">
        <f>T("9791190937955")</f>
        <v>9791190937955</v>
      </c>
      <c r="AV82" t="str">
        <f>T("판타지 e북 &gt; 현대 판타지")</f>
        <v>판타지 e북 &gt; 현대 판타지</v>
      </c>
    </row>
    <row r="83" spans="1:48" x14ac:dyDescent="0.4">
      <c r="A83">
        <v>1525012548</v>
      </c>
      <c r="B83">
        <v>1525012549</v>
      </c>
      <c r="C83" t="str">
        <f>T("[e북]너드 공략집 2권")</f>
        <v>[e북]너드 공략집 2권</v>
      </c>
      <c r="D83" t="str">
        <f>T("2")</f>
        <v>2</v>
      </c>
      <c r="E83" t="str">
        <f>T("이다겸")</f>
        <v>이다겸</v>
      </c>
      <c r="H83" t="str">
        <f>T("블러쉬")</f>
        <v>블러쉬</v>
      </c>
      <c r="I83" t="str">
        <f>T("[e북]너드 공략집")</f>
        <v>[e북]너드 공략집</v>
      </c>
      <c r="J83">
        <v>3200</v>
      </c>
      <c r="K83">
        <v>12800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12800</v>
      </c>
      <c r="AH83">
        <v>4</v>
      </c>
      <c r="AI83">
        <v>0</v>
      </c>
      <c r="AJ83">
        <v>0</v>
      </c>
      <c r="AK83">
        <v>12800</v>
      </c>
      <c r="AL83">
        <v>0</v>
      </c>
      <c r="AM83">
        <v>0</v>
      </c>
      <c r="AN83">
        <v>0</v>
      </c>
      <c r="AO83">
        <v>0</v>
      </c>
      <c r="AP83" s="2">
        <v>8960</v>
      </c>
      <c r="AT83" t="str">
        <f>T("9791166482465")</f>
        <v>9791166482465</v>
      </c>
      <c r="AV83" t="str">
        <f>T("BL 소설 e북 &gt; 현대물")</f>
        <v>BL 소설 e북 &gt; 현대물</v>
      </c>
    </row>
    <row r="84" spans="1:48" x14ac:dyDescent="0.4">
      <c r="A84">
        <v>1525005640</v>
      </c>
      <c r="B84">
        <v>1525007205</v>
      </c>
      <c r="C84" t="str">
        <f>T("[e북]회귀의 전설 2부 26권")</f>
        <v>[e북]회귀의 전설 2부 26권</v>
      </c>
      <c r="D84" t="str">
        <f>T("26")</f>
        <v>26</v>
      </c>
      <c r="E84" t="str">
        <f>T("김광수")</f>
        <v>김광수</v>
      </c>
      <c r="H84" t="str">
        <f>T("스토리위즈")</f>
        <v>스토리위즈</v>
      </c>
      <c r="I84" t="str">
        <f>T("[e북]회귀의 전설")</f>
        <v>[e북]회귀의 전설</v>
      </c>
      <c r="J84">
        <v>3200</v>
      </c>
      <c r="K84">
        <v>12800</v>
      </c>
      <c r="L84">
        <v>4</v>
      </c>
      <c r="M84">
        <v>0</v>
      </c>
      <c r="N84">
        <v>900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2250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15950</v>
      </c>
      <c r="AH84">
        <v>10</v>
      </c>
      <c r="AI84">
        <v>0</v>
      </c>
      <c r="AJ84">
        <v>0</v>
      </c>
      <c r="AK84">
        <v>12750</v>
      </c>
      <c r="AL84">
        <v>0</v>
      </c>
      <c r="AM84">
        <v>3200</v>
      </c>
      <c r="AN84">
        <v>0</v>
      </c>
      <c r="AO84">
        <v>0</v>
      </c>
      <c r="AP84" s="2">
        <v>11165</v>
      </c>
      <c r="AT84" t="str">
        <f>T("9791166300509")</f>
        <v>9791166300509</v>
      </c>
      <c r="AV84" t="str">
        <f>T("판타지 e북 &gt; 현대 판타지")</f>
        <v>판타지 e북 &gt; 현대 판타지</v>
      </c>
    </row>
    <row r="85" spans="1:48" x14ac:dyDescent="0.4">
      <c r="A85">
        <v>1525000092</v>
      </c>
      <c r="B85">
        <v>1525000105</v>
      </c>
      <c r="C85" t="str">
        <f>T("[e북]다크 메이지 14권")</f>
        <v>[e북]다크 메이지 14권</v>
      </c>
      <c r="D85" t="str">
        <f>T("14")</f>
        <v>14</v>
      </c>
      <c r="E85" t="str">
        <f>T("김정률")</f>
        <v>김정률</v>
      </c>
      <c r="H85" t="str">
        <f>T("스토리위즈")</f>
        <v>스토리위즈</v>
      </c>
      <c r="I85" t="str">
        <f>T("[e북]다크 메이지")</f>
        <v>[e북]다크 메이지</v>
      </c>
      <c r="J85">
        <v>3200</v>
      </c>
      <c r="K85">
        <v>12800</v>
      </c>
      <c r="L85">
        <v>4</v>
      </c>
      <c r="M85">
        <v>0</v>
      </c>
      <c r="N85">
        <v>8100</v>
      </c>
      <c r="O85">
        <v>9</v>
      </c>
      <c r="P85">
        <v>0</v>
      </c>
      <c r="Q85">
        <v>0</v>
      </c>
      <c r="R85">
        <v>0</v>
      </c>
      <c r="S85">
        <v>0</v>
      </c>
      <c r="T85">
        <v>0</v>
      </c>
      <c r="U85">
        <v>2700</v>
      </c>
      <c r="V85">
        <v>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23600</v>
      </c>
      <c r="AH85">
        <v>19</v>
      </c>
      <c r="AI85">
        <v>0</v>
      </c>
      <c r="AJ85">
        <v>0</v>
      </c>
      <c r="AK85">
        <v>16970</v>
      </c>
      <c r="AL85">
        <v>0</v>
      </c>
      <c r="AM85">
        <v>6630</v>
      </c>
      <c r="AN85">
        <v>0</v>
      </c>
      <c r="AO85">
        <v>0</v>
      </c>
      <c r="AP85" s="2">
        <v>16520</v>
      </c>
      <c r="AR85" t="str">
        <f>T("0000000000000")</f>
        <v>0000000000000</v>
      </c>
      <c r="AT85" t="str">
        <f>T("9791166061981")</f>
        <v>9791166061981</v>
      </c>
      <c r="AV85" t="str">
        <f>T("판타지 e북 &gt; 퓨전 판타지")</f>
        <v>판타지 e북 &gt; 퓨전 판타지</v>
      </c>
    </row>
    <row r="86" spans="1:48" x14ac:dyDescent="0.4">
      <c r="A86">
        <v>1525000092</v>
      </c>
      <c r="B86">
        <v>1525000098</v>
      </c>
      <c r="C86" t="str">
        <f>T("[e북]다크 메이지 7권")</f>
        <v>[e북]다크 메이지 7권</v>
      </c>
      <c r="D86" t="str">
        <f>T("7")</f>
        <v>7</v>
      </c>
      <c r="E86" t="str">
        <f>T("김정률")</f>
        <v>김정률</v>
      </c>
      <c r="H86" t="str">
        <f>T("스토리위즈")</f>
        <v>스토리위즈</v>
      </c>
      <c r="I86" t="str">
        <f>T("[e북]다크 메이지")</f>
        <v>[e북]다크 메이지</v>
      </c>
      <c r="J86">
        <v>3200</v>
      </c>
      <c r="K86">
        <v>12800</v>
      </c>
      <c r="L86">
        <v>4</v>
      </c>
      <c r="M86">
        <v>0</v>
      </c>
      <c r="N86">
        <v>10800</v>
      </c>
      <c r="O86">
        <v>12</v>
      </c>
      <c r="P86">
        <v>0</v>
      </c>
      <c r="Q86">
        <v>0</v>
      </c>
      <c r="R86">
        <v>0</v>
      </c>
      <c r="S86">
        <v>0</v>
      </c>
      <c r="T86">
        <v>0</v>
      </c>
      <c r="U86">
        <v>2700</v>
      </c>
      <c r="V86">
        <v>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26300</v>
      </c>
      <c r="AH86">
        <v>22</v>
      </c>
      <c r="AI86">
        <v>0</v>
      </c>
      <c r="AJ86">
        <v>0</v>
      </c>
      <c r="AK86">
        <v>18658</v>
      </c>
      <c r="AL86">
        <v>0</v>
      </c>
      <c r="AM86">
        <v>7822</v>
      </c>
      <c r="AN86">
        <v>-324</v>
      </c>
      <c r="AO86">
        <v>0</v>
      </c>
      <c r="AP86" s="2">
        <v>18309.2</v>
      </c>
      <c r="AR86" t="str">
        <f>T("0000000000000")</f>
        <v>0000000000000</v>
      </c>
      <c r="AT86" t="str">
        <f>T("9791166061912")</f>
        <v>9791166061912</v>
      </c>
      <c r="AV86" t="str">
        <f>T("판타지 e북 &gt; 퓨전 판타지")</f>
        <v>판타지 e북 &gt; 퓨전 판타지</v>
      </c>
    </row>
    <row r="87" spans="1:48" x14ac:dyDescent="0.4">
      <c r="A87">
        <v>1525012774</v>
      </c>
      <c r="B87">
        <v>1525012774</v>
      </c>
      <c r="C87" t="str">
        <f>T("[e북]주먹 구십구 1권")</f>
        <v>[e북]주먹 구십구 1권</v>
      </c>
      <c r="D87" t="str">
        <f>T("1")</f>
        <v>1</v>
      </c>
      <c r="E87" t="str">
        <f>T("마연")</f>
        <v>마연</v>
      </c>
      <c r="H87" t="str">
        <f>T("블러쉬")</f>
        <v>블러쉬</v>
      </c>
      <c r="I87" t="str">
        <f>T("[e북]주먹 구십구")</f>
        <v>[e북]주먹 구십구</v>
      </c>
      <c r="J87">
        <v>3200</v>
      </c>
      <c r="K87">
        <v>12800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12800</v>
      </c>
      <c r="AH87">
        <v>4</v>
      </c>
      <c r="AI87">
        <v>0</v>
      </c>
      <c r="AJ87">
        <v>0</v>
      </c>
      <c r="AK87">
        <v>12800</v>
      </c>
      <c r="AL87">
        <v>0</v>
      </c>
      <c r="AM87">
        <v>0</v>
      </c>
      <c r="AN87">
        <v>0</v>
      </c>
      <c r="AO87">
        <v>0</v>
      </c>
      <c r="AP87" s="2">
        <v>8960</v>
      </c>
      <c r="AR87" t="str">
        <f>T("0000000000000")</f>
        <v>0000000000000</v>
      </c>
      <c r="AT87" t="str">
        <f>T("9791166482649")</f>
        <v>9791166482649</v>
      </c>
      <c r="AV87" t="str">
        <f>T("BL 소설 e북 &gt; 현대물")</f>
        <v>BL 소설 e북 &gt; 현대물</v>
      </c>
    </row>
    <row r="88" spans="1:48" x14ac:dyDescent="0.4">
      <c r="A88">
        <v>1525005640</v>
      </c>
      <c r="B88">
        <v>1525007209</v>
      </c>
      <c r="C88" t="str">
        <f>T("[e북]회귀의 전설 2부 30권")</f>
        <v>[e북]회귀의 전설 2부 30권</v>
      </c>
      <c r="D88" t="str">
        <f>T("30")</f>
        <v>30</v>
      </c>
      <c r="E88" t="str">
        <f>T("김광수")</f>
        <v>김광수</v>
      </c>
      <c r="H88" t="str">
        <f t="shared" ref="H88:H93" si="10">T("스토리위즈")</f>
        <v>스토리위즈</v>
      </c>
      <c r="I88" t="str">
        <f>T("[e북]회귀의 전설")</f>
        <v>[e북]회귀의 전설</v>
      </c>
      <c r="J88">
        <v>3200</v>
      </c>
      <c r="K88">
        <v>12800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2250</v>
      </c>
      <c r="V88">
        <v>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15050</v>
      </c>
      <c r="AH88">
        <v>9</v>
      </c>
      <c r="AI88">
        <v>0</v>
      </c>
      <c r="AJ88">
        <v>0</v>
      </c>
      <c r="AK88">
        <v>11850</v>
      </c>
      <c r="AL88">
        <v>0</v>
      </c>
      <c r="AM88">
        <v>3200</v>
      </c>
      <c r="AN88">
        <v>0</v>
      </c>
      <c r="AO88">
        <v>0</v>
      </c>
      <c r="AP88" s="2">
        <v>10535</v>
      </c>
      <c r="AT88" t="str">
        <f>T("9791166300547")</f>
        <v>9791166300547</v>
      </c>
      <c r="AV88" t="str">
        <f>T("판타지 e북 &gt; 현대 판타지")</f>
        <v>판타지 e북 &gt; 현대 판타지</v>
      </c>
    </row>
    <row r="89" spans="1:48" x14ac:dyDescent="0.4">
      <c r="A89">
        <v>1525005640</v>
      </c>
      <c r="B89">
        <v>1525005656</v>
      </c>
      <c r="C89" t="str">
        <f>T("[e북]회귀의 전설 1부 17권")</f>
        <v>[e북]회귀의 전설 1부 17권</v>
      </c>
      <c r="D89" t="str">
        <f>T("17")</f>
        <v>17</v>
      </c>
      <c r="E89" t="str">
        <f>T("김광수")</f>
        <v>김광수</v>
      </c>
      <c r="H89" t="str">
        <f t="shared" si="10"/>
        <v>스토리위즈</v>
      </c>
      <c r="I89" t="str">
        <f>T("[e북]회귀의 전설")</f>
        <v>[e북]회귀의 전설</v>
      </c>
      <c r="J89">
        <v>3200</v>
      </c>
      <c r="K89">
        <v>12800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2250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15050</v>
      </c>
      <c r="AH89">
        <v>9</v>
      </c>
      <c r="AI89">
        <v>0</v>
      </c>
      <c r="AJ89">
        <v>0</v>
      </c>
      <c r="AK89">
        <v>12150</v>
      </c>
      <c r="AL89">
        <v>0</v>
      </c>
      <c r="AM89">
        <v>2900</v>
      </c>
      <c r="AN89">
        <v>0</v>
      </c>
      <c r="AO89">
        <v>0</v>
      </c>
      <c r="AP89" s="2">
        <v>10535</v>
      </c>
      <c r="AT89" t="str">
        <f>T("9791190937924")</f>
        <v>9791190937924</v>
      </c>
      <c r="AV89" t="str">
        <f>T("판타지 e북 &gt; 현대 판타지")</f>
        <v>판타지 e북 &gt; 현대 판타지</v>
      </c>
    </row>
    <row r="90" spans="1:48" x14ac:dyDescent="0.4">
      <c r="A90">
        <v>1525005640</v>
      </c>
      <c r="B90">
        <v>1525007202</v>
      </c>
      <c r="C90" t="str">
        <f>T("[e북]회귀의 전설 2부 23권")</f>
        <v>[e북]회귀의 전설 2부 23권</v>
      </c>
      <c r="D90" t="str">
        <f>T("23")</f>
        <v>23</v>
      </c>
      <c r="E90" t="str">
        <f>T("김광수")</f>
        <v>김광수</v>
      </c>
      <c r="H90" t="str">
        <f t="shared" si="10"/>
        <v>스토리위즈</v>
      </c>
      <c r="I90" t="str">
        <f>T("[e북]회귀의 전설")</f>
        <v>[e북]회귀의 전설</v>
      </c>
      <c r="J90">
        <v>3200</v>
      </c>
      <c r="K90">
        <v>12800</v>
      </c>
      <c r="L90">
        <v>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2250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15050</v>
      </c>
      <c r="AH90">
        <v>9</v>
      </c>
      <c r="AI90">
        <v>0</v>
      </c>
      <c r="AJ90">
        <v>0</v>
      </c>
      <c r="AK90">
        <v>11850</v>
      </c>
      <c r="AL90">
        <v>0</v>
      </c>
      <c r="AM90">
        <v>3200</v>
      </c>
      <c r="AN90">
        <v>0</v>
      </c>
      <c r="AO90">
        <v>0</v>
      </c>
      <c r="AP90" s="2">
        <v>10535</v>
      </c>
      <c r="AT90" t="str">
        <f>T("9791166300479")</f>
        <v>9791166300479</v>
      </c>
      <c r="AV90" t="str">
        <f>T("판타지 e북 &gt; 현대 판타지")</f>
        <v>판타지 e북 &gt; 현대 판타지</v>
      </c>
    </row>
    <row r="91" spans="1:48" x14ac:dyDescent="0.4">
      <c r="A91">
        <v>1525000092</v>
      </c>
      <c r="B91">
        <v>1525000102</v>
      </c>
      <c r="C91" t="str">
        <f>T("[e북]다크 메이지 11권")</f>
        <v>[e북]다크 메이지 11권</v>
      </c>
      <c r="D91" t="str">
        <f>T("11")</f>
        <v>11</v>
      </c>
      <c r="E91" t="str">
        <f>T("김정률")</f>
        <v>김정률</v>
      </c>
      <c r="H91" t="str">
        <f t="shared" si="10"/>
        <v>스토리위즈</v>
      </c>
      <c r="I91" t="str">
        <f>T("[e북]다크 메이지")</f>
        <v>[e북]다크 메이지</v>
      </c>
      <c r="J91">
        <v>3200</v>
      </c>
      <c r="K91">
        <v>12800</v>
      </c>
      <c r="L91">
        <v>4</v>
      </c>
      <c r="M91">
        <v>0</v>
      </c>
      <c r="N91">
        <v>10800</v>
      </c>
      <c r="O91">
        <v>12</v>
      </c>
      <c r="P91">
        <v>0</v>
      </c>
      <c r="Q91">
        <v>0</v>
      </c>
      <c r="R91">
        <v>0</v>
      </c>
      <c r="S91">
        <v>0</v>
      </c>
      <c r="T91">
        <v>0</v>
      </c>
      <c r="U91">
        <v>2700</v>
      </c>
      <c r="V91">
        <v>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26300</v>
      </c>
      <c r="AH91">
        <v>22</v>
      </c>
      <c r="AI91">
        <v>0</v>
      </c>
      <c r="AJ91">
        <v>0</v>
      </c>
      <c r="AK91">
        <v>17870</v>
      </c>
      <c r="AL91">
        <v>0</v>
      </c>
      <c r="AM91">
        <v>8610</v>
      </c>
      <c r="AN91">
        <v>-324</v>
      </c>
      <c r="AO91">
        <v>0</v>
      </c>
      <c r="AP91" s="2">
        <v>18309.2</v>
      </c>
      <c r="AR91" t="str">
        <f>T("0000000000000")</f>
        <v>0000000000000</v>
      </c>
      <c r="AT91" t="str">
        <f>T("9791166061950")</f>
        <v>9791166061950</v>
      </c>
      <c r="AV91" t="str">
        <f>T("판타지 e북 &gt; 퓨전 판타지")</f>
        <v>판타지 e북 &gt; 퓨전 판타지</v>
      </c>
    </row>
    <row r="92" spans="1:48" x14ac:dyDescent="0.4">
      <c r="A92">
        <v>1525000092</v>
      </c>
      <c r="B92">
        <v>1525000095</v>
      </c>
      <c r="C92" t="str">
        <f>T("[e북]다크 메이지 4권")</f>
        <v>[e북]다크 메이지 4권</v>
      </c>
      <c r="D92" t="str">
        <f>T("4")</f>
        <v>4</v>
      </c>
      <c r="E92" t="str">
        <f>T("김정률")</f>
        <v>김정률</v>
      </c>
      <c r="H92" t="str">
        <f t="shared" si="10"/>
        <v>스토리위즈</v>
      </c>
      <c r="I92" t="str">
        <f>T("[e북]다크 메이지")</f>
        <v>[e북]다크 메이지</v>
      </c>
      <c r="J92">
        <v>3200</v>
      </c>
      <c r="K92">
        <v>12800</v>
      </c>
      <c r="L92">
        <v>4</v>
      </c>
      <c r="M92">
        <v>0</v>
      </c>
      <c r="N92">
        <v>13500</v>
      </c>
      <c r="O92">
        <v>15</v>
      </c>
      <c r="P92">
        <v>0</v>
      </c>
      <c r="Q92">
        <v>0</v>
      </c>
      <c r="R92">
        <v>0</v>
      </c>
      <c r="S92">
        <v>0</v>
      </c>
      <c r="T92">
        <v>0</v>
      </c>
      <c r="U92">
        <v>2700</v>
      </c>
      <c r="V92">
        <v>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29000</v>
      </c>
      <c r="AH92">
        <v>25</v>
      </c>
      <c r="AI92">
        <v>0</v>
      </c>
      <c r="AJ92">
        <v>0</v>
      </c>
      <c r="AK92">
        <v>20646</v>
      </c>
      <c r="AL92">
        <v>0</v>
      </c>
      <c r="AM92">
        <v>8534</v>
      </c>
      <c r="AN92">
        <v>-324</v>
      </c>
      <c r="AO92">
        <v>0</v>
      </c>
      <c r="AP92" s="2">
        <v>20199.2</v>
      </c>
      <c r="AR92" t="str">
        <f>T("0000000000000")</f>
        <v>0000000000000</v>
      </c>
      <c r="AT92" t="str">
        <f>T("9791166061882")</f>
        <v>9791166061882</v>
      </c>
      <c r="AV92" t="str">
        <f>T("판타지 e북 &gt; 퓨전 판타지")</f>
        <v>판타지 e북 &gt; 퓨전 판타지</v>
      </c>
    </row>
    <row r="93" spans="1:48" x14ac:dyDescent="0.4">
      <c r="A93">
        <v>1525005640</v>
      </c>
      <c r="B93">
        <v>1525005660</v>
      </c>
      <c r="C93" t="str">
        <f>T("[e북]회귀의 전설 1부 21권 (1부 완결)")</f>
        <v>[e북]회귀의 전설 1부 21권 (1부 완결)</v>
      </c>
      <c r="D93" t="str">
        <f>T("21")</f>
        <v>21</v>
      </c>
      <c r="E93" t="str">
        <f>T("김광수")</f>
        <v>김광수</v>
      </c>
      <c r="H93" t="str">
        <f t="shared" si="10"/>
        <v>스토리위즈</v>
      </c>
      <c r="I93" t="str">
        <f>T("[e북]회귀의 전설")</f>
        <v>[e북]회귀의 전설</v>
      </c>
      <c r="J93">
        <v>3200</v>
      </c>
      <c r="K93">
        <v>12800</v>
      </c>
      <c r="L93">
        <v>4</v>
      </c>
      <c r="M93">
        <v>0</v>
      </c>
      <c r="N93">
        <v>1800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2250</v>
      </c>
      <c r="V93">
        <v>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16850</v>
      </c>
      <c r="AH93">
        <v>11</v>
      </c>
      <c r="AI93">
        <v>0</v>
      </c>
      <c r="AJ93">
        <v>0</v>
      </c>
      <c r="AK93">
        <v>13650</v>
      </c>
      <c r="AL93">
        <v>0</v>
      </c>
      <c r="AM93">
        <v>3200</v>
      </c>
      <c r="AN93">
        <v>0</v>
      </c>
      <c r="AO93">
        <v>0</v>
      </c>
      <c r="AP93" s="2">
        <v>11795</v>
      </c>
      <c r="AT93" t="str">
        <f>T("9791190937962")</f>
        <v>9791190937962</v>
      </c>
      <c r="AV93" t="str">
        <f>T("판타지 e북 &gt; 현대 판타지")</f>
        <v>판타지 e북 &gt; 현대 판타지</v>
      </c>
    </row>
    <row r="94" spans="1:48" x14ac:dyDescent="0.4">
      <c r="A94">
        <v>1525012548</v>
      </c>
      <c r="B94">
        <v>1525012550</v>
      </c>
      <c r="C94" t="str">
        <f>T("[e북]너드 공략집 3권 (완결)")</f>
        <v>[e북]너드 공략집 3권 (완결)</v>
      </c>
      <c r="D94" t="str">
        <f>T("3")</f>
        <v>3</v>
      </c>
      <c r="E94" t="str">
        <f>T("이다겸")</f>
        <v>이다겸</v>
      </c>
      <c r="H94" t="str">
        <f>T("블러쉬")</f>
        <v>블러쉬</v>
      </c>
      <c r="I94" t="str">
        <f>T("[e북]너드 공략집")</f>
        <v>[e북]너드 공략집</v>
      </c>
      <c r="J94">
        <v>3200</v>
      </c>
      <c r="K94">
        <v>12800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12800</v>
      </c>
      <c r="AH94">
        <v>4</v>
      </c>
      <c r="AI94">
        <v>0</v>
      </c>
      <c r="AJ94">
        <v>0</v>
      </c>
      <c r="AK94">
        <v>12800</v>
      </c>
      <c r="AL94">
        <v>0</v>
      </c>
      <c r="AM94">
        <v>0</v>
      </c>
      <c r="AN94">
        <v>0</v>
      </c>
      <c r="AO94">
        <v>0</v>
      </c>
      <c r="AP94" s="2">
        <v>8960</v>
      </c>
      <c r="AT94" t="str">
        <f>T("9791166482472")</f>
        <v>9791166482472</v>
      </c>
      <c r="AV94" t="str">
        <f>T("BL 소설 e북 &gt; 현대물")</f>
        <v>BL 소설 e북 &gt; 현대물</v>
      </c>
    </row>
    <row r="95" spans="1:48" x14ac:dyDescent="0.4">
      <c r="A95">
        <v>1525000092</v>
      </c>
      <c r="B95">
        <v>1525000106</v>
      </c>
      <c r="C95" t="str">
        <f>T("[e북]다크 메이지 15권 (1부 완결)")</f>
        <v>[e북]다크 메이지 15권 (1부 완결)</v>
      </c>
      <c r="D95" t="str">
        <f>T("15")</f>
        <v>15</v>
      </c>
      <c r="E95" t="str">
        <f>T("김정률")</f>
        <v>김정률</v>
      </c>
      <c r="H95" t="str">
        <f t="shared" ref="H95:H116" si="11">T("스토리위즈")</f>
        <v>스토리위즈</v>
      </c>
      <c r="I95" t="str">
        <f>T("[e북]다크 메이지")</f>
        <v>[e북]다크 메이지</v>
      </c>
      <c r="J95">
        <v>3200</v>
      </c>
      <c r="K95">
        <v>12800</v>
      </c>
      <c r="L95">
        <v>4</v>
      </c>
      <c r="M95">
        <v>0</v>
      </c>
      <c r="N95">
        <v>6300</v>
      </c>
      <c r="O95">
        <v>7</v>
      </c>
      <c r="P95">
        <v>0</v>
      </c>
      <c r="Q95">
        <v>0</v>
      </c>
      <c r="R95">
        <v>0</v>
      </c>
      <c r="S95">
        <v>0</v>
      </c>
      <c r="T95">
        <v>0</v>
      </c>
      <c r="U95">
        <v>2700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21800</v>
      </c>
      <c r="AH95">
        <v>17</v>
      </c>
      <c r="AI95">
        <v>0</v>
      </c>
      <c r="AJ95">
        <v>0</v>
      </c>
      <c r="AK95">
        <v>16070</v>
      </c>
      <c r="AL95">
        <v>0</v>
      </c>
      <c r="AM95">
        <v>5730</v>
      </c>
      <c r="AN95">
        <v>0</v>
      </c>
      <c r="AO95">
        <v>0</v>
      </c>
      <c r="AP95" s="2">
        <v>15260</v>
      </c>
      <c r="AR95" t="str">
        <f>T("0000000000000")</f>
        <v>0000000000000</v>
      </c>
      <c r="AT95" t="str">
        <f>T("9791166061998")</f>
        <v>9791166061998</v>
      </c>
      <c r="AV95" t="str">
        <f>T("판타지 e북 &gt; 퓨전 판타지")</f>
        <v>판타지 e북 &gt; 퓨전 판타지</v>
      </c>
    </row>
    <row r="96" spans="1:48" x14ac:dyDescent="0.4">
      <c r="A96">
        <v>1525000092</v>
      </c>
      <c r="B96">
        <v>1525000099</v>
      </c>
      <c r="C96" t="str">
        <f>T("[e북]다크 메이지 8권")</f>
        <v>[e북]다크 메이지 8권</v>
      </c>
      <c r="D96" t="str">
        <f>T("8")</f>
        <v>8</v>
      </c>
      <c r="E96" t="str">
        <f>T("김정률")</f>
        <v>김정률</v>
      </c>
      <c r="H96" t="str">
        <f t="shared" si="11"/>
        <v>스토리위즈</v>
      </c>
      <c r="I96" t="str">
        <f>T("[e북]다크 메이지")</f>
        <v>[e북]다크 메이지</v>
      </c>
      <c r="J96">
        <v>3200</v>
      </c>
      <c r="K96">
        <v>12800</v>
      </c>
      <c r="L96">
        <v>4</v>
      </c>
      <c r="M96">
        <v>0</v>
      </c>
      <c r="N96">
        <v>10800</v>
      </c>
      <c r="O96">
        <v>12</v>
      </c>
      <c r="P96">
        <v>0</v>
      </c>
      <c r="Q96">
        <v>0</v>
      </c>
      <c r="R96">
        <v>0</v>
      </c>
      <c r="S96">
        <v>0</v>
      </c>
      <c r="T96">
        <v>0</v>
      </c>
      <c r="U96">
        <v>2700</v>
      </c>
      <c r="V96">
        <v>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26300</v>
      </c>
      <c r="AH96">
        <v>22</v>
      </c>
      <c r="AI96">
        <v>0</v>
      </c>
      <c r="AJ96">
        <v>0</v>
      </c>
      <c r="AK96">
        <v>19320</v>
      </c>
      <c r="AL96">
        <v>0</v>
      </c>
      <c r="AM96">
        <v>7020</v>
      </c>
      <c r="AN96">
        <v>-72</v>
      </c>
      <c r="AO96">
        <v>0</v>
      </c>
      <c r="AP96" s="2">
        <v>18387.599999999999</v>
      </c>
      <c r="AR96" t="str">
        <f>T("0000000000000")</f>
        <v>0000000000000</v>
      </c>
      <c r="AT96" t="str">
        <f>T("9791166061929")</f>
        <v>9791166061929</v>
      </c>
      <c r="AV96" t="str">
        <f>T("판타지 e북 &gt; 퓨전 판타지")</f>
        <v>판타지 e북 &gt; 퓨전 판타지</v>
      </c>
    </row>
    <row r="97" spans="1:48" x14ac:dyDescent="0.4">
      <c r="A97">
        <v>1525003495</v>
      </c>
      <c r="B97">
        <v>1525003499</v>
      </c>
      <c r="C97" t="str">
        <f>T("[e북]소드마스터의 환생 5권")</f>
        <v>[e북]소드마스터의 환생 5권</v>
      </c>
      <c r="D97" t="str">
        <f>T("5")</f>
        <v>5</v>
      </c>
      <c r="E97" t="str">
        <f>T("파란영")</f>
        <v>파란영</v>
      </c>
      <c r="H97" t="str">
        <f t="shared" si="11"/>
        <v>스토리위즈</v>
      </c>
      <c r="I97" t="str">
        <f>T("[e북]소드마스터의 환생")</f>
        <v>[e북]소드마스터의 환생</v>
      </c>
      <c r="J97">
        <v>3200</v>
      </c>
      <c r="K97">
        <v>12800</v>
      </c>
      <c r="L97">
        <v>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12800</v>
      </c>
      <c r="AH97">
        <v>4</v>
      </c>
      <c r="AI97">
        <v>0</v>
      </c>
      <c r="AJ97">
        <v>0</v>
      </c>
      <c r="AK97">
        <v>10500</v>
      </c>
      <c r="AL97">
        <v>0</v>
      </c>
      <c r="AM97">
        <v>2300</v>
      </c>
      <c r="AN97">
        <v>0</v>
      </c>
      <c r="AO97">
        <v>0</v>
      </c>
      <c r="AP97" s="2">
        <v>8960</v>
      </c>
      <c r="AT97" t="str">
        <f>T("9791159289859")</f>
        <v>9791159289859</v>
      </c>
      <c r="AV97" t="str">
        <f>T("판타지 e북 &gt; 정통 판타지")</f>
        <v>판타지 e북 &gt; 정통 판타지</v>
      </c>
    </row>
    <row r="98" spans="1:48" x14ac:dyDescent="0.4">
      <c r="A98">
        <v>1525005640</v>
      </c>
      <c r="B98">
        <v>1525005657</v>
      </c>
      <c r="C98" t="str">
        <f>T("[e북]회귀의 전설 1부 18권")</f>
        <v>[e북]회귀의 전설 1부 18권</v>
      </c>
      <c r="D98" t="str">
        <f>T("18")</f>
        <v>18</v>
      </c>
      <c r="E98" t="str">
        <f>T("김광수")</f>
        <v>김광수</v>
      </c>
      <c r="H98" t="str">
        <f t="shared" si="11"/>
        <v>스토리위즈</v>
      </c>
      <c r="I98" t="str">
        <f>T("[e북]회귀의 전설")</f>
        <v>[e북]회귀의 전설</v>
      </c>
      <c r="J98">
        <v>3200</v>
      </c>
      <c r="K98">
        <v>12800</v>
      </c>
      <c r="L98">
        <v>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2250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15050</v>
      </c>
      <c r="AH98">
        <v>9</v>
      </c>
      <c r="AI98">
        <v>0</v>
      </c>
      <c r="AJ98">
        <v>0</v>
      </c>
      <c r="AK98">
        <v>11850</v>
      </c>
      <c r="AL98">
        <v>0</v>
      </c>
      <c r="AM98">
        <v>3200</v>
      </c>
      <c r="AN98">
        <v>0</v>
      </c>
      <c r="AO98">
        <v>0</v>
      </c>
      <c r="AP98" s="2">
        <v>10535</v>
      </c>
      <c r="AT98" t="str">
        <f>T("9791190937931")</f>
        <v>9791190937931</v>
      </c>
      <c r="AV98" t="str">
        <f>T("판타지 e북 &gt; 현대 판타지")</f>
        <v>판타지 e북 &gt; 현대 판타지</v>
      </c>
    </row>
    <row r="99" spans="1:48" x14ac:dyDescent="0.4">
      <c r="A99">
        <v>1525005640</v>
      </c>
      <c r="B99">
        <v>1525007203</v>
      </c>
      <c r="C99" t="str">
        <f>T("[e북]회귀의 전설 2부 24권")</f>
        <v>[e북]회귀의 전설 2부 24권</v>
      </c>
      <c r="D99" t="str">
        <f>T("24")</f>
        <v>24</v>
      </c>
      <c r="E99" t="str">
        <f>T("김광수")</f>
        <v>김광수</v>
      </c>
      <c r="H99" t="str">
        <f t="shared" si="11"/>
        <v>스토리위즈</v>
      </c>
      <c r="I99" t="str">
        <f>T("[e북]회귀의 전설")</f>
        <v>[e북]회귀의 전설</v>
      </c>
      <c r="J99">
        <v>3200</v>
      </c>
      <c r="K99">
        <v>12800</v>
      </c>
      <c r="L99">
        <v>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2250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15050</v>
      </c>
      <c r="AH99">
        <v>9</v>
      </c>
      <c r="AI99">
        <v>0</v>
      </c>
      <c r="AJ99">
        <v>0</v>
      </c>
      <c r="AK99">
        <v>11850</v>
      </c>
      <c r="AL99">
        <v>0</v>
      </c>
      <c r="AM99">
        <v>3200</v>
      </c>
      <c r="AN99">
        <v>0</v>
      </c>
      <c r="AO99">
        <v>0</v>
      </c>
      <c r="AP99" s="2">
        <v>10535</v>
      </c>
      <c r="AT99" t="str">
        <f>T("9791166300486")</f>
        <v>9791166300486</v>
      </c>
      <c r="AV99" t="str">
        <f>T("판타지 e북 &gt; 현대 판타지")</f>
        <v>판타지 e북 &gt; 현대 판타지</v>
      </c>
    </row>
    <row r="100" spans="1:48" x14ac:dyDescent="0.4">
      <c r="A100">
        <v>1525000092</v>
      </c>
      <c r="B100">
        <v>1525000103</v>
      </c>
      <c r="C100" t="str">
        <f>T("[e북]다크 메이지 12권")</f>
        <v>[e북]다크 메이지 12권</v>
      </c>
      <c r="D100" t="str">
        <f>T("12")</f>
        <v>12</v>
      </c>
      <c r="E100" t="str">
        <f>T("김정률")</f>
        <v>김정률</v>
      </c>
      <c r="H100" t="str">
        <f t="shared" si="11"/>
        <v>스토리위즈</v>
      </c>
      <c r="I100" t="str">
        <f>T("[e북]다크 메이지")</f>
        <v>[e북]다크 메이지</v>
      </c>
      <c r="J100">
        <v>3200</v>
      </c>
      <c r="K100">
        <v>12800</v>
      </c>
      <c r="L100">
        <v>4</v>
      </c>
      <c r="M100">
        <v>0</v>
      </c>
      <c r="N100">
        <v>9900</v>
      </c>
      <c r="O100">
        <v>11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2700</v>
      </c>
      <c r="V100">
        <v>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25400</v>
      </c>
      <c r="AH100">
        <v>21</v>
      </c>
      <c r="AI100">
        <v>0</v>
      </c>
      <c r="AJ100">
        <v>0</v>
      </c>
      <c r="AK100">
        <v>17870</v>
      </c>
      <c r="AL100">
        <v>0</v>
      </c>
      <c r="AM100">
        <v>7710</v>
      </c>
      <c r="AN100">
        <v>-324</v>
      </c>
      <c r="AO100">
        <v>0</v>
      </c>
      <c r="AP100" s="2">
        <v>17679.2</v>
      </c>
      <c r="AR100" t="str">
        <f>T("0000000000000")</f>
        <v>0000000000000</v>
      </c>
      <c r="AT100" t="str">
        <f>T("9791166061967")</f>
        <v>9791166061967</v>
      </c>
      <c r="AV100" t="str">
        <f>T("판타지 e북 &gt; 퓨전 판타지")</f>
        <v>판타지 e북 &gt; 퓨전 판타지</v>
      </c>
    </row>
    <row r="101" spans="1:48" x14ac:dyDescent="0.4">
      <c r="A101">
        <v>1525000092</v>
      </c>
      <c r="B101">
        <v>1525000096</v>
      </c>
      <c r="C101" t="str">
        <f>T("[e북]다크 메이지 5권")</f>
        <v>[e북]다크 메이지 5권</v>
      </c>
      <c r="D101" t="str">
        <f>T("5")</f>
        <v>5</v>
      </c>
      <c r="E101" t="str">
        <f>T("김정률")</f>
        <v>김정률</v>
      </c>
      <c r="H101" t="str">
        <f t="shared" si="11"/>
        <v>스토리위즈</v>
      </c>
      <c r="I101" t="str">
        <f>T("[e북]다크 메이지")</f>
        <v>[e북]다크 메이지</v>
      </c>
      <c r="J101">
        <v>3200</v>
      </c>
      <c r="K101">
        <v>12800</v>
      </c>
      <c r="L101">
        <v>4</v>
      </c>
      <c r="M101">
        <v>0</v>
      </c>
      <c r="N101">
        <v>11700</v>
      </c>
      <c r="O101">
        <v>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2700</v>
      </c>
      <c r="V101">
        <v>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27200</v>
      </c>
      <c r="AH101">
        <v>23</v>
      </c>
      <c r="AI101">
        <v>0</v>
      </c>
      <c r="AJ101">
        <v>0</v>
      </c>
      <c r="AK101">
        <v>18846</v>
      </c>
      <c r="AL101">
        <v>0</v>
      </c>
      <c r="AM101">
        <v>8534</v>
      </c>
      <c r="AN101">
        <v>-324</v>
      </c>
      <c r="AO101">
        <v>0</v>
      </c>
      <c r="AP101" s="2">
        <v>18939.2</v>
      </c>
      <c r="AR101" t="str">
        <f>T("0000000000000")</f>
        <v>0000000000000</v>
      </c>
      <c r="AT101" t="str">
        <f>T("9791166061899")</f>
        <v>9791166061899</v>
      </c>
      <c r="AV101" t="str">
        <f>T("판타지 e북 &gt; 퓨전 판타지")</f>
        <v>판타지 e북 &gt; 퓨전 판타지</v>
      </c>
    </row>
    <row r="102" spans="1:48" x14ac:dyDescent="0.4">
      <c r="A102">
        <v>1525003495</v>
      </c>
      <c r="B102">
        <v>1525003496</v>
      </c>
      <c r="C102" t="str">
        <f>T("[e북]소드마스터의 환생 2권")</f>
        <v>[e북]소드마스터의 환생 2권</v>
      </c>
      <c r="D102" t="str">
        <f>T("2")</f>
        <v>2</v>
      </c>
      <c r="E102" t="str">
        <f>T("파란영")</f>
        <v>파란영</v>
      </c>
      <c r="H102" t="str">
        <f t="shared" si="11"/>
        <v>스토리위즈</v>
      </c>
      <c r="I102" t="str">
        <f>T("[e북]소드마스터의 환생")</f>
        <v>[e북]소드마스터의 환생</v>
      </c>
      <c r="J102">
        <v>3200</v>
      </c>
      <c r="K102">
        <v>12800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12800</v>
      </c>
      <c r="AH102">
        <v>4</v>
      </c>
      <c r="AI102">
        <v>0</v>
      </c>
      <c r="AJ102">
        <v>0</v>
      </c>
      <c r="AK102">
        <v>10100</v>
      </c>
      <c r="AL102">
        <v>0</v>
      </c>
      <c r="AM102">
        <v>2700</v>
      </c>
      <c r="AN102">
        <v>0</v>
      </c>
      <c r="AO102">
        <v>0</v>
      </c>
      <c r="AP102" s="2">
        <v>8960</v>
      </c>
      <c r="AT102" t="str">
        <f>T("9791159289828")</f>
        <v>9791159289828</v>
      </c>
      <c r="AV102" t="str">
        <f>T("판타지 e북 &gt; 정통 판타지")</f>
        <v>판타지 e북 &gt; 정통 판타지</v>
      </c>
    </row>
    <row r="103" spans="1:48" x14ac:dyDescent="0.4">
      <c r="A103">
        <v>1525005640</v>
      </c>
      <c r="B103">
        <v>1525005654</v>
      </c>
      <c r="C103" t="str">
        <f>T("[e북]회귀의 전설 1부 15권")</f>
        <v>[e북]회귀의 전설 1부 15권</v>
      </c>
      <c r="D103" t="str">
        <f>T("15")</f>
        <v>15</v>
      </c>
      <c r="E103" t="str">
        <f>T("김광수")</f>
        <v>김광수</v>
      </c>
      <c r="H103" t="str">
        <f t="shared" si="11"/>
        <v>스토리위즈</v>
      </c>
      <c r="I103" t="str">
        <f>T("[e북]회귀의 전설")</f>
        <v>[e북]회귀의 전설</v>
      </c>
      <c r="J103">
        <v>3200</v>
      </c>
      <c r="K103">
        <v>12800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2250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15050</v>
      </c>
      <c r="AH103">
        <v>9</v>
      </c>
      <c r="AI103">
        <v>0</v>
      </c>
      <c r="AJ103">
        <v>0</v>
      </c>
      <c r="AK103">
        <v>15050</v>
      </c>
      <c r="AL103">
        <v>0</v>
      </c>
      <c r="AM103">
        <v>0</v>
      </c>
      <c r="AN103">
        <v>0</v>
      </c>
      <c r="AO103">
        <v>0</v>
      </c>
      <c r="AP103" s="2">
        <v>10535</v>
      </c>
      <c r="AT103" t="str">
        <f>T("9791190937900")</f>
        <v>9791190937900</v>
      </c>
      <c r="AV103" t="str">
        <f>T("판타지 e북 &gt; 현대 판타지")</f>
        <v>판타지 e북 &gt; 현대 판타지</v>
      </c>
    </row>
    <row r="104" spans="1:48" x14ac:dyDescent="0.4">
      <c r="A104">
        <v>1525000092</v>
      </c>
      <c r="B104">
        <v>1525000100</v>
      </c>
      <c r="C104" t="str">
        <f>T("[e북]다크 메이지 9권")</f>
        <v>[e북]다크 메이지 9권</v>
      </c>
      <c r="D104" t="str">
        <f>T("9")</f>
        <v>9</v>
      </c>
      <c r="E104" t="str">
        <f>T("김정률")</f>
        <v>김정률</v>
      </c>
      <c r="H104" t="str">
        <f t="shared" si="11"/>
        <v>스토리위즈</v>
      </c>
      <c r="I104" t="str">
        <f>T("[e북]다크 메이지")</f>
        <v>[e북]다크 메이지</v>
      </c>
      <c r="J104">
        <v>3200</v>
      </c>
      <c r="K104">
        <v>12800</v>
      </c>
      <c r="L104">
        <v>4</v>
      </c>
      <c r="M104">
        <v>0</v>
      </c>
      <c r="N104">
        <v>8100</v>
      </c>
      <c r="O104">
        <v>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2700</v>
      </c>
      <c r="V104">
        <v>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23600</v>
      </c>
      <c r="AH104">
        <v>19</v>
      </c>
      <c r="AI104">
        <v>0</v>
      </c>
      <c r="AJ104">
        <v>0</v>
      </c>
      <c r="AK104">
        <v>16070</v>
      </c>
      <c r="AL104">
        <v>0</v>
      </c>
      <c r="AM104">
        <v>7710</v>
      </c>
      <c r="AN104">
        <v>-324</v>
      </c>
      <c r="AO104">
        <v>0</v>
      </c>
      <c r="AP104" s="2">
        <v>16419.2</v>
      </c>
      <c r="AR104" t="str">
        <f>T("0000000000000")</f>
        <v>0000000000000</v>
      </c>
      <c r="AT104" t="str">
        <f>T("9791166061936")</f>
        <v>9791166061936</v>
      </c>
      <c r="AV104" t="str">
        <f>T("판타지 e북 &gt; 퓨전 판타지")</f>
        <v>판타지 e북 &gt; 퓨전 판타지</v>
      </c>
    </row>
    <row r="105" spans="1:48" x14ac:dyDescent="0.4">
      <c r="A105">
        <v>1525000092</v>
      </c>
      <c r="B105">
        <v>1525000093</v>
      </c>
      <c r="C105" t="str">
        <f>T("[e북]다크 메이지 2권")</f>
        <v>[e북]다크 메이지 2권</v>
      </c>
      <c r="D105" t="str">
        <f>T("2")</f>
        <v>2</v>
      </c>
      <c r="E105" t="str">
        <f>T("김정률")</f>
        <v>김정률</v>
      </c>
      <c r="H105" t="str">
        <f t="shared" si="11"/>
        <v>스토리위즈</v>
      </c>
      <c r="I105" t="str">
        <f>T("[e북]다크 메이지")</f>
        <v>[e북]다크 메이지</v>
      </c>
      <c r="J105">
        <v>3200</v>
      </c>
      <c r="K105">
        <v>12800</v>
      </c>
      <c r="L105">
        <v>4</v>
      </c>
      <c r="M105">
        <v>0</v>
      </c>
      <c r="N105">
        <v>17100</v>
      </c>
      <c r="O105">
        <v>19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2700</v>
      </c>
      <c r="V105">
        <v>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32600</v>
      </c>
      <c r="AH105">
        <v>29</v>
      </c>
      <c r="AI105">
        <v>0</v>
      </c>
      <c r="AJ105">
        <v>0</v>
      </c>
      <c r="AK105">
        <v>23556</v>
      </c>
      <c r="AL105">
        <v>0</v>
      </c>
      <c r="AM105">
        <v>9224</v>
      </c>
      <c r="AN105">
        <v>-324</v>
      </c>
      <c r="AO105">
        <v>0</v>
      </c>
      <c r="AP105" s="2">
        <v>22719.200000000001</v>
      </c>
      <c r="AR105" t="str">
        <f>T("0000000000000")</f>
        <v>0000000000000</v>
      </c>
      <c r="AT105" t="str">
        <f>T("9791166061868")</f>
        <v>9791166061868</v>
      </c>
      <c r="AV105" t="str">
        <f>T("판타지 e북 &gt; 퓨전 판타지")</f>
        <v>판타지 e북 &gt; 퓨전 판타지</v>
      </c>
    </row>
    <row r="106" spans="1:48" x14ac:dyDescent="0.4">
      <c r="A106">
        <v>1525005640</v>
      </c>
      <c r="B106">
        <v>1525007218</v>
      </c>
      <c r="C106" t="str">
        <f>T("[e북]회귀의 전설 2부 39권")</f>
        <v>[e북]회귀의 전설 2부 39권</v>
      </c>
      <c r="D106" t="str">
        <f>T("39")</f>
        <v>39</v>
      </c>
      <c r="E106" t="str">
        <f>T("김광수")</f>
        <v>김광수</v>
      </c>
      <c r="H106" t="str">
        <f t="shared" si="11"/>
        <v>스토리위즈</v>
      </c>
      <c r="I106" t="str">
        <f>T("[e북]회귀의 전설")</f>
        <v>[e북]회귀의 전설</v>
      </c>
      <c r="J106">
        <v>3200</v>
      </c>
      <c r="K106">
        <v>12800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2250</v>
      </c>
      <c r="V106">
        <v>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15050</v>
      </c>
      <c r="AH106">
        <v>9</v>
      </c>
      <c r="AI106">
        <v>0</v>
      </c>
      <c r="AJ106">
        <v>0</v>
      </c>
      <c r="AK106">
        <v>11850</v>
      </c>
      <c r="AL106">
        <v>0</v>
      </c>
      <c r="AM106">
        <v>3200</v>
      </c>
      <c r="AN106">
        <v>0</v>
      </c>
      <c r="AO106">
        <v>0</v>
      </c>
      <c r="AP106" s="2">
        <v>10535</v>
      </c>
      <c r="AT106" t="str">
        <f>T("9791166300639")</f>
        <v>9791166300639</v>
      </c>
      <c r="AV106" t="str">
        <f>T("판타지 e북 &gt; 현대 판타지")</f>
        <v>판타지 e북 &gt; 현대 판타지</v>
      </c>
    </row>
    <row r="107" spans="1:48" x14ac:dyDescent="0.4">
      <c r="A107">
        <v>1525005640</v>
      </c>
      <c r="B107">
        <v>1525005658</v>
      </c>
      <c r="C107" t="str">
        <f>T("[e북]회귀의 전설 1부 19권")</f>
        <v>[e북]회귀의 전설 1부 19권</v>
      </c>
      <c r="D107" t="str">
        <f>T("19")</f>
        <v>19</v>
      </c>
      <c r="E107" t="str">
        <f>T("김광수")</f>
        <v>김광수</v>
      </c>
      <c r="H107" t="str">
        <f t="shared" si="11"/>
        <v>스토리위즈</v>
      </c>
      <c r="I107" t="str">
        <f>T("[e북]회귀의 전설")</f>
        <v>[e북]회귀의 전설</v>
      </c>
      <c r="J107">
        <v>3200</v>
      </c>
      <c r="K107">
        <v>12800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2250</v>
      </c>
      <c r="V107">
        <v>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15050</v>
      </c>
      <c r="AH107">
        <v>9</v>
      </c>
      <c r="AI107">
        <v>0</v>
      </c>
      <c r="AJ107">
        <v>0</v>
      </c>
      <c r="AK107">
        <v>11850</v>
      </c>
      <c r="AL107">
        <v>0</v>
      </c>
      <c r="AM107">
        <v>3200</v>
      </c>
      <c r="AN107">
        <v>0</v>
      </c>
      <c r="AO107">
        <v>0</v>
      </c>
      <c r="AP107" s="2">
        <v>10535</v>
      </c>
      <c r="AT107" t="str">
        <f>T("9791190937948")</f>
        <v>9791190937948</v>
      </c>
      <c r="AV107" t="str">
        <f>T("판타지 e북 &gt; 현대 판타지")</f>
        <v>판타지 e북 &gt; 현대 판타지</v>
      </c>
    </row>
    <row r="108" spans="1:48" x14ac:dyDescent="0.4">
      <c r="A108">
        <v>1525005640</v>
      </c>
      <c r="B108">
        <v>1525007204</v>
      </c>
      <c r="C108" t="str">
        <f>T("[e북]회귀의 전설 2부 25권")</f>
        <v>[e북]회귀의 전설 2부 25권</v>
      </c>
      <c r="D108" t="str">
        <f>T("25")</f>
        <v>25</v>
      </c>
      <c r="E108" t="str">
        <f>T("김광수")</f>
        <v>김광수</v>
      </c>
      <c r="H108" t="str">
        <f t="shared" si="11"/>
        <v>스토리위즈</v>
      </c>
      <c r="I108" t="str">
        <f>T("[e북]회귀의 전설")</f>
        <v>[e북]회귀의 전설</v>
      </c>
      <c r="J108">
        <v>3200</v>
      </c>
      <c r="K108">
        <v>12800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2250</v>
      </c>
      <c r="V108">
        <v>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15050</v>
      </c>
      <c r="AH108">
        <v>9</v>
      </c>
      <c r="AI108">
        <v>0</v>
      </c>
      <c r="AJ108">
        <v>0</v>
      </c>
      <c r="AK108">
        <v>11850</v>
      </c>
      <c r="AL108">
        <v>0</v>
      </c>
      <c r="AM108">
        <v>3200</v>
      </c>
      <c r="AN108">
        <v>0</v>
      </c>
      <c r="AO108">
        <v>0</v>
      </c>
      <c r="AP108" s="2">
        <v>10535</v>
      </c>
      <c r="AT108" t="str">
        <f>T("9791166300493")</f>
        <v>9791166300493</v>
      </c>
      <c r="AV108" t="str">
        <f>T("판타지 e북 &gt; 현대 판타지")</f>
        <v>판타지 e북 &gt; 현대 판타지</v>
      </c>
    </row>
    <row r="109" spans="1:48" x14ac:dyDescent="0.4">
      <c r="A109">
        <v>1525005640</v>
      </c>
      <c r="B109">
        <v>1525005651</v>
      </c>
      <c r="C109" t="str">
        <f>T("[e북]회귀의 전설 1부 12권")</f>
        <v>[e북]회귀의 전설 1부 12권</v>
      </c>
      <c r="D109" t="str">
        <f>T("12")</f>
        <v>12</v>
      </c>
      <c r="E109" t="str">
        <f>T("김광수")</f>
        <v>김광수</v>
      </c>
      <c r="H109" t="str">
        <f t="shared" si="11"/>
        <v>스토리위즈</v>
      </c>
      <c r="I109" t="str">
        <f>T("[e북]회귀의 전설")</f>
        <v>[e북]회귀의 전설</v>
      </c>
      <c r="J109">
        <v>3200</v>
      </c>
      <c r="K109">
        <v>12800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2250</v>
      </c>
      <c r="V109">
        <v>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15050</v>
      </c>
      <c r="AH109">
        <v>9</v>
      </c>
      <c r="AI109">
        <v>0</v>
      </c>
      <c r="AJ109">
        <v>0</v>
      </c>
      <c r="AK109">
        <v>15050</v>
      </c>
      <c r="AL109">
        <v>0</v>
      </c>
      <c r="AM109">
        <v>0</v>
      </c>
      <c r="AN109">
        <v>0</v>
      </c>
      <c r="AO109">
        <v>0</v>
      </c>
      <c r="AP109" s="2">
        <v>10535</v>
      </c>
      <c r="AT109" t="str">
        <f>T("9791190937870")</f>
        <v>9791190937870</v>
      </c>
      <c r="AV109" t="str">
        <f>T("판타지 e북 &gt; 현대 판타지")</f>
        <v>판타지 e북 &gt; 현대 판타지</v>
      </c>
    </row>
    <row r="110" spans="1:48" x14ac:dyDescent="0.4">
      <c r="A110">
        <v>1525000092</v>
      </c>
      <c r="B110">
        <v>1525000104</v>
      </c>
      <c r="C110" t="str">
        <f>T("[e북]다크 메이지 13권")</f>
        <v>[e북]다크 메이지 13권</v>
      </c>
      <c r="D110" t="str">
        <f>T("13")</f>
        <v>13</v>
      </c>
      <c r="E110" t="str">
        <f>T("김정률")</f>
        <v>김정률</v>
      </c>
      <c r="H110" t="str">
        <f t="shared" si="11"/>
        <v>스토리위즈</v>
      </c>
      <c r="I110" t="str">
        <f>T("[e북]다크 메이지")</f>
        <v>[e북]다크 메이지</v>
      </c>
      <c r="J110">
        <v>3200</v>
      </c>
      <c r="K110">
        <v>12800</v>
      </c>
      <c r="L110">
        <v>4</v>
      </c>
      <c r="M110">
        <v>0</v>
      </c>
      <c r="N110">
        <v>9000</v>
      </c>
      <c r="O110">
        <v>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2700</v>
      </c>
      <c r="V110">
        <v>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24500</v>
      </c>
      <c r="AH110">
        <v>20</v>
      </c>
      <c r="AI110">
        <v>0</v>
      </c>
      <c r="AJ110">
        <v>0</v>
      </c>
      <c r="AK110">
        <v>17050</v>
      </c>
      <c r="AL110">
        <v>0</v>
      </c>
      <c r="AM110">
        <v>7630</v>
      </c>
      <c r="AN110">
        <v>-324</v>
      </c>
      <c r="AO110">
        <v>0</v>
      </c>
      <c r="AP110" s="2">
        <v>17049.2</v>
      </c>
      <c r="AR110" t="str">
        <f>T("0000000000000")</f>
        <v>0000000000000</v>
      </c>
      <c r="AT110" t="str">
        <f>T("9791166061974")</f>
        <v>9791166061974</v>
      </c>
      <c r="AV110" t="str">
        <f>T("판타지 e북 &gt; 퓨전 판타지")</f>
        <v>판타지 e북 &gt; 퓨전 판타지</v>
      </c>
    </row>
    <row r="111" spans="1:48" x14ac:dyDescent="0.4">
      <c r="A111">
        <v>1525000092</v>
      </c>
      <c r="B111">
        <v>1525000097</v>
      </c>
      <c r="C111" t="str">
        <f>T("[e북]다크 메이지 6권")</f>
        <v>[e북]다크 메이지 6권</v>
      </c>
      <c r="D111" t="str">
        <f>T("6")</f>
        <v>6</v>
      </c>
      <c r="E111" t="str">
        <f>T("김정률")</f>
        <v>김정률</v>
      </c>
      <c r="H111" t="str">
        <f t="shared" si="11"/>
        <v>스토리위즈</v>
      </c>
      <c r="I111" t="str">
        <f>T("[e북]다크 메이지")</f>
        <v>[e북]다크 메이지</v>
      </c>
      <c r="J111">
        <v>3200</v>
      </c>
      <c r="K111">
        <v>12800</v>
      </c>
      <c r="L111">
        <v>4</v>
      </c>
      <c r="M111">
        <v>0</v>
      </c>
      <c r="N111">
        <v>12600</v>
      </c>
      <c r="O111">
        <v>14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2700</v>
      </c>
      <c r="V111">
        <v>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28100</v>
      </c>
      <c r="AH111">
        <v>24</v>
      </c>
      <c r="AI111">
        <v>0</v>
      </c>
      <c r="AJ111">
        <v>0</v>
      </c>
      <c r="AK111">
        <v>19748</v>
      </c>
      <c r="AL111">
        <v>0</v>
      </c>
      <c r="AM111">
        <v>8532</v>
      </c>
      <c r="AN111">
        <v>-324</v>
      </c>
      <c r="AO111">
        <v>0</v>
      </c>
      <c r="AP111" s="2">
        <v>19569.2</v>
      </c>
      <c r="AR111" t="str">
        <f>T("0000000000000")</f>
        <v>0000000000000</v>
      </c>
      <c r="AT111" t="str">
        <f>T("9791166061905")</f>
        <v>9791166061905</v>
      </c>
      <c r="AV111" t="str">
        <f>T("판타지 e북 &gt; 퓨전 판타지")</f>
        <v>판타지 e북 &gt; 퓨전 판타지</v>
      </c>
    </row>
    <row r="112" spans="1:48" x14ac:dyDescent="0.4">
      <c r="A112">
        <v>1525005640</v>
      </c>
      <c r="B112">
        <v>1525007222</v>
      </c>
      <c r="C112" t="str">
        <f>T("[e북]회귀의 전설 2부 43권 (2부 완결)")</f>
        <v>[e북]회귀의 전설 2부 43권 (2부 완결)</v>
      </c>
      <c r="D112" t="str">
        <f>T("43")</f>
        <v>43</v>
      </c>
      <c r="E112" t="str">
        <f>T("김광수")</f>
        <v>김광수</v>
      </c>
      <c r="H112" t="str">
        <f t="shared" si="11"/>
        <v>스토리위즈</v>
      </c>
      <c r="I112" t="str">
        <f>T("[e북]회귀의 전설")</f>
        <v>[e북]회귀의 전설</v>
      </c>
      <c r="J112">
        <v>3200</v>
      </c>
      <c r="K112">
        <v>12800</v>
      </c>
      <c r="L112">
        <v>4</v>
      </c>
      <c r="M112">
        <v>0</v>
      </c>
      <c r="N112">
        <v>900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2250</v>
      </c>
      <c r="V112">
        <v>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15950</v>
      </c>
      <c r="AH112">
        <v>10</v>
      </c>
      <c r="AI112">
        <v>0</v>
      </c>
      <c r="AJ112">
        <v>0</v>
      </c>
      <c r="AK112">
        <v>9716</v>
      </c>
      <c r="AL112">
        <v>0</v>
      </c>
      <c r="AM112">
        <v>6840.8</v>
      </c>
      <c r="AN112">
        <v>-1092.24</v>
      </c>
      <c r="AO112">
        <v>0</v>
      </c>
      <c r="AP112" s="2">
        <v>10825.19</v>
      </c>
      <c r="AT112" t="str">
        <f>T("9791166300691")</f>
        <v>9791166300691</v>
      </c>
      <c r="AV112" t="str">
        <f>T("판타지 e북 &gt; 현대 판타지")</f>
        <v>판타지 e북 &gt; 현대 판타지</v>
      </c>
    </row>
    <row r="113" spans="1:49" x14ac:dyDescent="0.4">
      <c r="A113">
        <v>1525005640</v>
      </c>
      <c r="B113">
        <v>1525005655</v>
      </c>
      <c r="C113" t="str">
        <f>T("[e북]회귀의 전설 1부 16권")</f>
        <v>[e북]회귀의 전설 1부 16권</v>
      </c>
      <c r="D113" t="str">
        <f>T("16")</f>
        <v>16</v>
      </c>
      <c r="E113" t="str">
        <f>T("김광수")</f>
        <v>김광수</v>
      </c>
      <c r="H113" t="str">
        <f t="shared" si="11"/>
        <v>스토리위즈</v>
      </c>
      <c r="I113" t="str">
        <f>T("[e북]회귀의 전설")</f>
        <v>[e북]회귀의 전설</v>
      </c>
      <c r="J113">
        <v>3200</v>
      </c>
      <c r="K113">
        <v>12800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2250</v>
      </c>
      <c r="V113">
        <v>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15050</v>
      </c>
      <c r="AH113">
        <v>9</v>
      </c>
      <c r="AI113">
        <v>0</v>
      </c>
      <c r="AJ113">
        <v>0</v>
      </c>
      <c r="AK113">
        <v>15050</v>
      </c>
      <c r="AL113">
        <v>0</v>
      </c>
      <c r="AM113">
        <v>0</v>
      </c>
      <c r="AN113">
        <v>0</v>
      </c>
      <c r="AO113">
        <v>0</v>
      </c>
      <c r="AP113" s="2">
        <v>10535</v>
      </c>
      <c r="AT113" t="str">
        <f>T("9791190937917")</f>
        <v>9791190937917</v>
      </c>
      <c r="AV113" t="str">
        <f>T("판타지 e북 &gt; 현대 판타지")</f>
        <v>판타지 e북 &gt; 현대 판타지</v>
      </c>
    </row>
    <row r="114" spans="1:49" x14ac:dyDescent="0.4">
      <c r="A114">
        <v>1525000092</v>
      </c>
      <c r="B114">
        <v>1525000101</v>
      </c>
      <c r="C114" t="str">
        <f>T("[e북]다크 메이지 10권")</f>
        <v>[e북]다크 메이지 10권</v>
      </c>
      <c r="D114" t="str">
        <f>T("10")</f>
        <v>10</v>
      </c>
      <c r="E114" t="str">
        <f>T("김정률")</f>
        <v>김정률</v>
      </c>
      <c r="H114" t="str">
        <f t="shared" si="11"/>
        <v>스토리위즈</v>
      </c>
      <c r="I114" t="str">
        <f>T("[e북]다크 메이지")</f>
        <v>[e북]다크 메이지</v>
      </c>
      <c r="J114">
        <v>3200</v>
      </c>
      <c r="K114">
        <v>12800</v>
      </c>
      <c r="L114">
        <v>4</v>
      </c>
      <c r="M114">
        <v>0</v>
      </c>
      <c r="N114">
        <v>9000</v>
      </c>
      <c r="O114">
        <v>10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2700</v>
      </c>
      <c r="V114">
        <v>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24500</v>
      </c>
      <c r="AH114">
        <v>20</v>
      </c>
      <c r="AI114">
        <v>0</v>
      </c>
      <c r="AJ114">
        <v>0</v>
      </c>
      <c r="AK114">
        <v>16850</v>
      </c>
      <c r="AL114">
        <v>0</v>
      </c>
      <c r="AM114">
        <v>7830</v>
      </c>
      <c r="AN114">
        <v>-324</v>
      </c>
      <c r="AO114">
        <v>0</v>
      </c>
      <c r="AP114" s="2">
        <v>17049.2</v>
      </c>
      <c r="AR114" t="str">
        <f>T("0000000000000")</f>
        <v>0000000000000</v>
      </c>
      <c r="AT114" t="str">
        <f>T("9791166061943")</f>
        <v>9791166061943</v>
      </c>
      <c r="AV114" t="str">
        <f>T("판타지 e북 &gt; 퓨전 판타지")</f>
        <v>판타지 e북 &gt; 퓨전 판타지</v>
      </c>
    </row>
    <row r="115" spans="1:49" x14ac:dyDescent="0.4">
      <c r="A115">
        <v>1525000092</v>
      </c>
      <c r="B115">
        <v>1525000094</v>
      </c>
      <c r="C115" t="str">
        <f>T("[e북]다크 메이지 3권")</f>
        <v>[e북]다크 메이지 3권</v>
      </c>
      <c r="D115" t="str">
        <f>T("3")</f>
        <v>3</v>
      </c>
      <c r="E115" t="str">
        <f>T("김정률")</f>
        <v>김정률</v>
      </c>
      <c r="H115" t="str">
        <f t="shared" si="11"/>
        <v>스토리위즈</v>
      </c>
      <c r="I115" t="str">
        <f>T("[e북]다크 메이지")</f>
        <v>[e북]다크 메이지</v>
      </c>
      <c r="J115">
        <v>3200</v>
      </c>
      <c r="K115">
        <v>12800</v>
      </c>
      <c r="L115">
        <v>4</v>
      </c>
      <c r="M115">
        <v>0</v>
      </c>
      <c r="N115">
        <v>16200</v>
      </c>
      <c r="O115">
        <v>18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2700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31700</v>
      </c>
      <c r="AH115">
        <v>28</v>
      </c>
      <c r="AI115">
        <v>0</v>
      </c>
      <c r="AJ115">
        <v>0</v>
      </c>
      <c r="AK115">
        <v>22446</v>
      </c>
      <c r="AL115">
        <v>0</v>
      </c>
      <c r="AM115">
        <v>9434</v>
      </c>
      <c r="AN115">
        <v>-324</v>
      </c>
      <c r="AO115">
        <v>0</v>
      </c>
      <c r="AP115" s="2">
        <v>22089.200000000001</v>
      </c>
      <c r="AR115" t="str">
        <f>T("0000000000000")</f>
        <v>0000000000000</v>
      </c>
      <c r="AT115" t="str">
        <f>T("9791166061875")</f>
        <v>9791166061875</v>
      </c>
      <c r="AV115" t="str">
        <f>T("판타지 e북 &gt; 퓨전 판타지")</f>
        <v>판타지 e북 &gt; 퓨전 판타지</v>
      </c>
    </row>
    <row r="116" spans="1:49" x14ac:dyDescent="0.4">
      <c r="A116">
        <v>1525005640</v>
      </c>
      <c r="B116">
        <v>1525007219</v>
      </c>
      <c r="C116" t="str">
        <f>T("[e북]회귀의 전설 2부 40권")</f>
        <v>[e북]회귀의 전설 2부 40권</v>
      </c>
      <c r="D116" t="str">
        <f>T("40")</f>
        <v>40</v>
      </c>
      <c r="E116" t="str">
        <f>T("김광수")</f>
        <v>김광수</v>
      </c>
      <c r="H116" t="str">
        <f t="shared" si="11"/>
        <v>스토리위즈</v>
      </c>
      <c r="I116" t="str">
        <f>T("[e북]회귀의 전설")</f>
        <v>[e북]회귀의 전설</v>
      </c>
      <c r="J116">
        <v>3200</v>
      </c>
      <c r="K116">
        <v>12800</v>
      </c>
      <c r="L116">
        <v>4</v>
      </c>
      <c r="M116">
        <v>0</v>
      </c>
      <c r="N116">
        <v>900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2250</v>
      </c>
      <c r="V116">
        <v>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15950</v>
      </c>
      <c r="AH116">
        <v>10</v>
      </c>
      <c r="AI116">
        <v>0</v>
      </c>
      <c r="AJ116">
        <v>0</v>
      </c>
      <c r="AK116">
        <v>12750</v>
      </c>
      <c r="AL116">
        <v>0</v>
      </c>
      <c r="AM116">
        <v>3200</v>
      </c>
      <c r="AN116">
        <v>0</v>
      </c>
      <c r="AO116">
        <v>0</v>
      </c>
      <c r="AP116" s="2">
        <v>11165</v>
      </c>
      <c r="AT116" t="str">
        <f>T("9791166300646")</f>
        <v>9791166300646</v>
      </c>
      <c r="AV116" t="str">
        <f>T("판타지 e북 &gt; 현대 판타지")</f>
        <v>판타지 e북 &gt; 현대 판타지</v>
      </c>
    </row>
    <row r="117" spans="1:49" x14ac:dyDescent="0.4">
      <c r="B117">
        <v>1525013438</v>
      </c>
      <c r="C117" t="str">
        <f>T("[e북]계약 비서")</f>
        <v>[e북]계약 비서</v>
      </c>
      <c r="E117" t="str">
        <f>T("김원경")</f>
        <v>김원경</v>
      </c>
      <c r="H117" t="str">
        <f>T("밀리오리지널")</f>
        <v>밀리오리지널</v>
      </c>
      <c r="J117">
        <v>2500</v>
      </c>
      <c r="K117">
        <v>12500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12500</v>
      </c>
      <c r="AH117">
        <v>5</v>
      </c>
      <c r="AI117">
        <v>0</v>
      </c>
      <c r="AJ117">
        <v>0</v>
      </c>
      <c r="AK117">
        <v>10000</v>
      </c>
      <c r="AL117">
        <v>0</v>
      </c>
      <c r="AM117">
        <v>2500</v>
      </c>
      <c r="AN117">
        <v>0</v>
      </c>
      <c r="AO117">
        <v>0</v>
      </c>
      <c r="AP117" s="2">
        <v>8750</v>
      </c>
      <c r="AT117" t="str">
        <f>T("9791191562125")</f>
        <v>9791191562125</v>
      </c>
      <c r="AV117" t="str">
        <f>T("로맨스 e북 &gt; 현대물")</f>
        <v>로맨스 e북 &gt; 현대물</v>
      </c>
      <c r="AW117" t="str">
        <f>T("로맨스 e북 &gt; 19+")</f>
        <v>로맨스 e북 &gt; 19+</v>
      </c>
    </row>
    <row r="118" spans="1:49" x14ac:dyDescent="0.4">
      <c r="A118">
        <v>1525013656</v>
      </c>
      <c r="B118">
        <v>1525013658</v>
      </c>
      <c r="C118" t="str">
        <f>T("[e북]선량한 야만인(Salvaje) 3권 (완결)")</f>
        <v>[e북]선량한 야만인(Salvaje) 3권 (완결)</v>
      </c>
      <c r="D118" t="str">
        <f>T("3")</f>
        <v>3</v>
      </c>
      <c r="E118" t="str">
        <f>T("무슈슈")</f>
        <v>무슈슈</v>
      </c>
      <c r="H118" t="str">
        <f>T("블러쉬")</f>
        <v>블러쉬</v>
      </c>
      <c r="I118" t="str">
        <f>T("[e북]선량한 야만인(Salvaje)")</f>
        <v>[e북]선량한 야만인(Salvaje)</v>
      </c>
      <c r="J118">
        <v>3000</v>
      </c>
      <c r="K118">
        <v>12000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12000</v>
      </c>
      <c r="AH118">
        <v>4</v>
      </c>
      <c r="AI118">
        <v>0</v>
      </c>
      <c r="AJ118">
        <v>0</v>
      </c>
      <c r="AK118">
        <v>12000</v>
      </c>
      <c r="AL118">
        <v>0</v>
      </c>
      <c r="AM118">
        <v>0</v>
      </c>
      <c r="AN118">
        <v>0</v>
      </c>
      <c r="AO118">
        <v>0</v>
      </c>
      <c r="AP118" s="2">
        <v>8400</v>
      </c>
      <c r="AT118" t="str">
        <f>T("9791166483189")</f>
        <v>9791166483189</v>
      </c>
      <c r="AV118" t="str">
        <f>T("BL 소설 e북 &gt; 현대물")</f>
        <v>BL 소설 e북 &gt; 현대물</v>
      </c>
    </row>
    <row r="119" spans="1:49" x14ac:dyDescent="0.4">
      <c r="A119">
        <v>1525013010</v>
      </c>
      <c r="B119">
        <v>1525013010</v>
      </c>
      <c r="C119" t="str">
        <f>T("[e북]금의 해, 새의 눈 1권")</f>
        <v>[e북]금의 해, 새의 눈 1권</v>
      </c>
      <c r="D119" t="str">
        <f>T("1")</f>
        <v>1</v>
      </c>
      <c r="E119" t="str">
        <f>T("등나무밑소공자")</f>
        <v>등나무밑소공자</v>
      </c>
      <c r="H119" t="str">
        <f>T("블러쉬")</f>
        <v>블러쉬</v>
      </c>
      <c r="I119" t="str">
        <f>T("[e북]금의 해, 새의 눈")</f>
        <v>[e북]금의 해, 새의 눈</v>
      </c>
      <c r="J119">
        <v>3000</v>
      </c>
      <c r="K119">
        <v>12000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12000</v>
      </c>
      <c r="AH119">
        <v>4</v>
      </c>
      <c r="AI119">
        <v>0</v>
      </c>
      <c r="AJ119">
        <v>0</v>
      </c>
      <c r="AK119">
        <v>12000</v>
      </c>
      <c r="AL119">
        <v>0</v>
      </c>
      <c r="AM119">
        <v>0</v>
      </c>
      <c r="AN119">
        <v>0</v>
      </c>
      <c r="AO119">
        <v>0</v>
      </c>
      <c r="AP119" s="2">
        <v>8400</v>
      </c>
      <c r="AR119" t="str">
        <f>T("0000000000000")</f>
        <v>0000000000000</v>
      </c>
      <c r="AT119" t="str">
        <f>T("9791166482762")</f>
        <v>9791166482762</v>
      </c>
      <c r="AV119" t="str">
        <f>T("BL 소설 e북 &gt; 역사/시대물")</f>
        <v>BL 소설 e북 &gt; 역사/시대물</v>
      </c>
    </row>
    <row r="120" spans="1:49" x14ac:dyDescent="0.4">
      <c r="A120">
        <v>1525013996</v>
      </c>
      <c r="B120">
        <v>1525013997</v>
      </c>
      <c r="C120" t="str">
        <f>T("[e북]집착의 맛 2권 (완결)")</f>
        <v>[e북]집착의 맛 2권 (완결)</v>
      </c>
      <c r="D120" t="str">
        <f>T("2")</f>
        <v>2</v>
      </c>
      <c r="E120" t="str">
        <f>T("sJessi")</f>
        <v>sJessi</v>
      </c>
      <c r="H120" t="str">
        <f>T("쉬라즈")</f>
        <v>쉬라즈</v>
      </c>
      <c r="I120" t="str">
        <f>T("[e북]집착의 맛")</f>
        <v>[e북]집착의 맛</v>
      </c>
      <c r="J120">
        <v>3000</v>
      </c>
      <c r="K120">
        <v>12000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12000</v>
      </c>
      <c r="AH120">
        <v>4</v>
      </c>
      <c r="AI120">
        <v>0</v>
      </c>
      <c r="AJ120">
        <v>0</v>
      </c>
      <c r="AK120">
        <v>9000</v>
      </c>
      <c r="AL120">
        <v>0</v>
      </c>
      <c r="AM120">
        <v>3600</v>
      </c>
      <c r="AN120">
        <v>-1080</v>
      </c>
      <c r="AO120">
        <v>0</v>
      </c>
      <c r="AP120" s="2">
        <v>8064</v>
      </c>
      <c r="AT120" t="str">
        <f>T("9791166483240")</f>
        <v>9791166483240</v>
      </c>
      <c r="AV120" t="str">
        <f>T("로맨스 e북 &gt; 현대물")</f>
        <v>로맨스 e북 &gt; 현대물</v>
      </c>
    </row>
    <row r="121" spans="1:49" x14ac:dyDescent="0.4">
      <c r="A121">
        <v>1525013656</v>
      </c>
      <c r="B121">
        <v>1525013657</v>
      </c>
      <c r="C121" t="str">
        <f>T("[e북]선량한 야만인(Salvaje) 2권")</f>
        <v>[e북]선량한 야만인(Salvaje) 2권</v>
      </c>
      <c r="D121" t="str">
        <f>T("2")</f>
        <v>2</v>
      </c>
      <c r="E121" t="str">
        <f>T("무슈슈")</f>
        <v>무슈슈</v>
      </c>
      <c r="H121" t="str">
        <f>T("블러쉬")</f>
        <v>블러쉬</v>
      </c>
      <c r="I121" t="str">
        <f>T("[e북]선량한 야만인(Salvaje)")</f>
        <v>[e북]선량한 야만인(Salvaje)</v>
      </c>
      <c r="J121">
        <v>3000</v>
      </c>
      <c r="K121">
        <v>12000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12000</v>
      </c>
      <c r="AH121">
        <v>4</v>
      </c>
      <c r="AI121">
        <v>0</v>
      </c>
      <c r="AJ121">
        <v>0</v>
      </c>
      <c r="AK121">
        <v>12000</v>
      </c>
      <c r="AL121">
        <v>0</v>
      </c>
      <c r="AM121">
        <v>0</v>
      </c>
      <c r="AN121">
        <v>0</v>
      </c>
      <c r="AO121">
        <v>0</v>
      </c>
      <c r="AP121" s="2">
        <v>8400</v>
      </c>
      <c r="AT121" t="str">
        <f>T("9791166483172")</f>
        <v>9791166483172</v>
      </c>
      <c r="AV121" t="str">
        <f>T("BL 소설 e북 &gt; 현대물")</f>
        <v>BL 소설 e북 &gt; 현대물</v>
      </c>
    </row>
    <row r="122" spans="1:49" x14ac:dyDescent="0.4">
      <c r="B122">
        <v>1525014006</v>
      </c>
      <c r="C122" t="str">
        <f>T("[e북]너는 싱그러운 여름처럼")</f>
        <v>[e북]너는 싱그러운 여름처럼</v>
      </c>
      <c r="E122" t="str">
        <f>T("박지영")</f>
        <v>박지영</v>
      </c>
      <c r="H122" t="str">
        <f>T("밀리오리지널")</f>
        <v>밀리오리지널</v>
      </c>
      <c r="J122">
        <v>2000</v>
      </c>
      <c r="K122">
        <v>12000</v>
      </c>
      <c r="L122">
        <v>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12000</v>
      </c>
      <c r="AH122">
        <v>6</v>
      </c>
      <c r="AI122">
        <v>0</v>
      </c>
      <c r="AJ122">
        <v>0</v>
      </c>
      <c r="AK122">
        <v>10940</v>
      </c>
      <c r="AL122">
        <v>0</v>
      </c>
      <c r="AM122">
        <v>1272</v>
      </c>
      <c r="AN122">
        <v>-381.6</v>
      </c>
      <c r="AO122">
        <v>0</v>
      </c>
      <c r="AP122" s="2">
        <v>8281.2800000000007</v>
      </c>
      <c r="AR122" t="str">
        <f t="shared" ref="AR122:AR128" si="12">T("0000000000000")</f>
        <v>0000000000000</v>
      </c>
      <c r="AT122" t="str">
        <f>T("9791191562293")</f>
        <v>9791191562293</v>
      </c>
      <c r="AV122" t="str">
        <f>T("로맨스 e북 &gt; 현대물")</f>
        <v>로맨스 e북 &gt; 현대물</v>
      </c>
    </row>
    <row r="123" spans="1:49" x14ac:dyDescent="0.4">
      <c r="A123">
        <v>1525008129</v>
      </c>
      <c r="B123">
        <v>1525008129</v>
      </c>
      <c r="C123" t="str">
        <f>T("[e북]엠프티 (Empty) 1권")</f>
        <v>[e북]엠프티 (Empty) 1권</v>
      </c>
      <c r="D123" t="str">
        <f>T("1")</f>
        <v>1</v>
      </c>
      <c r="E123" t="str">
        <f>T("라돌체")</f>
        <v>라돌체</v>
      </c>
      <c r="H123" t="str">
        <f>T("블러쉬")</f>
        <v>블러쉬</v>
      </c>
      <c r="I123" t="str">
        <f>T("[e북]엠프티 (Empty)")</f>
        <v>[e북]엠프티 (Empty)</v>
      </c>
      <c r="J123">
        <v>2800</v>
      </c>
      <c r="K123">
        <v>11200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11200</v>
      </c>
      <c r="AH123">
        <v>4</v>
      </c>
      <c r="AI123">
        <v>0</v>
      </c>
      <c r="AJ123">
        <v>0</v>
      </c>
      <c r="AK123">
        <v>11200</v>
      </c>
      <c r="AL123">
        <v>0</v>
      </c>
      <c r="AM123">
        <v>0</v>
      </c>
      <c r="AN123">
        <v>0</v>
      </c>
      <c r="AO123">
        <v>0</v>
      </c>
      <c r="AP123" s="2">
        <v>7840</v>
      </c>
      <c r="AR123" t="str">
        <f t="shared" si="12"/>
        <v>0000000000000</v>
      </c>
      <c r="AT123" t="str">
        <f>T("9791190132398")</f>
        <v>9791190132398</v>
      </c>
      <c r="AV123" t="str">
        <f>T("BL 소설 e북 &gt; 현대물")</f>
        <v>BL 소설 e북 &gt; 현대물</v>
      </c>
    </row>
    <row r="124" spans="1:49" x14ac:dyDescent="0.4">
      <c r="A124">
        <v>1525008129</v>
      </c>
      <c r="B124">
        <v>1525008130</v>
      </c>
      <c r="C124" t="str">
        <f>T("[e북]엠프티 (Empty) 2권 (완결)")</f>
        <v>[e북]엠프티 (Empty) 2권 (완결)</v>
      </c>
      <c r="D124" t="str">
        <f>T("2")</f>
        <v>2</v>
      </c>
      <c r="E124" t="str">
        <f>T("라돌체")</f>
        <v>라돌체</v>
      </c>
      <c r="H124" t="str">
        <f>T("블러쉬")</f>
        <v>블러쉬</v>
      </c>
      <c r="I124" t="str">
        <f>T("[e북]엠프티 (Empty)")</f>
        <v>[e북]엠프티 (Empty)</v>
      </c>
      <c r="J124">
        <v>2800</v>
      </c>
      <c r="K124">
        <v>11200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11200</v>
      </c>
      <c r="AH124">
        <v>4</v>
      </c>
      <c r="AI124">
        <v>0</v>
      </c>
      <c r="AJ124">
        <v>0</v>
      </c>
      <c r="AK124">
        <v>11200</v>
      </c>
      <c r="AL124">
        <v>0</v>
      </c>
      <c r="AM124">
        <v>0</v>
      </c>
      <c r="AN124">
        <v>0</v>
      </c>
      <c r="AO124">
        <v>0</v>
      </c>
      <c r="AP124" s="2">
        <v>7840</v>
      </c>
      <c r="AR124" t="str">
        <f t="shared" si="12"/>
        <v>0000000000000</v>
      </c>
      <c r="AT124" t="str">
        <f>T("9791190132404")</f>
        <v>9791190132404</v>
      </c>
      <c r="AV124" t="str">
        <f>T("BL 소설 e북 &gt; 현대물")</f>
        <v>BL 소설 e북 &gt; 현대물</v>
      </c>
    </row>
    <row r="125" spans="1:49" x14ac:dyDescent="0.4">
      <c r="A125">
        <v>1525008159</v>
      </c>
      <c r="B125">
        <v>1525008159</v>
      </c>
      <c r="C125" t="str">
        <f>T("[e북]육식주의자 1권")</f>
        <v>[e북]육식주의자 1권</v>
      </c>
      <c r="D125" t="str">
        <f>T("1")</f>
        <v>1</v>
      </c>
      <c r="E125" t="str">
        <f>T("SISSI")</f>
        <v>SISSI</v>
      </c>
      <c r="H125" t="str">
        <f>T("블러쉬")</f>
        <v>블러쉬</v>
      </c>
      <c r="I125" t="str">
        <f>T("[e북]육식주의자")</f>
        <v>[e북]육식주의자</v>
      </c>
      <c r="J125">
        <v>2800</v>
      </c>
      <c r="K125">
        <v>11200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11200</v>
      </c>
      <c r="AH125">
        <v>4</v>
      </c>
      <c r="AI125">
        <v>0</v>
      </c>
      <c r="AJ125">
        <v>0</v>
      </c>
      <c r="AK125">
        <v>11200</v>
      </c>
      <c r="AL125">
        <v>0</v>
      </c>
      <c r="AM125">
        <v>0</v>
      </c>
      <c r="AN125">
        <v>0</v>
      </c>
      <c r="AO125">
        <v>0</v>
      </c>
      <c r="AP125" s="2">
        <v>7840</v>
      </c>
      <c r="AR125" t="str">
        <f t="shared" si="12"/>
        <v>0000000000000</v>
      </c>
      <c r="AT125" t="str">
        <f>T("9791164899951")</f>
        <v>9791164899951</v>
      </c>
      <c r="AV125" t="str">
        <f>T("BL 소설 e북 &gt; 현대물")</f>
        <v>BL 소설 e북 &gt; 현대물</v>
      </c>
    </row>
    <row r="126" spans="1:49" x14ac:dyDescent="0.4">
      <c r="A126">
        <v>1525007857</v>
      </c>
      <c r="B126">
        <v>1525007858</v>
      </c>
      <c r="C126" t="str">
        <f>T("[e북]황궁애사 2권 (완결)")</f>
        <v>[e북]황궁애사 2권 (완결)</v>
      </c>
      <c r="D126" t="str">
        <f>T("2")</f>
        <v>2</v>
      </c>
      <c r="E126" t="str">
        <f>T("연유")</f>
        <v>연유</v>
      </c>
      <c r="H126" t="str">
        <f>T("쉬라즈")</f>
        <v>쉬라즈</v>
      </c>
      <c r="I126" t="str">
        <f>T("[e북]황궁애사")</f>
        <v>[e북]황궁애사</v>
      </c>
      <c r="J126">
        <v>3500</v>
      </c>
      <c r="K126">
        <v>10500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10500</v>
      </c>
      <c r="AH126">
        <v>3</v>
      </c>
      <c r="AI126">
        <v>0</v>
      </c>
      <c r="AJ126">
        <v>0</v>
      </c>
      <c r="AK126">
        <v>10500</v>
      </c>
      <c r="AL126">
        <v>0</v>
      </c>
      <c r="AM126">
        <v>0</v>
      </c>
      <c r="AN126">
        <v>0</v>
      </c>
      <c r="AO126">
        <v>0</v>
      </c>
      <c r="AP126" s="2">
        <v>7350</v>
      </c>
      <c r="AR126" t="str">
        <f t="shared" si="12"/>
        <v>0000000000000</v>
      </c>
      <c r="AT126" t="str">
        <f>T("9791164897636")</f>
        <v>9791164897636</v>
      </c>
      <c r="AV126" t="str">
        <f>T("로맨스 e북 &gt; 역사/시대물")</f>
        <v>로맨스 e북 &gt; 역사/시대물</v>
      </c>
      <c r="AW126" t="str">
        <f>T("로맨스 e북 &gt; 19+")</f>
        <v>로맨스 e북 &gt; 19+</v>
      </c>
    </row>
    <row r="127" spans="1:49" x14ac:dyDescent="0.4">
      <c r="A127">
        <v>1525008208</v>
      </c>
      <c r="B127">
        <v>1525008209</v>
      </c>
      <c r="C127" t="str">
        <f>T("[e북]하고 싶어 2권 (완결)")</f>
        <v>[e북]하고 싶어 2권 (완결)</v>
      </c>
      <c r="D127" t="str">
        <f>T("2")</f>
        <v>2</v>
      </c>
      <c r="E127" t="str">
        <f>T("시아")</f>
        <v>시아</v>
      </c>
      <c r="H127" t="str">
        <f>T("블러쉬")</f>
        <v>블러쉬</v>
      </c>
      <c r="I127" t="str">
        <f>T("[e북]하고 싶어")</f>
        <v>[e북]하고 싶어</v>
      </c>
      <c r="J127">
        <v>3500</v>
      </c>
      <c r="K127">
        <v>10500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10500</v>
      </c>
      <c r="AH127">
        <v>3</v>
      </c>
      <c r="AI127">
        <v>0</v>
      </c>
      <c r="AJ127">
        <v>0</v>
      </c>
      <c r="AK127">
        <v>10500</v>
      </c>
      <c r="AL127">
        <v>0</v>
      </c>
      <c r="AM127">
        <v>0</v>
      </c>
      <c r="AN127">
        <v>0</v>
      </c>
      <c r="AO127">
        <v>0</v>
      </c>
      <c r="AP127" s="2">
        <v>7350</v>
      </c>
      <c r="AR127" t="str">
        <f t="shared" si="12"/>
        <v>0000000000000</v>
      </c>
      <c r="AT127" t="str">
        <f>T("9791190132329")</f>
        <v>9791190132329</v>
      </c>
      <c r="AV127" t="str">
        <f>T("BL 소설 e북 &gt; 현대물")</f>
        <v>BL 소설 e북 &gt; 현대물</v>
      </c>
    </row>
    <row r="128" spans="1:49" x14ac:dyDescent="0.4">
      <c r="A128">
        <v>1525007857</v>
      </c>
      <c r="B128">
        <v>1525007857</v>
      </c>
      <c r="C128" t="str">
        <f>T("[e북]황궁애사 1권")</f>
        <v>[e북]황궁애사 1권</v>
      </c>
      <c r="D128" t="str">
        <f>T("1")</f>
        <v>1</v>
      </c>
      <c r="E128" t="str">
        <f>T("연유")</f>
        <v>연유</v>
      </c>
      <c r="H128" t="str">
        <f>T("쉬라즈")</f>
        <v>쉬라즈</v>
      </c>
      <c r="I128" t="str">
        <f>T("[e북]황궁애사")</f>
        <v>[e북]황궁애사</v>
      </c>
      <c r="J128">
        <v>3500</v>
      </c>
      <c r="K128">
        <v>10500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10500</v>
      </c>
      <c r="AH128">
        <v>3</v>
      </c>
      <c r="AI128">
        <v>0</v>
      </c>
      <c r="AJ128">
        <v>0</v>
      </c>
      <c r="AK128">
        <v>10500</v>
      </c>
      <c r="AL128">
        <v>0</v>
      </c>
      <c r="AM128">
        <v>0</v>
      </c>
      <c r="AN128">
        <v>0</v>
      </c>
      <c r="AO128">
        <v>0</v>
      </c>
      <c r="AP128" s="2">
        <v>7350</v>
      </c>
      <c r="AR128" t="str">
        <f t="shared" si="12"/>
        <v>0000000000000</v>
      </c>
      <c r="AT128" t="str">
        <f>T("9791164897629")</f>
        <v>9791164897629</v>
      </c>
      <c r="AV128" t="str">
        <f>T("로맨스 e북 &gt; 역사/시대물")</f>
        <v>로맨스 e북 &gt; 역사/시대물</v>
      </c>
      <c r="AW128" t="str">
        <f>T("로맨스 e북 &gt; 19+")</f>
        <v>로맨스 e북 &gt; 19+</v>
      </c>
    </row>
    <row r="129" spans="1:48" x14ac:dyDescent="0.4">
      <c r="B129">
        <v>1525014005</v>
      </c>
      <c r="C129" t="str">
        <f>T("[e북]봄, 어리 이야기")</f>
        <v>[e북]봄, 어리 이야기</v>
      </c>
      <c r="E129" t="str">
        <f>T("신윤희(에드가)")</f>
        <v>신윤희(에드가)</v>
      </c>
      <c r="H129" t="str">
        <f>T("밀리오리지널")</f>
        <v>밀리오리지널</v>
      </c>
      <c r="J129">
        <v>2500</v>
      </c>
      <c r="K129">
        <v>10000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10000</v>
      </c>
      <c r="AH129">
        <v>4</v>
      </c>
      <c r="AI129">
        <v>0</v>
      </c>
      <c r="AJ129">
        <v>0</v>
      </c>
      <c r="AK129">
        <v>10000</v>
      </c>
      <c r="AL129">
        <v>0</v>
      </c>
      <c r="AM129">
        <v>0</v>
      </c>
      <c r="AN129">
        <v>0</v>
      </c>
      <c r="AO129">
        <v>0</v>
      </c>
      <c r="AP129" s="2">
        <v>7000</v>
      </c>
      <c r="AT129" t="str">
        <f>T("9791191562279")</f>
        <v>9791191562279</v>
      </c>
      <c r="AV129" t="str">
        <f>T("로판 e북 &gt; 동양풍 로판")</f>
        <v>로판 e북 &gt; 동양풍 로판</v>
      </c>
    </row>
    <row r="130" spans="1:48" x14ac:dyDescent="0.4">
      <c r="A130">
        <v>1525005640</v>
      </c>
      <c r="B130">
        <v>1525007212</v>
      </c>
      <c r="C130" t="str">
        <f>T("[e북]회귀의 전설 2부 33권")</f>
        <v>[e북]회귀의 전설 2부 33권</v>
      </c>
      <c r="D130" t="str">
        <f>T("33")</f>
        <v>33</v>
      </c>
      <c r="E130" t="str">
        <f>T("김광수")</f>
        <v>김광수</v>
      </c>
      <c r="H130" t="str">
        <f t="shared" ref="H130:H153" si="13">T("스토리위즈")</f>
        <v>스토리위즈</v>
      </c>
      <c r="I130" t="str">
        <f>T("[e북]회귀의 전설")</f>
        <v>[e북]회귀의 전설</v>
      </c>
      <c r="J130">
        <v>3200</v>
      </c>
      <c r="K130">
        <v>9600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2250</v>
      </c>
      <c r="V130">
        <v>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11850</v>
      </c>
      <c r="AH130">
        <v>8</v>
      </c>
      <c r="AI130">
        <v>0</v>
      </c>
      <c r="AJ130">
        <v>0</v>
      </c>
      <c r="AK130">
        <v>8650</v>
      </c>
      <c r="AL130">
        <v>0</v>
      </c>
      <c r="AM130">
        <v>3200</v>
      </c>
      <c r="AN130">
        <v>0</v>
      </c>
      <c r="AO130">
        <v>0</v>
      </c>
      <c r="AP130" s="2">
        <v>8295</v>
      </c>
      <c r="AT130" t="str">
        <f>T("9791166300578")</f>
        <v>9791166300578</v>
      </c>
      <c r="AV130" t="str">
        <f>T("판타지 e북 &gt; 현대 판타지")</f>
        <v>판타지 e북 &gt; 현대 판타지</v>
      </c>
    </row>
    <row r="131" spans="1:48" x14ac:dyDescent="0.4">
      <c r="A131">
        <v>1525003495</v>
      </c>
      <c r="B131">
        <v>1525003501</v>
      </c>
      <c r="C131" t="str">
        <f>T("[e북]소드마스터의 환생 7권")</f>
        <v>[e북]소드마스터의 환생 7권</v>
      </c>
      <c r="D131" t="str">
        <f>T("7")</f>
        <v>7</v>
      </c>
      <c r="E131" t="str">
        <f>T("파란영")</f>
        <v>파란영</v>
      </c>
      <c r="H131" t="str">
        <f t="shared" si="13"/>
        <v>스토리위즈</v>
      </c>
      <c r="I131" t="str">
        <f>T("[e북]소드마스터의 환생")</f>
        <v>[e북]소드마스터의 환생</v>
      </c>
      <c r="J131">
        <v>3200</v>
      </c>
      <c r="K131">
        <v>9600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9600</v>
      </c>
      <c r="AH131">
        <v>3</v>
      </c>
      <c r="AI131">
        <v>0</v>
      </c>
      <c r="AJ131">
        <v>0</v>
      </c>
      <c r="AK131">
        <v>6400</v>
      </c>
      <c r="AL131">
        <v>0</v>
      </c>
      <c r="AM131">
        <v>3200</v>
      </c>
      <c r="AN131">
        <v>0</v>
      </c>
      <c r="AO131">
        <v>0</v>
      </c>
      <c r="AP131" s="2">
        <v>6720</v>
      </c>
      <c r="AT131" t="str">
        <f>T("9791159289873")</f>
        <v>9791159289873</v>
      </c>
      <c r="AV131" t="str">
        <f>T("판타지 e북 &gt; 정통 판타지")</f>
        <v>판타지 e북 &gt; 정통 판타지</v>
      </c>
    </row>
    <row r="132" spans="1:48" x14ac:dyDescent="0.4">
      <c r="A132">
        <v>1525005640</v>
      </c>
      <c r="B132">
        <v>1525005645</v>
      </c>
      <c r="C132" t="str">
        <f>T("[e북]회귀의 전설 1부 6권")</f>
        <v>[e북]회귀의 전설 1부 6권</v>
      </c>
      <c r="D132" t="str">
        <f>T("6")</f>
        <v>6</v>
      </c>
      <c r="E132" t="str">
        <f>T("김광수")</f>
        <v>김광수</v>
      </c>
      <c r="H132" t="str">
        <f t="shared" si="13"/>
        <v>스토리위즈</v>
      </c>
      <c r="I132" t="str">
        <f>T("[e북]회귀의 전설")</f>
        <v>[e북]회귀의 전설</v>
      </c>
      <c r="J132">
        <v>3200</v>
      </c>
      <c r="K132">
        <v>9600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2250</v>
      </c>
      <c r="V132">
        <v>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11850</v>
      </c>
      <c r="AH132">
        <v>8</v>
      </c>
      <c r="AI132">
        <v>0</v>
      </c>
      <c r="AJ132">
        <v>0</v>
      </c>
      <c r="AK132">
        <v>11850</v>
      </c>
      <c r="AL132">
        <v>0</v>
      </c>
      <c r="AM132">
        <v>0</v>
      </c>
      <c r="AN132">
        <v>0</v>
      </c>
      <c r="AO132">
        <v>0</v>
      </c>
      <c r="AP132" s="2">
        <v>8295</v>
      </c>
      <c r="AT132" t="str">
        <f>T("9791190937818")</f>
        <v>9791190937818</v>
      </c>
      <c r="AV132" t="str">
        <f>T("판타지 e북 &gt; 현대 판타지")</f>
        <v>판타지 e북 &gt; 현대 판타지</v>
      </c>
    </row>
    <row r="133" spans="1:48" x14ac:dyDescent="0.4">
      <c r="A133">
        <v>1525005640</v>
      </c>
      <c r="B133">
        <v>1525007216</v>
      </c>
      <c r="C133" t="str">
        <f>T("[e북]회귀의 전설 2부 37권")</f>
        <v>[e북]회귀의 전설 2부 37권</v>
      </c>
      <c r="D133" t="str">
        <f>T("37")</f>
        <v>37</v>
      </c>
      <c r="E133" t="str">
        <f>T("김광수")</f>
        <v>김광수</v>
      </c>
      <c r="H133" t="str">
        <f t="shared" si="13"/>
        <v>스토리위즈</v>
      </c>
      <c r="I133" t="str">
        <f>T("[e북]회귀의 전설")</f>
        <v>[e북]회귀의 전설</v>
      </c>
      <c r="J133">
        <v>3200</v>
      </c>
      <c r="K133">
        <v>9600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2250</v>
      </c>
      <c r="V133">
        <v>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11850</v>
      </c>
      <c r="AH133">
        <v>8</v>
      </c>
      <c r="AI133">
        <v>0</v>
      </c>
      <c r="AJ133">
        <v>0</v>
      </c>
      <c r="AK133">
        <v>11250</v>
      </c>
      <c r="AL133">
        <v>0</v>
      </c>
      <c r="AM133">
        <v>600</v>
      </c>
      <c r="AN133">
        <v>0</v>
      </c>
      <c r="AO133">
        <v>0</v>
      </c>
      <c r="AP133" s="2">
        <v>8295</v>
      </c>
      <c r="AT133" t="str">
        <f>T("9791166300615")</f>
        <v>9791166300615</v>
      </c>
      <c r="AV133" t="str">
        <f>T("판타지 e북 &gt; 현대 판타지")</f>
        <v>판타지 e북 &gt; 현대 판타지</v>
      </c>
    </row>
    <row r="134" spans="1:48" x14ac:dyDescent="0.4">
      <c r="A134">
        <v>1525003495</v>
      </c>
      <c r="B134">
        <v>1525003498</v>
      </c>
      <c r="C134" t="str">
        <f>T("[e북]소드마스터의 환생 4권")</f>
        <v>[e북]소드마스터의 환생 4권</v>
      </c>
      <c r="D134" t="str">
        <f>T("4")</f>
        <v>4</v>
      </c>
      <c r="E134" t="str">
        <f>T("파란영")</f>
        <v>파란영</v>
      </c>
      <c r="H134" t="str">
        <f t="shared" si="13"/>
        <v>스토리위즈</v>
      </c>
      <c r="I134" t="str">
        <f>T("[e북]소드마스터의 환생")</f>
        <v>[e북]소드마스터의 환생</v>
      </c>
      <c r="J134">
        <v>3200</v>
      </c>
      <c r="K134">
        <v>9600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9600</v>
      </c>
      <c r="AH134">
        <v>3</v>
      </c>
      <c r="AI134">
        <v>0</v>
      </c>
      <c r="AJ134">
        <v>0</v>
      </c>
      <c r="AK134">
        <v>6400</v>
      </c>
      <c r="AL134">
        <v>0</v>
      </c>
      <c r="AM134">
        <v>3200</v>
      </c>
      <c r="AN134">
        <v>0</v>
      </c>
      <c r="AO134">
        <v>0</v>
      </c>
      <c r="AP134" s="2">
        <v>6720</v>
      </c>
      <c r="AT134" t="str">
        <f>T("9791159289842")</f>
        <v>9791159289842</v>
      </c>
      <c r="AV134" t="str">
        <f>T("판타지 e북 &gt; 정통 판타지")</f>
        <v>판타지 e북 &gt; 정통 판타지</v>
      </c>
    </row>
    <row r="135" spans="1:48" x14ac:dyDescent="0.4">
      <c r="A135">
        <v>1525005640</v>
      </c>
      <c r="B135">
        <v>1525005642</v>
      </c>
      <c r="C135" t="str">
        <f>T("[e북]회귀의 전설 1부 3권")</f>
        <v>[e북]회귀의 전설 1부 3권</v>
      </c>
      <c r="D135" t="str">
        <f>T("3")</f>
        <v>3</v>
      </c>
      <c r="E135" t="str">
        <f>T("김광수")</f>
        <v>김광수</v>
      </c>
      <c r="H135" t="str">
        <f t="shared" si="13"/>
        <v>스토리위즈</v>
      </c>
      <c r="I135" t="str">
        <f>T("[e북]회귀의 전설")</f>
        <v>[e북]회귀의 전설</v>
      </c>
      <c r="J135">
        <v>3200</v>
      </c>
      <c r="K135">
        <v>9600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2250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11850</v>
      </c>
      <c r="AH135">
        <v>8</v>
      </c>
      <c r="AI135">
        <v>0</v>
      </c>
      <c r="AJ135">
        <v>0</v>
      </c>
      <c r="AK135">
        <v>8650</v>
      </c>
      <c r="AL135">
        <v>0</v>
      </c>
      <c r="AM135">
        <v>3200</v>
      </c>
      <c r="AN135">
        <v>0</v>
      </c>
      <c r="AO135">
        <v>0</v>
      </c>
      <c r="AP135" s="2">
        <v>8295</v>
      </c>
      <c r="AT135" t="str">
        <f>T("9791190937788")</f>
        <v>9791190937788</v>
      </c>
      <c r="AV135" t="str">
        <f>T("판타지 e북 &gt; 현대 판타지")</f>
        <v>판타지 e북 &gt; 현대 판타지</v>
      </c>
    </row>
    <row r="136" spans="1:48" x14ac:dyDescent="0.4">
      <c r="A136">
        <v>1525005640</v>
      </c>
      <c r="B136">
        <v>1525007213</v>
      </c>
      <c r="C136" t="str">
        <f>T("[e북]회귀의 전설 2부 34권")</f>
        <v>[e북]회귀의 전설 2부 34권</v>
      </c>
      <c r="D136" t="str">
        <f>T("34")</f>
        <v>34</v>
      </c>
      <c r="E136" t="str">
        <f>T("김광수")</f>
        <v>김광수</v>
      </c>
      <c r="H136" t="str">
        <f t="shared" si="13"/>
        <v>스토리위즈</v>
      </c>
      <c r="I136" t="str">
        <f>T("[e북]회귀의 전설")</f>
        <v>[e북]회귀의 전설</v>
      </c>
      <c r="J136">
        <v>3200</v>
      </c>
      <c r="K136">
        <v>9600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2250</v>
      </c>
      <c r="V136">
        <v>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11850</v>
      </c>
      <c r="AH136">
        <v>8</v>
      </c>
      <c r="AI136">
        <v>0</v>
      </c>
      <c r="AJ136">
        <v>0</v>
      </c>
      <c r="AK136">
        <v>10850</v>
      </c>
      <c r="AL136">
        <v>0</v>
      </c>
      <c r="AM136">
        <v>1000</v>
      </c>
      <c r="AN136">
        <v>0</v>
      </c>
      <c r="AO136">
        <v>0</v>
      </c>
      <c r="AP136" s="2">
        <v>8295</v>
      </c>
      <c r="AT136" t="str">
        <f>T("9791166300585")</f>
        <v>9791166300585</v>
      </c>
      <c r="AV136" t="str">
        <f>T("판타지 e북 &gt; 현대 판타지")</f>
        <v>판타지 e북 &gt; 현대 판타지</v>
      </c>
    </row>
    <row r="137" spans="1:48" x14ac:dyDescent="0.4">
      <c r="A137">
        <v>1525005640</v>
      </c>
      <c r="B137">
        <v>1525007206</v>
      </c>
      <c r="C137" t="str">
        <f>T("[e북]회귀의 전설 2부 27권")</f>
        <v>[e북]회귀의 전설 2부 27권</v>
      </c>
      <c r="D137" t="str">
        <f>T("27")</f>
        <v>27</v>
      </c>
      <c r="E137" t="str">
        <f>T("김광수")</f>
        <v>김광수</v>
      </c>
      <c r="H137" t="str">
        <f t="shared" si="13"/>
        <v>스토리위즈</v>
      </c>
      <c r="I137" t="str">
        <f>T("[e북]회귀의 전설")</f>
        <v>[e북]회귀의 전설</v>
      </c>
      <c r="J137">
        <v>3200</v>
      </c>
      <c r="K137">
        <v>9600</v>
      </c>
      <c r="L137">
        <v>3</v>
      </c>
      <c r="M137">
        <v>0</v>
      </c>
      <c r="N137">
        <v>900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2250</v>
      </c>
      <c r="V137">
        <v>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12750</v>
      </c>
      <c r="AH137">
        <v>9</v>
      </c>
      <c r="AI137">
        <v>0</v>
      </c>
      <c r="AJ137">
        <v>0</v>
      </c>
      <c r="AK137">
        <v>9550</v>
      </c>
      <c r="AL137">
        <v>0</v>
      </c>
      <c r="AM137">
        <v>3200</v>
      </c>
      <c r="AN137">
        <v>0</v>
      </c>
      <c r="AO137">
        <v>0</v>
      </c>
      <c r="AP137" s="2">
        <v>8925</v>
      </c>
      <c r="AT137" t="str">
        <f>T("9791166300516")</f>
        <v>9791166300516</v>
      </c>
      <c r="AV137" t="str">
        <f>T("판타지 e북 &gt; 현대 판타지")</f>
        <v>판타지 e북 &gt; 현대 판타지</v>
      </c>
    </row>
    <row r="138" spans="1:48" x14ac:dyDescent="0.4">
      <c r="A138">
        <v>1525005640</v>
      </c>
      <c r="B138">
        <v>1525005653</v>
      </c>
      <c r="C138" t="str">
        <f>T("[e북]회귀의 전설 1부 14권")</f>
        <v>[e북]회귀의 전설 1부 14권</v>
      </c>
      <c r="D138" t="str">
        <f>T("14")</f>
        <v>14</v>
      </c>
      <c r="E138" t="str">
        <f>T("김광수")</f>
        <v>김광수</v>
      </c>
      <c r="H138" t="str">
        <f t="shared" si="13"/>
        <v>스토리위즈</v>
      </c>
      <c r="I138" t="str">
        <f>T("[e북]회귀의 전설")</f>
        <v>[e북]회귀의 전설</v>
      </c>
      <c r="J138">
        <v>3200</v>
      </c>
      <c r="K138">
        <v>9600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2250</v>
      </c>
      <c r="V138">
        <v>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11850</v>
      </c>
      <c r="AH138">
        <v>8</v>
      </c>
      <c r="AI138">
        <v>0</v>
      </c>
      <c r="AJ138">
        <v>0</v>
      </c>
      <c r="AK138">
        <v>11850</v>
      </c>
      <c r="AL138">
        <v>0</v>
      </c>
      <c r="AM138">
        <v>0</v>
      </c>
      <c r="AN138">
        <v>0</v>
      </c>
      <c r="AO138">
        <v>0</v>
      </c>
      <c r="AP138" s="2">
        <v>8295</v>
      </c>
      <c r="AT138" t="str">
        <f>T("9791190937894")</f>
        <v>9791190937894</v>
      </c>
      <c r="AV138" t="str">
        <f>T("판타지 e북 &gt; 현대 판타지")</f>
        <v>판타지 e북 &gt; 현대 판타지</v>
      </c>
    </row>
    <row r="139" spans="1:48" x14ac:dyDescent="0.4">
      <c r="A139">
        <v>1525005640</v>
      </c>
      <c r="B139">
        <v>1525007217</v>
      </c>
      <c r="C139" t="str">
        <f>T("[e북]회귀의 전설 2부 38권")</f>
        <v>[e북]회귀의 전설 2부 38권</v>
      </c>
      <c r="D139" t="str">
        <f>T("38")</f>
        <v>38</v>
      </c>
      <c r="E139" t="str">
        <f>T("김광수")</f>
        <v>김광수</v>
      </c>
      <c r="H139" t="str">
        <f t="shared" si="13"/>
        <v>스토리위즈</v>
      </c>
      <c r="I139" t="str">
        <f>T("[e북]회귀의 전설")</f>
        <v>[e북]회귀의 전설</v>
      </c>
      <c r="J139">
        <v>3200</v>
      </c>
      <c r="K139">
        <v>9600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2250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11850</v>
      </c>
      <c r="AH139">
        <v>8</v>
      </c>
      <c r="AI139">
        <v>0</v>
      </c>
      <c r="AJ139">
        <v>0</v>
      </c>
      <c r="AK139">
        <v>8650</v>
      </c>
      <c r="AL139">
        <v>0</v>
      </c>
      <c r="AM139">
        <v>3200</v>
      </c>
      <c r="AN139">
        <v>0</v>
      </c>
      <c r="AO139">
        <v>0</v>
      </c>
      <c r="AP139" s="2">
        <v>8295</v>
      </c>
      <c r="AT139" t="str">
        <f>T("9791166300622")</f>
        <v>9791166300622</v>
      </c>
      <c r="AV139" t="str">
        <f>T("판타지 e북 &gt; 현대 판타지")</f>
        <v>판타지 e북 &gt; 현대 판타지</v>
      </c>
    </row>
    <row r="140" spans="1:48" x14ac:dyDescent="0.4">
      <c r="A140">
        <v>1525000146</v>
      </c>
      <c r="B140">
        <v>1525000150</v>
      </c>
      <c r="C140" t="str">
        <f>T("[e북]트루베니아 연대기 5권")</f>
        <v>[e북]트루베니아 연대기 5권</v>
      </c>
      <c r="D140" t="str">
        <f>T("5")</f>
        <v>5</v>
      </c>
      <c r="E140" t="str">
        <f>T("김정률")</f>
        <v>김정률</v>
      </c>
      <c r="H140" t="str">
        <f t="shared" si="13"/>
        <v>스토리위즈</v>
      </c>
      <c r="I140" t="str">
        <f>T("[e북]트루베니아 연대기")</f>
        <v>[e북]트루베니아 연대기</v>
      </c>
      <c r="J140">
        <v>3200</v>
      </c>
      <c r="K140">
        <v>9600</v>
      </c>
      <c r="L140">
        <v>3</v>
      </c>
      <c r="M140">
        <v>0</v>
      </c>
      <c r="N140">
        <v>6300</v>
      </c>
      <c r="O140">
        <v>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15900</v>
      </c>
      <c r="AH140">
        <v>10</v>
      </c>
      <c r="AI140">
        <v>0</v>
      </c>
      <c r="AJ140">
        <v>0</v>
      </c>
      <c r="AK140">
        <v>11800</v>
      </c>
      <c r="AL140">
        <v>0</v>
      </c>
      <c r="AM140">
        <v>4100</v>
      </c>
      <c r="AN140">
        <v>0</v>
      </c>
      <c r="AO140">
        <v>0</v>
      </c>
      <c r="AP140" s="2">
        <v>11130</v>
      </c>
      <c r="AV140" t="str">
        <f>T("판타지 e북 &gt; 정통 판타지")</f>
        <v>판타지 e북 &gt; 정통 판타지</v>
      </c>
    </row>
    <row r="141" spans="1:48" x14ac:dyDescent="0.4">
      <c r="A141">
        <v>1525005640</v>
      </c>
      <c r="B141">
        <v>1525007210</v>
      </c>
      <c r="C141" t="str">
        <f>T("[e북]회귀의 전설 2부 31권")</f>
        <v>[e북]회귀의 전설 2부 31권</v>
      </c>
      <c r="D141" t="str">
        <f>T("31")</f>
        <v>31</v>
      </c>
      <c r="E141" t="str">
        <f>T("김광수")</f>
        <v>김광수</v>
      </c>
      <c r="H141" t="str">
        <f t="shared" si="13"/>
        <v>스토리위즈</v>
      </c>
      <c r="I141" t="str">
        <f>T("[e북]회귀의 전설")</f>
        <v>[e북]회귀의 전설</v>
      </c>
      <c r="J141">
        <v>3200</v>
      </c>
      <c r="K141">
        <v>9600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2250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11850</v>
      </c>
      <c r="AH141">
        <v>8</v>
      </c>
      <c r="AI141">
        <v>0</v>
      </c>
      <c r="AJ141">
        <v>0</v>
      </c>
      <c r="AK141">
        <v>8650</v>
      </c>
      <c r="AL141">
        <v>0</v>
      </c>
      <c r="AM141">
        <v>3200</v>
      </c>
      <c r="AN141">
        <v>0</v>
      </c>
      <c r="AO141">
        <v>0</v>
      </c>
      <c r="AP141" s="2">
        <v>8295</v>
      </c>
      <c r="AT141" t="str">
        <f>T("9791166300554")</f>
        <v>9791166300554</v>
      </c>
      <c r="AV141" t="str">
        <f>T("판타지 e북 &gt; 현대 판타지")</f>
        <v>판타지 e북 &gt; 현대 판타지</v>
      </c>
    </row>
    <row r="142" spans="1:48" x14ac:dyDescent="0.4">
      <c r="A142">
        <v>1525005640</v>
      </c>
      <c r="B142">
        <v>1525005650</v>
      </c>
      <c r="C142" t="str">
        <f>T("[e북]회귀의 전설 1부 11권")</f>
        <v>[e북]회귀의 전설 1부 11권</v>
      </c>
      <c r="D142" t="str">
        <f>T("11")</f>
        <v>11</v>
      </c>
      <c r="E142" t="str">
        <f>T("김광수")</f>
        <v>김광수</v>
      </c>
      <c r="H142" t="str">
        <f t="shared" si="13"/>
        <v>스토리위즈</v>
      </c>
      <c r="I142" t="str">
        <f>T("[e북]회귀의 전설")</f>
        <v>[e북]회귀의 전설</v>
      </c>
      <c r="J142">
        <v>3200</v>
      </c>
      <c r="K142">
        <v>9600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2250</v>
      </c>
      <c r="V142">
        <v>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11850</v>
      </c>
      <c r="AH142">
        <v>8</v>
      </c>
      <c r="AI142">
        <v>0</v>
      </c>
      <c r="AJ142">
        <v>0</v>
      </c>
      <c r="AK142">
        <v>11850</v>
      </c>
      <c r="AL142">
        <v>0</v>
      </c>
      <c r="AM142">
        <v>0</v>
      </c>
      <c r="AN142">
        <v>0</v>
      </c>
      <c r="AO142">
        <v>0</v>
      </c>
      <c r="AP142" s="2">
        <v>8295</v>
      </c>
      <c r="AT142" t="str">
        <f>T("9791190937863")</f>
        <v>9791190937863</v>
      </c>
      <c r="AV142" t="str">
        <f>T("판타지 e북 &gt; 현대 판타지")</f>
        <v>판타지 e북 &gt; 현대 판타지</v>
      </c>
    </row>
    <row r="143" spans="1:48" x14ac:dyDescent="0.4">
      <c r="A143">
        <v>1525005640</v>
      </c>
      <c r="B143">
        <v>1525005643</v>
      </c>
      <c r="C143" t="str">
        <f>T("[e북]회귀의 전설 1부 4권")</f>
        <v>[e북]회귀의 전설 1부 4권</v>
      </c>
      <c r="D143" t="str">
        <f>T("4")</f>
        <v>4</v>
      </c>
      <c r="E143" t="str">
        <f>T("김광수")</f>
        <v>김광수</v>
      </c>
      <c r="H143" t="str">
        <f t="shared" si="13"/>
        <v>스토리위즈</v>
      </c>
      <c r="I143" t="str">
        <f>T("[e북]회귀의 전설")</f>
        <v>[e북]회귀의 전설</v>
      </c>
      <c r="J143">
        <v>3200</v>
      </c>
      <c r="K143">
        <v>9600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2250</v>
      </c>
      <c r="V143">
        <v>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11850</v>
      </c>
      <c r="AH143">
        <v>8</v>
      </c>
      <c r="AI143">
        <v>0</v>
      </c>
      <c r="AJ143">
        <v>0</v>
      </c>
      <c r="AK143">
        <v>8650</v>
      </c>
      <c r="AL143">
        <v>0</v>
      </c>
      <c r="AM143">
        <v>3200</v>
      </c>
      <c r="AN143">
        <v>0</v>
      </c>
      <c r="AO143">
        <v>0</v>
      </c>
      <c r="AP143" s="2">
        <v>8295</v>
      </c>
      <c r="AT143" t="str">
        <f>T("9791190937795")</f>
        <v>9791190937795</v>
      </c>
      <c r="AV143" t="str">
        <f>T("판타지 e북 &gt; 현대 판타지")</f>
        <v>판타지 e북 &gt; 현대 판타지</v>
      </c>
    </row>
    <row r="144" spans="1:48" x14ac:dyDescent="0.4">
      <c r="A144">
        <v>1525005640</v>
      </c>
      <c r="B144">
        <v>1525007214</v>
      </c>
      <c r="C144" t="str">
        <f>T("[e북]회귀의 전설 2부 35권")</f>
        <v>[e북]회귀의 전설 2부 35권</v>
      </c>
      <c r="D144" t="str">
        <f>T("35")</f>
        <v>35</v>
      </c>
      <c r="E144" t="str">
        <f>T("김광수")</f>
        <v>김광수</v>
      </c>
      <c r="H144" t="str">
        <f t="shared" si="13"/>
        <v>스토리위즈</v>
      </c>
      <c r="I144" t="str">
        <f>T("[e북]회귀의 전설")</f>
        <v>[e북]회귀의 전설</v>
      </c>
      <c r="J144">
        <v>3200</v>
      </c>
      <c r="K144">
        <v>9600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2250</v>
      </c>
      <c r="V144">
        <v>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11850</v>
      </c>
      <c r="AH144">
        <v>8</v>
      </c>
      <c r="AI144">
        <v>0</v>
      </c>
      <c r="AJ144">
        <v>0</v>
      </c>
      <c r="AK144">
        <v>8650</v>
      </c>
      <c r="AL144">
        <v>0</v>
      </c>
      <c r="AM144">
        <v>3200</v>
      </c>
      <c r="AN144">
        <v>0</v>
      </c>
      <c r="AO144">
        <v>0</v>
      </c>
      <c r="AP144" s="2">
        <v>8295</v>
      </c>
      <c r="AT144" t="str">
        <f>T("9791166300592")</f>
        <v>9791166300592</v>
      </c>
      <c r="AV144" t="str">
        <f>T("판타지 e북 &gt; 현대 판타지")</f>
        <v>판타지 e북 &gt; 현대 판타지</v>
      </c>
    </row>
    <row r="145" spans="1:49" x14ac:dyDescent="0.4">
      <c r="A145">
        <v>1525005640</v>
      </c>
      <c r="B145">
        <v>1525007207</v>
      </c>
      <c r="C145" t="str">
        <f>T("[e북]회귀의 전설 2부 28권")</f>
        <v>[e북]회귀의 전설 2부 28권</v>
      </c>
      <c r="D145" t="str">
        <f>T("28")</f>
        <v>28</v>
      </c>
      <c r="E145" t="str">
        <f>T("김광수")</f>
        <v>김광수</v>
      </c>
      <c r="H145" t="str">
        <f t="shared" si="13"/>
        <v>스토리위즈</v>
      </c>
      <c r="I145" t="str">
        <f>T("[e북]회귀의 전설")</f>
        <v>[e북]회귀의 전설</v>
      </c>
      <c r="J145">
        <v>3200</v>
      </c>
      <c r="K145">
        <v>9600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2250</v>
      </c>
      <c r="V145">
        <v>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11850</v>
      </c>
      <c r="AH145">
        <v>8</v>
      </c>
      <c r="AI145">
        <v>0</v>
      </c>
      <c r="AJ145">
        <v>0</v>
      </c>
      <c r="AK145">
        <v>10050</v>
      </c>
      <c r="AL145">
        <v>0</v>
      </c>
      <c r="AM145">
        <v>1800</v>
      </c>
      <c r="AN145">
        <v>0</v>
      </c>
      <c r="AO145">
        <v>0</v>
      </c>
      <c r="AP145" s="2">
        <v>8295</v>
      </c>
      <c r="AT145" t="str">
        <f>T("9791166300523")</f>
        <v>9791166300523</v>
      </c>
      <c r="AV145" t="str">
        <f>T("판타지 e북 &gt; 현대 판타지")</f>
        <v>판타지 e북 &gt; 현대 판타지</v>
      </c>
    </row>
    <row r="146" spans="1:49" x14ac:dyDescent="0.4">
      <c r="A146">
        <v>1525000146</v>
      </c>
      <c r="B146">
        <v>1525000151</v>
      </c>
      <c r="C146" t="str">
        <f>T("[e북]트루베니아 연대기 6권")</f>
        <v>[e북]트루베니아 연대기 6권</v>
      </c>
      <c r="D146" t="str">
        <f>T("6")</f>
        <v>6</v>
      </c>
      <c r="E146" t="str">
        <f>T("김정률")</f>
        <v>김정률</v>
      </c>
      <c r="H146" t="str">
        <f t="shared" si="13"/>
        <v>스토리위즈</v>
      </c>
      <c r="I146" t="str">
        <f>T("[e북]트루베니아 연대기")</f>
        <v>[e북]트루베니아 연대기</v>
      </c>
      <c r="J146">
        <v>3200</v>
      </c>
      <c r="K146">
        <v>9600</v>
      </c>
      <c r="L146">
        <v>3</v>
      </c>
      <c r="M146">
        <v>0</v>
      </c>
      <c r="N146">
        <v>8100</v>
      </c>
      <c r="O146">
        <v>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17700</v>
      </c>
      <c r="AH146">
        <v>12</v>
      </c>
      <c r="AI146">
        <v>0</v>
      </c>
      <c r="AJ146">
        <v>0</v>
      </c>
      <c r="AK146">
        <v>13600</v>
      </c>
      <c r="AL146">
        <v>0</v>
      </c>
      <c r="AM146">
        <v>4100</v>
      </c>
      <c r="AN146">
        <v>0</v>
      </c>
      <c r="AO146">
        <v>0</v>
      </c>
      <c r="AP146" s="2">
        <v>12390</v>
      </c>
      <c r="AV146" t="str">
        <f>T("판타지 e북 &gt; 정통 판타지")</f>
        <v>판타지 e북 &gt; 정통 판타지</v>
      </c>
    </row>
    <row r="147" spans="1:49" x14ac:dyDescent="0.4">
      <c r="A147">
        <v>1525005640</v>
      </c>
      <c r="B147">
        <v>1525007211</v>
      </c>
      <c r="C147" t="str">
        <f>T("[e북]회귀의 전설 2부 32권")</f>
        <v>[e북]회귀의 전설 2부 32권</v>
      </c>
      <c r="D147" t="str">
        <f>T("32")</f>
        <v>32</v>
      </c>
      <c r="E147" t="str">
        <f>T("김광수")</f>
        <v>김광수</v>
      </c>
      <c r="H147" t="str">
        <f t="shared" si="13"/>
        <v>스토리위즈</v>
      </c>
      <c r="I147" t="str">
        <f>T("[e북]회귀의 전설")</f>
        <v>[e북]회귀의 전설</v>
      </c>
      <c r="J147">
        <v>3200</v>
      </c>
      <c r="K147">
        <v>9600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2250</v>
      </c>
      <c r="V147">
        <v>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11850</v>
      </c>
      <c r="AH147">
        <v>8</v>
      </c>
      <c r="AI147">
        <v>0</v>
      </c>
      <c r="AJ147">
        <v>0</v>
      </c>
      <c r="AK147">
        <v>8650</v>
      </c>
      <c r="AL147">
        <v>0</v>
      </c>
      <c r="AM147">
        <v>3200</v>
      </c>
      <c r="AN147">
        <v>0</v>
      </c>
      <c r="AO147">
        <v>0</v>
      </c>
      <c r="AP147" s="2">
        <v>8295</v>
      </c>
      <c r="AT147" t="str">
        <f>T("9791166300561")</f>
        <v>9791166300561</v>
      </c>
      <c r="AV147" t="str">
        <f>T("판타지 e북 &gt; 현대 판타지")</f>
        <v>판타지 e북 &gt; 현대 판타지</v>
      </c>
    </row>
    <row r="148" spans="1:49" x14ac:dyDescent="0.4">
      <c r="A148">
        <v>1525003495</v>
      </c>
      <c r="B148">
        <v>1525003500</v>
      </c>
      <c r="C148" t="str">
        <f>T("[e북]소드마스터의 환생 6권")</f>
        <v>[e북]소드마스터의 환생 6권</v>
      </c>
      <c r="D148" t="str">
        <f>T("6")</f>
        <v>6</v>
      </c>
      <c r="E148" t="str">
        <f>T("파란영")</f>
        <v>파란영</v>
      </c>
      <c r="H148" t="str">
        <f t="shared" si="13"/>
        <v>스토리위즈</v>
      </c>
      <c r="I148" t="str">
        <f>T("[e북]소드마스터의 환생")</f>
        <v>[e북]소드마스터의 환생</v>
      </c>
      <c r="J148">
        <v>3200</v>
      </c>
      <c r="K148">
        <v>9600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9600</v>
      </c>
      <c r="AH148">
        <v>3</v>
      </c>
      <c r="AI148">
        <v>0</v>
      </c>
      <c r="AJ148">
        <v>0</v>
      </c>
      <c r="AK148">
        <v>6400</v>
      </c>
      <c r="AL148">
        <v>0</v>
      </c>
      <c r="AM148">
        <v>3200</v>
      </c>
      <c r="AN148">
        <v>0</v>
      </c>
      <c r="AO148">
        <v>0</v>
      </c>
      <c r="AP148" s="2">
        <v>6720</v>
      </c>
      <c r="AT148" t="str">
        <f>T("9791159289866")</f>
        <v>9791159289866</v>
      </c>
      <c r="AV148" t="str">
        <f>T("판타지 e북 &gt; 정통 판타지")</f>
        <v>판타지 e북 &gt; 정통 판타지</v>
      </c>
    </row>
    <row r="149" spans="1:49" x14ac:dyDescent="0.4">
      <c r="A149">
        <v>1525005640</v>
      </c>
      <c r="B149">
        <v>1525005644</v>
      </c>
      <c r="C149" t="str">
        <f>T("[e북]회귀의 전설 1부 5권")</f>
        <v>[e북]회귀의 전설 1부 5권</v>
      </c>
      <c r="D149" t="str">
        <f>T("5")</f>
        <v>5</v>
      </c>
      <c r="E149" t="str">
        <f>T("김광수")</f>
        <v>김광수</v>
      </c>
      <c r="H149" t="str">
        <f t="shared" si="13"/>
        <v>스토리위즈</v>
      </c>
      <c r="I149" t="str">
        <f>T("[e북]회귀의 전설")</f>
        <v>[e북]회귀의 전설</v>
      </c>
      <c r="J149">
        <v>3200</v>
      </c>
      <c r="K149">
        <v>9600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2250</v>
      </c>
      <c r="V149">
        <v>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11850</v>
      </c>
      <c r="AH149">
        <v>8</v>
      </c>
      <c r="AI149">
        <v>0</v>
      </c>
      <c r="AJ149">
        <v>0</v>
      </c>
      <c r="AK149">
        <v>11390</v>
      </c>
      <c r="AL149">
        <v>0</v>
      </c>
      <c r="AM149">
        <v>460</v>
      </c>
      <c r="AN149">
        <v>0</v>
      </c>
      <c r="AO149">
        <v>0</v>
      </c>
      <c r="AP149" s="2">
        <v>8295</v>
      </c>
      <c r="AT149" t="str">
        <f>T("9791190937801")</f>
        <v>9791190937801</v>
      </c>
      <c r="AV149" t="str">
        <f>T("판타지 e북 &gt; 현대 판타지")</f>
        <v>판타지 e북 &gt; 현대 판타지</v>
      </c>
    </row>
    <row r="150" spans="1:49" x14ac:dyDescent="0.4">
      <c r="A150">
        <v>1525005640</v>
      </c>
      <c r="B150">
        <v>1525007215</v>
      </c>
      <c r="C150" t="str">
        <f>T("[e북]회귀의 전설 2부 36권")</f>
        <v>[e북]회귀의 전설 2부 36권</v>
      </c>
      <c r="D150" t="str">
        <f>T("36")</f>
        <v>36</v>
      </c>
      <c r="E150" t="str">
        <f>T("김광수")</f>
        <v>김광수</v>
      </c>
      <c r="H150" t="str">
        <f t="shared" si="13"/>
        <v>스토리위즈</v>
      </c>
      <c r="I150" t="str">
        <f>T("[e북]회귀의 전설")</f>
        <v>[e북]회귀의 전설</v>
      </c>
      <c r="J150">
        <v>3200</v>
      </c>
      <c r="K150">
        <v>9600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2250</v>
      </c>
      <c r="V150">
        <v>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11850</v>
      </c>
      <c r="AH150">
        <v>8</v>
      </c>
      <c r="AI150">
        <v>0</v>
      </c>
      <c r="AJ150">
        <v>0</v>
      </c>
      <c r="AK150">
        <v>8650</v>
      </c>
      <c r="AL150">
        <v>0</v>
      </c>
      <c r="AM150">
        <v>3200</v>
      </c>
      <c r="AN150">
        <v>0</v>
      </c>
      <c r="AO150">
        <v>0</v>
      </c>
      <c r="AP150" s="2">
        <v>8295</v>
      </c>
      <c r="AT150" t="str">
        <f>T("9791166300608")</f>
        <v>9791166300608</v>
      </c>
      <c r="AV150" t="str">
        <f>T("판타지 e북 &gt; 현대 판타지")</f>
        <v>판타지 e북 &gt; 현대 판타지</v>
      </c>
    </row>
    <row r="151" spans="1:49" x14ac:dyDescent="0.4">
      <c r="A151">
        <v>1525005640</v>
      </c>
      <c r="B151">
        <v>1525007208</v>
      </c>
      <c r="C151" t="str">
        <f>T("[e북]회귀의 전설 2부 29권")</f>
        <v>[e북]회귀의 전설 2부 29권</v>
      </c>
      <c r="D151" t="str">
        <f>T("29")</f>
        <v>29</v>
      </c>
      <c r="E151" t="str">
        <f>T("김광수")</f>
        <v>김광수</v>
      </c>
      <c r="H151" t="str">
        <f t="shared" si="13"/>
        <v>스토리위즈</v>
      </c>
      <c r="I151" t="str">
        <f>T("[e북]회귀의 전설")</f>
        <v>[e북]회귀의 전설</v>
      </c>
      <c r="J151">
        <v>3200</v>
      </c>
      <c r="K151">
        <v>9600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2250</v>
      </c>
      <c r="V151">
        <v>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11850</v>
      </c>
      <c r="AH151">
        <v>8</v>
      </c>
      <c r="AI151">
        <v>0</v>
      </c>
      <c r="AJ151">
        <v>0</v>
      </c>
      <c r="AK151">
        <v>8650</v>
      </c>
      <c r="AL151">
        <v>0</v>
      </c>
      <c r="AM151">
        <v>3200</v>
      </c>
      <c r="AN151">
        <v>0</v>
      </c>
      <c r="AO151">
        <v>0</v>
      </c>
      <c r="AP151" s="2">
        <v>8295</v>
      </c>
      <c r="AT151" t="str">
        <f>T("9791166300530")</f>
        <v>9791166300530</v>
      </c>
      <c r="AV151" t="str">
        <f>T("판타지 e북 &gt; 현대 판타지")</f>
        <v>판타지 e북 &gt; 현대 판타지</v>
      </c>
    </row>
    <row r="152" spans="1:49" x14ac:dyDescent="0.4">
      <c r="A152">
        <v>1525003495</v>
      </c>
      <c r="B152">
        <v>1525003497</v>
      </c>
      <c r="C152" t="str">
        <f>T("[e북]소드마스터의 환생 3권")</f>
        <v>[e북]소드마스터의 환생 3권</v>
      </c>
      <c r="D152" t="str">
        <f>T("3")</f>
        <v>3</v>
      </c>
      <c r="E152" t="str">
        <f>T("파란영")</f>
        <v>파란영</v>
      </c>
      <c r="H152" t="str">
        <f t="shared" si="13"/>
        <v>스토리위즈</v>
      </c>
      <c r="I152" t="str">
        <f>T("[e북]소드마스터의 환생")</f>
        <v>[e북]소드마스터의 환생</v>
      </c>
      <c r="J152">
        <v>3200</v>
      </c>
      <c r="K152">
        <v>9600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9600</v>
      </c>
      <c r="AH152">
        <v>3</v>
      </c>
      <c r="AI152">
        <v>0</v>
      </c>
      <c r="AJ152">
        <v>0</v>
      </c>
      <c r="AK152">
        <v>6400</v>
      </c>
      <c r="AL152">
        <v>0</v>
      </c>
      <c r="AM152">
        <v>3200</v>
      </c>
      <c r="AN152">
        <v>0</v>
      </c>
      <c r="AO152">
        <v>0</v>
      </c>
      <c r="AP152" s="2">
        <v>6720</v>
      </c>
      <c r="AT152" t="str">
        <f>T("9791159289835")</f>
        <v>9791159289835</v>
      </c>
      <c r="AV152" t="str">
        <f>T("판타지 e북 &gt; 정통 판타지")</f>
        <v>판타지 e북 &gt; 정통 판타지</v>
      </c>
    </row>
    <row r="153" spans="1:49" x14ac:dyDescent="0.4">
      <c r="A153">
        <v>1525005640</v>
      </c>
      <c r="B153">
        <v>1525005641</v>
      </c>
      <c r="C153" t="str">
        <f>T("[e북]회귀의 전설 1부 2권")</f>
        <v>[e북]회귀의 전설 1부 2권</v>
      </c>
      <c r="D153" t="str">
        <f>T("2")</f>
        <v>2</v>
      </c>
      <c r="E153" t="str">
        <f>T("김광수")</f>
        <v>김광수</v>
      </c>
      <c r="H153" t="str">
        <f t="shared" si="13"/>
        <v>스토리위즈</v>
      </c>
      <c r="I153" t="str">
        <f>T("[e북]회귀의 전설")</f>
        <v>[e북]회귀의 전설</v>
      </c>
      <c r="J153">
        <v>3200</v>
      </c>
      <c r="K153">
        <v>9600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2250</v>
      </c>
      <c r="V153">
        <v>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11850</v>
      </c>
      <c r="AH153">
        <v>8</v>
      </c>
      <c r="AI153">
        <v>0</v>
      </c>
      <c r="AJ153">
        <v>0</v>
      </c>
      <c r="AK153">
        <v>11850</v>
      </c>
      <c r="AL153">
        <v>0</v>
      </c>
      <c r="AM153">
        <v>0</v>
      </c>
      <c r="AN153">
        <v>0</v>
      </c>
      <c r="AO153">
        <v>0</v>
      </c>
      <c r="AP153" s="2">
        <v>8295</v>
      </c>
      <c r="AT153" t="str">
        <f>T("9791190937771")</f>
        <v>9791190937771</v>
      </c>
      <c r="AV153" t="str">
        <f>T("판타지 e북 &gt; 현대 판타지")</f>
        <v>판타지 e북 &gt; 현대 판타지</v>
      </c>
    </row>
    <row r="154" spans="1:49" x14ac:dyDescent="0.4">
      <c r="B154">
        <v>1525014418</v>
      </c>
      <c r="C154" t="str">
        <f>T("[e북]불꽃")</f>
        <v>[e북]불꽃</v>
      </c>
      <c r="E154" t="str">
        <f>T("김혜연")</f>
        <v>김혜연</v>
      </c>
      <c r="H154" t="str">
        <f>T("밀리오리지널")</f>
        <v>밀리오리지널</v>
      </c>
      <c r="J154">
        <v>3000</v>
      </c>
      <c r="K154">
        <v>9000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9000</v>
      </c>
      <c r="AH154">
        <v>3</v>
      </c>
      <c r="AI154">
        <v>0</v>
      </c>
      <c r="AJ154">
        <v>0</v>
      </c>
      <c r="AK154">
        <v>9000</v>
      </c>
      <c r="AL154">
        <v>0</v>
      </c>
      <c r="AM154">
        <v>0</v>
      </c>
      <c r="AN154">
        <v>0</v>
      </c>
      <c r="AO154">
        <v>0</v>
      </c>
      <c r="AP154" s="2">
        <v>6300</v>
      </c>
      <c r="AT154" t="str">
        <f>T("9791191562422")</f>
        <v>9791191562422</v>
      </c>
      <c r="AV154" t="str">
        <f>T("로맨스 e북 &gt; 역사/시대물")</f>
        <v>로맨스 e북 &gt; 역사/시대물</v>
      </c>
      <c r="AW154" t="str">
        <f>T("로맨스 e북 &gt; 19+")</f>
        <v>로맨스 e북 &gt; 19+</v>
      </c>
    </row>
    <row r="155" spans="1:49" x14ac:dyDescent="0.4">
      <c r="A155">
        <v>1525007806</v>
      </c>
      <c r="B155">
        <v>1525007806</v>
      </c>
      <c r="C155" t="str">
        <f>T("[e북]상무님이 원하시는 대로")</f>
        <v>[e북]상무님이 원하시는 대로</v>
      </c>
      <c r="D155" t="str">
        <f>T("1")</f>
        <v>1</v>
      </c>
      <c r="E155" t="str">
        <f>T("벨")</f>
        <v>벨</v>
      </c>
      <c r="H155" t="str">
        <f>T("쉬라즈")</f>
        <v>쉬라즈</v>
      </c>
      <c r="I155" t="str">
        <f>T("[e북]상무님이 원하시는 대로")</f>
        <v>[e북]상무님이 원하시는 대로</v>
      </c>
      <c r="J155">
        <v>4200</v>
      </c>
      <c r="K155">
        <v>8400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8400</v>
      </c>
      <c r="AH155">
        <v>2</v>
      </c>
      <c r="AI155">
        <v>0</v>
      </c>
      <c r="AJ155">
        <v>0</v>
      </c>
      <c r="AK155">
        <v>8400</v>
      </c>
      <c r="AL155">
        <v>0</v>
      </c>
      <c r="AM155">
        <v>0</v>
      </c>
      <c r="AN155">
        <v>0</v>
      </c>
      <c r="AO155">
        <v>0</v>
      </c>
      <c r="AP155" s="2">
        <v>5880</v>
      </c>
      <c r="AR155" t="str">
        <f>T("0000000000000")</f>
        <v>0000000000000</v>
      </c>
      <c r="AT155" t="str">
        <f>T("9791164899920")</f>
        <v>9791164899920</v>
      </c>
      <c r="AV155" t="str">
        <f>T("로맨스 e북 &gt; 현대물")</f>
        <v>로맨스 e북 &gt; 현대물</v>
      </c>
      <c r="AW155" t="str">
        <f>T("로맨스 e북 &gt; 19+")</f>
        <v>로맨스 e북 &gt; 19+</v>
      </c>
    </row>
    <row r="156" spans="1:49" x14ac:dyDescent="0.4">
      <c r="B156">
        <v>1525013428</v>
      </c>
      <c r="C156" t="str">
        <f>T("[e북]향기로운 뿔")</f>
        <v>[e북]향기로운 뿔</v>
      </c>
      <c r="E156" t="str">
        <f>T("이진희")</f>
        <v>이진희</v>
      </c>
      <c r="H156" t="str">
        <f>T("밀리오리지널")</f>
        <v>밀리오리지널</v>
      </c>
      <c r="J156">
        <v>3000</v>
      </c>
      <c r="K156">
        <v>8100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-2700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8100</v>
      </c>
      <c r="AH156">
        <v>3</v>
      </c>
      <c r="AI156">
        <v>-2700</v>
      </c>
      <c r="AJ156">
        <v>1</v>
      </c>
      <c r="AK156">
        <v>8100</v>
      </c>
      <c r="AL156">
        <v>-2700</v>
      </c>
      <c r="AM156">
        <v>0</v>
      </c>
      <c r="AN156">
        <v>0</v>
      </c>
      <c r="AO156">
        <v>0</v>
      </c>
      <c r="AP156" s="2">
        <v>3780</v>
      </c>
      <c r="AT156" t="str">
        <f>T("9791191562088")</f>
        <v>9791191562088</v>
      </c>
      <c r="AV156" t="str">
        <f>T("로맨스 e북 &gt; 현대물")</f>
        <v>로맨스 e북 &gt; 현대물</v>
      </c>
      <c r="AW156" t="str">
        <f>T("로맨스 e북 &gt; 19+")</f>
        <v>로맨스 e북 &gt; 19+</v>
      </c>
    </row>
    <row r="157" spans="1:49" x14ac:dyDescent="0.4">
      <c r="A157">
        <v>1525008077</v>
      </c>
      <c r="B157">
        <v>1525008077</v>
      </c>
      <c r="C157" t="str">
        <f>T("[e북]마지막 춤은, 악인과 함께")</f>
        <v>[e북]마지막 춤은, 악인과 함께</v>
      </c>
      <c r="D157" t="str">
        <f>T("1")</f>
        <v>1</v>
      </c>
      <c r="E157" t="str">
        <f>T("SISSI")</f>
        <v>SISSI</v>
      </c>
      <c r="H157" t="str">
        <f>T("블러쉬")</f>
        <v>블러쉬</v>
      </c>
      <c r="I157" t="str">
        <f>T("[e북]마지막 춤은, 악인과 함께")</f>
        <v>[e북]마지막 춤은, 악인과 함께</v>
      </c>
      <c r="J157">
        <v>4000</v>
      </c>
      <c r="K157">
        <v>8000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8000</v>
      </c>
      <c r="AH157">
        <v>2</v>
      </c>
      <c r="AI157">
        <v>0</v>
      </c>
      <c r="AJ157">
        <v>0</v>
      </c>
      <c r="AK157">
        <v>8000</v>
      </c>
      <c r="AL157">
        <v>0</v>
      </c>
      <c r="AM157">
        <v>0</v>
      </c>
      <c r="AN157">
        <v>0</v>
      </c>
      <c r="AO157">
        <v>0</v>
      </c>
      <c r="AP157" s="2">
        <v>5600</v>
      </c>
      <c r="AR157" t="str">
        <f t="shared" ref="AR157:AR162" si="14">T("0000000000000")</f>
        <v>0000000000000</v>
      </c>
      <c r="AT157" t="str">
        <f>T("9791164899814")</f>
        <v>9791164899814</v>
      </c>
      <c r="AV157" t="str">
        <f>T("BL 소설 e북 &gt; 현대물")</f>
        <v>BL 소설 e북 &gt; 현대물</v>
      </c>
    </row>
    <row r="158" spans="1:49" x14ac:dyDescent="0.4">
      <c r="B158">
        <v>1525013648</v>
      </c>
      <c r="C158" t="str">
        <f>T("[e북]삶의 끝에서")</f>
        <v>[e북]삶의 끝에서</v>
      </c>
      <c r="E158" t="str">
        <f>T("이승희")</f>
        <v>이승희</v>
      </c>
      <c r="H158" t="str">
        <f>T("밀리오리지널")</f>
        <v>밀리오리지널</v>
      </c>
      <c r="J158">
        <v>2000</v>
      </c>
      <c r="K158">
        <v>8000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8000</v>
      </c>
      <c r="AH158">
        <v>4</v>
      </c>
      <c r="AI158">
        <v>0</v>
      </c>
      <c r="AJ158">
        <v>0</v>
      </c>
      <c r="AK158">
        <v>8000</v>
      </c>
      <c r="AL158">
        <v>0</v>
      </c>
      <c r="AM158">
        <v>0</v>
      </c>
      <c r="AN158">
        <v>0</v>
      </c>
      <c r="AO158">
        <v>0</v>
      </c>
      <c r="AP158" s="2">
        <v>5600</v>
      </c>
      <c r="AR158" t="str">
        <f t="shared" si="14"/>
        <v>0000000000000</v>
      </c>
      <c r="AT158" t="str">
        <f>T("9791191562200")</f>
        <v>9791191562200</v>
      </c>
      <c r="AV158" t="str">
        <f>T("로맨스 e북 &gt; 현대물")</f>
        <v>로맨스 e북 &gt; 현대물</v>
      </c>
      <c r="AW158" t="str">
        <f>T("로맨스 e북 &gt; 19+")</f>
        <v>로맨스 e북 &gt; 19+</v>
      </c>
    </row>
    <row r="159" spans="1:49" x14ac:dyDescent="0.4">
      <c r="A159">
        <v>1525008187</v>
      </c>
      <c r="B159">
        <v>1525008188</v>
      </c>
      <c r="C159" t="str">
        <f>T("[e북]퀸 앤 폰 (Queen &amp; Pawn) 2권 (완결)")</f>
        <v>[e북]퀸 앤 폰 (Queen &amp; Pawn) 2권 (완결)</v>
      </c>
      <c r="D159" t="str">
        <f>T("2")</f>
        <v>2</v>
      </c>
      <c r="E159" t="str">
        <f>T("류마티")</f>
        <v>류마티</v>
      </c>
      <c r="H159" t="str">
        <f>T("블러쉬")</f>
        <v>블러쉬</v>
      </c>
      <c r="I159" t="str">
        <f>T("[e북]퀸 앤 폰(Queen &amp; Pawn)")</f>
        <v>[e북]퀸 앤 폰(Queen &amp; Pawn)</v>
      </c>
      <c r="J159">
        <v>3800</v>
      </c>
      <c r="K159">
        <v>7600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7600</v>
      </c>
      <c r="AH159">
        <v>2</v>
      </c>
      <c r="AI159">
        <v>0</v>
      </c>
      <c r="AJ159">
        <v>0</v>
      </c>
      <c r="AK159">
        <v>7600</v>
      </c>
      <c r="AL159">
        <v>0</v>
      </c>
      <c r="AM159">
        <v>0</v>
      </c>
      <c r="AN159">
        <v>0</v>
      </c>
      <c r="AO159">
        <v>0</v>
      </c>
      <c r="AP159" s="2">
        <v>5320</v>
      </c>
      <c r="AR159" t="str">
        <f t="shared" si="14"/>
        <v>0000000000000</v>
      </c>
      <c r="AT159" t="str">
        <f>T("9791190132442")</f>
        <v>9791190132442</v>
      </c>
      <c r="AV159" t="str">
        <f>T("BL 소설 e북 &gt; 판타지물")</f>
        <v>BL 소설 e북 &gt; 판타지물</v>
      </c>
    </row>
    <row r="160" spans="1:49" x14ac:dyDescent="0.4">
      <c r="A160">
        <v>1525007798</v>
      </c>
      <c r="B160">
        <v>1525007798</v>
      </c>
      <c r="C160" t="str">
        <f>T("[e북]벗어 주세요")</f>
        <v>[e북]벗어 주세요</v>
      </c>
      <c r="D160" t="str">
        <f>T("1")</f>
        <v>1</v>
      </c>
      <c r="E160" t="str">
        <f>T("주해나")</f>
        <v>주해나</v>
      </c>
      <c r="H160" t="str">
        <f>T("쉬라즈")</f>
        <v>쉬라즈</v>
      </c>
      <c r="I160" t="str">
        <f>T("[e북]벗어 주세요")</f>
        <v>[e북]벗어 주세요</v>
      </c>
      <c r="J160">
        <v>3800</v>
      </c>
      <c r="K160">
        <v>7600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7600</v>
      </c>
      <c r="AH160">
        <v>2</v>
      </c>
      <c r="AI160">
        <v>0</v>
      </c>
      <c r="AJ160">
        <v>0</v>
      </c>
      <c r="AK160">
        <v>7600</v>
      </c>
      <c r="AL160">
        <v>0</v>
      </c>
      <c r="AM160">
        <v>0</v>
      </c>
      <c r="AN160">
        <v>0</v>
      </c>
      <c r="AO160">
        <v>0</v>
      </c>
      <c r="AP160" s="2">
        <v>5320</v>
      </c>
      <c r="AR160" t="str">
        <f t="shared" si="14"/>
        <v>0000000000000</v>
      </c>
      <c r="AT160" t="str">
        <f>T("9791164897346")</f>
        <v>9791164897346</v>
      </c>
      <c r="AV160" t="str">
        <f>T("로맨스 e북 &gt; 현대물")</f>
        <v>로맨스 e북 &gt; 현대물</v>
      </c>
      <c r="AW160" t="str">
        <f>T("로맨스 e북 &gt; 19+")</f>
        <v>로맨스 e북 &gt; 19+</v>
      </c>
    </row>
    <row r="161" spans="1:49" x14ac:dyDescent="0.4">
      <c r="A161">
        <v>1525007834</v>
      </c>
      <c r="B161">
        <v>1525007834</v>
      </c>
      <c r="C161" t="str">
        <f>T("[e북]이리 와 봐")</f>
        <v>[e북]이리 와 봐</v>
      </c>
      <c r="D161" t="str">
        <f>T("1")</f>
        <v>1</v>
      </c>
      <c r="E161" t="str">
        <f>T("최강주")</f>
        <v>최강주</v>
      </c>
      <c r="H161" t="str">
        <f>T("쉬라즈")</f>
        <v>쉬라즈</v>
      </c>
      <c r="I161" t="str">
        <f>T("[e북]이리 와 봐")</f>
        <v>[e북]이리 와 봐</v>
      </c>
      <c r="J161">
        <v>3800</v>
      </c>
      <c r="K161">
        <v>7600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7600</v>
      </c>
      <c r="AH161">
        <v>2</v>
      </c>
      <c r="AI161">
        <v>0</v>
      </c>
      <c r="AJ161">
        <v>0</v>
      </c>
      <c r="AK161">
        <v>7600</v>
      </c>
      <c r="AL161">
        <v>0</v>
      </c>
      <c r="AM161">
        <v>0</v>
      </c>
      <c r="AN161">
        <v>0</v>
      </c>
      <c r="AO161">
        <v>0</v>
      </c>
      <c r="AP161" s="2">
        <v>5320</v>
      </c>
      <c r="AR161" t="str">
        <f t="shared" si="14"/>
        <v>0000000000000</v>
      </c>
      <c r="AT161" t="str">
        <f>T("9791190132510")</f>
        <v>9791190132510</v>
      </c>
      <c r="AV161" t="str">
        <f>T("로맨스 e북 &gt; 현대물")</f>
        <v>로맨스 e북 &gt; 현대물</v>
      </c>
      <c r="AW161" t="str">
        <f>T("로맨스 e북 &gt; 19+")</f>
        <v>로맨스 e북 &gt; 19+</v>
      </c>
    </row>
    <row r="162" spans="1:49" x14ac:dyDescent="0.4">
      <c r="A162">
        <v>1525008187</v>
      </c>
      <c r="B162">
        <v>1525008187</v>
      </c>
      <c r="C162" t="str">
        <f>T("[e북]퀸 앤 폰 (Queen &amp; Pawn) 1권")</f>
        <v>[e북]퀸 앤 폰 (Queen &amp; Pawn) 1권</v>
      </c>
      <c r="D162" t="str">
        <f>T("1")</f>
        <v>1</v>
      </c>
      <c r="E162" t="str">
        <f>T("류마티")</f>
        <v>류마티</v>
      </c>
      <c r="H162" t="str">
        <f>T("블러쉬")</f>
        <v>블러쉬</v>
      </c>
      <c r="I162" t="str">
        <f>T("[e북]퀸 앤 폰(Queen &amp; Pawn)")</f>
        <v>[e북]퀸 앤 폰(Queen &amp; Pawn)</v>
      </c>
      <c r="J162">
        <v>3800</v>
      </c>
      <c r="K162">
        <v>7600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7600</v>
      </c>
      <c r="AH162">
        <v>2</v>
      </c>
      <c r="AI162">
        <v>0</v>
      </c>
      <c r="AJ162">
        <v>0</v>
      </c>
      <c r="AK162">
        <v>7600</v>
      </c>
      <c r="AL162">
        <v>0</v>
      </c>
      <c r="AM162">
        <v>0</v>
      </c>
      <c r="AN162">
        <v>0</v>
      </c>
      <c r="AO162">
        <v>0</v>
      </c>
      <c r="AP162" s="2">
        <v>5320</v>
      </c>
      <c r="AR162" t="str">
        <f t="shared" si="14"/>
        <v>0000000000000</v>
      </c>
      <c r="AT162" t="str">
        <f>T("9791190132435")</f>
        <v>9791190132435</v>
      </c>
      <c r="AV162" t="str">
        <f>T("BL 소설 e북 &gt; 판타지물")</f>
        <v>BL 소설 e북 &gt; 판타지물</v>
      </c>
    </row>
    <row r="163" spans="1:49" x14ac:dyDescent="0.4">
      <c r="B163">
        <v>1525014419</v>
      </c>
      <c r="C163" t="str">
        <f>T("[e북]시선... 그리고 떨림")</f>
        <v>[e북]시선... 그리고 떨림</v>
      </c>
      <c r="E163" t="str">
        <f>T("이승희")</f>
        <v>이승희</v>
      </c>
      <c r="H163" t="str">
        <f>T("밀리오리지널")</f>
        <v>밀리오리지널</v>
      </c>
      <c r="J163">
        <v>2500</v>
      </c>
      <c r="K163">
        <v>7500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7500</v>
      </c>
      <c r="AH163">
        <v>3</v>
      </c>
      <c r="AI163">
        <v>0</v>
      </c>
      <c r="AJ163">
        <v>0</v>
      </c>
      <c r="AK163">
        <v>7500</v>
      </c>
      <c r="AL163">
        <v>0</v>
      </c>
      <c r="AM163">
        <v>0</v>
      </c>
      <c r="AN163">
        <v>0</v>
      </c>
      <c r="AO163">
        <v>0</v>
      </c>
      <c r="AP163" s="2">
        <v>5250</v>
      </c>
      <c r="AT163" t="str">
        <f>T("9791191562446")</f>
        <v>9791191562446</v>
      </c>
      <c r="AV163" t="str">
        <f>T("로맨스 e북 &gt; 현대물")</f>
        <v>로맨스 e북 &gt; 현대물</v>
      </c>
      <c r="AW163" t="str">
        <f>T("로맨스 e북 &gt; 19+")</f>
        <v>로맨스 e북 &gt; 19+</v>
      </c>
    </row>
    <row r="164" spans="1:49" x14ac:dyDescent="0.4">
      <c r="A164">
        <v>1525011063</v>
      </c>
      <c r="B164">
        <v>1525011062</v>
      </c>
      <c r="C164" t="str">
        <f>T("[e북]남창목가 2권")</f>
        <v>[e북]남창목가 2권</v>
      </c>
      <c r="D164" t="str">
        <f>T("2")</f>
        <v>2</v>
      </c>
      <c r="E164" t="str">
        <f>T("최재봉")</f>
        <v>최재봉</v>
      </c>
      <c r="H164" t="str">
        <f>T("에필로그")</f>
        <v>에필로그</v>
      </c>
      <c r="I164" t="str">
        <f>T("[e북]남창목가")</f>
        <v>[e북]남창목가</v>
      </c>
      <c r="J164">
        <v>2500</v>
      </c>
      <c r="K164">
        <v>7500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7500</v>
      </c>
      <c r="AH164">
        <v>3</v>
      </c>
      <c r="AI164">
        <v>0</v>
      </c>
      <c r="AJ164">
        <v>0</v>
      </c>
      <c r="AK164">
        <v>5000</v>
      </c>
      <c r="AL164">
        <v>0</v>
      </c>
      <c r="AM164">
        <v>2500</v>
      </c>
      <c r="AN164">
        <v>0</v>
      </c>
      <c r="AO164">
        <v>0</v>
      </c>
      <c r="AP164" s="2">
        <v>5250</v>
      </c>
      <c r="AT164" t="str">
        <f>T("9791164482986")</f>
        <v>9791164482986</v>
      </c>
      <c r="AV164" t="str">
        <f>T("판타지 e북 &gt; 신무협")</f>
        <v>판타지 e북 &gt; 신무협</v>
      </c>
    </row>
    <row r="165" spans="1:49" x14ac:dyDescent="0.4">
      <c r="B165">
        <v>1525013367</v>
      </c>
      <c r="C165" t="str">
        <f>T("[e북]만나러 갈게")</f>
        <v>[e북]만나러 갈게</v>
      </c>
      <c r="E165" t="str">
        <f>T("박샛별")</f>
        <v>박샛별</v>
      </c>
      <c r="H165" t="str">
        <f>T("밀리오리지널")</f>
        <v>밀리오리지널</v>
      </c>
      <c r="J165">
        <v>2000</v>
      </c>
      <c r="K165">
        <v>7200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7200</v>
      </c>
      <c r="AH165">
        <v>4</v>
      </c>
      <c r="AI165">
        <v>0</v>
      </c>
      <c r="AJ165">
        <v>0</v>
      </c>
      <c r="AK165">
        <v>7200</v>
      </c>
      <c r="AL165">
        <v>0</v>
      </c>
      <c r="AM165">
        <v>0</v>
      </c>
      <c r="AN165">
        <v>0</v>
      </c>
      <c r="AO165">
        <v>0</v>
      </c>
      <c r="AP165" s="2">
        <v>5040</v>
      </c>
      <c r="AR165" t="str">
        <f t="shared" ref="AR165:AR172" si="15">T("0000000000000")</f>
        <v>0000000000000</v>
      </c>
      <c r="AT165" t="str">
        <f>T("9791191562071")</f>
        <v>9791191562071</v>
      </c>
      <c r="AV165" t="str">
        <f>T("로맨스 e북 &gt; 현대물")</f>
        <v>로맨스 e북 &gt; 현대물</v>
      </c>
    </row>
    <row r="166" spans="1:49" x14ac:dyDescent="0.4">
      <c r="B166">
        <v>1525007848</v>
      </c>
      <c r="C166" t="str">
        <f>T("[e북]폭풍처럼 오다")</f>
        <v>[e북]폭풍처럼 오다</v>
      </c>
      <c r="E166" t="str">
        <f>T("투즈")</f>
        <v>투즈</v>
      </c>
      <c r="H166" t="str">
        <f>T("쉬라즈")</f>
        <v>쉬라즈</v>
      </c>
      <c r="J166">
        <v>3500</v>
      </c>
      <c r="K166">
        <v>7000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7000</v>
      </c>
      <c r="AH166">
        <v>2</v>
      </c>
      <c r="AI166">
        <v>0</v>
      </c>
      <c r="AJ166">
        <v>0</v>
      </c>
      <c r="AK166">
        <v>7000</v>
      </c>
      <c r="AL166">
        <v>0</v>
      </c>
      <c r="AM166">
        <v>0</v>
      </c>
      <c r="AN166">
        <v>0</v>
      </c>
      <c r="AO166">
        <v>0</v>
      </c>
      <c r="AP166" s="2">
        <v>4900</v>
      </c>
      <c r="AR166" t="str">
        <f t="shared" si="15"/>
        <v>0000000000000</v>
      </c>
      <c r="AT166" t="str">
        <f>T("9791190132947")</f>
        <v>9791190132947</v>
      </c>
      <c r="AV166" t="str">
        <f>T("로맨스 e북 &gt; 현대물")</f>
        <v>로맨스 e북 &gt; 현대물</v>
      </c>
      <c r="AW166" t="str">
        <f>T("로맨스 e북 &gt; 19+")</f>
        <v>로맨스 e북 &gt; 19+</v>
      </c>
    </row>
    <row r="167" spans="1:49" x14ac:dyDescent="0.4">
      <c r="A167">
        <v>1525008114</v>
      </c>
      <c r="B167">
        <v>1525008114</v>
      </c>
      <c r="C167" t="str">
        <f>T("[e북]술탄 1권")</f>
        <v>[e북]술탄 1권</v>
      </c>
      <c r="D167" t="str">
        <f>T("1")</f>
        <v>1</v>
      </c>
      <c r="E167" t="str">
        <f>T("jooki")</f>
        <v>jooki</v>
      </c>
      <c r="H167" t="str">
        <f t="shared" ref="H167:H172" si="16">T("블러쉬")</f>
        <v>블러쉬</v>
      </c>
      <c r="I167" t="str">
        <f>T("[e북]술탄")</f>
        <v>[e북]술탄</v>
      </c>
      <c r="J167">
        <v>3500</v>
      </c>
      <c r="K167">
        <v>7000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7000</v>
      </c>
      <c r="AH167">
        <v>2</v>
      </c>
      <c r="AI167">
        <v>0</v>
      </c>
      <c r="AJ167">
        <v>0</v>
      </c>
      <c r="AK167">
        <v>7000</v>
      </c>
      <c r="AL167">
        <v>0</v>
      </c>
      <c r="AM167">
        <v>0</v>
      </c>
      <c r="AN167">
        <v>0</v>
      </c>
      <c r="AO167">
        <v>0</v>
      </c>
      <c r="AP167" s="2">
        <v>4900</v>
      </c>
      <c r="AR167" t="str">
        <f t="shared" si="15"/>
        <v>0000000000000</v>
      </c>
      <c r="AT167" t="str">
        <f>T("9791190132534")</f>
        <v>9791190132534</v>
      </c>
      <c r="AV167" t="str">
        <f>T("BL 소설 e북 &gt; 역사/시대물")</f>
        <v>BL 소설 e북 &gt; 역사/시대물</v>
      </c>
    </row>
    <row r="168" spans="1:49" x14ac:dyDescent="0.4">
      <c r="A168">
        <v>1525013016</v>
      </c>
      <c r="B168">
        <v>1525013018</v>
      </c>
      <c r="C168" t="str">
        <f>T("[e북]아스트로(ASTRO): 별 3권")</f>
        <v>[e북]아스트로(ASTRO): 별 3권</v>
      </c>
      <c r="D168" t="str">
        <f>T("3")</f>
        <v>3</v>
      </c>
      <c r="E168" t="str">
        <f>T("꿀레")</f>
        <v>꿀레</v>
      </c>
      <c r="H168" t="str">
        <f t="shared" si="16"/>
        <v>블러쉬</v>
      </c>
      <c r="I168" t="str">
        <f>T("[e북]아스트로(ASTRO): 별")</f>
        <v>[e북]아스트로(ASTRO): 별</v>
      </c>
      <c r="J168">
        <v>3400</v>
      </c>
      <c r="K168">
        <v>6800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6800</v>
      </c>
      <c r="AH168">
        <v>2</v>
      </c>
      <c r="AI168">
        <v>0</v>
      </c>
      <c r="AJ168">
        <v>0</v>
      </c>
      <c r="AK168">
        <v>6800</v>
      </c>
      <c r="AL168">
        <v>0</v>
      </c>
      <c r="AM168">
        <v>0</v>
      </c>
      <c r="AN168">
        <v>0</v>
      </c>
      <c r="AO168">
        <v>0</v>
      </c>
      <c r="AP168" s="2">
        <v>4760</v>
      </c>
      <c r="AR168" t="str">
        <f t="shared" si="15"/>
        <v>0000000000000</v>
      </c>
      <c r="AT168" t="str">
        <f>T("9791166482953")</f>
        <v>9791166482953</v>
      </c>
      <c r="AV168" t="str">
        <f>T("BL 소설 e북 &gt; 현대물")</f>
        <v>BL 소설 e북 &gt; 현대물</v>
      </c>
    </row>
    <row r="169" spans="1:49" x14ac:dyDescent="0.4">
      <c r="B169">
        <v>1525008032</v>
      </c>
      <c r="C169" t="str">
        <f>T("[e북]낯선 소꿉친구")</f>
        <v>[e북]낯선 소꿉친구</v>
      </c>
      <c r="E169" t="str">
        <f>T("사나림")</f>
        <v>사나림</v>
      </c>
      <c r="H169" t="str">
        <f t="shared" si="16"/>
        <v>블러쉬</v>
      </c>
      <c r="J169">
        <v>3400</v>
      </c>
      <c r="K169">
        <v>6800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6800</v>
      </c>
      <c r="AH169">
        <v>2</v>
      </c>
      <c r="AI169">
        <v>0</v>
      </c>
      <c r="AJ169">
        <v>0</v>
      </c>
      <c r="AK169">
        <v>6800</v>
      </c>
      <c r="AL169">
        <v>0</v>
      </c>
      <c r="AM169">
        <v>0</v>
      </c>
      <c r="AN169">
        <v>0</v>
      </c>
      <c r="AO169">
        <v>0</v>
      </c>
      <c r="AP169" s="2">
        <v>4760</v>
      </c>
      <c r="AR169" t="str">
        <f t="shared" si="15"/>
        <v>0000000000000</v>
      </c>
      <c r="AT169" t="str">
        <f>T("9791166481789")</f>
        <v>9791166481789</v>
      </c>
      <c r="AV169" t="str">
        <f>T("BL 소설 e북 &gt; 현대물")</f>
        <v>BL 소설 e북 &gt; 현대물</v>
      </c>
    </row>
    <row r="170" spans="1:49" x14ac:dyDescent="0.4">
      <c r="A170">
        <v>1525013016</v>
      </c>
      <c r="B170">
        <v>1525013019</v>
      </c>
      <c r="C170" t="str">
        <f>T("[e북]아스트로(ASTRO): 별 4권 (완결)")</f>
        <v>[e북]아스트로(ASTRO): 별 4권 (완결)</v>
      </c>
      <c r="D170" t="str">
        <f>T("4")</f>
        <v>4</v>
      </c>
      <c r="E170" t="str">
        <f>T("꿀레")</f>
        <v>꿀레</v>
      </c>
      <c r="H170" t="str">
        <f t="shared" si="16"/>
        <v>블러쉬</v>
      </c>
      <c r="I170" t="str">
        <f>T("[e북]아스트로(ASTRO): 별")</f>
        <v>[e북]아스트로(ASTRO): 별</v>
      </c>
      <c r="J170">
        <v>3400</v>
      </c>
      <c r="K170">
        <v>6800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6800</v>
      </c>
      <c r="AH170">
        <v>2</v>
      </c>
      <c r="AI170">
        <v>0</v>
      </c>
      <c r="AJ170">
        <v>0</v>
      </c>
      <c r="AK170">
        <v>6800</v>
      </c>
      <c r="AL170">
        <v>0</v>
      </c>
      <c r="AM170">
        <v>0</v>
      </c>
      <c r="AN170">
        <v>0</v>
      </c>
      <c r="AO170">
        <v>0</v>
      </c>
      <c r="AP170" s="2">
        <v>4760</v>
      </c>
      <c r="AR170" t="str">
        <f t="shared" si="15"/>
        <v>0000000000000</v>
      </c>
      <c r="AT170" t="str">
        <f>T("9791166482960")</f>
        <v>9791166482960</v>
      </c>
      <c r="AV170" t="str">
        <f>T("BL 소설 e북 &gt; 현대물")</f>
        <v>BL 소설 e북 &gt; 현대물</v>
      </c>
    </row>
    <row r="171" spans="1:49" x14ac:dyDescent="0.4">
      <c r="A171">
        <v>1525013016</v>
      </c>
      <c r="B171">
        <v>1525013016</v>
      </c>
      <c r="C171" t="str">
        <f>T("[e북]아스트로(ASTRO): 별 1권")</f>
        <v>[e북]아스트로(ASTRO): 별 1권</v>
      </c>
      <c r="D171" t="str">
        <f>T("1")</f>
        <v>1</v>
      </c>
      <c r="E171" t="str">
        <f>T("꿀레")</f>
        <v>꿀레</v>
      </c>
      <c r="H171" t="str">
        <f t="shared" si="16"/>
        <v>블러쉬</v>
      </c>
      <c r="I171" t="str">
        <f>T("[e북]아스트로(ASTRO): 별")</f>
        <v>[e북]아스트로(ASTRO): 별</v>
      </c>
      <c r="J171">
        <v>3400</v>
      </c>
      <c r="K171">
        <v>6800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6800</v>
      </c>
      <c r="AH171">
        <v>2</v>
      </c>
      <c r="AI171">
        <v>0</v>
      </c>
      <c r="AJ171">
        <v>0</v>
      </c>
      <c r="AK171">
        <v>6800</v>
      </c>
      <c r="AL171">
        <v>0</v>
      </c>
      <c r="AM171">
        <v>0</v>
      </c>
      <c r="AN171">
        <v>0</v>
      </c>
      <c r="AO171">
        <v>0</v>
      </c>
      <c r="AP171" s="2">
        <v>4760</v>
      </c>
      <c r="AR171" t="str">
        <f t="shared" si="15"/>
        <v>0000000000000</v>
      </c>
      <c r="AT171" t="str">
        <f>T("9791166482939")</f>
        <v>9791166482939</v>
      </c>
      <c r="AV171" t="str">
        <f>T("BL 소설 e북 &gt; 현대물")</f>
        <v>BL 소설 e북 &gt; 현대물</v>
      </c>
    </row>
    <row r="172" spans="1:49" x14ac:dyDescent="0.4">
      <c r="A172">
        <v>1525013016</v>
      </c>
      <c r="B172">
        <v>1525013017</v>
      </c>
      <c r="C172" t="str">
        <f>T("[e북]아스트로(ASTRO): 별 2권")</f>
        <v>[e북]아스트로(ASTRO): 별 2권</v>
      </c>
      <c r="D172" t="str">
        <f>T("2")</f>
        <v>2</v>
      </c>
      <c r="E172" t="str">
        <f>T("꿀레")</f>
        <v>꿀레</v>
      </c>
      <c r="H172" t="str">
        <f t="shared" si="16"/>
        <v>블러쉬</v>
      </c>
      <c r="I172" t="str">
        <f>T("[e북]아스트로(ASTRO): 별")</f>
        <v>[e북]아스트로(ASTRO): 별</v>
      </c>
      <c r="J172">
        <v>3400</v>
      </c>
      <c r="K172">
        <v>6800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6800</v>
      </c>
      <c r="AH172">
        <v>2</v>
      </c>
      <c r="AI172">
        <v>0</v>
      </c>
      <c r="AJ172">
        <v>0</v>
      </c>
      <c r="AK172">
        <v>6800</v>
      </c>
      <c r="AL172">
        <v>0</v>
      </c>
      <c r="AM172">
        <v>0</v>
      </c>
      <c r="AN172">
        <v>0</v>
      </c>
      <c r="AO172">
        <v>0</v>
      </c>
      <c r="AP172" s="2">
        <v>4760</v>
      </c>
      <c r="AR172" t="str">
        <f t="shared" si="15"/>
        <v>0000000000000</v>
      </c>
      <c r="AT172" t="str">
        <f>T("9791166482946")</f>
        <v>9791166482946</v>
      </c>
      <c r="AV172" t="str">
        <f>T("BL 소설 e북 &gt; 현대물")</f>
        <v>BL 소설 e북 &gt; 현대물</v>
      </c>
    </row>
    <row r="173" spans="1:49" x14ac:dyDescent="0.4">
      <c r="A173">
        <v>1525000074</v>
      </c>
      <c r="B173">
        <v>1525000080</v>
      </c>
      <c r="C173" t="str">
        <f>T("[e북]소드 엠페러 6권")</f>
        <v>[e북]소드 엠페러 6권</v>
      </c>
      <c r="D173" t="str">
        <f>T("6")</f>
        <v>6</v>
      </c>
      <c r="E173" t="str">
        <f>T("김정률")</f>
        <v>김정률</v>
      </c>
      <c r="H173" t="str">
        <f>T("스토리위즈")</f>
        <v>스토리위즈</v>
      </c>
      <c r="I173" t="str">
        <f>T("[e북]소드 엠페러")</f>
        <v>[e북]소드 엠페러</v>
      </c>
      <c r="J173">
        <v>3200</v>
      </c>
      <c r="K173">
        <v>6400</v>
      </c>
      <c r="L173">
        <v>2</v>
      </c>
      <c r="M173">
        <v>0</v>
      </c>
      <c r="N173">
        <v>8100</v>
      </c>
      <c r="O173">
        <v>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1350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15850</v>
      </c>
      <c r="AH173">
        <v>14</v>
      </c>
      <c r="AI173">
        <v>0</v>
      </c>
      <c r="AJ173">
        <v>0</v>
      </c>
      <c r="AK173">
        <v>11802</v>
      </c>
      <c r="AL173">
        <v>0</v>
      </c>
      <c r="AM173">
        <v>4048</v>
      </c>
      <c r="AN173">
        <v>0</v>
      </c>
      <c r="AO173">
        <v>0</v>
      </c>
      <c r="AP173" s="2">
        <v>11095</v>
      </c>
      <c r="AV173" t="str">
        <f>T("판타지 e북 &gt; 퓨전 판타지")</f>
        <v>판타지 e북 &gt; 퓨전 판타지</v>
      </c>
    </row>
    <row r="174" spans="1:49" x14ac:dyDescent="0.4">
      <c r="A174">
        <v>1525000146</v>
      </c>
      <c r="B174">
        <v>1525000152</v>
      </c>
      <c r="C174" t="str">
        <f>T("[e북]트루베니아 연대기 7권")</f>
        <v>[e북]트루베니아 연대기 7권</v>
      </c>
      <c r="D174" t="str">
        <f>T("7")</f>
        <v>7</v>
      </c>
      <c r="E174" t="str">
        <f>T("김정률")</f>
        <v>김정률</v>
      </c>
      <c r="H174" t="str">
        <f>T("스토리위즈")</f>
        <v>스토리위즈</v>
      </c>
      <c r="I174" t="str">
        <f>T("[e북]트루베니아 연대기")</f>
        <v>[e북]트루베니아 연대기</v>
      </c>
      <c r="J174">
        <v>3200</v>
      </c>
      <c r="K174">
        <v>6400</v>
      </c>
      <c r="L174">
        <v>2</v>
      </c>
      <c r="M174">
        <v>0</v>
      </c>
      <c r="N174">
        <v>6300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12700</v>
      </c>
      <c r="AH174">
        <v>9</v>
      </c>
      <c r="AI174">
        <v>0</v>
      </c>
      <c r="AJ174">
        <v>0</v>
      </c>
      <c r="AK174">
        <v>8600</v>
      </c>
      <c r="AL174">
        <v>0</v>
      </c>
      <c r="AM174">
        <v>4100</v>
      </c>
      <c r="AN174">
        <v>0</v>
      </c>
      <c r="AO174">
        <v>0</v>
      </c>
      <c r="AP174" s="2">
        <v>8890</v>
      </c>
      <c r="AV174" t="str">
        <f>T("판타지 e북 &gt; 정통 판타지")</f>
        <v>판타지 e북 &gt; 정통 판타지</v>
      </c>
    </row>
    <row r="175" spans="1:49" x14ac:dyDescent="0.4">
      <c r="A175">
        <v>1525012774</v>
      </c>
      <c r="B175">
        <v>1525012777</v>
      </c>
      <c r="C175" t="str">
        <f>T("[e북]주먹 구십구 4권")</f>
        <v>[e북]주먹 구십구 4권</v>
      </c>
      <c r="D175" t="str">
        <f>T("4")</f>
        <v>4</v>
      </c>
      <c r="E175" t="str">
        <f>T("마연")</f>
        <v>마연</v>
      </c>
      <c r="H175" t="str">
        <f>T("블러쉬")</f>
        <v>블러쉬</v>
      </c>
      <c r="I175" t="str">
        <f>T("[e북]주먹 구십구")</f>
        <v>[e북]주먹 구십구</v>
      </c>
      <c r="J175">
        <v>3200</v>
      </c>
      <c r="K175">
        <v>6400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6400</v>
      </c>
      <c r="AH175">
        <v>2</v>
      </c>
      <c r="AI175">
        <v>0</v>
      </c>
      <c r="AJ175">
        <v>0</v>
      </c>
      <c r="AK175">
        <v>6400</v>
      </c>
      <c r="AL175">
        <v>0</v>
      </c>
      <c r="AM175">
        <v>0</v>
      </c>
      <c r="AN175">
        <v>0</v>
      </c>
      <c r="AO175">
        <v>0</v>
      </c>
      <c r="AP175" s="2">
        <v>4480</v>
      </c>
      <c r="AR175" t="str">
        <f>T("0000000000000")</f>
        <v>0000000000000</v>
      </c>
      <c r="AT175" t="str">
        <f>T("9791166482670")</f>
        <v>9791166482670</v>
      </c>
      <c r="AV175" t="str">
        <f>T("BL 소설 e북 &gt; 현대물")</f>
        <v>BL 소설 e북 &gt; 현대물</v>
      </c>
    </row>
    <row r="176" spans="1:49" x14ac:dyDescent="0.4">
      <c r="A176">
        <v>1525000022</v>
      </c>
      <c r="B176">
        <v>1525000044</v>
      </c>
      <c r="C176" t="str">
        <f>T("[e북]마계대공 연대기 22권")</f>
        <v>[e북]마계대공 연대기 22권</v>
      </c>
      <c r="D176" t="str">
        <f>T("22")</f>
        <v>22</v>
      </c>
      <c r="E176" t="str">
        <f>T("김광수")</f>
        <v>김광수</v>
      </c>
      <c r="H176" t="str">
        <f>T("스토리위즈")</f>
        <v>스토리위즈</v>
      </c>
      <c r="I176" t="str">
        <f>T("[e북]마계대공 연대기")</f>
        <v>[e북]마계대공 연대기</v>
      </c>
      <c r="J176">
        <v>3200</v>
      </c>
      <c r="K176">
        <v>6400</v>
      </c>
      <c r="L176">
        <v>2</v>
      </c>
      <c r="M176">
        <v>0</v>
      </c>
      <c r="N176">
        <v>2700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9100</v>
      </c>
      <c r="AH176">
        <v>5</v>
      </c>
      <c r="AI176">
        <v>0</v>
      </c>
      <c r="AJ176">
        <v>0</v>
      </c>
      <c r="AK176">
        <v>5900</v>
      </c>
      <c r="AL176">
        <v>0</v>
      </c>
      <c r="AM176">
        <v>3200</v>
      </c>
      <c r="AN176">
        <v>0</v>
      </c>
      <c r="AO176">
        <v>0</v>
      </c>
      <c r="AP176" s="2">
        <v>6370</v>
      </c>
      <c r="AV176" t="str">
        <f>T("판타지 e북 &gt; 퓨전 판타지")</f>
        <v>판타지 e북 &gt; 퓨전 판타지</v>
      </c>
    </row>
    <row r="177" spans="1:48" x14ac:dyDescent="0.4">
      <c r="A177">
        <v>1525000022</v>
      </c>
      <c r="B177">
        <v>1525000037</v>
      </c>
      <c r="C177" t="str">
        <f>T("[e북]마계대공 연대기 15권")</f>
        <v>[e북]마계대공 연대기 15권</v>
      </c>
      <c r="D177" t="str">
        <f>T("15")</f>
        <v>15</v>
      </c>
      <c r="E177" t="str">
        <f>T("김광수")</f>
        <v>김광수</v>
      </c>
      <c r="H177" t="str">
        <f>T("스토리위즈")</f>
        <v>스토리위즈</v>
      </c>
      <c r="I177" t="str">
        <f>T("[e북]마계대공 연대기")</f>
        <v>[e북]마계대공 연대기</v>
      </c>
      <c r="J177">
        <v>3200</v>
      </c>
      <c r="K177">
        <v>6400</v>
      </c>
      <c r="L177">
        <v>2</v>
      </c>
      <c r="M177">
        <v>0</v>
      </c>
      <c r="N177">
        <v>2700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9100</v>
      </c>
      <c r="AH177">
        <v>5</v>
      </c>
      <c r="AI177">
        <v>0</v>
      </c>
      <c r="AJ177">
        <v>0</v>
      </c>
      <c r="AK177">
        <v>5900</v>
      </c>
      <c r="AL177">
        <v>0</v>
      </c>
      <c r="AM177">
        <v>3200</v>
      </c>
      <c r="AN177">
        <v>0</v>
      </c>
      <c r="AO177">
        <v>0</v>
      </c>
      <c r="AP177" s="2">
        <v>6370</v>
      </c>
      <c r="AV177" t="str">
        <f>T("판타지 e북 &gt; 퓨전 판타지")</f>
        <v>판타지 e북 &gt; 퓨전 판타지</v>
      </c>
    </row>
    <row r="178" spans="1:48" x14ac:dyDescent="0.4">
      <c r="A178">
        <v>1525000135</v>
      </c>
      <c r="B178">
        <v>1525000145</v>
      </c>
      <c r="C178" t="str">
        <f>T("[e북]하프 블러드 11권 (완결)")</f>
        <v>[e북]하프 블러드 11권 (완결)</v>
      </c>
      <c r="D178" t="str">
        <f>T("11")</f>
        <v>11</v>
      </c>
      <c r="E178" t="str">
        <f>T("김정률")</f>
        <v>김정률</v>
      </c>
      <c r="H178" t="str">
        <f>T("스토리위즈")</f>
        <v>스토리위즈</v>
      </c>
      <c r="I178" t="str">
        <f>T("[e북]하프 블러드")</f>
        <v>[e북]하프 블러드</v>
      </c>
      <c r="J178">
        <v>3200</v>
      </c>
      <c r="K178">
        <v>6400</v>
      </c>
      <c r="L178">
        <v>2</v>
      </c>
      <c r="M178">
        <v>0</v>
      </c>
      <c r="N178">
        <v>3600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10000</v>
      </c>
      <c r="AH178">
        <v>6</v>
      </c>
      <c r="AI178">
        <v>0</v>
      </c>
      <c r="AJ178">
        <v>0</v>
      </c>
      <c r="AK178">
        <v>6800</v>
      </c>
      <c r="AL178">
        <v>0</v>
      </c>
      <c r="AM178">
        <v>3200</v>
      </c>
      <c r="AN178">
        <v>0</v>
      </c>
      <c r="AO178">
        <v>0</v>
      </c>
      <c r="AP178" s="2">
        <v>7000</v>
      </c>
      <c r="AV178" t="str">
        <f>T("판타지 e북 &gt; 정통 판타지")</f>
        <v>판타지 e북 &gt; 정통 판타지</v>
      </c>
    </row>
    <row r="179" spans="1:48" x14ac:dyDescent="0.4">
      <c r="A179">
        <v>1525011970</v>
      </c>
      <c r="B179">
        <v>1525011952</v>
      </c>
      <c r="C179" t="str">
        <f>T("[e북]강호, 미치다 19권")</f>
        <v>[e북]강호, 미치다 19권</v>
      </c>
      <c r="D179" t="str">
        <f>T("19")</f>
        <v>19</v>
      </c>
      <c r="E179" t="str">
        <f>T("최재봉")</f>
        <v>최재봉</v>
      </c>
      <c r="H179" t="str">
        <f>T("에필로그")</f>
        <v>에필로그</v>
      </c>
      <c r="I179" t="str">
        <f>T("[e북]강호, 미치다")</f>
        <v>[e북]강호, 미치다</v>
      </c>
      <c r="J179">
        <v>3200</v>
      </c>
      <c r="K179">
        <v>6400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6400</v>
      </c>
      <c r="AH179">
        <v>2</v>
      </c>
      <c r="AI179">
        <v>0</v>
      </c>
      <c r="AJ179">
        <v>0</v>
      </c>
      <c r="AK179">
        <v>3200</v>
      </c>
      <c r="AL179">
        <v>0</v>
      </c>
      <c r="AM179">
        <v>3200</v>
      </c>
      <c r="AN179">
        <v>0</v>
      </c>
      <c r="AO179">
        <v>0</v>
      </c>
      <c r="AP179" s="2">
        <v>4480</v>
      </c>
      <c r="AT179" t="str">
        <f>T("9791164482719")</f>
        <v>9791164482719</v>
      </c>
      <c r="AV179" t="str">
        <f>T("판타지 e북 &gt; 신무협")</f>
        <v>판타지 e북 &gt; 신무협</v>
      </c>
    </row>
    <row r="180" spans="1:48" x14ac:dyDescent="0.4">
      <c r="A180">
        <v>1525000022</v>
      </c>
      <c r="B180">
        <v>1525000029</v>
      </c>
      <c r="C180" t="str">
        <f>T("[e북]마계대공 연대기 8권")</f>
        <v>[e북]마계대공 연대기 8권</v>
      </c>
      <c r="D180" t="str">
        <f>T("8")</f>
        <v>8</v>
      </c>
      <c r="E180" t="str">
        <f>T("김광수")</f>
        <v>김광수</v>
      </c>
      <c r="H180" t="str">
        <f t="shared" ref="H180:H185" si="17">T("스토리위즈")</f>
        <v>스토리위즈</v>
      </c>
      <c r="I180" t="str">
        <f>T("[e북]마계대공 연대기")</f>
        <v>[e북]마계대공 연대기</v>
      </c>
      <c r="J180">
        <v>3200</v>
      </c>
      <c r="K180">
        <v>6400</v>
      </c>
      <c r="L180">
        <v>2</v>
      </c>
      <c r="M180">
        <v>0</v>
      </c>
      <c r="N180">
        <v>2700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9100</v>
      </c>
      <c r="AH180">
        <v>5</v>
      </c>
      <c r="AI180">
        <v>0</v>
      </c>
      <c r="AJ180">
        <v>0</v>
      </c>
      <c r="AK180">
        <v>5900</v>
      </c>
      <c r="AL180">
        <v>0</v>
      </c>
      <c r="AM180">
        <v>3200</v>
      </c>
      <c r="AN180">
        <v>0</v>
      </c>
      <c r="AO180">
        <v>0</v>
      </c>
      <c r="AP180" s="2">
        <v>6370</v>
      </c>
      <c r="AV180" t="str">
        <f t="shared" ref="AV180:AV185" si="18">T("판타지 e북 &gt; 퓨전 판타지")</f>
        <v>판타지 e북 &gt; 퓨전 판타지</v>
      </c>
    </row>
    <row r="181" spans="1:48" x14ac:dyDescent="0.4">
      <c r="A181">
        <v>1525000074</v>
      </c>
      <c r="B181">
        <v>1525000091</v>
      </c>
      <c r="C181" t="str">
        <f>T("[e북]소드 엠페러 17권 (완결)")</f>
        <v>[e북]소드 엠페러 17권 (완결)</v>
      </c>
      <c r="D181" t="str">
        <f>T("17")</f>
        <v>17</v>
      </c>
      <c r="E181" t="str">
        <f>T("김정률")</f>
        <v>김정률</v>
      </c>
      <c r="H181" t="str">
        <f t="shared" si="17"/>
        <v>스토리위즈</v>
      </c>
      <c r="I181" t="str">
        <f>T("[e북]소드 엠페러")</f>
        <v>[e북]소드 엠페러</v>
      </c>
      <c r="J181">
        <v>3200</v>
      </c>
      <c r="K181">
        <v>6400</v>
      </c>
      <c r="L181">
        <v>2</v>
      </c>
      <c r="M181">
        <v>0</v>
      </c>
      <c r="N181">
        <v>5400</v>
      </c>
      <c r="O181">
        <v>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1350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13150</v>
      </c>
      <c r="AH181">
        <v>11</v>
      </c>
      <c r="AI181">
        <v>0</v>
      </c>
      <c r="AJ181">
        <v>0</v>
      </c>
      <c r="AK181">
        <v>10102</v>
      </c>
      <c r="AL181">
        <v>0</v>
      </c>
      <c r="AM181">
        <v>3048</v>
      </c>
      <c r="AN181">
        <v>0</v>
      </c>
      <c r="AO181">
        <v>0</v>
      </c>
      <c r="AP181" s="2">
        <v>9205</v>
      </c>
      <c r="AV181" t="str">
        <f t="shared" si="18"/>
        <v>판타지 e북 &gt; 퓨전 판타지</v>
      </c>
    </row>
    <row r="182" spans="1:48" x14ac:dyDescent="0.4">
      <c r="A182">
        <v>1525000022</v>
      </c>
      <c r="B182">
        <v>1525000048</v>
      </c>
      <c r="C182" t="str">
        <f>T("[e북]마계대공 연대기 26권")</f>
        <v>[e북]마계대공 연대기 26권</v>
      </c>
      <c r="D182" t="str">
        <f>T("26")</f>
        <v>26</v>
      </c>
      <c r="E182" t="str">
        <f>T("김광수")</f>
        <v>김광수</v>
      </c>
      <c r="H182" t="str">
        <f t="shared" si="17"/>
        <v>스토리위즈</v>
      </c>
      <c r="I182" t="str">
        <f>T("[e북]마계대공 연대기")</f>
        <v>[e북]마계대공 연대기</v>
      </c>
      <c r="J182">
        <v>3200</v>
      </c>
      <c r="K182">
        <v>6400</v>
      </c>
      <c r="L182">
        <v>2</v>
      </c>
      <c r="M182">
        <v>0</v>
      </c>
      <c r="N182">
        <v>900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7300</v>
      </c>
      <c r="AH182">
        <v>3</v>
      </c>
      <c r="AI182">
        <v>0</v>
      </c>
      <c r="AJ182">
        <v>0</v>
      </c>
      <c r="AK182">
        <v>4100</v>
      </c>
      <c r="AL182">
        <v>0</v>
      </c>
      <c r="AM182">
        <v>3200</v>
      </c>
      <c r="AN182">
        <v>0</v>
      </c>
      <c r="AO182">
        <v>0</v>
      </c>
      <c r="AP182" s="2">
        <v>5110</v>
      </c>
      <c r="AV182" t="str">
        <f t="shared" si="18"/>
        <v>판타지 e북 &gt; 퓨전 판타지</v>
      </c>
    </row>
    <row r="183" spans="1:48" x14ac:dyDescent="0.4">
      <c r="A183">
        <v>1525000074</v>
      </c>
      <c r="B183">
        <v>1525000084</v>
      </c>
      <c r="C183" t="str">
        <f>T("[e북]소드 엠페러 10권")</f>
        <v>[e북]소드 엠페러 10권</v>
      </c>
      <c r="D183" t="str">
        <f>T("10")</f>
        <v>10</v>
      </c>
      <c r="E183" t="str">
        <f>T("김정률")</f>
        <v>김정률</v>
      </c>
      <c r="H183" t="str">
        <f t="shared" si="17"/>
        <v>스토리위즈</v>
      </c>
      <c r="I183" t="str">
        <f>T("[e북]소드 엠페러")</f>
        <v>[e북]소드 엠페러</v>
      </c>
      <c r="J183">
        <v>3200</v>
      </c>
      <c r="K183">
        <v>6400</v>
      </c>
      <c r="L183">
        <v>2</v>
      </c>
      <c r="M183">
        <v>0</v>
      </c>
      <c r="N183">
        <v>9000</v>
      </c>
      <c r="O183">
        <v>10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1350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16750</v>
      </c>
      <c r="AH183">
        <v>15</v>
      </c>
      <c r="AI183">
        <v>0</v>
      </c>
      <c r="AJ183">
        <v>0</v>
      </c>
      <c r="AK183">
        <v>12702</v>
      </c>
      <c r="AL183">
        <v>0</v>
      </c>
      <c r="AM183">
        <v>4048</v>
      </c>
      <c r="AN183">
        <v>0</v>
      </c>
      <c r="AO183">
        <v>0</v>
      </c>
      <c r="AP183" s="2">
        <v>11725</v>
      </c>
      <c r="AV183" t="str">
        <f t="shared" si="18"/>
        <v>판타지 e북 &gt; 퓨전 판타지</v>
      </c>
    </row>
    <row r="184" spans="1:48" x14ac:dyDescent="0.4">
      <c r="A184">
        <v>1525000022</v>
      </c>
      <c r="B184">
        <v>1525000041</v>
      </c>
      <c r="C184" t="str">
        <f>T("[e북]마계대공 연대기 19권")</f>
        <v>[e북]마계대공 연대기 19권</v>
      </c>
      <c r="D184" t="str">
        <f>T("19")</f>
        <v>19</v>
      </c>
      <c r="E184" t="str">
        <f>T("김광수")</f>
        <v>김광수</v>
      </c>
      <c r="H184" t="str">
        <f t="shared" si="17"/>
        <v>스토리위즈</v>
      </c>
      <c r="I184" t="str">
        <f>T("[e북]마계대공 연대기")</f>
        <v>[e북]마계대공 연대기</v>
      </c>
      <c r="J184">
        <v>3200</v>
      </c>
      <c r="K184">
        <v>6400</v>
      </c>
      <c r="L184">
        <v>2</v>
      </c>
      <c r="M184">
        <v>0</v>
      </c>
      <c r="N184">
        <v>2700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9100</v>
      </c>
      <c r="AH184">
        <v>5</v>
      </c>
      <c r="AI184">
        <v>0</v>
      </c>
      <c r="AJ184">
        <v>0</v>
      </c>
      <c r="AK184">
        <v>5900</v>
      </c>
      <c r="AL184">
        <v>0</v>
      </c>
      <c r="AM184">
        <v>3200</v>
      </c>
      <c r="AN184">
        <v>0</v>
      </c>
      <c r="AO184">
        <v>0</v>
      </c>
      <c r="AP184" s="2">
        <v>6370</v>
      </c>
      <c r="AV184" t="str">
        <f t="shared" si="18"/>
        <v>판타지 e북 &gt; 퓨전 판타지</v>
      </c>
    </row>
    <row r="185" spans="1:48" x14ac:dyDescent="0.4">
      <c r="A185">
        <v>1525000074</v>
      </c>
      <c r="B185">
        <v>1525000076</v>
      </c>
      <c r="C185" t="str">
        <f>T("[e북]소드 엠페러 3권")</f>
        <v>[e북]소드 엠페러 3권</v>
      </c>
      <c r="D185" t="str">
        <f>T("3")</f>
        <v>3</v>
      </c>
      <c r="E185" t="str">
        <f>T("김정률")</f>
        <v>김정률</v>
      </c>
      <c r="H185" t="str">
        <f t="shared" si="17"/>
        <v>스토리위즈</v>
      </c>
      <c r="I185" t="str">
        <f>T("[e북]소드 엠페러")</f>
        <v>[e북]소드 엠페러</v>
      </c>
      <c r="J185">
        <v>3200</v>
      </c>
      <c r="K185">
        <v>6400</v>
      </c>
      <c r="L185">
        <v>2</v>
      </c>
      <c r="M185">
        <v>0</v>
      </c>
      <c r="N185">
        <v>10800</v>
      </c>
      <c r="O185">
        <v>12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1350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18550</v>
      </c>
      <c r="AH185">
        <v>17</v>
      </c>
      <c r="AI185">
        <v>0</v>
      </c>
      <c r="AJ185">
        <v>0</v>
      </c>
      <c r="AK185">
        <v>13401</v>
      </c>
      <c r="AL185">
        <v>0</v>
      </c>
      <c r="AM185">
        <v>5149</v>
      </c>
      <c r="AN185">
        <v>0</v>
      </c>
      <c r="AO185">
        <v>0</v>
      </c>
      <c r="AP185" s="2">
        <v>12985</v>
      </c>
      <c r="AV185" t="str">
        <f t="shared" si="18"/>
        <v>판타지 e북 &gt; 퓨전 판타지</v>
      </c>
    </row>
    <row r="186" spans="1:48" x14ac:dyDescent="0.4">
      <c r="A186">
        <v>1525008048</v>
      </c>
      <c r="B186">
        <v>1525008049</v>
      </c>
      <c r="C186" t="str">
        <f>T("[e북]달보드레 2권 (완결)")</f>
        <v>[e북]달보드레 2권 (완결)</v>
      </c>
      <c r="D186" t="str">
        <f>T("2")</f>
        <v>2</v>
      </c>
      <c r="E186" t="str">
        <f>T("시아")</f>
        <v>시아</v>
      </c>
      <c r="H186" t="str">
        <f>T("비엘스토리")</f>
        <v>비엘스토리</v>
      </c>
      <c r="I186" t="str">
        <f>T("[e북]달보드레")</f>
        <v>[e북]달보드레</v>
      </c>
      <c r="J186">
        <v>3200</v>
      </c>
      <c r="K186">
        <v>6400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6400</v>
      </c>
      <c r="AH186">
        <v>2</v>
      </c>
      <c r="AI186">
        <v>0</v>
      </c>
      <c r="AJ186">
        <v>0</v>
      </c>
      <c r="AK186">
        <v>6400</v>
      </c>
      <c r="AL186">
        <v>0</v>
      </c>
      <c r="AM186">
        <v>0</v>
      </c>
      <c r="AN186">
        <v>0</v>
      </c>
      <c r="AO186">
        <v>0</v>
      </c>
      <c r="AP186" s="2">
        <v>4480</v>
      </c>
      <c r="AR186" t="str">
        <f>T("0000000000000")</f>
        <v>0000000000000</v>
      </c>
      <c r="AT186" t="str">
        <f>T("9791164894840")</f>
        <v>9791164894840</v>
      </c>
      <c r="AV186" t="str">
        <f>T("BL 소설 e북 &gt; 현대물")</f>
        <v>BL 소설 e북 &gt; 현대물</v>
      </c>
    </row>
    <row r="187" spans="1:48" x14ac:dyDescent="0.4">
      <c r="A187">
        <v>1525000022</v>
      </c>
      <c r="B187">
        <v>1525000034</v>
      </c>
      <c r="C187" t="str">
        <f>T("[e북]마계대공 연대기 12권")</f>
        <v>[e북]마계대공 연대기 12권</v>
      </c>
      <c r="D187" t="str">
        <f>T("12")</f>
        <v>12</v>
      </c>
      <c r="E187" t="str">
        <f>T("김광수")</f>
        <v>김광수</v>
      </c>
      <c r="H187" t="str">
        <f t="shared" ref="H187:H201" si="19">T("스토리위즈")</f>
        <v>스토리위즈</v>
      </c>
      <c r="I187" t="str">
        <f>T("[e북]마계대공 연대기")</f>
        <v>[e북]마계대공 연대기</v>
      </c>
      <c r="J187">
        <v>3200</v>
      </c>
      <c r="K187">
        <v>6400</v>
      </c>
      <c r="L187">
        <v>2</v>
      </c>
      <c r="M187">
        <v>0</v>
      </c>
      <c r="N187">
        <v>2700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9100</v>
      </c>
      <c r="AH187">
        <v>5</v>
      </c>
      <c r="AI187">
        <v>0</v>
      </c>
      <c r="AJ187">
        <v>0</v>
      </c>
      <c r="AK187">
        <v>5900</v>
      </c>
      <c r="AL187">
        <v>0</v>
      </c>
      <c r="AM187">
        <v>3200</v>
      </c>
      <c r="AN187">
        <v>0</v>
      </c>
      <c r="AO187">
        <v>0</v>
      </c>
      <c r="AP187" s="2">
        <v>6370</v>
      </c>
      <c r="AV187" t="str">
        <f>T("판타지 e북 &gt; 퓨전 판타지")</f>
        <v>판타지 e북 &gt; 퓨전 판타지</v>
      </c>
    </row>
    <row r="188" spans="1:48" x14ac:dyDescent="0.4">
      <c r="A188">
        <v>1525005640</v>
      </c>
      <c r="B188">
        <v>1525005649</v>
      </c>
      <c r="C188" t="str">
        <f>T("[e북]회귀의 전설 1부 10권")</f>
        <v>[e북]회귀의 전설 1부 10권</v>
      </c>
      <c r="D188" t="str">
        <f>T("10")</f>
        <v>10</v>
      </c>
      <c r="E188" t="str">
        <f>T("김광수")</f>
        <v>김광수</v>
      </c>
      <c r="H188" t="str">
        <f t="shared" si="19"/>
        <v>스토리위즈</v>
      </c>
      <c r="I188" t="str">
        <f>T("[e북]회귀의 전설")</f>
        <v>[e북]회귀의 전설</v>
      </c>
      <c r="J188">
        <v>3200</v>
      </c>
      <c r="K188">
        <v>6400</v>
      </c>
      <c r="L188">
        <v>2</v>
      </c>
      <c r="M188">
        <v>0</v>
      </c>
      <c r="N188">
        <v>900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2250</v>
      </c>
      <c r="V188">
        <v>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9550</v>
      </c>
      <c r="AH188">
        <v>8</v>
      </c>
      <c r="AI188">
        <v>0</v>
      </c>
      <c r="AJ188">
        <v>0</v>
      </c>
      <c r="AK188">
        <v>9550</v>
      </c>
      <c r="AL188">
        <v>0</v>
      </c>
      <c r="AM188">
        <v>0</v>
      </c>
      <c r="AN188">
        <v>0</v>
      </c>
      <c r="AO188">
        <v>0</v>
      </c>
      <c r="AP188" s="2">
        <v>6685</v>
      </c>
      <c r="AT188" t="str">
        <f>T("9791190937856")</f>
        <v>9791190937856</v>
      </c>
      <c r="AV188" t="str">
        <f>T("판타지 e북 &gt; 현대 판타지")</f>
        <v>판타지 e북 &gt; 현대 판타지</v>
      </c>
    </row>
    <row r="189" spans="1:48" x14ac:dyDescent="0.4">
      <c r="A189">
        <v>1525000135</v>
      </c>
      <c r="B189">
        <v>1525000142</v>
      </c>
      <c r="C189" t="str">
        <f>T("[e북]하프 블러드 8권")</f>
        <v>[e북]하프 블러드 8권</v>
      </c>
      <c r="D189" t="str">
        <f>T("8")</f>
        <v>8</v>
      </c>
      <c r="E189" t="str">
        <f>T("김정률")</f>
        <v>김정률</v>
      </c>
      <c r="H189" t="str">
        <f t="shared" si="19"/>
        <v>스토리위즈</v>
      </c>
      <c r="I189" t="str">
        <f>T("[e북]하프 블러드")</f>
        <v>[e북]하프 블러드</v>
      </c>
      <c r="J189">
        <v>3200</v>
      </c>
      <c r="K189">
        <v>6400</v>
      </c>
      <c r="L189">
        <v>2</v>
      </c>
      <c r="M189">
        <v>0</v>
      </c>
      <c r="N189">
        <v>3600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10000</v>
      </c>
      <c r="AH189">
        <v>6</v>
      </c>
      <c r="AI189">
        <v>0</v>
      </c>
      <c r="AJ189">
        <v>0</v>
      </c>
      <c r="AK189">
        <v>6800</v>
      </c>
      <c r="AL189">
        <v>0</v>
      </c>
      <c r="AM189">
        <v>3200</v>
      </c>
      <c r="AN189">
        <v>0</v>
      </c>
      <c r="AO189">
        <v>0</v>
      </c>
      <c r="AP189" s="2">
        <v>7000</v>
      </c>
      <c r="AV189" t="str">
        <f>T("판타지 e북 &gt; 정통 판타지")</f>
        <v>판타지 e북 &gt; 정통 판타지</v>
      </c>
    </row>
    <row r="190" spans="1:48" x14ac:dyDescent="0.4">
      <c r="A190">
        <v>1525000022</v>
      </c>
      <c r="B190">
        <v>1525000026</v>
      </c>
      <c r="C190" t="str">
        <f>T("[e북]마계대공 연대기 5권")</f>
        <v>[e북]마계대공 연대기 5권</v>
      </c>
      <c r="D190" t="str">
        <f>T("5")</f>
        <v>5</v>
      </c>
      <c r="E190" t="str">
        <f>T("김광수")</f>
        <v>김광수</v>
      </c>
      <c r="H190" t="str">
        <f t="shared" si="19"/>
        <v>스토리위즈</v>
      </c>
      <c r="I190" t="str">
        <f>T("[e북]마계대공 연대기")</f>
        <v>[e북]마계대공 연대기</v>
      </c>
      <c r="J190">
        <v>3200</v>
      </c>
      <c r="K190">
        <v>6400</v>
      </c>
      <c r="L190">
        <v>2</v>
      </c>
      <c r="M190">
        <v>0</v>
      </c>
      <c r="N190">
        <v>2700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9100</v>
      </c>
      <c r="AH190">
        <v>5</v>
      </c>
      <c r="AI190">
        <v>0</v>
      </c>
      <c r="AJ190">
        <v>0</v>
      </c>
      <c r="AK190">
        <v>5900</v>
      </c>
      <c r="AL190">
        <v>0</v>
      </c>
      <c r="AM190">
        <v>3200</v>
      </c>
      <c r="AN190">
        <v>0</v>
      </c>
      <c r="AO190">
        <v>0</v>
      </c>
      <c r="AP190" s="2">
        <v>6370</v>
      </c>
      <c r="AV190" t="str">
        <f>T("판타지 e북 &gt; 퓨전 판타지")</f>
        <v>판타지 e북 &gt; 퓨전 판타지</v>
      </c>
    </row>
    <row r="191" spans="1:48" x14ac:dyDescent="0.4">
      <c r="A191">
        <v>1525000022</v>
      </c>
      <c r="B191">
        <v>1525000052</v>
      </c>
      <c r="C191" t="str">
        <f>T("[e북]마계대공 연대기 30권 (완결)")</f>
        <v>[e북]마계대공 연대기 30권 (완결)</v>
      </c>
      <c r="D191" t="str">
        <f>T("30")</f>
        <v>30</v>
      </c>
      <c r="E191" t="str">
        <f>T("김광수")</f>
        <v>김광수</v>
      </c>
      <c r="H191" t="str">
        <f t="shared" si="19"/>
        <v>스토리위즈</v>
      </c>
      <c r="I191" t="str">
        <f>T("[e북]마계대공 연대기")</f>
        <v>[e북]마계대공 연대기</v>
      </c>
      <c r="J191">
        <v>3200</v>
      </c>
      <c r="K191">
        <v>6400</v>
      </c>
      <c r="L191">
        <v>2</v>
      </c>
      <c r="M191">
        <v>0</v>
      </c>
      <c r="N191">
        <v>1800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8200</v>
      </c>
      <c r="AH191">
        <v>4</v>
      </c>
      <c r="AI191">
        <v>0</v>
      </c>
      <c r="AJ191">
        <v>0</v>
      </c>
      <c r="AK191">
        <v>5000</v>
      </c>
      <c r="AL191">
        <v>0</v>
      </c>
      <c r="AM191">
        <v>3200</v>
      </c>
      <c r="AN191">
        <v>0</v>
      </c>
      <c r="AO191">
        <v>0</v>
      </c>
      <c r="AP191" s="2">
        <v>5740</v>
      </c>
      <c r="AT191" t="str">
        <f>T("9788925125862")</f>
        <v>9788925125862</v>
      </c>
      <c r="AV191" t="str">
        <f>T("판타지 e북 &gt; 퓨전 판타지")</f>
        <v>판타지 e북 &gt; 퓨전 판타지</v>
      </c>
    </row>
    <row r="192" spans="1:48" x14ac:dyDescent="0.4">
      <c r="A192">
        <v>1525000074</v>
      </c>
      <c r="B192">
        <v>1525000088</v>
      </c>
      <c r="C192" t="str">
        <f>T("[e북]소드 엠페러 14권")</f>
        <v>[e북]소드 엠페러 14권</v>
      </c>
      <c r="D192" t="str">
        <f>T("14")</f>
        <v>14</v>
      </c>
      <c r="E192" t="str">
        <f>T("김정률")</f>
        <v>김정률</v>
      </c>
      <c r="H192" t="str">
        <f t="shared" si="19"/>
        <v>스토리위즈</v>
      </c>
      <c r="I192" t="str">
        <f>T("[e북]소드 엠페러")</f>
        <v>[e북]소드 엠페러</v>
      </c>
      <c r="J192">
        <v>3200</v>
      </c>
      <c r="K192">
        <v>6400</v>
      </c>
      <c r="L192">
        <v>2</v>
      </c>
      <c r="M192">
        <v>0</v>
      </c>
      <c r="N192">
        <v>9000</v>
      </c>
      <c r="O192">
        <v>10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1350</v>
      </c>
      <c r="V192">
        <v>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16750</v>
      </c>
      <c r="AH192">
        <v>15</v>
      </c>
      <c r="AI192">
        <v>0</v>
      </c>
      <c r="AJ192">
        <v>0</v>
      </c>
      <c r="AK192">
        <v>13602</v>
      </c>
      <c r="AL192">
        <v>0</v>
      </c>
      <c r="AM192">
        <v>3148</v>
      </c>
      <c r="AN192">
        <v>0</v>
      </c>
      <c r="AO192">
        <v>0</v>
      </c>
      <c r="AP192" s="2">
        <v>11725</v>
      </c>
      <c r="AV192" t="str">
        <f>T("판타지 e북 &gt; 퓨전 판타지")</f>
        <v>판타지 e북 &gt; 퓨전 판타지</v>
      </c>
    </row>
    <row r="193" spans="1:48" x14ac:dyDescent="0.4">
      <c r="A193">
        <v>1525000074</v>
      </c>
      <c r="B193">
        <v>1525000081</v>
      </c>
      <c r="C193" t="str">
        <f>T("[e북]소드 엠페러 7권")</f>
        <v>[e북]소드 엠페러 7권</v>
      </c>
      <c r="D193" t="str">
        <f>T("7")</f>
        <v>7</v>
      </c>
      <c r="E193" t="str">
        <f>T("김정률")</f>
        <v>김정률</v>
      </c>
      <c r="H193" t="str">
        <f t="shared" si="19"/>
        <v>스토리위즈</v>
      </c>
      <c r="I193" t="str">
        <f>T("[e북]소드 엠페러")</f>
        <v>[e북]소드 엠페러</v>
      </c>
      <c r="J193">
        <v>3200</v>
      </c>
      <c r="K193">
        <v>6400</v>
      </c>
      <c r="L193">
        <v>2</v>
      </c>
      <c r="M193">
        <v>0</v>
      </c>
      <c r="N193">
        <v>8100</v>
      </c>
      <c r="O193">
        <v>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1350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15850</v>
      </c>
      <c r="AH193">
        <v>14</v>
      </c>
      <c r="AI193">
        <v>0</v>
      </c>
      <c r="AJ193">
        <v>0</v>
      </c>
      <c r="AK193">
        <v>11802</v>
      </c>
      <c r="AL193">
        <v>0</v>
      </c>
      <c r="AM193">
        <v>4048</v>
      </c>
      <c r="AN193">
        <v>0</v>
      </c>
      <c r="AO193">
        <v>0</v>
      </c>
      <c r="AP193" s="2">
        <v>11095</v>
      </c>
      <c r="AV193" t="str">
        <f>T("판타지 e북 &gt; 퓨전 판타지")</f>
        <v>판타지 e북 &gt; 퓨전 판타지</v>
      </c>
    </row>
    <row r="194" spans="1:48" x14ac:dyDescent="0.4">
      <c r="A194">
        <v>1525000022</v>
      </c>
      <c r="B194">
        <v>1525000045</v>
      </c>
      <c r="C194" t="str">
        <f>T("[e북]마계대공 연대기 23권")</f>
        <v>[e북]마계대공 연대기 23권</v>
      </c>
      <c r="D194" t="str">
        <f>T("23")</f>
        <v>23</v>
      </c>
      <c r="E194" t="str">
        <f>T("김광수")</f>
        <v>김광수</v>
      </c>
      <c r="H194" t="str">
        <f t="shared" si="19"/>
        <v>스토리위즈</v>
      </c>
      <c r="I194" t="str">
        <f>T("[e북]마계대공 연대기")</f>
        <v>[e북]마계대공 연대기</v>
      </c>
      <c r="J194">
        <v>3200</v>
      </c>
      <c r="K194">
        <v>6400</v>
      </c>
      <c r="L194">
        <v>2</v>
      </c>
      <c r="M194">
        <v>0</v>
      </c>
      <c r="N194">
        <v>1800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8200</v>
      </c>
      <c r="AH194">
        <v>4</v>
      </c>
      <c r="AI194">
        <v>0</v>
      </c>
      <c r="AJ194">
        <v>0</v>
      </c>
      <c r="AK194">
        <v>5000</v>
      </c>
      <c r="AL194">
        <v>0</v>
      </c>
      <c r="AM194">
        <v>3200</v>
      </c>
      <c r="AN194">
        <v>0</v>
      </c>
      <c r="AO194">
        <v>0</v>
      </c>
      <c r="AP194" s="2">
        <v>5740</v>
      </c>
      <c r="AV194" t="str">
        <f>T("판타지 e북 &gt; 퓨전 판타지")</f>
        <v>판타지 e북 &gt; 퓨전 판타지</v>
      </c>
    </row>
    <row r="195" spans="1:48" x14ac:dyDescent="0.4">
      <c r="A195">
        <v>1525003495</v>
      </c>
      <c r="B195">
        <v>1525003502</v>
      </c>
      <c r="C195" t="str">
        <f>T("[e북]소드마스터의 환생 8권")</f>
        <v>[e북]소드마스터의 환생 8권</v>
      </c>
      <c r="D195" t="str">
        <f>T("8")</f>
        <v>8</v>
      </c>
      <c r="E195" t="str">
        <f>T("파란영")</f>
        <v>파란영</v>
      </c>
      <c r="H195" t="str">
        <f t="shared" si="19"/>
        <v>스토리위즈</v>
      </c>
      <c r="I195" t="str">
        <f>T("[e북]소드마스터의 환생")</f>
        <v>[e북]소드마스터의 환생</v>
      </c>
      <c r="J195">
        <v>3200</v>
      </c>
      <c r="K195">
        <v>6400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6400</v>
      </c>
      <c r="AH195">
        <v>2</v>
      </c>
      <c r="AI195">
        <v>0</v>
      </c>
      <c r="AJ195">
        <v>0</v>
      </c>
      <c r="AK195">
        <v>6400</v>
      </c>
      <c r="AL195">
        <v>0</v>
      </c>
      <c r="AM195">
        <v>0</v>
      </c>
      <c r="AN195">
        <v>0</v>
      </c>
      <c r="AO195">
        <v>0</v>
      </c>
      <c r="AP195" s="2">
        <v>4480</v>
      </c>
      <c r="AT195" t="str">
        <f>T("9791159289880")</f>
        <v>9791159289880</v>
      </c>
      <c r="AV195" t="str">
        <f>T("판타지 e북 &gt; 정통 판타지")</f>
        <v>판타지 e북 &gt; 정통 판타지</v>
      </c>
    </row>
    <row r="196" spans="1:48" x14ac:dyDescent="0.4">
      <c r="A196">
        <v>1525000022</v>
      </c>
      <c r="B196">
        <v>1525000038</v>
      </c>
      <c r="C196" t="str">
        <f>T("[e북]마계대공 연대기 16권")</f>
        <v>[e북]마계대공 연대기 16권</v>
      </c>
      <c r="D196" t="str">
        <f>T("16")</f>
        <v>16</v>
      </c>
      <c r="E196" t="str">
        <f>T("김광수")</f>
        <v>김광수</v>
      </c>
      <c r="H196" t="str">
        <f t="shared" si="19"/>
        <v>스토리위즈</v>
      </c>
      <c r="I196" t="str">
        <f>T("[e북]마계대공 연대기")</f>
        <v>[e북]마계대공 연대기</v>
      </c>
      <c r="J196">
        <v>3200</v>
      </c>
      <c r="K196">
        <v>6400</v>
      </c>
      <c r="L196">
        <v>2</v>
      </c>
      <c r="M196">
        <v>0</v>
      </c>
      <c r="N196">
        <v>2700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9100</v>
      </c>
      <c r="AH196">
        <v>5</v>
      </c>
      <c r="AI196">
        <v>0</v>
      </c>
      <c r="AJ196">
        <v>0</v>
      </c>
      <c r="AK196">
        <v>5900</v>
      </c>
      <c r="AL196">
        <v>0</v>
      </c>
      <c r="AM196">
        <v>3200</v>
      </c>
      <c r="AN196">
        <v>0</v>
      </c>
      <c r="AO196">
        <v>0</v>
      </c>
      <c r="AP196" s="2">
        <v>6370</v>
      </c>
      <c r="AV196" t="str">
        <f>T("판타지 e북 &gt; 퓨전 판타지")</f>
        <v>판타지 e북 &gt; 퓨전 판타지</v>
      </c>
    </row>
    <row r="197" spans="1:48" x14ac:dyDescent="0.4">
      <c r="A197">
        <v>1525005640</v>
      </c>
      <c r="B197">
        <v>1525005646</v>
      </c>
      <c r="C197" t="str">
        <f>T("[e북]회귀의 전설 1부 7권")</f>
        <v>[e북]회귀의 전설 1부 7권</v>
      </c>
      <c r="D197" t="str">
        <f>T("7")</f>
        <v>7</v>
      </c>
      <c r="E197" t="str">
        <f>T("김광수")</f>
        <v>김광수</v>
      </c>
      <c r="H197" t="str">
        <f t="shared" si="19"/>
        <v>스토리위즈</v>
      </c>
      <c r="I197" t="str">
        <f>T("[e북]회귀의 전설")</f>
        <v>[e북]회귀의 전설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2250</v>
      </c>
      <c r="V197">
        <v>5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8650</v>
      </c>
      <c r="AH197">
        <v>7</v>
      </c>
      <c r="AI197">
        <v>0</v>
      </c>
      <c r="AJ197">
        <v>0</v>
      </c>
      <c r="AK197">
        <v>8650</v>
      </c>
      <c r="AL197">
        <v>0</v>
      </c>
      <c r="AM197">
        <v>0</v>
      </c>
      <c r="AN197">
        <v>0</v>
      </c>
      <c r="AO197">
        <v>0</v>
      </c>
      <c r="AP197" s="2">
        <v>6055</v>
      </c>
      <c r="AT197" t="str">
        <f>T("9791190937825")</f>
        <v>9791190937825</v>
      </c>
      <c r="AV197" t="str">
        <f>T("판타지 e북 &gt; 현대 판타지")</f>
        <v>판타지 e북 &gt; 현대 판타지</v>
      </c>
    </row>
    <row r="198" spans="1:48" x14ac:dyDescent="0.4">
      <c r="A198">
        <v>1525000022</v>
      </c>
      <c r="B198">
        <v>1525000031</v>
      </c>
      <c r="C198" t="str">
        <f>T("[e북]마계대공 연대기 9권")</f>
        <v>[e북]마계대공 연대기 9권</v>
      </c>
      <c r="D198" t="str">
        <f>T("9")</f>
        <v>9</v>
      </c>
      <c r="E198" t="str">
        <f>T("김광수")</f>
        <v>김광수</v>
      </c>
      <c r="H198" t="str">
        <f t="shared" si="19"/>
        <v>스토리위즈</v>
      </c>
      <c r="I198" t="str">
        <f>T("[e북]마계대공 연대기")</f>
        <v>[e북]마계대공 연대기</v>
      </c>
      <c r="J198">
        <v>3200</v>
      </c>
      <c r="K198">
        <v>6400</v>
      </c>
      <c r="L198">
        <v>2</v>
      </c>
      <c r="M198">
        <v>0</v>
      </c>
      <c r="N198">
        <v>2700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9100</v>
      </c>
      <c r="AH198">
        <v>5</v>
      </c>
      <c r="AI198">
        <v>0</v>
      </c>
      <c r="AJ198">
        <v>0</v>
      </c>
      <c r="AK198">
        <v>5900</v>
      </c>
      <c r="AL198">
        <v>0</v>
      </c>
      <c r="AM198">
        <v>3200</v>
      </c>
      <c r="AN198">
        <v>0</v>
      </c>
      <c r="AO198">
        <v>0</v>
      </c>
      <c r="AP198" s="2">
        <v>6370</v>
      </c>
      <c r="AV198" t="str">
        <f>T("판타지 e북 &gt; 퓨전 판타지")</f>
        <v>판타지 e북 &gt; 퓨전 판타지</v>
      </c>
    </row>
    <row r="199" spans="1:48" x14ac:dyDescent="0.4">
      <c r="A199">
        <v>1525000022</v>
      </c>
      <c r="B199">
        <v>1525000023</v>
      </c>
      <c r="C199" t="str">
        <f>T("[e북]마계대공 연대기 2권")</f>
        <v>[e북]마계대공 연대기 2권</v>
      </c>
      <c r="D199" t="str">
        <f>T("2")</f>
        <v>2</v>
      </c>
      <c r="E199" t="str">
        <f>T("김광수")</f>
        <v>김광수</v>
      </c>
      <c r="H199" t="str">
        <f t="shared" si="19"/>
        <v>스토리위즈</v>
      </c>
      <c r="I199" t="str">
        <f>T("[e북]마계대공 연대기")</f>
        <v>[e북]마계대공 연대기</v>
      </c>
      <c r="J199">
        <v>3200</v>
      </c>
      <c r="K199">
        <v>6400</v>
      </c>
      <c r="L199">
        <v>2</v>
      </c>
      <c r="M199">
        <v>0</v>
      </c>
      <c r="N199">
        <v>1800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8200</v>
      </c>
      <c r="AH199">
        <v>4</v>
      </c>
      <c r="AI199">
        <v>0</v>
      </c>
      <c r="AJ199">
        <v>0</v>
      </c>
      <c r="AK199">
        <v>8200</v>
      </c>
      <c r="AL199">
        <v>0</v>
      </c>
      <c r="AM199">
        <v>0</v>
      </c>
      <c r="AN199">
        <v>0</v>
      </c>
      <c r="AO199">
        <v>0</v>
      </c>
      <c r="AP199" s="2">
        <v>5740</v>
      </c>
      <c r="AV199" t="str">
        <f>T("판타지 e북 &gt; 퓨전 판타지")</f>
        <v>판타지 e북 &gt; 퓨전 판타지</v>
      </c>
    </row>
    <row r="200" spans="1:48" x14ac:dyDescent="0.4">
      <c r="A200">
        <v>1525000022</v>
      </c>
      <c r="B200">
        <v>1525000049</v>
      </c>
      <c r="C200" t="str">
        <f>T("[e북]마계대공 연대기 27권")</f>
        <v>[e북]마계대공 연대기 27권</v>
      </c>
      <c r="D200" t="str">
        <f>T("27")</f>
        <v>27</v>
      </c>
      <c r="E200" t="str">
        <f>T("김광수")</f>
        <v>김광수</v>
      </c>
      <c r="H200" t="str">
        <f t="shared" si="19"/>
        <v>스토리위즈</v>
      </c>
      <c r="I200" t="str">
        <f>T("[e북]마계대공 연대기")</f>
        <v>[e북]마계대공 연대기</v>
      </c>
      <c r="J200">
        <v>3200</v>
      </c>
      <c r="K200">
        <v>6400</v>
      </c>
      <c r="L200">
        <v>2</v>
      </c>
      <c r="M200">
        <v>0</v>
      </c>
      <c r="N200">
        <v>900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7300</v>
      </c>
      <c r="AH200">
        <v>3</v>
      </c>
      <c r="AI200">
        <v>0</v>
      </c>
      <c r="AJ200">
        <v>0</v>
      </c>
      <c r="AK200">
        <v>4100</v>
      </c>
      <c r="AL200">
        <v>0</v>
      </c>
      <c r="AM200">
        <v>3200</v>
      </c>
      <c r="AN200">
        <v>0</v>
      </c>
      <c r="AO200">
        <v>0</v>
      </c>
      <c r="AP200" s="2">
        <v>5110</v>
      </c>
      <c r="AV200" t="str">
        <f>T("판타지 e북 &gt; 퓨전 판타지")</f>
        <v>판타지 e북 &gt; 퓨전 판타지</v>
      </c>
    </row>
    <row r="201" spans="1:48" x14ac:dyDescent="0.4">
      <c r="A201">
        <v>1525000074</v>
      </c>
      <c r="B201">
        <v>1525000085</v>
      </c>
      <c r="C201" t="str">
        <f>T("[e북]소드 엠페러 11권")</f>
        <v>[e북]소드 엠페러 11권</v>
      </c>
      <c r="D201" t="str">
        <f>T("11")</f>
        <v>11</v>
      </c>
      <c r="E201" t="str">
        <f>T("김정률")</f>
        <v>김정률</v>
      </c>
      <c r="H201" t="str">
        <f t="shared" si="19"/>
        <v>스토리위즈</v>
      </c>
      <c r="I201" t="str">
        <f>T("[e북]소드 엠페러")</f>
        <v>[e북]소드 엠페러</v>
      </c>
      <c r="J201">
        <v>3200</v>
      </c>
      <c r="K201">
        <v>6400</v>
      </c>
      <c r="L201">
        <v>2</v>
      </c>
      <c r="M201">
        <v>0</v>
      </c>
      <c r="N201">
        <v>9900</v>
      </c>
      <c r="O201">
        <v>11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1350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17650</v>
      </c>
      <c r="AH201">
        <v>16</v>
      </c>
      <c r="AI201">
        <v>0</v>
      </c>
      <c r="AJ201">
        <v>0</v>
      </c>
      <c r="AK201">
        <v>14102</v>
      </c>
      <c r="AL201">
        <v>0</v>
      </c>
      <c r="AM201">
        <v>3548</v>
      </c>
      <c r="AN201">
        <v>0</v>
      </c>
      <c r="AO201">
        <v>0</v>
      </c>
      <c r="AP201" s="2">
        <v>12355</v>
      </c>
      <c r="AV201" t="str">
        <f>T("판타지 e북 &gt; 퓨전 판타지")</f>
        <v>판타지 e북 &gt; 퓨전 판타지</v>
      </c>
    </row>
    <row r="202" spans="1:48" x14ac:dyDescent="0.4">
      <c r="A202">
        <v>1525012774</v>
      </c>
      <c r="B202">
        <v>1525012775</v>
      </c>
      <c r="C202" t="str">
        <f>T("[e북]주먹 구십구 2권")</f>
        <v>[e북]주먹 구십구 2권</v>
      </c>
      <c r="D202" t="str">
        <f>T("2")</f>
        <v>2</v>
      </c>
      <c r="E202" t="str">
        <f>T("마연")</f>
        <v>마연</v>
      </c>
      <c r="H202" t="str">
        <f>T("블러쉬")</f>
        <v>블러쉬</v>
      </c>
      <c r="I202" t="str">
        <f>T("[e북]주먹 구십구")</f>
        <v>[e북]주먹 구십구</v>
      </c>
      <c r="J202">
        <v>3200</v>
      </c>
      <c r="K202">
        <v>6400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6400</v>
      </c>
      <c r="AH202">
        <v>2</v>
      </c>
      <c r="AI202">
        <v>0</v>
      </c>
      <c r="AJ202">
        <v>0</v>
      </c>
      <c r="AK202">
        <v>6400</v>
      </c>
      <c r="AL202">
        <v>0</v>
      </c>
      <c r="AM202">
        <v>0</v>
      </c>
      <c r="AN202">
        <v>0</v>
      </c>
      <c r="AO202">
        <v>0</v>
      </c>
      <c r="AP202" s="2">
        <v>4480</v>
      </c>
      <c r="AR202" t="str">
        <f>T("0000000000000")</f>
        <v>0000000000000</v>
      </c>
      <c r="AT202" t="str">
        <f>T("9791166482656")</f>
        <v>9791166482656</v>
      </c>
      <c r="AV202" t="str">
        <f>T("BL 소설 e북 &gt; 현대물")</f>
        <v>BL 소설 e북 &gt; 현대물</v>
      </c>
    </row>
    <row r="203" spans="1:48" x14ac:dyDescent="0.4">
      <c r="A203">
        <v>1525000022</v>
      </c>
      <c r="B203">
        <v>1525000042</v>
      </c>
      <c r="C203" t="str">
        <f>T("[e북]마계대공 연대기 20권")</f>
        <v>[e북]마계대공 연대기 20권</v>
      </c>
      <c r="D203" t="str">
        <f>T("20")</f>
        <v>20</v>
      </c>
      <c r="E203" t="str">
        <f>T("김광수")</f>
        <v>김광수</v>
      </c>
      <c r="H203" t="str">
        <f t="shared" ref="H203:H210" si="20">T("스토리위즈")</f>
        <v>스토리위즈</v>
      </c>
      <c r="I203" t="str">
        <f>T("[e북]마계대공 연대기")</f>
        <v>[e북]마계대공 연대기</v>
      </c>
      <c r="J203">
        <v>3200</v>
      </c>
      <c r="K203">
        <v>6400</v>
      </c>
      <c r="L203">
        <v>2</v>
      </c>
      <c r="M203">
        <v>0</v>
      </c>
      <c r="N203">
        <v>2700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9100</v>
      </c>
      <c r="AH203">
        <v>5</v>
      </c>
      <c r="AI203">
        <v>0</v>
      </c>
      <c r="AJ203">
        <v>0</v>
      </c>
      <c r="AK203">
        <v>5900</v>
      </c>
      <c r="AL203">
        <v>0</v>
      </c>
      <c r="AM203">
        <v>3200</v>
      </c>
      <c r="AN203">
        <v>0</v>
      </c>
      <c r="AO203">
        <v>0</v>
      </c>
      <c r="AP203" s="2">
        <v>6370</v>
      </c>
      <c r="AV203" t="str">
        <f>T("판타지 e북 &gt; 퓨전 판타지")</f>
        <v>판타지 e북 &gt; 퓨전 판타지</v>
      </c>
    </row>
    <row r="204" spans="1:48" x14ac:dyDescent="0.4">
      <c r="A204">
        <v>1525000074</v>
      </c>
      <c r="B204">
        <v>1525000077</v>
      </c>
      <c r="C204" t="str">
        <f>T("[e북]소드 엠페러 4권")</f>
        <v>[e북]소드 엠페러 4권</v>
      </c>
      <c r="D204" t="str">
        <f>T("4")</f>
        <v>4</v>
      </c>
      <c r="E204" t="str">
        <f>T("김정률")</f>
        <v>김정률</v>
      </c>
      <c r="H204" t="str">
        <f t="shared" si="20"/>
        <v>스토리위즈</v>
      </c>
      <c r="I204" t="str">
        <f>T("[e북]소드 엠페러")</f>
        <v>[e북]소드 엠페러</v>
      </c>
      <c r="J204">
        <v>3200</v>
      </c>
      <c r="K204">
        <v>6400</v>
      </c>
      <c r="L204">
        <v>2</v>
      </c>
      <c r="M204">
        <v>0</v>
      </c>
      <c r="N204">
        <v>10800</v>
      </c>
      <c r="O204">
        <v>12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1350</v>
      </c>
      <c r="V204">
        <v>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18550</v>
      </c>
      <c r="AH204">
        <v>17</v>
      </c>
      <c r="AI204">
        <v>0</v>
      </c>
      <c r="AJ204">
        <v>0</v>
      </c>
      <c r="AK204">
        <v>14402</v>
      </c>
      <c r="AL204">
        <v>0</v>
      </c>
      <c r="AM204">
        <v>4148</v>
      </c>
      <c r="AN204">
        <v>0</v>
      </c>
      <c r="AO204">
        <v>0</v>
      </c>
      <c r="AP204" s="2">
        <v>12985</v>
      </c>
      <c r="AV204" t="str">
        <f>T("판타지 e북 &gt; 퓨전 판타지")</f>
        <v>판타지 e북 &gt; 퓨전 판타지</v>
      </c>
    </row>
    <row r="205" spans="1:48" x14ac:dyDescent="0.4">
      <c r="A205">
        <v>1525000022</v>
      </c>
      <c r="B205">
        <v>1525000035</v>
      </c>
      <c r="C205" t="str">
        <f>T("[e북]마계대공 연대기 13권")</f>
        <v>[e북]마계대공 연대기 13권</v>
      </c>
      <c r="D205" t="str">
        <f>T("13")</f>
        <v>13</v>
      </c>
      <c r="E205" t="str">
        <f>T("김광수")</f>
        <v>김광수</v>
      </c>
      <c r="H205" t="str">
        <f t="shared" si="20"/>
        <v>스토리위즈</v>
      </c>
      <c r="I205" t="str">
        <f>T("[e북]마계대공 연대기")</f>
        <v>[e북]마계대공 연대기</v>
      </c>
      <c r="J205">
        <v>3200</v>
      </c>
      <c r="K205">
        <v>6400</v>
      </c>
      <c r="L205">
        <v>2</v>
      </c>
      <c r="M205">
        <v>0</v>
      </c>
      <c r="N205">
        <v>2700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9100</v>
      </c>
      <c r="AH205">
        <v>5</v>
      </c>
      <c r="AI205">
        <v>0</v>
      </c>
      <c r="AJ205">
        <v>0</v>
      </c>
      <c r="AK205">
        <v>5900</v>
      </c>
      <c r="AL205">
        <v>0</v>
      </c>
      <c r="AM205">
        <v>3200</v>
      </c>
      <c r="AN205">
        <v>0</v>
      </c>
      <c r="AO205">
        <v>0</v>
      </c>
      <c r="AP205" s="2">
        <v>6370</v>
      </c>
      <c r="AV205" t="str">
        <f>T("판타지 e북 &gt; 퓨전 판타지")</f>
        <v>판타지 e북 &gt; 퓨전 판타지</v>
      </c>
    </row>
    <row r="206" spans="1:48" x14ac:dyDescent="0.4">
      <c r="A206">
        <v>1525000135</v>
      </c>
      <c r="B206">
        <v>1525000143</v>
      </c>
      <c r="C206" t="str">
        <f>T("[e북]하프 블러드 9권")</f>
        <v>[e북]하프 블러드 9권</v>
      </c>
      <c r="D206" t="str">
        <f>T("9")</f>
        <v>9</v>
      </c>
      <c r="E206" t="str">
        <f>T("김정률")</f>
        <v>김정률</v>
      </c>
      <c r="H206" t="str">
        <f t="shared" si="20"/>
        <v>스토리위즈</v>
      </c>
      <c r="I206" t="str">
        <f>T("[e북]하프 블러드")</f>
        <v>[e북]하프 블러드</v>
      </c>
      <c r="J206">
        <v>3200</v>
      </c>
      <c r="K206">
        <v>6400</v>
      </c>
      <c r="L206">
        <v>2</v>
      </c>
      <c r="M206">
        <v>0</v>
      </c>
      <c r="N206">
        <v>3600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10000</v>
      </c>
      <c r="AH206">
        <v>6</v>
      </c>
      <c r="AI206">
        <v>0</v>
      </c>
      <c r="AJ206">
        <v>0</v>
      </c>
      <c r="AK206">
        <v>6800</v>
      </c>
      <c r="AL206">
        <v>0</v>
      </c>
      <c r="AM206">
        <v>3200</v>
      </c>
      <c r="AN206">
        <v>0</v>
      </c>
      <c r="AO206">
        <v>0</v>
      </c>
      <c r="AP206" s="2">
        <v>7000</v>
      </c>
      <c r="AV206" t="str">
        <f>T("판타지 e북 &gt; 정통 판타지")</f>
        <v>판타지 e북 &gt; 정통 판타지</v>
      </c>
    </row>
    <row r="207" spans="1:48" x14ac:dyDescent="0.4">
      <c r="A207">
        <v>1525000022</v>
      </c>
      <c r="B207">
        <v>1525000027</v>
      </c>
      <c r="C207" t="str">
        <f>T("[e북]마계대공 연대기 6권")</f>
        <v>[e북]마계대공 연대기 6권</v>
      </c>
      <c r="D207" t="str">
        <f>T("6")</f>
        <v>6</v>
      </c>
      <c r="E207" t="str">
        <f>T("김광수")</f>
        <v>김광수</v>
      </c>
      <c r="H207" t="str">
        <f t="shared" si="20"/>
        <v>스토리위즈</v>
      </c>
      <c r="I207" t="str">
        <f>T("[e북]마계대공 연대기")</f>
        <v>[e북]마계대공 연대기</v>
      </c>
      <c r="J207">
        <v>3200</v>
      </c>
      <c r="K207">
        <v>6400</v>
      </c>
      <c r="L207">
        <v>2</v>
      </c>
      <c r="M207">
        <v>0</v>
      </c>
      <c r="N207">
        <v>2700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9100</v>
      </c>
      <c r="AH207">
        <v>5</v>
      </c>
      <c r="AI207">
        <v>0</v>
      </c>
      <c r="AJ207">
        <v>0</v>
      </c>
      <c r="AK207">
        <v>5900</v>
      </c>
      <c r="AL207">
        <v>0</v>
      </c>
      <c r="AM207">
        <v>3200</v>
      </c>
      <c r="AN207">
        <v>0</v>
      </c>
      <c r="AO207">
        <v>0</v>
      </c>
      <c r="AP207" s="2">
        <v>6370</v>
      </c>
      <c r="AV207" t="str">
        <f>T("판타지 e북 &gt; 퓨전 판타지")</f>
        <v>판타지 e북 &gt; 퓨전 판타지</v>
      </c>
    </row>
    <row r="208" spans="1:48" x14ac:dyDescent="0.4">
      <c r="A208">
        <v>1525000074</v>
      </c>
      <c r="B208">
        <v>1525000089</v>
      </c>
      <c r="C208" t="str">
        <f>T("[e북]소드 엠페러 15권")</f>
        <v>[e북]소드 엠페러 15권</v>
      </c>
      <c r="D208" t="str">
        <f>T("15")</f>
        <v>15</v>
      </c>
      <c r="E208" t="str">
        <f>T("김정률")</f>
        <v>김정률</v>
      </c>
      <c r="H208" t="str">
        <f t="shared" si="20"/>
        <v>스토리위즈</v>
      </c>
      <c r="I208" t="str">
        <f>T("[e북]소드 엠페러")</f>
        <v>[e북]소드 엠페러</v>
      </c>
      <c r="J208">
        <v>3200</v>
      </c>
      <c r="K208">
        <v>6400</v>
      </c>
      <c r="L208">
        <v>2</v>
      </c>
      <c r="M208">
        <v>0</v>
      </c>
      <c r="N208">
        <v>6300</v>
      </c>
      <c r="O208">
        <v>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1350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14050</v>
      </c>
      <c r="AH208">
        <v>12</v>
      </c>
      <c r="AI208">
        <v>0</v>
      </c>
      <c r="AJ208">
        <v>0</v>
      </c>
      <c r="AK208">
        <v>10902</v>
      </c>
      <c r="AL208">
        <v>0</v>
      </c>
      <c r="AM208">
        <v>3148</v>
      </c>
      <c r="AN208">
        <v>0</v>
      </c>
      <c r="AO208">
        <v>0</v>
      </c>
      <c r="AP208" s="2">
        <v>9835</v>
      </c>
      <c r="AV208" t="str">
        <f>T("판타지 e북 &gt; 퓨전 판타지")</f>
        <v>판타지 e북 &gt; 퓨전 판타지</v>
      </c>
    </row>
    <row r="209" spans="1:48" x14ac:dyDescent="0.4">
      <c r="A209">
        <v>1525000074</v>
      </c>
      <c r="B209">
        <v>1525000082</v>
      </c>
      <c r="C209" t="str">
        <f>T("[e북]소드 엠페러 8권")</f>
        <v>[e북]소드 엠페러 8권</v>
      </c>
      <c r="D209" t="str">
        <f>T("8")</f>
        <v>8</v>
      </c>
      <c r="E209" t="str">
        <f>T("김정률")</f>
        <v>김정률</v>
      </c>
      <c r="H209" t="str">
        <f t="shared" si="20"/>
        <v>스토리위즈</v>
      </c>
      <c r="I209" t="str">
        <f>T("[e북]소드 엠페러")</f>
        <v>[e북]소드 엠페러</v>
      </c>
      <c r="J209">
        <v>3200</v>
      </c>
      <c r="K209">
        <v>6400</v>
      </c>
      <c r="L209">
        <v>2</v>
      </c>
      <c r="M209">
        <v>0</v>
      </c>
      <c r="N209">
        <v>9000</v>
      </c>
      <c r="O209">
        <v>10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1350</v>
      </c>
      <c r="V209">
        <v>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16750</v>
      </c>
      <c r="AH209">
        <v>15</v>
      </c>
      <c r="AI209">
        <v>0</v>
      </c>
      <c r="AJ209">
        <v>0</v>
      </c>
      <c r="AK209">
        <v>12702</v>
      </c>
      <c r="AL209">
        <v>0</v>
      </c>
      <c r="AM209">
        <v>4048</v>
      </c>
      <c r="AN209">
        <v>0</v>
      </c>
      <c r="AO209">
        <v>0</v>
      </c>
      <c r="AP209" s="2">
        <v>11725</v>
      </c>
      <c r="AV209" t="str">
        <f>T("판타지 e북 &gt; 퓨전 판타지")</f>
        <v>판타지 e북 &gt; 퓨전 판타지</v>
      </c>
    </row>
    <row r="210" spans="1:48" x14ac:dyDescent="0.4">
      <c r="A210">
        <v>1525000022</v>
      </c>
      <c r="B210">
        <v>1525000046</v>
      </c>
      <c r="C210" t="str">
        <f>T("[e북]마계대공 연대기 24권")</f>
        <v>[e북]마계대공 연대기 24권</v>
      </c>
      <c r="D210" t="str">
        <f>T("24")</f>
        <v>24</v>
      </c>
      <c r="E210" t="str">
        <f>T("김광수")</f>
        <v>김광수</v>
      </c>
      <c r="H210" t="str">
        <f t="shared" si="20"/>
        <v>스토리위즈</v>
      </c>
      <c r="I210" t="str">
        <f>T("[e북]마계대공 연대기")</f>
        <v>[e북]마계대공 연대기</v>
      </c>
      <c r="J210">
        <v>3200</v>
      </c>
      <c r="K210">
        <v>6400</v>
      </c>
      <c r="L210">
        <v>2</v>
      </c>
      <c r="M210">
        <v>0</v>
      </c>
      <c r="N210">
        <v>1800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8200</v>
      </c>
      <c r="AH210">
        <v>4</v>
      </c>
      <c r="AI210">
        <v>0</v>
      </c>
      <c r="AJ210">
        <v>0</v>
      </c>
      <c r="AK210">
        <v>5000</v>
      </c>
      <c r="AL210">
        <v>0</v>
      </c>
      <c r="AM210">
        <v>3200</v>
      </c>
      <c r="AN210">
        <v>0</v>
      </c>
      <c r="AO210">
        <v>0</v>
      </c>
      <c r="AP210" s="2">
        <v>5740</v>
      </c>
      <c r="AV210" t="str">
        <f>T("판타지 e북 &gt; 퓨전 판타지")</f>
        <v>판타지 e북 &gt; 퓨전 판타지</v>
      </c>
    </row>
    <row r="211" spans="1:48" x14ac:dyDescent="0.4">
      <c r="A211">
        <v>1525011970</v>
      </c>
      <c r="B211">
        <v>1525011954</v>
      </c>
      <c r="C211" t="str">
        <f>T("[e북]강호, 미치다 17권")</f>
        <v>[e북]강호, 미치다 17권</v>
      </c>
      <c r="D211" t="str">
        <f>T("17")</f>
        <v>17</v>
      </c>
      <c r="E211" t="str">
        <f>T("최재봉")</f>
        <v>최재봉</v>
      </c>
      <c r="H211" t="str">
        <f>T("에필로그")</f>
        <v>에필로그</v>
      </c>
      <c r="I211" t="str">
        <f>T("[e북]강호, 미치다")</f>
        <v>[e북]강호, 미치다</v>
      </c>
      <c r="J211">
        <v>3200</v>
      </c>
      <c r="K211">
        <v>6400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6400</v>
      </c>
      <c r="AH211">
        <v>2</v>
      </c>
      <c r="AI211">
        <v>0</v>
      </c>
      <c r="AJ211">
        <v>0</v>
      </c>
      <c r="AK211">
        <v>3200</v>
      </c>
      <c r="AL211">
        <v>0</v>
      </c>
      <c r="AM211">
        <v>3200</v>
      </c>
      <c r="AN211">
        <v>0</v>
      </c>
      <c r="AO211">
        <v>0</v>
      </c>
      <c r="AP211" s="2">
        <v>4480</v>
      </c>
      <c r="AT211" t="str">
        <f>T("9791164482702")</f>
        <v>9791164482702</v>
      </c>
      <c r="AV211" t="str">
        <f>T("판타지 e북 &gt; 신무협")</f>
        <v>판타지 e북 &gt; 신무협</v>
      </c>
    </row>
    <row r="212" spans="1:48" x14ac:dyDescent="0.4">
      <c r="A212">
        <v>1525000022</v>
      </c>
      <c r="B212">
        <v>1525000039</v>
      </c>
      <c r="C212" t="str">
        <f>T("[e북]마계대공 연대기 17권")</f>
        <v>[e북]마계대공 연대기 17권</v>
      </c>
      <c r="D212" t="str">
        <f>T("17")</f>
        <v>17</v>
      </c>
      <c r="E212" t="str">
        <f>T("김광수")</f>
        <v>김광수</v>
      </c>
      <c r="H212" t="str">
        <f t="shared" ref="H212:H218" si="21">T("스토리위즈")</f>
        <v>스토리위즈</v>
      </c>
      <c r="I212" t="str">
        <f>T("[e북]마계대공 연대기")</f>
        <v>[e북]마계대공 연대기</v>
      </c>
      <c r="J212">
        <v>3200</v>
      </c>
      <c r="K212">
        <v>6400</v>
      </c>
      <c r="L212">
        <v>2</v>
      </c>
      <c r="M212">
        <v>0</v>
      </c>
      <c r="N212">
        <v>2700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9100</v>
      </c>
      <c r="AH212">
        <v>5</v>
      </c>
      <c r="AI212">
        <v>0</v>
      </c>
      <c r="AJ212">
        <v>0</v>
      </c>
      <c r="AK212">
        <v>5900</v>
      </c>
      <c r="AL212">
        <v>0</v>
      </c>
      <c r="AM212">
        <v>3200</v>
      </c>
      <c r="AN212">
        <v>0</v>
      </c>
      <c r="AO212">
        <v>0</v>
      </c>
      <c r="AP212" s="2">
        <v>6370</v>
      </c>
      <c r="AV212" t="str">
        <f>T("판타지 e북 &gt; 퓨전 판타지")</f>
        <v>판타지 e북 &gt; 퓨전 판타지</v>
      </c>
    </row>
    <row r="213" spans="1:48" x14ac:dyDescent="0.4">
      <c r="A213">
        <v>1525005640</v>
      </c>
      <c r="B213">
        <v>1525005647</v>
      </c>
      <c r="C213" t="str">
        <f>T("[e북]회귀의 전설 1부 8권")</f>
        <v>[e북]회귀의 전설 1부 8권</v>
      </c>
      <c r="D213" t="str">
        <f>T("8")</f>
        <v>8</v>
      </c>
      <c r="E213" t="str">
        <f>T("김광수")</f>
        <v>김광수</v>
      </c>
      <c r="H213" t="str">
        <f t="shared" si="21"/>
        <v>스토리위즈</v>
      </c>
      <c r="I213" t="str">
        <f>T("[e북]회귀의 전설")</f>
        <v>[e북]회귀의 전설</v>
      </c>
      <c r="J213">
        <v>3200</v>
      </c>
      <c r="K213">
        <v>6400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2250</v>
      </c>
      <c r="V213">
        <v>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8650</v>
      </c>
      <c r="AH213">
        <v>7</v>
      </c>
      <c r="AI213">
        <v>0</v>
      </c>
      <c r="AJ213">
        <v>0</v>
      </c>
      <c r="AK213">
        <v>8650</v>
      </c>
      <c r="AL213">
        <v>0</v>
      </c>
      <c r="AM213">
        <v>0</v>
      </c>
      <c r="AN213">
        <v>0</v>
      </c>
      <c r="AO213">
        <v>0</v>
      </c>
      <c r="AP213" s="2">
        <v>6055</v>
      </c>
      <c r="AT213" t="str">
        <f>T("9791190937832")</f>
        <v>9791190937832</v>
      </c>
      <c r="AV213" t="str">
        <f>T("판타지 e북 &gt; 현대 판타지")</f>
        <v>판타지 e북 &gt; 현대 판타지</v>
      </c>
    </row>
    <row r="214" spans="1:48" x14ac:dyDescent="0.4">
      <c r="A214">
        <v>1525000135</v>
      </c>
      <c r="B214">
        <v>1525000140</v>
      </c>
      <c r="C214" t="str">
        <f>T("[e북]하프 블러드 6권")</f>
        <v>[e북]하프 블러드 6권</v>
      </c>
      <c r="D214" t="str">
        <f>T("6")</f>
        <v>6</v>
      </c>
      <c r="E214" t="str">
        <f>T("김정률")</f>
        <v>김정률</v>
      </c>
      <c r="H214" t="str">
        <f t="shared" si="21"/>
        <v>스토리위즈</v>
      </c>
      <c r="I214" t="str">
        <f>T("[e북]하프 블러드")</f>
        <v>[e북]하프 블러드</v>
      </c>
      <c r="J214">
        <v>3200</v>
      </c>
      <c r="K214">
        <v>6400</v>
      </c>
      <c r="L214">
        <v>2</v>
      </c>
      <c r="M214">
        <v>0</v>
      </c>
      <c r="N214">
        <v>3600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10000</v>
      </c>
      <c r="AH214">
        <v>6</v>
      </c>
      <c r="AI214">
        <v>0</v>
      </c>
      <c r="AJ214">
        <v>0</v>
      </c>
      <c r="AK214">
        <v>7120</v>
      </c>
      <c r="AL214">
        <v>0</v>
      </c>
      <c r="AM214">
        <v>2880</v>
      </c>
      <c r="AN214">
        <v>0</v>
      </c>
      <c r="AO214">
        <v>0</v>
      </c>
      <c r="AP214" s="2">
        <v>7000</v>
      </c>
      <c r="AV214" t="str">
        <f>T("판타지 e북 &gt; 정통 판타지")</f>
        <v>판타지 e북 &gt; 정통 판타지</v>
      </c>
    </row>
    <row r="215" spans="1:48" x14ac:dyDescent="0.4">
      <c r="A215">
        <v>1525000022</v>
      </c>
      <c r="B215">
        <v>1525000032</v>
      </c>
      <c r="C215" t="str">
        <f>T("[e북]마계대공 연대기 10권")</f>
        <v>[e북]마계대공 연대기 10권</v>
      </c>
      <c r="D215" t="str">
        <f>T("10")</f>
        <v>10</v>
      </c>
      <c r="E215" t="str">
        <f>T("김광수")</f>
        <v>김광수</v>
      </c>
      <c r="H215" t="str">
        <f t="shared" si="21"/>
        <v>스토리위즈</v>
      </c>
      <c r="I215" t="str">
        <f>T("[e북]마계대공 연대기")</f>
        <v>[e북]마계대공 연대기</v>
      </c>
      <c r="J215">
        <v>3200</v>
      </c>
      <c r="K215">
        <v>6400</v>
      </c>
      <c r="L215">
        <v>2</v>
      </c>
      <c r="M215">
        <v>0</v>
      </c>
      <c r="N215">
        <v>2700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9100</v>
      </c>
      <c r="AH215">
        <v>5</v>
      </c>
      <c r="AI215">
        <v>0</v>
      </c>
      <c r="AJ215">
        <v>0</v>
      </c>
      <c r="AK215">
        <v>5900</v>
      </c>
      <c r="AL215">
        <v>0</v>
      </c>
      <c r="AM215">
        <v>3200</v>
      </c>
      <c r="AN215">
        <v>0</v>
      </c>
      <c r="AO215">
        <v>0</v>
      </c>
      <c r="AP215" s="2">
        <v>6370</v>
      </c>
      <c r="AV215" t="str">
        <f>T("판타지 e북 &gt; 퓨전 판타지")</f>
        <v>판타지 e북 &gt; 퓨전 판타지</v>
      </c>
    </row>
    <row r="216" spans="1:48" x14ac:dyDescent="0.4">
      <c r="A216">
        <v>1525000022</v>
      </c>
      <c r="B216">
        <v>1525000024</v>
      </c>
      <c r="C216" t="str">
        <f>T("[e북]마계대공 연대기 3권")</f>
        <v>[e북]마계대공 연대기 3권</v>
      </c>
      <c r="D216" t="str">
        <f>T("3")</f>
        <v>3</v>
      </c>
      <c r="E216" t="str">
        <f>T("김광수")</f>
        <v>김광수</v>
      </c>
      <c r="H216" t="str">
        <f t="shared" si="21"/>
        <v>스토리위즈</v>
      </c>
      <c r="I216" t="str">
        <f>T("[e북]마계대공 연대기")</f>
        <v>[e북]마계대공 연대기</v>
      </c>
      <c r="J216">
        <v>3200</v>
      </c>
      <c r="K216">
        <v>6400</v>
      </c>
      <c r="L216">
        <v>2</v>
      </c>
      <c r="M216">
        <v>0</v>
      </c>
      <c r="N216">
        <v>1800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8200</v>
      </c>
      <c r="AH216">
        <v>4</v>
      </c>
      <c r="AI216">
        <v>0</v>
      </c>
      <c r="AJ216">
        <v>0</v>
      </c>
      <c r="AK216">
        <v>8200</v>
      </c>
      <c r="AL216">
        <v>0</v>
      </c>
      <c r="AM216">
        <v>0</v>
      </c>
      <c r="AN216">
        <v>0</v>
      </c>
      <c r="AO216">
        <v>0</v>
      </c>
      <c r="AP216" s="2">
        <v>5740</v>
      </c>
      <c r="AV216" t="str">
        <f>T("판타지 e북 &gt; 퓨전 판타지")</f>
        <v>판타지 e북 &gt; 퓨전 판타지</v>
      </c>
    </row>
    <row r="217" spans="1:48" x14ac:dyDescent="0.4">
      <c r="A217">
        <v>1525000022</v>
      </c>
      <c r="B217">
        <v>1525000050</v>
      </c>
      <c r="C217" t="str">
        <f>T("[e북]마계대공 연대기 28권")</f>
        <v>[e북]마계대공 연대기 28권</v>
      </c>
      <c r="D217" t="str">
        <f>T("28")</f>
        <v>28</v>
      </c>
      <c r="E217" t="str">
        <f>T("김광수")</f>
        <v>김광수</v>
      </c>
      <c r="H217" t="str">
        <f t="shared" si="21"/>
        <v>스토리위즈</v>
      </c>
      <c r="I217" t="str">
        <f>T("[e북]마계대공 연대기")</f>
        <v>[e북]마계대공 연대기</v>
      </c>
      <c r="J217">
        <v>3200</v>
      </c>
      <c r="K217">
        <v>6400</v>
      </c>
      <c r="L217">
        <v>2</v>
      </c>
      <c r="M217">
        <v>0</v>
      </c>
      <c r="N217">
        <v>1800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8200</v>
      </c>
      <c r="AH217">
        <v>4</v>
      </c>
      <c r="AI217">
        <v>0</v>
      </c>
      <c r="AJ217">
        <v>0</v>
      </c>
      <c r="AK217">
        <v>5000</v>
      </c>
      <c r="AL217">
        <v>0</v>
      </c>
      <c r="AM217">
        <v>3200</v>
      </c>
      <c r="AN217">
        <v>0</v>
      </c>
      <c r="AO217">
        <v>0</v>
      </c>
      <c r="AP217" s="2">
        <v>5740</v>
      </c>
      <c r="AV217" t="str">
        <f>T("판타지 e북 &gt; 퓨전 판타지")</f>
        <v>판타지 e북 &gt; 퓨전 판타지</v>
      </c>
    </row>
    <row r="218" spans="1:48" x14ac:dyDescent="0.4">
      <c r="A218">
        <v>1525000074</v>
      </c>
      <c r="B218">
        <v>1525000086</v>
      </c>
      <c r="C218" t="str">
        <f>T("[e북]소드 엠페러 12권")</f>
        <v>[e북]소드 엠페러 12권</v>
      </c>
      <c r="D218" t="str">
        <f>T("12")</f>
        <v>12</v>
      </c>
      <c r="E218" t="str">
        <f>T("김정률")</f>
        <v>김정률</v>
      </c>
      <c r="H218" t="str">
        <f t="shared" si="21"/>
        <v>스토리위즈</v>
      </c>
      <c r="I218" t="str">
        <f>T("[e북]소드 엠페러")</f>
        <v>[e북]소드 엠페러</v>
      </c>
      <c r="J218">
        <v>3200</v>
      </c>
      <c r="K218">
        <v>6400</v>
      </c>
      <c r="L218">
        <v>2</v>
      </c>
      <c r="M218">
        <v>0</v>
      </c>
      <c r="N218">
        <v>9900</v>
      </c>
      <c r="O218">
        <v>11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1350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17650</v>
      </c>
      <c r="AH218">
        <v>16</v>
      </c>
      <c r="AI218">
        <v>0</v>
      </c>
      <c r="AJ218">
        <v>0</v>
      </c>
      <c r="AK218">
        <v>14502</v>
      </c>
      <c r="AL218">
        <v>0</v>
      </c>
      <c r="AM218">
        <v>3148</v>
      </c>
      <c r="AN218">
        <v>0</v>
      </c>
      <c r="AO218">
        <v>0</v>
      </c>
      <c r="AP218" s="2">
        <v>12355</v>
      </c>
      <c r="AV218" t="str">
        <f>T("판타지 e북 &gt; 퓨전 판타지")</f>
        <v>판타지 e북 &gt; 퓨전 판타지</v>
      </c>
    </row>
    <row r="219" spans="1:48" x14ac:dyDescent="0.4">
      <c r="A219">
        <v>1525012774</v>
      </c>
      <c r="B219">
        <v>1525012776</v>
      </c>
      <c r="C219" t="str">
        <f>T("[e북]주먹 구십구 3권")</f>
        <v>[e북]주먹 구십구 3권</v>
      </c>
      <c r="D219" t="str">
        <f>T("3")</f>
        <v>3</v>
      </c>
      <c r="E219" t="str">
        <f>T("마연")</f>
        <v>마연</v>
      </c>
      <c r="H219" t="str">
        <f>T("블러쉬")</f>
        <v>블러쉬</v>
      </c>
      <c r="I219" t="str">
        <f>T("[e북]주먹 구십구")</f>
        <v>[e북]주먹 구십구</v>
      </c>
      <c r="J219">
        <v>3200</v>
      </c>
      <c r="K219">
        <v>6400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6400</v>
      </c>
      <c r="AH219">
        <v>2</v>
      </c>
      <c r="AI219">
        <v>0</v>
      </c>
      <c r="AJ219">
        <v>0</v>
      </c>
      <c r="AK219">
        <v>6400</v>
      </c>
      <c r="AL219">
        <v>0</v>
      </c>
      <c r="AM219">
        <v>0</v>
      </c>
      <c r="AN219">
        <v>0</v>
      </c>
      <c r="AO219">
        <v>0</v>
      </c>
      <c r="AP219" s="2">
        <v>4480</v>
      </c>
      <c r="AR219" t="str">
        <f>T("0000000000000")</f>
        <v>0000000000000</v>
      </c>
      <c r="AT219" t="str">
        <f>T("9791166482663")</f>
        <v>9791166482663</v>
      </c>
      <c r="AV219" t="str">
        <f>T("BL 소설 e북 &gt; 현대물")</f>
        <v>BL 소설 e북 &gt; 현대물</v>
      </c>
    </row>
    <row r="220" spans="1:48" x14ac:dyDescent="0.4">
      <c r="A220">
        <v>1525000022</v>
      </c>
      <c r="B220">
        <v>1525000043</v>
      </c>
      <c r="C220" t="str">
        <f>T("[e북]마계대공 연대기 21권")</f>
        <v>[e북]마계대공 연대기 21권</v>
      </c>
      <c r="D220" t="str">
        <f>T("21")</f>
        <v>21</v>
      </c>
      <c r="E220" t="str">
        <f>T("김광수")</f>
        <v>김광수</v>
      </c>
      <c r="H220" t="str">
        <f t="shared" ref="H220:H227" si="22">T("스토리위즈")</f>
        <v>스토리위즈</v>
      </c>
      <c r="I220" t="str">
        <f>T("[e북]마계대공 연대기")</f>
        <v>[e북]마계대공 연대기</v>
      </c>
      <c r="J220">
        <v>3200</v>
      </c>
      <c r="K220">
        <v>6400</v>
      </c>
      <c r="L220">
        <v>2</v>
      </c>
      <c r="M220">
        <v>0</v>
      </c>
      <c r="N220">
        <v>2700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9100</v>
      </c>
      <c r="AH220">
        <v>5</v>
      </c>
      <c r="AI220">
        <v>0</v>
      </c>
      <c r="AJ220">
        <v>0</v>
      </c>
      <c r="AK220">
        <v>5900</v>
      </c>
      <c r="AL220">
        <v>0</v>
      </c>
      <c r="AM220">
        <v>3200</v>
      </c>
      <c r="AN220">
        <v>0</v>
      </c>
      <c r="AO220">
        <v>0</v>
      </c>
      <c r="AP220" s="2">
        <v>6370</v>
      </c>
      <c r="AV220" t="str">
        <f>T("판타지 e북 &gt; 퓨전 판타지")</f>
        <v>판타지 e북 &gt; 퓨전 판타지</v>
      </c>
    </row>
    <row r="221" spans="1:48" x14ac:dyDescent="0.4">
      <c r="A221">
        <v>1525000074</v>
      </c>
      <c r="B221">
        <v>1525000078</v>
      </c>
      <c r="C221" t="str">
        <f>T("[e북]소드 엠페러 5권")</f>
        <v>[e북]소드 엠페러 5권</v>
      </c>
      <c r="D221" t="str">
        <f>T("5")</f>
        <v>5</v>
      </c>
      <c r="E221" t="str">
        <f>T("김정률")</f>
        <v>김정률</v>
      </c>
      <c r="H221" t="str">
        <f t="shared" si="22"/>
        <v>스토리위즈</v>
      </c>
      <c r="I221" t="str">
        <f>T("[e북]소드 엠페러")</f>
        <v>[e북]소드 엠페러</v>
      </c>
      <c r="J221">
        <v>3200</v>
      </c>
      <c r="K221">
        <v>6400</v>
      </c>
      <c r="L221">
        <v>2</v>
      </c>
      <c r="M221">
        <v>0</v>
      </c>
      <c r="N221">
        <v>8100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1350</v>
      </c>
      <c r="V221">
        <v>3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15850</v>
      </c>
      <c r="AH221">
        <v>14</v>
      </c>
      <c r="AI221">
        <v>0</v>
      </c>
      <c r="AJ221">
        <v>0</v>
      </c>
      <c r="AK221">
        <v>11802</v>
      </c>
      <c r="AL221">
        <v>0</v>
      </c>
      <c r="AM221">
        <v>4048</v>
      </c>
      <c r="AN221">
        <v>0</v>
      </c>
      <c r="AO221">
        <v>0</v>
      </c>
      <c r="AP221" s="2">
        <v>11095</v>
      </c>
      <c r="AV221" t="str">
        <f>T("판타지 e북 &gt; 퓨전 판타지")</f>
        <v>판타지 e북 &gt; 퓨전 판타지</v>
      </c>
    </row>
    <row r="222" spans="1:48" x14ac:dyDescent="0.4">
      <c r="A222">
        <v>1525000022</v>
      </c>
      <c r="B222">
        <v>1525000036</v>
      </c>
      <c r="C222" t="str">
        <f>T("[e북]마계대공 연대기 14권")</f>
        <v>[e북]마계대공 연대기 14권</v>
      </c>
      <c r="D222" t="str">
        <f>T("14")</f>
        <v>14</v>
      </c>
      <c r="E222" t="str">
        <f>T("김광수")</f>
        <v>김광수</v>
      </c>
      <c r="H222" t="str">
        <f t="shared" si="22"/>
        <v>스토리위즈</v>
      </c>
      <c r="I222" t="str">
        <f>T("[e북]마계대공 연대기")</f>
        <v>[e북]마계대공 연대기</v>
      </c>
      <c r="J222">
        <v>3200</v>
      </c>
      <c r="K222">
        <v>6400</v>
      </c>
      <c r="L222">
        <v>2</v>
      </c>
      <c r="M222">
        <v>0</v>
      </c>
      <c r="N222">
        <v>2700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9100</v>
      </c>
      <c r="AH222">
        <v>5</v>
      </c>
      <c r="AI222">
        <v>0</v>
      </c>
      <c r="AJ222">
        <v>0</v>
      </c>
      <c r="AK222">
        <v>7100</v>
      </c>
      <c r="AL222">
        <v>0</v>
      </c>
      <c r="AM222">
        <v>2000</v>
      </c>
      <c r="AN222">
        <v>0</v>
      </c>
      <c r="AO222">
        <v>0</v>
      </c>
      <c r="AP222" s="2">
        <v>6370</v>
      </c>
      <c r="AV222" t="str">
        <f>T("판타지 e북 &gt; 퓨전 판타지")</f>
        <v>판타지 e북 &gt; 퓨전 판타지</v>
      </c>
    </row>
    <row r="223" spans="1:48" x14ac:dyDescent="0.4">
      <c r="A223">
        <v>1525000135</v>
      </c>
      <c r="B223">
        <v>1525000144</v>
      </c>
      <c r="C223" t="str">
        <f>T("[e북]하프 블러드 10권")</f>
        <v>[e북]하프 블러드 10권</v>
      </c>
      <c r="D223" t="str">
        <f>T("10")</f>
        <v>10</v>
      </c>
      <c r="E223" t="str">
        <f>T("김정률")</f>
        <v>김정률</v>
      </c>
      <c r="H223" t="str">
        <f t="shared" si="22"/>
        <v>스토리위즈</v>
      </c>
      <c r="I223" t="str">
        <f>T("[e북]하프 블러드")</f>
        <v>[e북]하프 블러드</v>
      </c>
      <c r="J223">
        <v>3200</v>
      </c>
      <c r="K223">
        <v>6400</v>
      </c>
      <c r="L223">
        <v>2</v>
      </c>
      <c r="M223">
        <v>0</v>
      </c>
      <c r="N223">
        <v>3600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10000</v>
      </c>
      <c r="AH223">
        <v>6</v>
      </c>
      <c r="AI223">
        <v>0</v>
      </c>
      <c r="AJ223">
        <v>0</v>
      </c>
      <c r="AK223">
        <v>6800</v>
      </c>
      <c r="AL223">
        <v>0</v>
      </c>
      <c r="AM223">
        <v>3200</v>
      </c>
      <c r="AN223">
        <v>0</v>
      </c>
      <c r="AO223">
        <v>0</v>
      </c>
      <c r="AP223" s="2">
        <v>7000</v>
      </c>
      <c r="AV223" t="str">
        <f>T("판타지 e북 &gt; 정통 판타지")</f>
        <v>판타지 e북 &gt; 정통 판타지</v>
      </c>
    </row>
    <row r="224" spans="1:48" x14ac:dyDescent="0.4">
      <c r="A224">
        <v>1525000022</v>
      </c>
      <c r="B224">
        <v>1525000028</v>
      </c>
      <c r="C224" t="str">
        <f>T("[e북]마계대공 연대기 7권")</f>
        <v>[e북]마계대공 연대기 7권</v>
      </c>
      <c r="D224" t="str">
        <f>T("7")</f>
        <v>7</v>
      </c>
      <c r="E224" t="str">
        <f>T("김광수")</f>
        <v>김광수</v>
      </c>
      <c r="H224" t="str">
        <f t="shared" si="22"/>
        <v>스토리위즈</v>
      </c>
      <c r="I224" t="str">
        <f>T("[e북]마계대공 연대기")</f>
        <v>[e북]마계대공 연대기</v>
      </c>
      <c r="J224">
        <v>3200</v>
      </c>
      <c r="K224">
        <v>6400</v>
      </c>
      <c r="L224">
        <v>2</v>
      </c>
      <c r="M224">
        <v>0</v>
      </c>
      <c r="N224">
        <v>2700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9100</v>
      </c>
      <c r="AH224">
        <v>5</v>
      </c>
      <c r="AI224">
        <v>0</v>
      </c>
      <c r="AJ224">
        <v>0</v>
      </c>
      <c r="AK224">
        <v>5900</v>
      </c>
      <c r="AL224">
        <v>0</v>
      </c>
      <c r="AM224">
        <v>3200</v>
      </c>
      <c r="AN224">
        <v>0</v>
      </c>
      <c r="AO224">
        <v>0</v>
      </c>
      <c r="AP224" s="2">
        <v>6370</v>
      </c>
      <c r="AV224" t="str">
        <f>T("판타지 e북 &gt; 퓨전 판타지")</f>
        <v>판타지 e북 &gt; 퓨전 판타지</v>
      </c>
    </row>
    <row r="225" spans="1:49" x14ac:dyDescent="0.4">
      <c r="A225">
        <v>1525000074</v>
      </c>
      <c r="B225">
        <v>1525000090</v>
      </c>
      <c r="C225" t="str">
        <f>T("[e북]소드 엠페러 16권")</f>
        <v>[e북]소드 엠페러 16권</v>
      </c>
      <c r="D225" t="str">
        <f>T("16")</f>
        <v>16</v>
      </c>
      <c r="E225" t="str">
        <f>T("김정률")</f>
        <v>김정률</v>
      </c>
      <c r="H225" t="str">
        <f t="shared" si="22"/>
        <v>스토리위즈</v>
      </c>
      <c r="I225" t="str">
        <f>T("[e북]소드 엠페러")</f>
        <v>[e북]소드 엠페러</v>
      </c>
      <c r="J225">
        <v>3200</v>
      </c>
      <c r="K225">
        <v>6400</v>
      </c>
      <c r="L225">
        <v>2</v>
      </c>
      <c r="M225">
        <v>0</v>
      </c>
      <c r="N225">
        <v>5400</v>
      </c>
      <c r="O225">
        <v>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1350</v>
      </c>
      <c r="V225">
        <v>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13150</v>
      </c>
      <c r="AH225">
        <v>11</v>
      </c>
      <c r="AI225">
        <v>0</v>
      </c>
      <c r="AJ225">
        <v>0</v>
      </c>
      <c r="AK225">
        <v>10002</v>
      </c>
      <c r="AL225">
        <v>0</v>
      </c>
      <c r="AM225">
        <v>3148</v>
      </c>
      <c r="AN225">
        <v>0</v>
      </c>
      <c r="AO225">
        <v>0</v>
      </c>
      <c r="AP225" s="2">
        <v>9205</v>
      </c>
      <c r="AV225" t="str">
        <f>T("판타지 e북 &gt; 퓨전 판타지")</f>
        <v>판타지 e북 &gt; 퓨전 판타지</v>
      </c>
    </row>
    <row r="226" spans="1:49" x14ac:dyDescent="0.4">
      <c r="A226">
        <v>1525000074</v>
      </c>
      <c r="B226">
        <v>1525000083</v>
      </c>
      <c r="C226" t="str">
        <f>T("[e북]소드 엠페러 9권")</f>
        <v>[e북]소드 엠페러 9권</v>
      </c>
      <c r="D226" t="str">
        <f>T("9")</f>
        <v>9</v>
      </c>
      <c r="E226" t="str">
        <f>T("김정률")</f>
        <v>김정률</v>
      </c>
      <c r="H226" t="str">
        <f t="shared" si="22"/>
        <v>스토리위즈</v>
      </c>
      <c r="I226" t="str">
        <f>T("[e북]소드 엠페러")</f>
        <v>[e북]소드 엠페러</v>
      </c>
      <c r="J226">
        <v>3200</v>
      </c>
      <c r="K226">
        <v>6400</v>
      </c>
      <c r="L226">
        <v>2</v>
      </c>
      <c r="M226">
        <v>0</v>
      </c>
      <c r="N226">
        <v>9000</v>
      </c>
      <c r="O226">
        <v>10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1350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16750</v>
      </c>
      <c r="AH226">
        <v>15</v>
      </c>
      <c r="AI226">
        <v>0</v>
      </c>
      <c r="AJ226">
        <v>0</v>
      </c>
      <c r="AK226">
        <v>12702</v>
      </c>
      <c r="AL226">
        <v>0</v>
      </c>
      <c r="AM226">
        <v>4048</v>
      </c>
      <c r="AN226">
        <v>0</v>
      </c>
      <c r="AO226">
        <v>0</v>
      </c>
      <c r="AP226" s="2">
        <v>11725</v>
      </c>
      <c r="AV226" t="str">
        <f>T("판타지 e북 &gt; 퓨전 판타지")</f>
        <v>판타지 e북 &gt; 퓨전 판타지</v>
      </c>
    </row>
    <row r="227" spans="1:49" x14ac:dyDescent="0.4">
      <c r="A227">
        <v>1525000022</v>
      </c>
      <c r="B227">
        <v>1525000047</v>
      </c>
      <c r="C227" t="str">
        <f>T("[e북]마계대공 연대기 25권")</f>
        <v>[e북]마계대공 연대기 25권</v>
      </c>
      <c r="D227" t="str">
        <f>T("25")</f>
        <v>25</v>
      </c>
      <c r="E227" t="str">
        <f>T("김광수")</f>
        <v>김광수</v>
      </c>
      <c r="H227" t="str">
        <f t="shared" si="22"/>
        <v>스토리위즈</v>
      </c>
      <c r="I227" t="str">
        <f>T("[e북]마계대공 연대기")</f>
        <v>[e북]마계대공 연대기</v>
      </c>
      <c r="J227">
        <v>3200</v>
      </c>
      <c r="K227">
        <v>6400</v>
      </c>
      <c r="L227">
        <v>2</v>
      </c>
      <c r="M227">
        <v>0</v>
      </c>
      <c r="N227">
        <v>900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7300</v>
      </c>
      <c r="AH227">
        <v>3</v>
      </c>
      <c r="AI227">
        <v>0</v>
      </c>
      <c r="AJ227">
        <v>0</v>
      </c>
      <c r="AK227">
        <v>4100</v>
      </c>
      <c r="AL227">
        <v>0</v>
      </c>
      <c r="AM227">
        <v>3200</v>
      </c>
      <c r="AN227">
        <v>0</v>
      </c>
      <c r="AO227">
        <v>0</v>
      </c>
      <c r="AP227" s="2">
        <v>5110</v>
      </c>
      <c r="AV227" t="str">
        <f>T("판타지 e북 &gt; 퓨전 판타지")</f>
        <v>판타지 e북 &gt; 퓨전 판타지</v>
      </c>
    </row>
    <row r="228" spans="1:49" x14ac:dyDescent="0.4">
      <c r="A228">
        <v>1525011970</v>
      </c>
      <c r="B228">
        <v>1525011955</v>
      </c>
      <c r="C228" t="str">
        <f>T("[e북]강호, 미치다 16권")</f>
        <v>[e북]강호, 미치다 16권</v>
      </c>
      <c r="D228" t="str">
        <f>T("16")</f>
        <v>16</v>
      </c>
      <c r="E228" t="str">
        <f>T("최재봉")</f>
        <v>최재봉</v>
      </c>
      <c r="H228" t="str">
        <f>T("에필로그")</f>
        <v>에필로그</v>
      </c>
      <c r="I228" t="str">
        <f>T("[e북]강호, 미치다")</f>
        <v>[e북]강호, 미치다</v>
      </c>
      <c r="J228">
        <v>3200</v>
      </c>
      <c r="K228">
        <v>6400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6400</v>
      </c>
      <c r="AH228">
        <v>2</v>
      </c>
      <c r="AI228">
        <v>0</v>
      </c>
      <c r="AJ228">
        <v>0</v>
      </c>
      <c r="AK228">
        <v>3200</v>
      </c>
      <c r="AL228">
        <v>0</v>
      </c>
      <c r="AM228">
        <v>3200</v>
      </c>
      <c r="AN228">
        <v>0</v>
      </c>
      <c r="AO228">
        <v>0</v>
      </c>
      <c r="AP228" s="2">
        <v>4480</v>
      </c>
      <c r="AT228" t="str">
        <f>T("9791164482696")</f>
        <v>9791164482696</v>
      </c>
      <c r="AV228" t="str">
        <f>T("판타지 e북 &gt; 신무협")</f>
        <v>판타지 e북 &gt; 신무협</v>
      </c>
    </row>
    <row r="229" spans="1:49" x14ac:dyDescent="0.4">
      <c r="A229">
        <v>1525000022</v>
      </c>
      <c r="B229">
        <v>1525000040</v>
      </c>
      <c r="C229" t="str">
        <f>T("[e북]마계대공 연대기 18권")</f>
        <v>[e북]마계대공 연대기 18권</v>
      </c>
      <c r="D229" t="str">
        <f>T("18")</f>
        <v>18</v>
      </c>
      <c r="E229" t="str">
        <f>T("김광수")</f>
        <v>김광수</v>
      </c>
      <c r="H229" t="str">
        <f>T("스토리위즈")</f>
        <v>스토리위즈</v>
      </c>
      <c r="I229" t="str">
        <f>T("[e북]마계대공 연대기")</f>
        <v>[e북]마계대공 연대기</v>
      </c>
      <c r="J229">
        <v>3200</v>
      </c>
      <c r="K229">
        <v>6400</v>
      </c>
      <c r="L229">
        <v>2</v>
      </c>
      <c r="M229">
        <v>0</v>
      </c>
      <c r="N229">
        <v>2700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9100</v>
      </c>
      <c r="AH229">
        <v>5</v>
      </c>
      <c r="AI229">
        <v>0</v>
      </c>
      <c r="AJ229">
        <v>0</v>
      </c>
      <c r="AK229">
        <v>5900</v>
      </c>
      <c r="AL229">
        <v>0</v>
      </c>
      <c r="AM229">
        <v>3200</v>
      </c>
      <c r="AN229">
        <v>0</v>
      </c>
      <c r="AO229">
        <v>0</v>
      </c>
      <c r="AP229" s="2">
        <v>6370</v>
      </c>
      <c r="AV229" t="str">
        <f>T("판타지 e북 &gt; 퓨전 판타지")</f>
        <v>판타지 e북 &gt; 퓨전 판타지</v>
      </c>
    </row>
    <row r="230" spans="1:49" x14ac:dyDescent="0.4">
      <c r="A230">
        <v>1525000074</v>
      </c>
      <c r="B230">
        <v>1525000075</v>
      </c>
      <c r="C230" t="str">
        <f>T("[e북]소드 엠페러 2권")</f>
        <v>[e북]소드 엠페러 2권</v>
      </c>
      <c r="D230" t="str">
        <f>T("2")</f>
        <v>2</v>
      </c>
      <c r="E230" t="str">
        <f>T("김정률")</f>
        <v>김정률</v>
      </c>
      <c r="H230" t="str">
        <f>T("스토리위즈")</f>
        <v>스토리위즈</v>
      </c>
      <c r="I230" t="str">
        <f>T("[e북]소드 엠페러")</f>
        <v>[e북]소드 엠페러</v>
      </c>
      <c r="J230">
        <v>3200</v>
      </c>
      <c r="K230">
        <v>6400</v>
      </c>
      <c r="L230">
        <v>2</v>
      </c>
      <c r="M230">
        <v>0</v>
      </c>
      <c r="N230">
        <v>10800</v>
      </c>
      <c r="O230">
        <v>12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1350</v>
      </c>
      <c r="V230">
        <v>3</v>
      </c>
      <c r="W230">
        <v>0</v>
      </c>
      <c r="X230">
        <v>0</v>
      </c>
      <c r="Y230">
        <v>-900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18550</v>
      </c>
      <c r="AH230">
        <v>17</v>
      </c>
      <c r="AI230">
        <v>-900</v>
      </c>
      <c r="AJ230">
        <v>1</v>
      </c>
      <c r="AK230">
        <v>13951</v>
      </c>
      <c r="AL230">
        <v>0</v>
      </c>
      <c r="AM230">
        <v>4599</v>
      </c>
      <c r="AN230">
        <v>0</v>
      </c>
      <c r="AO230">
        <v>-900</v>
      </c>
      <c r="AP230" s="2">
        <v>12355</v>
      </c>
      <c r="AV230" t="str">
        <f>T("판타지 e북 &gt; 퓨전 판타지")</f>
        <v>판타지 e북 &gt; 퓨전 판타지</v>
      </c>
    </row>
    <row r="231" spans="1:49" x14ac:dyDescent="0.4">
      <c r="A231">
        <v>1525008048</v>
      </c>
      <c r="B231">
        <v>1525008048</v>
      </c>
      <c r="C231" t="str">
        <f>T("[e북]달보드레 1권")</f>
        <v>[e북]달보드레 1권</v>
      </c>
      <c r="D231" t="str">
        <f>T("1")</f>
        <v>1</v>
      </c>
      <c r="E231" t="str">
        <f>T("시아")</f>
        <v>시아</v>
      </c>
      <c r="H231" t="str">
        <f>T("비엘스토리")</f>
        <v>비엘스토리</v>
      </c>
      <c r="I231" t="str">
        <f>T("[e북]달보드레")</f>
        <v>[e북]달보드레</v>
      </c>
      <c r="J231">
        <v>3200</v>
      </c>
      <c r="K231">
        <v>6400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6400</v>
      </c>
      <c r="AH231">
        <v>2</v>
      </c>
      <c r="AI231">
        <v>0</v>
      </c>
      <c r="AJ231">
        <v>0</v>
      </c>
      <c r="AK231">
        <v>6400</v>
      </c>
      <c r="AL231">
        <v>0</v>
      </c>
      <c r="AM231">
        <v>0</v>
      </c>
      <c r="AN231">
        <v>0</v>
      </c>
      <c r="AO231">
        <v>0</v>
      </c>
      <c r="AP231" s="2">
        <v>4480</v>
      </c>
      <c r="AR231" t="str">
        <f>T("0000000000000")</f>
        <v>0000000000000</v>
      </c>
      <c r="AT231" t="str">
        <f>T("9791164894833")</f>
        <v>9791164894833</v>
      </c>
      <c r="AV231" t="str">
        <f>T("BL 소설 e북 &gt; 현대물")</f>
        <v>BL 소설 e북 &gt; 현대물</v>
      </c>
    </row>
    <row r="232" spans="1:49" x14ac:dyDescent="0.4">
      <c r="A232">
        <v>1525005640</v>
      </c>
      <c r="B232">
        <v>1525005648</v>
      </c>
      <c r="C232" t="str">
        <f>T("[e북]회귀의 전설 1부 9권")</f>
        <v>[e북]회귀의 전설 1부 9권</v>
      </c>
      <c r="D232" t="str">
        <f>T("9")</f>
        <v>9</v>
      </c>
      <c r="E232" t="str">
        <f>T("김광수")</f>
        <v>김광수</v>
      </c>
      <c r="H232" t="str">
        <f t="shared" ref="H232:H237" si="23">T("스토리위즈")</f>
        <v>스토리위즈</v>
      </c>
      <c r="I232" t="str">
        <f>T("[e북]회귀의 전설")</f>
        <v>[e북]회귀의 전설</v>
      </c>
      <c r="J232">
        <v>3200</v>
      </c>
      <c r="K232">
        <v>6400</v>
      </c>
      <c r="L232">
        <v>2</v>
      </c>
      <c r="M232">
        <v>0</v>
      </c>
      <c r="N232">
        <v>900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2250</v>
      </c>
      <c r="V232">
        <v>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9550</v>
      </c>
      <c r="AH232">
        <v>8</v>
      </c>
      <c r="AI232">
        <v>0</v>
      </c>
      <c r="AJ232">
        <v>0</v>
      </c>
      <c r="AK232">
        <v>9550</v>
      </c>
      <c r="AL232">
        <v>0</v>
      </c>
      <c r="AM232">
        <v>0</v>
      </c>
      <c r="AN232">
        <v>0</v>
      </c>
      <c r="AO232">
        <v>0</v>
      </c>
      <c r="AP232" s="2">
        <v>6685</v>
      </c>
      <c r="AT232" t="str">
        <f>T("9791190937849")</f>
        <v>9791190937849</v>
      </c>
      <c r="AV232" t="str">
        <f>T("판타지 e북 &gt; 현대 판타지")</f>
        <v>판타지 e북 &gt; 현대 판타지</v>
      </c>
    </row>
    <row r="233" spans="1:49" x14ac:dyDescent="0.4">
      <c r="A233">
        <v>1525000135</v>
      </c>
      <c r="B233">
        <v>1525000141</v>
      </c>
      <c r="C233" t="str">
        <f>T("[e북]하프 블러드 7권")</f>
        <v>[e북]하프 블러드 7권</v>
      </c>
      <c r="D233" t="str">
        <f>T("7")</f>
        <v>7</v>
      </c>
      <c r="E233" t="str">
        <f>T("김정률")</f>
        <v>김정률</v>
      </c>
      <c r="H233" t="str">
        <f t="shared" si="23"/>
        <v>스토리위즈</v>
      </c>
      <c r="I233" t="str">
        <f>T("[e북]하프 블러드")</f>
        <v>[e북]하프 블러드</v>
      </c>
      <c r="J233">
        <v>3200</v>
      </c>
      <c r="K233">
        <v>6400</v>
      </c>
      <c r="L233">
        <v>2</v>
      </c>
      <c r="M233">
        <v>0</v>
      </c>
      <c r="N233">
        <v>3600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10000</v>
      </c>
      <c r="AH233">
        <v>6</v>
      </c>
      <c r="AI233">
        <v>0</v>
      </c>
      <c r="AJ233">
        <v>0</v>
      </c>
      <c r="AK233">
        <v>6800</v>
      </c>
      <c r="AL233">
        <v>0</v>
      </c>
      <c r="AM233">
        <v>3200</v>
      </c>
      <c r="AN233">
        <v>0</v>
      </c>
      <c r="AO233">
        <v>0</v>
      </c>
      <c r="AP233" s="2">
        <v>7000</v>
      </c>
      <c r="AV233" t="str">
        <f>T("판타지 e북 &gt; 정통 판타지")</f>
        <v>판타지 e북 &gt; 정통 판타지</v>
      </c>
    </row>
    <row r="234" spans="1:49" x14ac:dyDescent="0.4">
      <c r="A234">
        <v>1525000022</v>
      </c>
      <c r="B234">
        <v>1525000033</v>
      </c>
      <c r="C234" t="str">
        <f>T("[e북]마계대공 연대기 11권")</f>
        <v>[e북]마계대공 연대기 11권</v>
      </c>
      <c r="D234" t="str">
        <f>T("11")</f>
        <v>11</v>
      </c>
      <c r="E234" t="str">
        <f>T("김광수")</f>
        <v>김광수</v>
      </c>
      <c r="H234" t="str">
        <f t="shared" si="23"/>
        <v>스토리위즈</v>
      </c>
      <c r="I234" t="str">
        <f>T("[e북]마계대공 연대기")</f>
        <v>[e북]마계대공 연대기</v>
      </c>
      <c r="J234">
        <v>3200</v>
      </c>
      <c r="K234">
        <v>6400</v>
      </c>
      <c r="L234">
        <v>2</v>
      </c>
      <c r="M234">
        <v>0</v>
      </c>
      <c r="N234">
        <v>2700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9100</v>
      </c>
      <c r="AH234">
        <v>5</v>
      </c>
      <c r="AI234">
        <v>0</v>
      </c>
      <c r="AJ234">
        <v>0</v>
      </c>
      <c r="AK234">
        <v>5900</v>
      </c>
      <c r="AL234">
        <v>0</v>
      </c>
      <c r="AM234">
        <v>3200</v>
      </c>
      <c r="AN234">
        <v>0</v>
      </c>
      <c r="AO234">
        <v>0</v>
      </c>
      <c r="AP234" s="2">
        <v>6370</v>
      </c>
      <c r="AV234" t="str">
        <f>T("판타지 e북 &gt; 퓨전 판타지")</f>
        <v>판타지 e북 &gt; 퓨전 판타지</v>
      </c>
    </row>
    <row r="235" spans="1:49" x14ac:dyDescent="0.4">
      <c r="A235">
        <v>1525000022</v>
      </c>
      <c r="B235">
        <v>1525000025</v>
      </c>
      <c r="C235" t="str">
        <f>T("[e북]마계대공 연대기 4권")</f>
        <v>[e북]마계대공 연대기 4권</v>
      </c>
      <c r="D235" t="str">
        <f>T("4")</f>
        <v>4</v>
      </c>
      <c r="E235" t="str">
        <f>T("김광수")</f>
        <v>김광수</v>
      </c>
      <c r="H235" t="str">
        <f t="shared" si="23"/>
        <v>스토리위즈</v>
      </c>
      <c r="I235" t="str">
        <f>T("[e북]마계대공 연대기")</f>
        <v>[e북]마계대공 연대기</v>
      </c>
      <c r="J235">
        <v>3200</v>
      </c>
      <c r="K235">
        <v>6400</v>
      </c>
      <c r="L235">
        <v>2</v>
      </c>
      <c r="M235">
        <v>0</v>
      </c>
      <c r="N235">
        <v>2700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9100</v>
      </c>
      <c r="AH235">
        <v>5</v>
      </c>
      <c r="AI235">
        <v>0</v>
      </c>
      <c r="AJ235">
        <v>0</v>
      </c>
      <c r="AK235">
        <v>9100</v>
      </c>
      <c r="AL235">
        <v>0</v>
      </c>
      <c r="AM235">
        <v>0</v>
      </c>
      <c r="AN235">
        <v>0</v>
      </c>
      <c r="AO235">
        <v>0</v>
      </c>
      <c r="AP235" s="2">
        <v>6370</v>
      </c>
      <c r="AV235" t="str">
        <f>T("판타지 e북 &gt; 퓨전 판타지")</f>
        <v>판타지 e북 &gt; 퓨전 판타지</v>
      </c>
    </row>
    <row r="236" spans="1:49" x14ac:dyDescent="0.4">
      <c r="A236">
        <v>1525000022</v>
      </c>
      <c r="B236">
        <v>1525000051</v>
      </c>
      <c r="C236" t="str">
        <f>T("[e북]마계대공 연대기 29권")</f>
        <v>[e북]마계대공 연대기 29권</v>
      </c>
      <c r="D236" t="str">
        <f>T("29")</f>
        <v>29</v>
      </c>
      <c r="E236" t="str">
        <f>T("김광수")</f>
        <v>김광수</v>
      </c>
      <c r="H236" t="str">
        <f t="shared" si="23"/>
        <v>스토리위즈</v>
      </c>
      <c r="I236" t="str">
        <f>T("[e북]마계대공 연대기")</f>
        <v>[e북]마계대공 연대기</v>
      </c>
      <c r="J236">
        <v>3200</v>
      </c>
      <c r="K236">
        <v>6400</v>
      </c>
      <c r="L236">
        <v>2</v>
      </c>
      <c r="M236">
        <v>0</v>
      </c>
      <c r="N236">
        <v>1800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8200</v>
      </c>
      <c r="AH236">
        <v>4</v>
      </c>
      <c r="AI236">
        <v>0</v>
      </c>
      <c r="AJ236">
        <v>0</v>
      </c>
      <c r="AK236">
        <v>5000</v>
      </c>
      <c r="AL236">
        <v>0</v>
      </c>
      <c r="AM236">
        <v>3200</v>
      </c>
      <c r="AN236">
        <v>0</v>
      </c>
      <c r="AO236">
        <v>0</v>
      </c>
      <c r="AP236" s="2">
        <v>5740</v>
      </c>
      <c r="AV236" t="str">
        <f>T("판타지 e북 &gt; 퓨전 판타지")</f>
        <v>판타지 e북 &gt; 퓨전 판타지</v>
      </c>
    </row>
    <row r="237" spans="1:49" x14ac:dyDescent="0.4">
      <c r="A237">
        <v>1525000074</v>
      </c>
      <c r="B237">
        <v>1525000087</v>
      </c>
      <c r="C237" t="str">
        <f>T("[e북]소드 엠페러 13권")</f>
        <v>[e북]소드 엠페러 13권</v>
      </c>
      <c r="D237" t="str">
        <f>T("13")</f>
        <v>13</v>
      </c>
      <c r="E237" t="str">
        <f>T("김정률")</f>
        <v>김정률</v>
      </c>
      <c r="H237" t="str">
        <f t="shared" si="23"/>
        <v>스토리위즈</v>
      </c>
      <c r="I237" t="str">
        <f>T("[e북]소드 엠페러")</f>
        <v>[e북]소드 엠페러</v>
      </c>
      <c r="J237">
        <v>3200</v>
      </c>
      <c r="K237">
        <v>6400</v>
      </c>
      <c r="L237">
        <v>2</v>
      </c>
      <c r="M237">
        <v>0</v>
      </c>
      <c r="N237">
        <v>9000</v>
      </c>
      <c r="O237">
        <v>10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1350</v>
      </c>
      <c r="V237">
        <v>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16750</v>
      </c>
      <c r="AH237">
        <v>15</v>
      </c>
      <c r="AI237">
        <v>0</v>
      </c>
      <c r="AJ237">
        <v>0</v>
      </c>
      <c r="AK237">
        <v>13602</v>
      </c>
      <c r="AL237">
        <v>0</v>
      </c>
      <c r="AM237">
        <v>3148</v>
      </c>
      <c r="AN237">
        <v>0</v>
      </c>
      <c r="AO237">
        <v>0</v>
      </c>
      <c r="AP237" s="2">
        <v>11725</v>
      </c>
      <c r="AV237" t="str">
        <f>T("판타지 e북 &gt; 퓨전 판타지")</f>
        <v>판타지 e북 &gt; 퓨전 판타지</v>
      </c>
    </row>
    <row r="238" spans="1:49" x14ac:dyDescent="0.4">
      <c r="B238">
        <v>1525014004</v>
      </c>
      <c r="C238" t="str">
        <f>T("[e북]미쳐 버린 밤")</f>
        <v>[e북]미쳐 버린 밤</v>
      </c>
      <c r="E238" t="str">
        <f>T("백화(百花)")</f>
        <v>백화(百花)</v>
      </c>
      <c r="H238" t="str">
        <f>T("밀리오리지널")</f>
        <v>밀리오리지널</v>
      </c>
      <c r="J238">
        <v>2000</v>
      </c>
      <c r="K238">
        <v>6000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-2000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6000</v>
      </c>
      <c r="AH238">
        <v>3</v>
      </c>
      <c r="AI238">
        <v>-2000</v>
      </c>
      <c r="AJ238">
        <v>1</v>
      </c>
      <c r="AK238">
        <v>6000</v>
      </c>
      <c r="AL238">
        <v>-2000</v>
      </c>
      <c r="AM238">
        <v>0</v>
      </c>
      <c r="AN238">
        <v>0</v>
      </c>
      <c r="AO238">
        <v>0</v>
      </c>
      <c r="AP238" s="2">
        <v>2800</v>
      </c>
      <c r="AT238" t="str">
        <f>T("9791191562262")</f>
        <v>9791191562262</v>
      </c>
      <c r="AV238" t="str">
        <f>T("로맨스 e북 &gt; 현대물")</f>
        <v>로맨스 e북 &gt; 현대물</v>
      </c>
      <c r="AW238" t="str">
        <f>T("로맨스 e북 &gt; 19+")</f>
        <v>로맨스 e북 &gt; 19+</v>
      </c>
    </row>
    <row r="239" spans="1:49" x14ac:dyDescent="0.4">
      <c r="A239">
        <v>1525008159</v>
      </c>
      <c r="B239">
        <v>1525008160</v>
      </c>
      <c r="C239" t="str">
        <f>T("[e북]육식주의자 2권 (완결)")</f>
        <v>[e북]육식주의자 2권 (완결)</v>
      </c>
      <c r="D239" t="str">
        <f>T("2")</f>
        <v>2</v>
      </c>
      <c r="E239" t="str">
        <f>T("SISSI")</f>
        <v>SISSI</v>
      </c>
      <c r="H239" t="str">
        <f>T("블러쉬")</f>
        <v>블러쉬</v>
      </c>
      <c r="I239" t="str">
        <f>T("[e북]육식주의자")</f>
        <v>[e북]육식주의자</v>
      </c>
      <c r="J239">
        <v>2800</v>
      </c>
      <c r="K239">
        <v>5600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5600</v>
      </c>
      <c r="AH239">
        <v>2</v>
      </c>
      <c r="AI239">
        <v>0</v>
      </c>
      <c r="AJ239">
        <v>0</v>
      </c>
      <c r="AK239">
        <v>5600</v>
      </c>
      <c r="AL239">
        <v>0</v>
      </c>
      <c r="AM239">
        <v>0</v>
      </c>
      <c r="AN239">
        <v>0</v>
      </c>
      <c r="AO239">
        <v>0</v>
      </c>
      <c r="AP239" s="2">
        <v>3920</v>
      </c>
      <c r="AR239" t="str">
        <f>T("0000000000000")</f>
        <v>0000000000000</v>
      </c>
      <c r="AT239" t="str">
        <f>T("9791164899968")</f>
        <v>9791164899968</v>
      </c>
      <c r="AV239" t="str">
        <f>T("BL 소설 e북 &gt; 현대물")</f>
        <v>BL 소설 e북 &gt; 현대물</v>
      </c>
    </row>
    <row r="240" spans="1:49" x14ac:dyDescent="0.4">
      <c r="A240">
        <v>1525008185</v>
      </c>
      <c r="B240">
        <v>1525008185</v>
      </c>
      <c r="C240" t="str">
        <f>T("[e북]칼의 기억 1권")</f>
        <v>[e북]칼의 기억 1권</v>
      </c>
      <c r="D240" t="str">
        <f>T("1")</f>
        <v>1</v>
      </c>
      <c r="E240" t="str">
        <f>T("SISSI")</f>
        <v>SISSI</v>
      </c>
      <c r="H240" t="str">
        <f>T("블러쉬")</f>
        <v>블러쉬</v>
      </c>
      <c r="I240" t="str">
        <f>T("[e북]칼의 기억")</f>
        <v>[e북]칼의 기억</v>
      </c>
      <c r="J240">
        <v>2800</v>
      </c>
      <c r="K240">
        <v>5600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5600</v>
      </c>
      <c r="AH240">
        <v>2</v>
      </c>
      <c r="AI240">
        <v>0</v>
      </c>
      <c r="AJ240">
        <v>0</v>
      </c>
      <c r="AK240">
        <v>5600</v>
      </c>
      <c r="AL240">
        <v>0</v>
      </c>
      <c r="AM240">
        <v>0</v>
      </c>
      <c r="AN240">
        <v>0</v>
      </c>
      <c r="AO240">
        <v>0</v>
      </c>
      <c r="AP240" s="2">
        <v>3920</v>
      </c>
      <c r="AR240" t="str">
        <f>T("0000000000000")</f>
        <v>0000000000000</v>
      </c>
      <c r="AT240" t="str">
        <f>T("9791166481369")</f>
        <v>9791166481369</v>
      </c>
      <c r="AV240" t="str">
        <f>T("BL 소설 e북 &gt; 역사/시대물")</f>
        <v>BL 소설 e북 &gt; 역사/시대물</v>
      </c>
    </row>
    <row r="241" spans="1:49" x14ac:dyDescent="0.4">
      <c r="A241">
        <v>1525012524</v>
      </c>
      <c r="B241">
        <v>1525012524</v>
      </c>
      <c r="C241" t="str">
        <f>T("[e북]붉은 가을이 깃드는 너에게 1권")</f>
        <v>[e북]붉은 가을이 깃드는 너에게 1권</v>
      </c>
      <c r="D241" t="str">
        <f>T("1")</f>
        <v>1</v>
      </c>
      <c r="E241" t="str">
        <f>T("채플린")</f>
        <v>채플린</v>
      </c>
      <c r="H241" t="str">
        <f>T("블러쉬")</f>
        <v>블러쉬</v>
      </c>
      <c r="I241" t="str">
        <f>T("[e북]붉은 가을이 깃드는 너에게")</f>
        <v>[e북]붉은 가을이 깃드는 너에게</v>
      </c>
      <c r="J241">
        <v>2800</v>
      </c>
      <c r="K241">
        <v>5600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5600</v>
      </c>
      <c r="AH241">
        <v>2</v>
      </c>
      <c r="AI241">
        <v>0</v>
      </c>
      <c r="AJ241">
        <v>0</v>
      </c>
      <c r="AK241">
        <v>5600</v>
      </c>
      <c r="AL241">
        <v>0</v>
      </c>
      <c r="AM241">
        <v>0</v>
      </c>
      <c r="AN241">
        <v>0</v>
      </c>
      <c r="AO241">
        <v>0</v>
      </c>
      <c r="AP241" s="2">
        <v>3920</v>
      </c>
      <c r="AT241" t="str">
        <f>T("9791166482168")</f>
        <v>9791166482168</v>
      </c>
      <c r="AV241" t="str">
        <f>T("BL 소설 e북 &gt; 현대물")</f>
        <v>BL 소설 e북 &gt; 현대물</v>
      </c>
    </row>
    <row r="242" spans="1:49" x14ac:dyDescent="0.4">
      <c r="A242">
        <v>1525008109</v>
      </c>
      <c r="B242">
        <v>1525008109</v>
      </c>
      <c r="C242" t="str">
        <f>T("[e북]센서티브 다이어리 (Sensitive diary) 1권 : 파르르 곤충기")</f>
        <v>[e북]센서티브 다이어리 (Sensitive diary) 1권 : 파르르 곤충기</v>
      </c>
      <c r="D242" t="str">
        <f>T("1")</f>
        <v>1</v>
      </c>
      <c r="E242" t="str">
        <f>T("피모")</f>
        <v>피모</v>
      </c>
      <c r="H242" t="str">
        <f>T("블러쉬")</f>
        <v>블러쉬</v>
      </c>
      <c r="I242" t="str">
        <f>T("[e북]센서티브 다이어리 (Sensitive diary)")</f>
        <v>[e북]센서티브 다이어리 (Sensitive diary)</v>
      </c>
      <c r="J242">
        <v>5000</v>
      </c>
      <c r="K242">
        <v>5000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-5000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5000</v>
      </c>
      <c r="AH242">
        <v>1</v>
      </c>
      <c r="AI242">
        <v>-5000</v>
      </c>
      <c r="AJ242">
        <v>1</v>
      </c>
      <c r="AK242">
        <v>5000</v>
      </c>
      <c r="AL242">
        <v>-5000</v>
      </c>
      <c r="AM242">
        <v>0</v>
      </c>
      <c r="AN242">
        <v>0</v>
      </c>
      <c r="AO242">
        <v>0</v>
      </c>
      <c r="AP242" s="2">
        <v>0</v>
      </c>
      <c r="AR242" t="str">
        <f>T("0000000000000")</f>
        <v>0000000000000</v>
      </c>
      <c r="AT242" t="str">
        <f>T("9791164890408")</f>
        <v>9791164890408</v>
      </c>
      <c r="AV242" t="str">
        <f>T("BL 소설 e북 &gt; 현대물")</f>
        <v>BL 소설 e북 &gt; 현대물</v>
      </c>
    </row>
    <row r="243" spans="1:49" x14ac:dyDescent="0.4">
      <c r="B243">
        <v>1525014008</v>
      </c>
      <c r="C243" t="str">
        <f>T("[e북]미드나잇 썸머(Midnight Summer)")</f>
        <v>[e북]미드나잇 썸머(Midnight Summer)</v>
      </c>
      <c r="E243" t="str">
        <f>T("적랑")</f>
        <v>적랑</v>
      </c>
      <c r="H243" t="str">
        <f>T("밀리오리지널")</f>
        <v>밀리오리지널</v>
      </c>
      <c r="J243">
        <v>2500</v>
      </c>
      <c r="K243">
        <v>5000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5000</v>
      </c>
      <c r="AH243">
        <v>2</v>
      </c>
      <c r="AI243">
        <v>0</v>
      </c>
      <c r="AJ243">
        <v>0</v>
      </c>
      <c r="AK243">
        <v>5000</v>
      </c>
      <c r="AL243">
        <v>0</v>
      </c>
      <c r="AM243">
        <v>0</v>
      </c>
      <c r="AN243">
        <v>0</v>
      </c>
      <c r="AO243">
        <v>0</v>
      </c>
      <c r="AP243" s="2">
        <v>3500</v>
      </c>
      <c r="AT243" t="str">
        <f>T("9791191562323")</f>
        <v>9791191562323</v>
      </c>
      <c r="AV243" t="str">
        <f>T("로맨스 e북 &gt; 현대물")</f>
        <v>로맨스 e북 &gt; 현대물</v>
      </c>
      <c r="AW243" t="str">
        <f>T("로맨스 e북 &gt; 19+")</f>
        <v>로맨스 e북 &gt; 19+</v>
      </c>
    </row>
    <row r="244" spans="1:49" x14ac:dyDescent="0.4">
      <c r="A244">
        <v>1525008109</v>
      </c>
      <c r="B244">
        <v>1525008110</v>
      </c>
      <c r="C244" t="str">
        <f>T("[e북]센서티브 다이어리 (Sensitive diary) 2권 : 쉬이트 동물기 (완결)")</f>
        <v>[e북]센서티브 다이어리 (Sensitive diary) 2권 : 쉬이트 동물기 (완결)</v>
      </c>
      <c r="D244" t="str">
        <f>T("2")</f>
        <v>2</v>
      </c>
      <c r="E244" t="str">
        <f>T("피모")</f>
        <v>피모</v>
      </c>
      <c r="H244" t="str">
        <f>T("블러쉬")</f>
        <v>블러쉬</v>
      </c>
      <c r="I244" t="str">
        <f>T("[e북]센서티브 다이어리 (Sensitive diary)")</f>
        <v>[e북]센서티브 다이어리 (Sensitive diary)</v>
      </c>
      <c r="J244">
        <v>5000</v>
      </c>
      <c r="K244">
        <v>5000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-5000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5000</v>
      </c>
      <c r="AH244">
        <v>1</v>
      </c>
      <c r="AI244">
        <v>-5000</v>
      </c>
      <c r="AJ244">
        <v>1</v>
      </c>
      <c r="AK244">
        <v>5000</v>
      </c>
      <c r="AL244">
        <v>-5000</v>
      </c>
      <c r="AM244">
        <v>0</v>
      </c>
      <c r="AN244">
        <v>0</v>
      </c>
      <c r="AO244">
        <v>0</v>
      </c>
      <c r="AP244" s="2">
        <v>0</v>
      </c>
      <c r="AR244" t="str">
        <f t="shared" ref="AR244:AR251" si="24">T("0000000000000")</f>
        <v>0000000000000</v>
      </c>
      <c r="AT244" t="str">
        <f>T("9791164890415")</f>
        <v>9791164890415</v>
      </c>
      <c r="AV244" t="str">
        <f>T("BL 소설 e북 &gt; 현대물")</f>
        <v>BL 소설 e북 &gt; 현대물</v>
      </c>
    </row>
    <row r="245" spans="1:49" x14ac:dyDescent="0.4">
      <c r="A245">
        <v>1525008055</v>
      </c>
      <c r="B245">
        <v>1525008055</v>
      </c>
      <c r="C245" t="str">
        <f>T("[e북]담군 연사장 1권")</f>
        <v>[e북]담군 연사장 1권</v>
      </c>
      <c r="D245" t="str">
        <f>T("1")</f>
        <v>1</v>
      </c>
      <c r="E245" t="str">
        <f>T("피모")</f>
        <v>피모</v>
      </c>
      <c r="H245" t="str">
        <f>T("블러쉬")</f>
        <v>블러쉬</v>
      </c>
      <c r="I245" t="str">
        <f>T("[e북]담군 연사장")</f>
        <v>[e북]담군 연사장</v>
      </c>
      <c r="J245">
        <v>4500</v>
      </c>
      <c r="K245">
        <v>4500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4500</v>
      </c>
      <c r="AH245">
        <v>1</v>
      </c>
      <c r="AI245">
        <v>0</v>
      </c>
      <c r="AJ245">
        <v>0</v>
      </c>
      <c r="AK245">
        <v>4500</v>
      </c>
      <c r="AL245">
        <v>0</v>
      </c>
      <c r="AM245">
        <v>0</v>
      </c>
      <c r="AN245">
        <v>0</v>
      </c>
      <c r="AO245">
        <v>0</v>
      </c>
      <c r="AP245" s="2">
        <v>3150</v>
      </c>
      <c r="AR245" t="str">
        <f t="shared" si="24"/>
        <v>0000000000000</v>
      </c>
      <c r="AT245" t="str">
        <f>T("9791190132725")</f>
        <v>9791190132725</v>
      </c>
      <c r="AV245" t="str">
        <f>T("BL 소설 e북 &gt; 현대물")</f>
        <v>BL 소설 e북 &gt; 현대물</v>
      </c>
      <c r="AW245" t="str">
        <f>T("BL 소설 e북 &gt; 판타지물")</f>
        <v>BL 소설 e북 &gt; 판타지물</v>
      </c>
    </row>
    <row r="246" spans="1:49" x14ac:dyDescent="0.4">
      <c r="B246">
        <v>1525008043</v>
      </c>
      <c r="C246" t="str">
        <f>T("[e북]뉴욕 키스 스캔들")</f>
        <v>[e북]뉴욕 키스 스캔들</v>
      </c>
      <c r="E246" t="str">
        <f>T("용가리맛쿠키")</f>
        <v>용가리맛쿠키</v>
      </c>
      <c r="H246" t="str">
        <f>T("블러쉬")</f>
        <v>블러쉬</v>
      </c>
      <c r="J246">
        <v>4400</v>
      </c>
      <c r="K246">
        <v>4400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4400</v>
      </c>
      <c r="AH246">
        <v>1</v>
      </c>
      <c r="AI246">
        <v>0</v>
      </c>
      <c r="AJ246">
        <v>0</v>
      </c>
      <c r="AK246">
        <v>4400</v>
      </c>
      <c r="AL246">
        <v>0</v>
      </c>
      <c r="AM246">
        <v>0</v>
      </c>
      <c r="AN246">
        <v>0</v>
      </c>
      <c r="AO246">
        <v>0</v>
      </c>
      <c r="AP246" s="2">
        <v>3080</v>
      </c>
      <c r="AR246" t="str">
        <f t="shared" si="24"/>
        <v>0000000000000</v>
      </c>
      <c r="AT246" t="str">
        <f>T("9791164890675")</f>
        <v>9791164890675</v>
      </c>
      <c r="AV246" t="str">
        <f>T("BL 소설 e북 &gt; 현대물")</f>
        <v>BL 소설 e북 &gt; 현대물</v>
      </c>
    </row>
    <row r="247" spans="1:49" x14ac:dyDescent="0.4">
      <c r="B247">
        <v>1525008019</v>
      </c>
      <c r="C247" t="str">
        <f>T("[e북]꽃길을 깔아주마")</f>
        <v>[e북]꽃길을 깔아주마</v>
      </c>
      <c r="E247" t="str">
        <f>T("김귤")</f>
        <v>김귤</v>
      </c>
      <c r="H247" t="str">
        <f>T("블러쉬")</f>
        <v>블러쉬</v>
      </c>
      <c r="J247">
        <v>4000</v>
      </c>
      <c r="K247">
        <v>4000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4000</v>
      </c>
      <c r="AH247">
        <v>1</v>
      </c>
      <c r="AI247">
        <v>0</v>
      </c>
      <c r="AJ247">
        <v>0</v>
      </c>
      <c r="AK247">
        <v>4000</v>
      </c>
      <c r="AL247">
        <v>0</v>
      </c>
      <c r="AM247">
        <v>0</v>
      </c>
      <c r="AN247">
        <v>0</v>
      </c>
      <c r="AO247">
        <v>0</v>
      </c>
      <c r="AP247" s="2">
        <v>2800</v>
      </c>
      <c r="AR247" t="str">
        <f t="shared" si="24"/>
        <v>0000000000000</v>
      </c>
      <c r="AT247" t="str">
        <f>T("9791164890552")</f>
        <v>9791164890552</v>
      </c>
      <c r="AV247" t="str">
        <f>T("BL 소설 e북 &gt; 현대물")</f>
        <v>BL 소설 e북 &gt; 현대물</v>
      </c>
    </row>
    <row r="248" spans="1:49" x14ac:dyDescent="0.4">
      <c r="A248">
        <v>1525008129</v>
      </c>
      <c r="B248">
        <v>1525008127</v>
      </c>
      <c r="C248" t="str">
        <f>T("[e북]엠프티 (Empty) (외전 2)")</f>
        <v>[e북]엠프티 (Empty) (외전 2)</v>
      </c>
      <c r="D248" t="str">
        <f>T("4")</f>
        <v>4</v>
      </c>
      <c r="E248" t="str">
        <f>T("라돌체")</f>
        <v>라돌체</v>
      </c>
      <c r="H248" t="str">
        <f>T("블러쉬")</f>
        <v>블러쉬</v>
      </c>
      <c r="I248" t="str">
        <f>T("[e북]엠프티 (Empty)")</f>
        <v>[e북]엠프티 (Empty)</v>
      </c>
      <c r="J248">
        <v>800</v>
      </c>
      <c r="K248">
        <v>4000</v>
      </c>
      <c r="L248">
        <v>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4000</v>
      </c>
      <c r="AH248">
        <v>5</v>
      </c>
      <c r="AI248">
        <v>0</v>
      </c>
      <c r="AJ248">
        <v>0</v>
      </c>
      <c r="AK248">
        <v>4000</v>
      </c>
      <c r="AL248">
        <v>0</v>
      </c>
      <c r="AM248">
        <v>0</v>
      </c>
      <c r="AN248">
        <v>0</v>
      </c>
      <c r="AO248">
        <v>0</v>
      </c>
      <c r="AP248" s="2">
        <v>2800</v>
      </c>
      <c r="AR248" t="str">
        <f t="shared" si="24"/>
        <v>0000000000000</v>
      </c>
      <c r="AT248" t="str">
        <f>T("9791166481826")</f>
        <v>9791166481826</v>
      </c>
      <c r="AV248" t="str">
        <f>T("BL 소설 e북 &gt; 현대물")</f>
        <v>BL 소설 e북 &gt; 현대물</v>
      </c>
    </row>
    <row r="249" spans="1:49" x14ac:dyDescent="0.4">
      <c r="A249">
        <v>1525007825</v>
      </c>
      <c r="B249">
        <v>1525007825</v>
      </c>
      <c r="C249" t="str">
        <f>T("[e북]완벽한 이상형")</f>
        <v>[e북]완벽한 이상형</v>
      </c>
      <c r="D249" t="str">
        <f>T("1")</f>
        <v>1</v>
      </c>
      <c r="E249" t="str">
        <f>T("지니")</f>
        <v>지니</v>
      </c>
      <c r="H249" t="str">
        <f>T("쉬라즈")</f>
        <v>쉬라즈</v>
      </c>
      <c r="I249" t="str">
        <f>T("[e북]완벽한 이상형")</f>
        <v>[e북]완벽한 이상형</v>
      </c>
      <c r="J249">
        <v>3800</v>
      </c>
      <c r="K249">
        <v>3800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3800</v>
      </c>
      <c r="AH249">
        <v>1</v>
      </c>
      <c r="AI249">
        <v>0</v>
      </c>
      <c r="AJ249">
        <v>0</v>
      </c>
      <c r="AK249">
        <v>3800</v>
      </c>
      <c r="AL249">
        <v>0</v>
      </c>
      <c r="AM249">
        <v>0</v>
      </c>
      <c r="AN249">
        <v>0</v>
      </c>
      <c r="AO249">
        <v>0</v>
      </c>
      <c r="AP249" s="2">
        <v>2660</v>
      </c>
      <c r="AR249" t="str">
        <f t="shared" si="24"/>
        <v>0000000000000</v>
      </c>
      <c r="AT249" t="str">
        <f>T("9791164897728")</f>
        <v>9791164897728</v>
      </c>
      <c r="AV249" t="str">
        <f>T("로맨스 e북 &gt; 현대물")</f>
        <v>로맨스 e북 &gt; 현대물</v>
      </c>
      <c r="AW249" t="str">
        <f>T("로맨스 e북 &gt; 19+")</f>
        <v>로맨스 e북 &gt; 19+</v>
      </c>
    </row>
    <row r="250" spans="1:49" x14ac:dyDescent="0.4">
      <c r="A250">
        <v>1525008075</v>
      </c>
      <c r="B250">
        <v>1525008075</v>
      </c>
      <c r="C250" t="str">
        <f>T("[e북]마왕의 구원자")</f>
        <v>[e북]마왕의 구원자</v>
      </c>
      <c r="D250" t="str">
        <f>T("1")</f>
        <v>1</v>
      </c>
      <c r="E250" t="str">
        <f>T("SISSI")</f>
        <v>SISSI</v>
      </c>
      <c r="H250" t="str">
        <f>T("블러쉬")</f>
        <v>블러쉬</v>
      </c>
      <c r="I250" t="str">
        <f>T("[e북]마왕의 구원자")</f>
        <v>[e북]마왕의 구원자</v>
      </c>
      <c r="J250">
        <v>3800</v>
      </c>
      <c r="K250">
        <v>3800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3800</v>
      </c>
      <c r="AH250">
        <v>1</v>
      </c>
      <c r="AI250">
        <v>0</v>
      </c>
      <c r="AJ250">
        <v>0</v>
      </c>
      <c r="AK250">
        <v>3800</v>
      </c>
      <c r="AL250">
        <v>0</v>
      </c>
      <c r="AM250">
        <v>0</v>
      </c>
      <c r="AN250">
        <v>0</v>
      </c>
      <c r="AO250">
        <v>0</v>
      </c>
      <c r="AP250" s="2">
        <v>2660</v>
      </c>
      <c r="AR250" t="str">
        <f t="shared" si="24"/>
        <v>0000000000000</v>
      </c>
      <c r="AT250" t="str">
        <f>T("9791164898268")</f>
        <v>9791164898268</v>
      </c>
      <c r="AV250" t="str">
        <f>T("BL 소설 e북 &gt; 현대물")</f>
        <v>BL 소설 e북 &gt; 현대물</v>
      </c>
      <c r="AW250" t="str">
        <f>T("BL 소설 e북 &gt; 판타지물")</f>
        <v>BL 소설 e북 &gt; 판타지물</v>
      </c>
    </row>
    <row r="251" spans="1:49" x14ac:dyDescent="0.4">
      <c r="A251">
        <v>1525007754</v>
      </c>
      <c r="B251">
        <v>1525007754</v>
      </c>
      <c r="C251" t="str">
        <f>T("[e북]끝까지, 지독하게")</f>
        <v>[e북]끝까지, 지독하게</v>
      </c>
      <c r="D251" t="str">
        <f>T("1")</f>
        <v>1</v>
      </c>
      <c r="E251" t="str">
        <f>T("진태이")</f>
        <v>진태이</v>
      </c>
      <c r="H251" t="str">
        <f>T("쉬라즈")</f>
        <v>쉬라즈</v>
      </c>
      <c r="I251" t="str">
        <f>T("[e북]끝까지, 지독하게")</f>
        <v>[e북]끝까지, 지독하게</v>
      </c>
      <c r="J251">
        <v>3600</v>
      </c>
      <c r="K251">
        <v>3600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3600</v>
      </c>
      <c r="AH251">
        <v>1</v>
      </c>
      <c r="AI251">
        <v>0</v>
      </c>
      <c r="AJ251">
        <v>0</v>
      </c>
      <c r="AK251">
        <v>3600</v>
      </c>
      <c r="AL251">
        <v>0</v>
      </c>
      <c r="AM251">
        <v>0</v>
      </c>
      <c r="AN251">
        <v>0</v>
      </c>
      <c r="AO251">
        <v>0</v>
      </c>
      <c r="AP251" s="2">
        <v>2520</v>
      </c>
      <c r="AR251" t="str">
        <f t="shared" si="24"/>
        <v>0000000000000</v>
      </c>
      <c r="AT251" t="str">
        <f>T("9791164899753")</f>
        <v>9791164899753</v>
      </c>
      <c r="AV251" t="str">
        <f>T("로맨스 e북 &gt; 현대물")</f>
        <v>로맨스 e북 &gt; 현대물</v>
      </c>
      <c r="AW251" t="str">
        <f>T("로맨스 e북 &gt; 19+")</f>
        <v>로맨스 e북 &gt; 19+</v>
      </c>
    </row>
    <row r="252" spans="1:49" x14ac:dyDescent="0.4">
      <c r="B252">
        <v>1525013431</v>
      </c>
      <c r="C252" t="str">
        <f>T("[e북]이중생활")</f>
        <v>[e북]이중생활</v>
      </c>
      <c r="E252" t="str">
        <f>T("이정숙")</f>
        <v>이정숙</v>
      </c>
      <c r="H252" t="str">
        <f>T("밀리오리지널")</f>
        <v>밀리오리지널</v>
      </c>
      <c r="J252">
        <v>2000</v>
      </c>
      <c r="K252">
        <v>3600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3600</v>
      </c>
      <c r="AH252">
        <v>2</v>
      </c>
      <c r="AI252">
        <v>0</v>
      </c>
      <c r="AJ252">
        <v>0</v>
      </c>
      <c r="AK252">
        <v>3600</v>
      </c>
      <c r="AL252">
        <v>0</v>
      </c>
      <c r="AM252">
        <v>0</v>
      </c>
      <c r="AN252">
        <v>0</v>
      </c>
      <c r="AO252">
        <v>0</v>
      </c>
      <c r="AP252" s="2">
        <v>2520</v>
      </c>
      <c r="AT252" t="str">
        <f>T("9791191562040")</f>
        <v>9791191562040</v>
      </c>
      <c r="AV252" t="str">
        <f>T("로맨스 e북 &gt; 현대물")</f>
        <v>로맨스 e북 &gt; 현대물</v>
      </c>
      <c r="AW252" t="str">
        <f>T("로맨스 e북 &gt; 19+")</f>
        <v>로맨스 e북 &gt; 19+</v>
      </c>
    </row>
    <row r="253" spans="1:49" x14ac:dyDescent="0.4">
      <c r="A253">
        <v>1525013341</v>
      </c>
      <c r="B253">
        <v>1525013341</v>
      </c>
      <c r="C253" t="str">
        <f>T("[e북]위험한 선배 1권")</f>
        <v>[e북]위험한 선배 1권</v>
      </c>
      <c r="D253" t="str">
        <f>T("1")</f>
        <v>1</v>
      </c>
      <c r="E253" t="str">
        <f>T("sJessi")</f>
        <v>sJessi</v>
      </c>
      <c r="H253" t="str">
        <f>T("쉬라즈")</f>
        <v>쉬라즈</v>
      </c>
      <c r="I253" t="str">
        <f>T("[e북]위험한 선배")</f>
        <v>[e북]위험한 선배</v>
      </c>
      <c r="J253">
        <v>3600</v>
      </c>
      <c r="K253">
        <v>3600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3600</v>
      </c>
      <c r="AH253">
        <v>1</v>
      </c>
      <c r="AI253">
        <v>0</v>
      </c>
      <c r="AJ253">
        <v>0</v>
      </c>
      <c r="AK253">
        <v>3600</v>
      </c>
      <c r="AL253">
        <v>0</v>
      </c>
      <c r="AM253">
        <v>0</v>
      </c>
      <c r="AN253">
        <v>0</v>
      </c>
      <c r="AO253">
        <v>0</v>
      </c>
      <c r="AP253" s="2">
        <v>2520</v>
      </c>
      <c r="AT253" t="str">
        <f>T("9791166483028")</f>
        <v>9791166483028</v>
      </c>
      <c r="AV253" t="str">
        <f>T("로맨스 e북 &gt; 현대물")</f>
        <v>로맨스 e북 &gt; 현대물</v>
      </c>
    </row>
    <row r="254" spans="1:49" x14ac:dyDescent="0.4">
      <c r="A254">
        <v>1525008073</v>
      </c>
      <c r="B254">
        <v>1525008073</v>
      </c>
      <c r="C254" t="str">
        <f>T("[e북]로맨틱 아이디얼 (Romantic Ideal) 1권")</f>
        <v>[e북]로맨틱 아이디얼 (Romantic Ideal) 1권</v>
      </c>
      <c r="D254" t="str">
        <f>T("1")</f>
        <v>1</v>
      </c>
      <c r="E254" t="str">
        <f>T("나나코")</f>
        <v>나나코</v>
      </c>
      <c r="H254" t="str">
        <f>T("블러쉬")</f>
        <v>블러쉬</v>
      </c>
      <c r="I254" t="str">
        <f>T("[e북]로맨틱 아이디얼(Romantic Ideal)")</f>
        <v>[e북]로맨틱 아이디얼(Romantic Ideal)</v>
      </c>
      <c r="J254">
        <v>3600</v>
      </c>
      <c r="K254">
        <v>3600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3600</v>
      </c>
      <c r="AH254">
        <v>1</v>
      </c>
      <c r="AI254">
        <v>0</v>
      </c>
      <c r="AJ254">
        <v>0</v>
      </c>
      <c r="AK254">
        <v>3600</v>
      </c>
      <c r="AL254">
        <v>0</v>
      </c>
      <c r="AM254">
        <v>0</v>
      </c>
      <c r="AN254">
        <v>0</v>
      </c>
      <c r="AO254">
        <v>0</v>
      </c>
      <c r="AP254" s="2">
        <v>2520</v>
      </c>
      <c r="AR254" t="str">
        <f t="shared" ref="AR254:AR279" si="25">T("0000000000000")</f>
        <v>0000000000000</v>
      </c>
      <c r="AT254" t="str">
        <f>T("9791190132282")</f>
        <v>9791190132282</v>
      </c>
      <c r="AV254" t="str">
        <f>T("BL 소설 e북 &gt; 현대물")</f>
        <v>BL 소설 e북 &gt; 현대물</v>
      </c>
    </row>
    <row r="255" spans="1:49" x14ac:dyDescent="0.4">
      <c r="B255">
        <v>1525007817</v>
      </c>
      <c r="C255" t="str">
        <f>T("[e북]아는 손, 아는 혀")</f>
        <v>[e북]아는 손, 아는 혀</v>
      </c>
      <c r="E255" t="str">
        <f>T("김지언")</f>
        <v>김지언</v>
      </c>
      <c r="H255" t="str">
        <f>T("쉬라즈")</f>
        <v>쉬라즈</v>
      </c>
      <c r="J255">
        <v>3600</v>
      </c>
      <c r="K255">
        <v>3600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3600</v>
      </c>
      <c r="AH255">
        <v>1</v>
      </c>
      <c r="AI255">
        <v>0</v>
      </c>
      <c r="AJ255">
        <v>0</v>
      </c>
      <c r="AK255">
        <v>3600</v>
      </c>
      <c r="AL255">
        <v>0</v>
      </c>
      <c r="AM255">
        <v>0</v>
      </c>
      <c r="AN255">
        <v>0</v>
      </c>
      <c r="AO255">
        <v>0</v>
      </c>
      <c r="AP255" s="2">
        <v>2520</v>
      </c>
      <c r="AR255" t="str">
        <f t="shared" si="25"/>
        <v>0000000000000</v>
      </c>
      <c r="AT255" t="str">
        <f>T("9791190132381")</f>
        <v>9791190132381</v>
      </c>
      <c r="AV255" t="str">
        <f>T("로맨스 e북 &gt; 현대물")</f>
        <v>로맨스 e북 &gt; 현대물</v>
      </c>
      <c r="AW255" t="str">
        <f>T("로맨스 e북 &gt; 19+")</f>
        <v>로맨스 e북 &gt; 19+</v>
      </c>
    </row>
    <row r="256" spans="1:49" x14ac:dyDescent="0.4">
      <c r="A256">
        <v>1525008030</v>
      </c>
      <c r="B256">
        <v>1525008031</v>
      </c>
      <c r="C256" t="str">
        <f>T("[e북]낮과 밤 2권 (완결)")</f>
        <v>[e북]낮과 밤 2권 (완결)</v>
      </c>
      <c r="D256" t="str">
        <f>T("2")</f>
        <v>2</v>
      </c>
      <c r="E256" t="str">
        <f>T("나나코")</f>
        <v>나나코</v>
      </c>
      <c r="H256" t="str">
        <f>T("블러쉬")</f>
        <v>블러쉬</v>
      </c>
      <c r="I256" t="str">
        <f>T("[e북]낮과 밤")</f>
        <v>[e북]낮과 밤</v>
      </c>
      <c r="J256">
        <v>3500</v>
      </c>
      <c r="K256">
        <v>3500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3500</v>
      </c>
      <c r="AH256">
        <v>1</v>
      </c>
      <c r="AI256">
        <v>0</v>
      </c>
      <c r="AJ256">
        <v>0</v>
      </c>
      <c r="AK256">
        <v>3500</v>
      </c>
      <c r="AL256">
        <v>0</v>
      </c>
      <c r="AM256">
        <v>0</v>
      </c>
      <c r="AN256">
        <v>0</v>
      </c>
      <c r="AO256">
        <v>0</v>
      </c>
      <c r="AP256" s="2">
        <v>2450</v>
      </c>
      <c r="AR256" t="str">
        <f t="shared" si="25"/>
        <v>0000000000000</v>
      </c>
      <c r="AT256" t="str">
        <f>T("9791166480393")</f>
        <v>9791166480393</v>
      </c>
      <c r="AV256" t="str">
        <f>T("BL 소설 e북 &gt; 현대물")</f>
        <v>BL 소설 e북 &gt; 현대물</v>
      </c>
    </row>
    <row r="257" spans="1:49" x14ac:dyDescent="0.4">
      <c r="A257">
        <v>1525013013</v>
      </c>
      <c r="B257">
        <v>1525013014</v>
      </c>
      <c r="C257" t="str">
        <f>T("[e북]그저, 닿지 않을 너에게 2권")</f>
        <v>[e북]그저, 닿지 않을 너에게 2권</v>
      </c>
      <c r="D257" t="str">
        <f>T("2")</f>
        <v>2</v>
      </c>
      <c r="E257" t="str">
        <f>T("뚜여사")</f>
        <v>뚜여사</v>
      </c>
      <c r="H257" t="str">
        <f>T("블러쉬")</f>
        <v>블러쉬</v>
      </c>
      <c r="I257" t="str">
        <f>T("[e북]그저, 닿지 않을 너에게")</f>
        <v>[e북]그저, 닿지 않을 너에게</v>
      </c>
      <c r="J257">
        <v>3500</v>
      </c>
      <c r="K257">
        <v>3500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3500</v>
      </c>
      <c r="AH257">
        <v>1</v>
      </c>
      <c r="AI257">
        <v>0</v>
      </c>
      <c r="AJ257">
        <v>0</v>
      </c>
      <c r="AK257">
        <v>100</v>
      </c>
      <c r="AL257">
        <v>0</v>
      </c>
      <c r="AM257">
        <v>3400</v>
      </c>
      <c r="AN257">
        <v>0</v>
      </c>
      <c r="AO257">
        <v>0</v>
      </c>
      <c r="AP257" s="2">
        <v>2450</v>
      </c>
      <c r="AR257" t="str">
        <f t="shared" si="25"/>
        <v>0000000000000</v>
      </c>
      <c r="AT257" t="str">
        <f>T("9791166482861")</f>
        <v>9791166482861</v>
      </c>
      <c r="AV257" t="str">
        <f>T("BL 소설 e북 &gt; 현대물")</f>
        <v>BL 소설 e북 &gt; 현대물</v>
      </c>
    </row>
    <row r="258" spans="1:49" x14ac:dyDescent="0.4">
      <c r="A258">
        <v>1525008145</v>
      </c>
      <c r="B258">
        <v>1525008145</v>
      </c>
      <c r="C258" t="str">
        <f>T("[e북]우리 집 악마 새끼 1권")</f>
        <v>[e북]우리 집 악마 새끼 1권</v>
      </c>
      <c r="D258" t="str">
        <f>T("1")</f>
        <v>1</v>
      </c>
      <c r="E258" t="str">
        <f>T("용가리맛쿠키")</f>
        <v>용가리맛쿠키</v>
      </c>
      <c r="H258" t="str">
        <f>T("블러쉬")</f>
        <v>블러쉬</v>
      </c>
      <c r="I258" t="str">
        <f>T("[e북]우리 집 악마 새끼")</f>
        <v>[e북]우리 집 악마 새끼</v>
      </c>
      <c r="J258">
        <v>3500</v>
      </c>
      <c r="K258">
        <v>3500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3500</v>
      </c>
      <c r="AH258">
        <v>1</v>
      </c>
      <c r="AI258">
        <v>0</v>
      </c>
      <c r="AJ258">
        <v>0</v>
      </c>
      <c r="AK258">
        <v>3500</v>
      </c>
      <c r="AL258">
        <v>0</v>
      </c>
      <c r="AM258">
        <v>0</v>
      </c>
      <c r="AN258">
        <v>0</v>
      </c>
      <c r="AO258">
        <v>0</v>
      </c>
      <c r="AP258" s="2">
        <v>2450</v>
      </c>
      <c r="AR258" t="str">
        <f t="shared" si="25"/>
        <v>0000000000000</v>
      </c>
      <c r="AT258" t="str">
        <f>T("9791190132954")</f>
        <v>9791190132954</v>
      </c>
      <c r="AV258" t="str">
        <f>T("BL 소설 e북 &gt; 현대물")</f>
        <v>BL 소설 e북 &gt; 현대물</v>
      </c>
      <c r="AW258" t="str">
        <f>T("BL 소설 e북 &gt; 판타지물")</f>
        <v>BL 소설 e북 &gt; 판타지물</v>
      </c>
    </row>
    <row r="259" spans="1:49" x14ac:dyDescent="0.4">
      <c r="A259">
        <v>1525008013</v>
      </c>
      <c r="B259">
        <v>1525008014</v>
      </c>
      <c r="C259" t="str">
        <f>T("[e북]귀수 2권 (완결)")</f>
        <v>[e북]귀수 2권 (완결)</v>
      </c>
      <c r="D259" t="str">
        <f>T("2")</f>
        <v>2</v>
      </c>
      <c r="E259" t="str">
        <f>T("키도")</f>
        <v>키도</v>
      </c>
      <c r="H259" t="str">
        <f>T("블러쉬")</f>
        <v>블러쉬</v>
      </c>
      <c r="I259" t="str">
        <f>T("[e북]귀수")</f>
        <v>[e북]귀수</v>
      </c>
      <c r="J259">
        <v>3500</v>
      </c>
      <c r="K259">
        <v>3500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3500</v>
      </c>
      <c r="AH259">
        <v>1</v>
      </c>
      <c r="AI259">
        <v>0</v>
      </c>
      <c r="AJ259">
        <v>0</v>
      </c>
      <c r="AK259">
        <v>3500</v>
      </c>
      <c r="AL259">
        <v>0</v>
      </c>
      <c r="AM259">
        <v>0</v>
      </c>
      <c r="AN259">
        <v>0</v>
      </c>
      <c r="AO259">
        <v>0</v>
      </c>
      <c r="AP259" s="2">
        <v>2450</v>
      </c>
      <c r="AR259" t="str">
        <f t="shared" si="25"/>
        <v>0000000000000</v>
      </c>
      <c r="AT259" t="str">
        <f>T("9791166481123")</f>
        <v>9791166481123</v>
      </c>
      <c r="AV259" t="str">
        <f>T("BL 소설 e북 &gt; 역사/시대물")</f>
        <v>BL 소설 e북 &gt; 역사/시대물</v>
      </c>
    </row>
    <row r="260" spans="1:49" x14ac:dyDescent="0.4">
      <c r="B260">
        <v>1525007818</v>
      </c>
      <c r="C260" t="str">
        <f>T("[e북]아침이 오지 않아도")</f>
        <v>[e북]아침이 오지 않아도</v>
      </c>
      <c r="E260" t="str">
        <f>T("홍영")</f>
        <v>홍영</v>
      </c>
      <c r="H260" t="str">
        <f>T("러브스토리")</f>
        <v>러브스토리</v>
      </c>
      <c r="J260">
        <v>3500</v>
      </c>
      <c r="K260">
        <v>3500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3500</v>
      </c>
      <c r="AH260">
        <v>1</v>
      </c>
      <c r="AI260">
        <v>0</v>
      </c>
      <c r="AJ260">
        <v>0</v>
      </c>
      <c r="AK260">
        <v>3500</v>
      </c>
      <c r="AL260">
        <v>0</v>
      </c>
      <c r="AM260">
        <v>0</v>
      </c>
      <c r="AN260">
        <v>0</v>
      </c>
      <c r="AO260">
        <v>0</v>
      </c>
      <c r="AP260" s="2">
        <v>2450</v>
      </c>
      <c r="AR260" t="str">
        <f t="shared" si="25"/>
        <v>0000000000000</v>
      </c>
      <c r="AT260" t="str">
        <f>T("9791164895854")</f>
        <v>9791164895854</v>
      </c>
      <c r="AV260" t="str">
        <f>T("로맨스 e북 &gt; 현대물")</f>
        <v>로맨스 e북 &gt; 현대물</v>
      </c>
      <c r="AW260" t="str">
        <f>T("로맨스 e북 &gt; 19+")</f>
        <v>로맨스 e북 &gt; 19+</v>
      </c>
    </row>
    <row r="261" spans="1:49" x14ac:dyDescent="0.4">
      <c r="A261">
        <v>1525013013</v>
      </c>
      <c r="B261">
        <v>1525013015</v>
      </c>
      <c r="C261" t="str">
        <f>T("[e북]그저, 닿지 않을 너에게 3권 (완결)")</f>
        <v>[e북]그저, 닿지 않을 너에게 3권 (완결)</v>
      </c>
      <c r="D261" t="str">
        <f>T("3")</f>
        <v>3</v>
      </c>
      <c r="E261" t="str">
        <f>T("뚜여사")</f>
        <v>뚜여사</v>
      </c>
      <c r="H261" t="str">
        <f t="shared" ref="H261:H268" si="26">T("블러쉬")</f>
        <v>블러쉬</v>
      </c>
      <c r="I261" t="str">
        <f>T("[e북]그저, 닿지 않을 너에게")</f>
        <v>[e북]그저, 닿지 않을 너에게</v>
      </c>
      <c r="J261">
        <v>3500</v>
      </c>
      <c r="K261">
        <v>3500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3500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3500</v>
      </c>
      <c r="AN261">
        <v>0</v>
      </c>
      <c r="AO261">
        <v>0</v>
      </c>
      <c r="AP261" s="2">
        <v>2450</v>
      </c>
      <c r="AR261" t="str">
        <f t="shared" si="25"/>
        <v>0000000000000</v>
      </c>
      <c r="AT261" t="str">
        <f>T("9791166482878")</f>
        <v>9791166482878</v>
      </c>
      <c r="AV261" t="str">
        <f t="shared" ref="AV261:AV266" si="27">T("BL 소설 e북 &gt; 현대물")</f>
        <v>BL 소설 e북 &gt; 현대물</v>
      </c>
    </row>
    <row r="262" spans="1:49" x14ac:dyDescent="0.4">
      <c r="A262">
        <v>1525008145</v>
      </c>
      <c r="B262">
        <v>1525008146</v>
      </c>
      <c r="C262" t="str">
        <f>T("[e북]우리 집 악마 새끼 2권 (완결)")</f>
        <v>[e북]우리 집 악마 새끼 2권 (완결)</v>
      </c>
      <c r="D262" t="str">
        <f>T("2")</f>
        <v>2</v>
      </c>
      <c r="E262" t="str">
        <f>T("용가리맛쿠키")</f>
        <v>용가리맛쿠키</v>
      </c>
      <c r="H262" t="str">
        <f t="shared" si="26"/>
        <v>블러쉬</v>
      </c>
      <c r="I262" t="str">
        <f>T("[e북]우리 집 악마 새끼")</f>
        <v>[e북]우리 집 악마 새끼</v>
      </c>
      <c r="J262">
        <v>3500</v>
      </c>
      <c r="K262">
        <v>3500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3500</v>
      </c>
      <c r="AH262">
        <v>1</v>
      </c>
      <c r="AI262">
        <v>0</v>
      </c>
      <c r="AJ262">
        <v>0</v>
      </c>
      <c r="AK262">
        <v>3500</v>
      </c>
      <c r="AL262">
        <v>0</v>
      </c>
      <c r="AM262">
        <v>0</v>
      </c>
      <c r="AN262">
        <v>0</v>
      </c>
      <c r="AO262">
        <v>0</v>
      </c>
      <c r="AP262" s="2">
        <v>2450</v>
      </c>
      <c r="AR262" t="str">
        <f t="shared" si="25"/>
        <v>0000000000000</v>
      </c>
      <c r="AT262" t="str">
        <f>T("9791190132961")</f>
        <v>9791190132961</v>
      </c>
      <c r="AV262" t="str">
        <f t="shared" si="27"/>
        <v>BL 소설 e북 &gt; 현대물</v>
      </c>
      <c r="AW262" t="str">
        <f>T("BL 소설 e북 &gt; 판타지물")</f>
        <v>BL 소설 e북 &gt; 판타지물</v>
      </c>
    </row>
    <row r="263" spans="1:49" x14ac:dyDescent="0.4">
      <c r="A263">
        <v>1525008060</v>
      </c>
      <c r="B263">
        <v>1525008060</v>
      </c>
      <c r="C263" t="str">
        <f>T("[e북]더티독 1권")</f>
        <v>[e북]더티독 1권</v>
      </c>
      <c r="D263" t="str">
        <f>T("1")</f>
        <v>1</v>
      </c>
      <c r="E263" t="str">
        <f>T("용가리맛쿠키")</f>
        <v>용가리맛쿠키</v>
      </c>
      <c r="H263" t="str">
        <f t="shared" si="26"/>
        <v>블러쉬</v>
      </c>
      <c r="I263" t="str">
        <f>T("[e북]더티독")</f>
        <v>[e북]더티독</v>
      </c>
      <c r="J263">
        <v>3500</v>
      </c>
      <c r="K263">
        <v>3500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3500</v>
      </c>
      <c r="AH263">
        <v>1</v>
      </c>
      <c r="AI263">
        <v>0</v>
      </c>
      <c r="AJ263">
        <v>0</v>
      </c>
      <c r="AK263">
        <v>3500</v>
      </c>
      <c r="AL263">
        <v>0</v>
      </c>
      <c r="AM263">
        <v>0</v>
      </c>
      <c r="AN263">
        <v>0</v>
      </c>
      <c r="AO263">
        <v>0</v>
      </c>
      <c r="AP263" s="2">
        <v>2450</v>
      </c>
      <c r="AR263" t="str">
        <f t="shared" si="25"/>
        <v>0000000000000</v>
      </c>
      <c r="AT263" t="str">
        <f>T("9791164896981")</f>
        <v>9791164896981</v>
      </c>
      <c r="AV263" t="str">
        <f t="shared" si="27"/>
        <v>BL 소설 e북 &gt; 현대물</v>
      </c>
    </row>
    <row r="264" spans="1:49" x14ac:dyDescent="0.4">
      <c r="A264">
        <v>1525008030</v>
      </c>
      <c r="B264">
        <v>1525008030</v>
      </c>
      <c r="C264" t="str">
        <f>T("[e북]낮과 밤 1권")</f>
        <v>[e북]낮과 밤 1권</v>
      </c>
      <c r="D264" t="str">
        <f>T("1")</f>
        <v>1</v>
      </c>
      <c r="E264" t="str">
        <f>T("나나코")</f>
        <v>나나코</v>
      </c>
      <c r="H264" t="str">
        <f t="shared" si="26"/>
        <v>블러쉬</v>
      </c>
      <c r="I264" t="str">
        <f>T("[e북]낮과 밤")</f>
        <v>[e북]낮과 밤</v>
      </c>
      <c r="J264">
        <v>3500</v>
      </c>
      <c r="K264">
        <v>3500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3500</v>
      </c>
      <c r="AH264">
        <v>1</v>
      </c>
      <c r="AI264">
        <v>0</v>
      </c>
      <c r="AJ264">
        <v>0</v>
      </c>
      <c r="AK264">
        <v>3500</v>
      </c>
      <c r="AL264">
        <v>0</v>
      </c>
      <c r="AM264">
        <v>0</v>
      </c>
      <c r="AN264">
        <v>0</v>
      </c>
      <c r="AO264">
        <v>0</v>
      </c>
      <c r="AP264" s="2">
        <v>2450</v>
      </c>
      <c r="AR264" t="str">
        <f t="shared" si="25"/>
        <v>0000000000000</v>
      </c>
      <c r="AT264" t="str">
        <f>T("9791166480386")</f>
        <v>9791166480386</v>
      </c>
      <c r="AV264" t="str">
        <f t="shared" si="27"/>
        <v>BL 소설 e북 &gt; 현대물</v>
      </c>
    </row>
    <row r="265" spans="1:49" x14ac:dyDescent="0.4">
      <c r="A265">
        <v>1525008060</v>
      </c>
      <c r="B265">
        <v>1525008061</v>
      </c>
      <c r="C265" t="str">
        <f>T("[e북]더티독 2권 (완결)")</f>
        <v>[e북]더티독 2권 (완결)</v>
      </c>
      <c r="D265" t="str">
        <f>T("2")</f>
        <v>2</v>
      </c>
      <c r="E265" t="str">
        <f>T("용가리맛쿠키")</f>
        <v>용가리맛쿠키</v>
      </c>
      <c r="H265" t="str">
        <f t="shared" si="26"/>
        <v>블러쉬</v>
      </c>
      <c r="I265" t="str">
        <f>T("[e북]더티독")</f>
        <v>[e북]더티독</v>
      </c>
      <c r="J265">
        <v>3500</v>
      </c>
      <c r="K265">
        <v>3500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3500</v>
      </c>
      <c r="AH265">
        <v>1</v>
      </c>
      <c r="AI265">
        <v>0</v>
      </c>
      <c r="AJ265">
        <v>0</v>
      </c>
      <c r="AK265">
        <v>3500</v>
      </c>
      <c r="AL265">
        <v>0</v>
      </c>
      <c r="AM265">
        <v>0</v>
      </c>
      <c r="AN265">
        <v>0</v>
      </c>
      <c r="AO265">
        <v>0</v>
      </c>
      <c r="AP265" s="2">
        <v>2450</v>
      </c>
      <c r="AR265" t="str">
        <f t="shared" si="25"/>
        <v>0000000000000</v>
      </c>
      <c r="AT265" t="str">
        <f>T("9791164896998")</f>
        <v>9791164896998</v>
      </c>
      <c r="AV265" t="str">
        <f t="shared" si="27"/>
        <v>BL 소설 e북 &gt; 현대물</v>
      </c>
    </row>
    <row r="266" spans="1:49" x14ac:dyDescent="0.4">
      <c r="A266">
        <v>1525008215</v>
      </c>
      <c r="B266">
        <v>1525008217</v>
      </c>
      <c r="C266" t="str">
        <f>T("[e북]그 순간, 별이 빛났다 3권 (완결)")</f>
        <v>[e북]그 순간, 별이 빛났다 3권 (완결)</v>
      </c>
      <c r="D266" t="str">
        <f>T("3")</f>
        <v>3</v>
      </c>
      <c r="E266" t="str">
        <f>T("성실")</f>
        <v>성실</v>
      </c>
      <c r="H266" t="str">
        <f t="shared" si="26"/>
        <v>블러쉬</v>
      </c>
      <c r="I266" t="str">
        <f>T("[e북]그 순간, 별이 빛났다")</f>
        <v>[e북]그 순간, 별이 빛났다</v>
      </c>
      <c r="J266">
        <v>3500</v>
      </c>
      <c r="K266">
        <v>3500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3500</v>
      </c>
      <c r="AH266">
        <v>1</v>
      </c>
      <c r="AI266">
        <v>0</v>
      </c>
      <c r="AJ266">
        <v>0</v>
      </c>
      <c r="AK266">
        <v>3500</v>
      </c>
      <c r="AL266">
        <v>0</v>
      </c>
      <c r="AM266">
        <v>0</v>
      </c>
      <c r="AN266">
        <v>0</v>
      </c>
      <c r="AO266">
        <v>0</v>
      </c>
      <c r="AP266" s="2">
        <v>2450</v>
      </c>
      <c r="AR266" t="str">
        <f t="shared" si="25"/>
        <v>0000000000000</v>
      </c>
      <c r="AT266" t="str">
        <f>T("9791166481864")</f>
        <v>9791166481864</v>
      </c>
      <c r="AV266" t="str">
        <f t="shared" si="27"/>
        <v>BL 소설 e북 &gt; 현대물</v>
      </c>
    </row>
    <row r="267" spans="1:49" x14ac:dyDescent="0.4">
      <c r="A267">
        <v>1525008013</v>
      </c>
      <c r="B267">
        <v>1525008013</v>
      </c>
      <c r="C267" t="str">
        <f>T("[e북]귀수 1권")</f>
        <v>[e북]귀수 1권</v>
      </c>
      <c r="D267" t="str">
        <f>T("1")</f>
        <v>1</v>
      </c>
      <c r="E267" t="str">
        <f>T("키도")</f>
        <v>키도</v>
      </c>
      <c r="H267" t="str">
        <f t="shared" si="26"/>
        <v>블러쉬</v>
      </c>
      <c r="I267" t="str">
        <f>T("[e북]귀수")</f>
        <v>[e북]귀수</v>
      </c>
      <c r="J267">
        <v>3500</v>
      </c>
      <c r="K267">
        <v>3500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3500</v>
      </c>
      <c r="AH267">
        <v>1</v>
      </c>
      <c r="AI267">
        <v>0</v>
      </c>
      <c r="AJ267">
        <v>0</v>
      </c>
      <c r="AK267">
        <v>3500</v>
      </c>
      <c r="AL267">
        <v>0</v>
      </c>
      <c r="AM267">
        <v>0</v>
      </c>
      <c r="AN267">
        <v>0</v>
      </c>
      <c r="AO267">
        <v>0</v>
      </c>
      <c r="AP267" s="2">
        <v>2450</v>
      </c>
      <c r="AR267" t="str">
        <f t="shared" si="25"/>
        <v>0000000000000</v>
      </c>
      <c r="AT267" t="str">
        <f>T("9791166481116")</f>
        <v>9791166481116</v>
      </c>
      <c r="AV267" t="str">
        <f>T("BL 소설 e북 &gt; 역사/시대물")</f>
        <v>BL 소설 e북 &gt; 역사/시대물</v>
      </c>
    </row>
    <row r="268" spans="1:49" x14ac:dyDescent="0.4">
      <c r="A268">
        <v>1525008210</v>
      </c>
      <c r="B268">
        <v>1525008210</v>
      </c>
      <c r="C268" t="str">
        <f>T("[e북]한국의 멸종위기종 1권")</f>
        <v>[e북]한국의 멸종위기종 1권</v>
      </c>
      <c r="D268" t="str">
        <f>T("1")</f>
        <v>1</v>
      </c>
      <c r="E268" t="str">
        <f>T("어색어색열매")</f>
        <v>어색어색열매</v>
      </c>
      <c r="H268" t="str">
        <f t="shared" si="26"/>
        <v>블러쉬</v>
      </c>
      <c r="I268" t="str">
        <f>T("[e북]한국의 멸종위기종")</f>
        <v>[e북]한국의 멸종위기종</v>
      </c>
      <c r="J268">
        <v>3400</v>
      </c>
      <c r="K268">
        <v>3400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3400</v>
      </c>
      <c r="AH268">
        <v>1</v>
      </c>
      <c r="AI268">
        <v>0</v>
      </c>
      <c r="AJ268">
        <v>0</v>
      </c>
      <c r="AK268">
        <v>3400</v>
      </c>
      <c r="AL268">
        <v>0</v>
      </c>
      <c r="AM268">
        <v>0</v>
      </c>
      <c r="AN268">
        <v>0</v>
      </c>
      <c r="AO268">
        <v>0</v>
      </c>
      <c r="AP268" s="2">
        <v>2380</v>
      </c>
      <c r="AR268" t="str">
        <f t="shared" si="25"/>
        <v>0000000000000</v>
      </c>
      <c r="AT268" t="str">
        <f>T("9791164891931")</f>
        <v>9791164891931</v>
      </c>
      <c r="AU268" t="str">
        <f>T("B8")</f>
        <v>B8</v>
      </c>
      <c r="AV268" t="str">
        <f>T("BL 소설 e북 &gt; 현대물")</f>
        <v>BL 소설 e북 &gt; 현대물</v>
      </c>
    </row>
    <row r="269" spans="1:49" x14ac:dyDescent="0.4">
      <c r="A269">
        <v>1525007802</v>
      </c>
      <c r="B269">
        <v>1525007802</v>
      </c>
      <c r="C269" t="str">
        <f>T("[e북]불건전한 수컷 1권")</f>
        <v>[e북]불건전한 수컷 1권</v>
      </c>
      <c r="D269" t="str">
        <f>T("1")</f>
        <v>1</v>
      </c>
      <c r="E269" t="str">
        <f>T("sJessi")</f>
        <v>sJessi</v>
      </c>
      <c r="H269" t="str">
        <f>T("쉬라즈")</f>
        <v>쉬라즈</v>
      </c>
      <c r="I269" t="str">
        <f>T("[e북]불건전한 수컷")</f>
        <v>[e북]불건전한 수컷</v>
      </c>
      <c r="J269">
        <v>3400</v>
      </c>
      <c r="K269">
        <v>3400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3400</v>
      </c>
      <c r="AH269">
        <v>1</v>
      </c>
      <c r="AI269">
        <v>0</v>
      </c>
      <c r="AJ269">
        <v>0</v>
      </c>
      <c r="AK269">
        <v>3400</v>
      </c>
      <c r="AL269">
        <v>0</v>
      </c>
      <c r="AM269">
        <v>0</v>
      </c>
      <c r="AN269">
        <v>0</v>
      </c>
      <c r="AO269">
        <v>0</v>
      </c>
      <c r="AP269" s="2">
        <v>2380</v>
      </c>
      <c r="AR269" t="str">
        <f t="shared" si="25"/>
        <v>0000000000000</v>
      </c>
      <c r="AT269" t="str">
        <f>T("9791164899371")</f>
        <v>9791164899371</v>
      </c>
      <c r="AV269" t="str">
        <f>T("로맨스 e북 &gt; 현대물")</f>
        <v>로맨스 e북 &gt; 현대물</v>
      </c>
      <c r="AW269" t="str">
        <f>T("로맨스 e북 &gt; 19+")</f>
        <v>로맨스 e북 &gt; 19+</v>
      </c>
    </row>
    <row r="270" spans="1:49" x14ac:dyDescent="0.4">
      <c r="B270">
        <v>1525008218</v>
      </c>
      <c r="C270" t="str">
        <f>T("[e북]개만도 못한,")</f>
        <v>[e북]개만도 못한,</v>
      </c>
      <c r="E270" t="str">
        <f>T("진도넛")</f>
        <v>진도넛</v>
      </c>
      <c r="H270" t="str">
        <f>T("블러쉬")</f>
        <v>블러쉬</v>
      </c>
      <c r="J270">
        <v>3400</v>
      </c>
      <c r="K270">
        <v>3400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3400</v>
      </c>
      <c r="AH270">
        <v>1</v>
      </c>
      <c r="AI270">
        <v>0</v>
      </c>
      <c r="AJ270">
        <v>0</v>
      </c>
      <c r="AK270">
        <v>3400</v>
      </c>
      <c r="AL270">
        <v>0</v>
      </c>
      <c r="AM270">
        <v>0</v>
      </c>
      <c r="AN270">
        <v>0</v>
      </c>
      <c r="AO270">
        <v>0</v>
      </c>
      <c r="AP270" s="2">
        <v>2380</v>
      </c>
      <c r="AR270" t="str">
        <f t="shared" si="25"/>
        <v>0000000000000</v>
      </c>
      <c r="AT270" t="str">
        <f>T("9791166481895")</f>
        <v>9791166481895</v>
      </c>
      <c r="AV270" t="str">
        <f>T("BL 소설 e북 &gt; 현대물")</f>
        <v>BL 소설 e북 &gt; 현대물</v>
      </c>
    </row>
    <row r="271" spans="1:49" x14ac:dyDescent="0.4">
      <c r="A271">
        <v>1525008026</v>
      </c>
      <c r="B271">
        <v>1525008026</v>
      </c>
      <c r="C271" t="str">
        <f>T("[e북]나쁜 피 1권")</f>
        <v>[e북]나쁜 피 1권</v>
      </c>
      <c r="D271" t="str">
        <f>T("1")</f>
        <v>1</v>
      </c>
      <c r="E271" t="str">
        <f>T("이예즈")</f>
        <v>이예즈</v>
      </c>
      <c r="H271" t="str">
        <f>T("블러쉬")</f>
        <v>블러쉬</v>
      </c>
      <c r="I271" t="str">
        <f>T("[e북]나쁜 피")</f>
        <v>[e북]나쁜 피</v>
      </c>
      <c r="J271">
        <v>3400</v>
      </c>
      <c r="K271">
        <v>3400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3400</v>
      </c>
      <c r="AH271">
        <v>1</v>
      </c>
      <c r="AI271">
        <v>0</v>
      </c>
      <c r="AJ271">
        <v>0</v>
      </c>
      <c r="AK271">
        <v>3400</v>
      </c>
      <c r="AL271">
        <v>0</v>
      </c>
      <c r="AM271">
        <v>0</v>
      </c>
      <c r="AN271">
        <v>0</v>
      </c>
      <c r="AO271">
        <v>0</v>
      </c>
      <c r="AP271" s="2">
        <v>2380</v>
      </c>
      <c r="AR271" t="str">
        <f t="shared" si="25"/>
        <v>0000000000000</v>
      </c>
      <c r="AT271" t="str">
        <f>T("9791164890132")</f>
        <v>9791164890132</v>
      </c>
      <c r="AV271" t="str">
        <f>T("BL 소설 e북 &gt; 현대물")</f>
        <v>BL 소설 e북 &gt; 현대물</v>
      </c>
    </row>
    <row r="272" spans="1:49" x14ac:dyDescent="0.4">
      <c r="B272">
        <v>1525013005</v>
      </c>
      <c r="C272" t="str">
        <f>T("[e북]바람피우지 마세요")</f>
        <v>[e북]바람피우지 마세요</v>
      </c>
      <c r="E272" t="str">
        <f>T("정감")</f>
        <v>정감</v>
      </c>
      <c r="H272" t="str">
        <f>T("쉬라즈")</f>
        <v>쉬라즈</v>
      </c>
      <c r="J272">
        <v>3400</v>
      </c>
      <c r="K272">
        <v>3400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3400</v>
      </c>
      <c r="AH272">
        <v>1</v>
      </c>
      <c r="AI272">
        <v>0</v>
      </c>
      <c r="AJ272">
        <v>0</v>
      </c>
      <c r="AK272">
        <v>3400</v>
      </c>
      <c r="AL272">
        <v>0</v>
      </c>
      <c r="AM272">
        <v>0</v>
      </c>
      <c r="AN272">
        <v>0</v>
      </c>
      <c r="AO272">
        <v>0</v>
      </c>
      <c r="AP272" s="2">
        <v>2380</v>
      </c>
      <c r="AR272" t="str">
        <f t="shared" si="25"/>
        <v>0000000000000</v>
      </c>
      <c r="AT272" t="str">
        <f>T("9791166482632")</f>
        <v>9791166482632</v>
      </c>
      <c r="AV272" t="str">
        <f>T("로맨스 e북 &gt; 현대물")</f>
        <v>로맨스 e북 &gt; 현대물</v>
      </c>
    </row>
    <row r="273" spans="1:48" x14ac:dyDescent="0.4">
      <c r="A273">
        <v>1525008210</v>
      </c>
      <c r="B273">
        <v>1525008211</v>
      </c>
      <c r="C273" t="str">
        <f>T("[e북]한국의 멸종위기종 2권 (완결)")</f>
        <v>[e북]한국의 멸종위기종 2권 (완결)</v>
      </c>
      <c r="D273" t="str">
        <f>T("2")</f>
        <v>2</v>
      </c>
      <c r="E273" t="str">
        <f>T("어색어색열매")</f>
        <v>어색어색열매</v>
      </c>
      <c r="H273" t="str">
        <f>T("블러쉬")</f>
        <v>블러쉬</v>
      </c>
      <c r="I273" t="str">
        <f>T("[e북]한국의 멸종위기종")</f>
        <v>[e북]한국의 멸종위기종</v>
      </c>
      <c r="J273">
        <v>3400</v>
      </c>
      <c r="K273">
        <v>3400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3400</v>
      </c>
      <c r="AH273">
        <v>1</v>
      </c>
      <c r="AI273">
        <v>0</v>
      </c>
      <c r="AJ273">
        <v>0</v>
      </c>
      <c r="AK273">
        <v>3400</v>
      </c>
      <c r="AL273">
        <v>0</v>
      </c>
      <c r="AM273">
        <v>0</v>
      </c>
      <c r="AN273">
        <v>0</v>
      </c>
      <c r="AO273">
        <v>0</v>
      </c>
      <c r="AP273" s="2">
        <v>2380</v>
      </c>
      <c r="AR273" t="str">
        <f t="shared" si="25"/>
        <v>0000000000000</v>
      </c>
      <c r="AT273" t="str">
        <f>T("9791164891948")</f>
        <v>9791164891948</v>
      </c>
      <c r="AU273" t="str">
        <f>T("B8")</f>
        <v>B8</v>
      </c>
      <c r="AV273" t="str">
        <f>T("BL 소설 e북 &gt; 현대물")</f>
        <v>BL 소설 e북 &gt; 현대물</v>
      </c>
    </row>
    <row r="274" spans="1:48" x14ac:dyDescent="0.4">
      <c r="A274">
        <v>1525007830</v>
      </c>
      <c r="B274">
        <v>1525007830</v>
      </c>
      <c r="C274" t="str">
        <f>T("[e북]운상연담: 화불능귀일락 1권")</f>
        <v>[e북]운상연담: 화불능귀일락 1권</v>
      </c>
      <c r="D274" t="str">
        <f>T("1")</f>
        <v>1</v>
      </c>
      <c r="E274" t="str">
        <f>T("피모")</f>
        <v>피모</v>
      </c>
      <c r="H274" t="str">
        <f>T("쉬라즈")</f>
        <v>쉬라즈</v>
      </c>
      <c r="I274" t="str">
        <f>T("[e북]운상연담: 화불능귀일락")</f>
        <v>[e북]운상연담: 화불능귀일락</v>
      </c>
      <c r="J274">
        <v>3400</v>
      </c>
      <c r="K274">
        <v>3400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3400</v>
      </c>
      <c r="AH274">
        <v>1</v>
      </c>
      <c r="AI274">
        <v>0</v>
      </c>
      <c r="AJ274">
        <v>0</v>
      </c>
      <c r="AK274">
        <v>3400</v>
      </c>
      <c r="AL274">
        <v>0</v>
      </c>
      <c r="AM274">
        <v>0</v>
      </c>
      <c r="AN274">
        <v>0</v>
      </c>
      <c r="AO274">
        <v>0</v>
      </c>
      <c r="AP274" s="2">
        <v>2380</v>
      </c>
      <c r="AR274" t="str">
        <f t="shared" si="25"/>
        <v>0000000000000</v>
      </c>
      <c r="AT274" t="str">
        <f>T("9791190132596")</f>
        <v>9791190132596</v>
      </c>
      <c r="AV274" t="str">
        <f>T("로맨스 e북 &gt; 역사/시대물")</f>
        <v>로맨스 e북 &gt; 역사/시대물</v>
      </c>
    </row>
    <row r="275" spans="1:48" x14ac:dyDescent="0.4">
      <c r="A275">
        <v>1525008026</v>
      </c>
      <c r="B275">
        <v>1525008027</v>
      </c>
      <c r="C275" t="str">
        <f>T("[e북]나쁜 피 2권 (완결)")</f>
        <v>[e북]나쁜 피 2권 (완결)</v>
      </c>
      <c r="D275" t="str">
        <f>T("2")</f>
        <v>2</v>
      </c>
      <c r="E275" t="str">
        <f>T("이예즈")</f>
        <v>이예즈</v>
      </c>
      <c r="H275" t="str">
        <f>T("블러쉬")</f>
        <v>블러쉬</v>
      </c>
      <c r="I275" t="str">
        <f>T("[e북]나쁜 피")</f>
        <v>[e북]나쁜 피</v>
      </c>
      <c r="J275">
        <v>3400</v>
      </c>
      <c r="K275">
        <v>3400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3400</v>
      </c>
      <c r="AH275">
        <v>1</v>
      </c>
      <c r="AI275">
        <v>0</v>
      </c>
      <c r="AJ275">
        <v>0</v>
      </c>
      <c r="AK275">
        <v>3400</v>
      </c>
      <c r="AL275">
        <v>0</v>
      </c>
      <c r="AM275">
        <v>0</v>
      </c>
      <c r="AN275">
        <v>0</v>
      </c>
      <c r="AO275">
        <v>0</v>
      </c>
      <c r="AP275" s="2">
        <v>2380</v>
      </c>
      <c r="AR275" t="str">
        <f t="shared" si="25"/>
        <v>0000000000000</v>
      </c>
      <c r="AT275" t="str">
        <f>T("9791164890149")</f>
        <v>9791164890149</v>
      </c>
      <c r="AV275" t="str">
        <f>T("BL 소설 e북 &gt; 현대물")</f>
        <v>BL 소설 e북 &gt; 현대물</v>
      </c>
    </row>
    <row r="276" spans="1:48" x14ac:dyDescent="0.4">
      <c r="A276">
        <v>1525008161</v>
      </c>
      <c r="B276">
        <v>1525008162</v>
      </c>
      <c r="C276" t="str">
        <f>T("[e북]은아 멸치국수집 2권 (완결)")</f>
        <v>[e북]은아 멸치국수집 2권 (완결)</v>
      </c>
      <c r="D276" t="str">
        <f>T("2")</f>
        <v>2</v>
      </c>
      <c r="E276" t="str">
        <f>T("배추적")</f>
        <v>배추적</v>
      </c>
      <c r="H276" t="str">
        <f>T("블러쉬")</f>
        <v>블러쉬</v>
      </c>
      <c r="I276" t="str">
        <f>T("[e북]은아 멸치국수집")</f>
        <v>[e북]은아 멸치국수집</v>
      </c>
      <c r="J276">
        <v>3400</v>
      </c>
      <c r="K276">
        <v>3400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3400</v>
      </c>
      <c r="AH276">
        <v>1</v>
      </c>
      <c r="AI276">
        <v>0</v>
      </c>
      <c r="AJ276">
        <v>0</v>
      </c>
      <c r="AK276">
        <v>3400</v>
      </c>
      <c r="AL276">
        <v>0</v>
      </c>
      <c r="AM276">
        <v>0</v>
      </c>
      <c r="AN276">
        <v>0</v>
      </c>
      <c r="AO276">
        <v>0</v>
      </c>
      <c r="AP276" s="2">
        <v>2380</v>
      </c>
      <c r="AR276" t="str">
        <f t="shared" si="25"/>
        <v>0000000000000</v>
      </c>
      <c r="AT276" t="str">
        <f>T("9791166480355")</f>
        <v>9791166480355</v>
      </c>
      <c r="AV276" t="str">
        <f>T("BL 소설 e북 &gt; 현대물")</f>
        <v>BL 소설 e북 &gt; 현대물</v>
      </c>
    </row>
    <row r="277" spans="1:48" x14ac:dyDescent="0.4">
      <c r="A277">
        <v>1525008161</v>
      </c>
      <c r="B277">
        <v>1525008163</v>
      </c>
      <c r="C277" t="str">
        <f>T("[e북]은아 멸치국수집 3권 (외전)")</f>
        <v>[e북]은아 멸치국수집 3권 (외전)</v>
      </c>
      <c r="D277" t="str">
        <f>T("3")</f>
        <v>3</v>
      </c>
      <c r="E277" t="str">
        <f>T("배추적")</f>
        <v>배추적</v>
      </c>
      <c r="H277" t="str">
        <f>T("블러쉬")</f>
        <v>블러쉬</v>
      </c>
      <c r="I277" t="str">
        <f>T("[e북]은아 멸치국수집")</f>
        <v>[e북]은아 멸치국수집</v>
      </c>
      <c r="J277">
        <v>3400</v>
      </c>
      <c r="K277">
        <v>3400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3400</v>
      </c>
      <c r="AH277">
        <v>1</v>
      </c>
      <c r="AI277">
        <v>0</v>
      </c>
      <c r="AJ277">
        <v>0</v>
      </c>
      <c r="AK277">
        <v>3400</v>
      </c>
      <c r="AL277">
        <v>0</v>
      </c>
      <c r="AM277">
        <v>0</v>
      </c>
      <c r="AN277">
        <v>0</v>
      </c>
      <c r="AO277">
        <v>0</v>
      </c>
      <c r="AP277" s="2">
        <v>2380</v>
      </c>
      <c r="AR277" t="str">
        <f t="shared" si="25"/>
        <v>0000000000000</v>
      </c>
      <c r="AT277" t="str">
        <f>T("9791166480362")</f>
        <v>9791166480362</v>
      </c>
      <c r="AV277" t="str">
        <f>T("BL 소설 e북 &gt; 현대물")</f>
        <v>BL 소설 e북 &gt; 현대물</v>
      </c>
    </row>
    <row r="278" spans="1:48" x14ac:dyDescent="0.4">
      <c r="B278">
        <v>1525008015</v>
      </c>
      <c r="C278" t="str">
        <f>T("[e북]그을린 신기루")</f>
        <v>[e북]그을린 신기루</v>
      </c>
      <c r="E278" t="str">
        <f>T("녹치")</f>
        <v>녹치</v>
      </c>
      <c r="H278" t="str">
        <f>T("블러쉬")</f>
        <v>블러쉬</v>
      </c>
      <c r="J278">
        <v>3300</v>
      </c>
      <c r="K278">
        <v>3300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3300</v>
      </c>
      <c r="AH278">
        <v>1</v>
      </c>
      <c r="AI278">
        <v>0</v>
      </c>
      <c r="AJ278">
        <v>0</v>
      </c>
      <c r="AK278">
        <v>3300</v>
      </c>
      <c r="AL278">
        <v>0</v>
      </c>
      <c r="AM278">
        <v>0</v>
      </c>
      <c r="AN278">
        <v>0</v>
      </c>
      <c r="AO278">
        <v>0</v>
      </c>
      <c r="AP278" s="2">
        <v>2310</v>
      </c>
      <c r="AR278" t="str">
        <f t="shared" si="25"/>
        <v>0000000000000</v>
      </c>
      <c r="AT278" t="str">
        <f>T("9791164891771")</f>
        <v>9791164891771</v>
      </c>
      <c r="AV278" t="str">
        <f>T("BL 소설 e북 &gt; 현대물")</f>
        <v>BL 소설 e북 &gt; 현대물</v>
      </c>
    </row>
    <row r="279" spans="1:48" x14ac:dyDescent="0.4">
      <c r="A279">
        <v>1525000107</v>
      </c>
      <c r="B279">
        <v>1525000112</v>
      </c>
      <c r="C279" t="str">
        <f>T("[e북]데이몬 6권 (완결)")</f>
        <v>[e북]데이몬 6권 (완결)</v>
      </c>
      <c r="D279" t="str">
        <f>T("6")</f>
        <v>6</v>
      </c>
      <c r="E279" t="str">
        <f>T("김정률")</f>
        <v>김정률</v>
      </c>
      <c r="H279" t="str">
        <f>T("스토리위즈")</f>
        <v>스토리위즈</v>
      </c>
      <c r="I279" t="str">
        <f>T("[e북]데이몬")</f>
        <v>[e북]데이몬</v>
      </c>
      <c r="J279">
        <v>3200</v>
      </c>
      <c r="K279">
        <v>3200</v>
      </c>
      <c r="L279">
        <v>1</v>
      </c>
      <c r="M279">
        <v>0</v>
      </c>
      <c r="N279">
        <v>2700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5900</v>
      </c>
      <c r="AH279">
        <v>4</v>
      </c>
      <c r="AI279">
        <v>0</v>
      </c>
      <c r="AJ279">
        <v>0</v>
      </c>
      <c r="AK279">
        <v>5900</v>
      </c>
      <c r="AL279">
        <v>0</v>
      </c>
      <c r="AM279">
        <v>0</v>
      </c>
      <c r="AN279">
        <v>0</v>
      </c>
      <c r="AO279">
        <v>0</v>
      </c>
      <c r="AP279" s="2">
        <v>4130</v>
      </c>
      <c r="AR279" t="str">
        <f t="shared" si="25"/>
        <v>0000000000000</v>
      </c>
      <c r="AT279" t="str">
        <f>T("9791166062056")</f>
        <v>9791166062056</v>
      </c>
      <c r="AV279" t="str">
        <f>T("판타지 e북 &gt; 퓨전 판타지")</f>
        <v>판타지 e북 &gt; 퓨전 판타지</v>
      </c>
    </row>
    <row r="280" spans="1:48" x14ac:dyDescent="0.4">
      <c r="A280">
        <v>1525011970</v>
      </c>
      <c r="B280">
        <v>1525011959</v>
      </c>
      <c r="C280" t="str">
        <f>T("[e북]강호, 미치다 12권")</f>
        <v>[e북]강호, 미치다 12권</v>
      </c>
      <c r="D280" t="str">
        <f>T("12")</f>
        <v>12</v>
      </c>
      <c r="E280" t="str">
        <f>T("최재봉")</f>
        <v>최재봉</v>
      </c>
      <c r="H280" t="str">
        <f>T("에필로그")</f>
        <v>에필로그</v>
      </c>
      <c r="I280" t="str">
        <f>T("[e북]강호, 미치다")</f>
        <v>[e북]강호, 미치다</v>
      </c>
      <c r="J280">
        <v>3200</v>
      </c>
      <c r="K280">
        <v>3200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3200</v>
      </c>
      <c r="AH280">
        <v>1</v>
      </c>
      <c r="AI280">
        <v>0</v>
      </c>
      <c r="AJ280">
        <v>0</v>
      </c>
      <c r="AK280">
        <v>3200</v>
      </c>
      <c r="AL280">
        <v>0</v>
      </c>
      <c r="AM280">
        <v>0</v>
      </c>
      <c r="AN280">
        <v>0</v>
      </c>
      <c r="AO280">
        <v>0</v>
      </c>
      <c r="AP280" s="2">
        <v>2240</v>
      </c>
      <c r="AT280" t="str">
        <f>T("9791164482658")</f>
        <v>9791164482658</v>
      </c>
      <c r="AV280" t="str">
        <f>T("판타지 e북 &gt; 신무협")</f>
        <v>판타지 e북 &gt; 신무협</v>
      </c>
    </row>
    <row r="281" spans="1:48" x14ac:dyDescent="0.4">
      <c r="A281">
        <v>1525000199</v>
      </c>
      <c r="B281">
        <v>1525000201</v>
      </c>
      <c r="C281" t="str">
        <f>T("[e북]화산지애 3권")</f>
        <v>[e북]화산지애 3권</v>
      </c>
      <c r="D281" t="str">
        <f>T("3")</f>
        <v>3</v>
      </c>
      <c r="E281" t="str">
        <f>T("김광수")</f>
        <v>김광수</v>
      </c>
      <c r="H281" t="str">
        <f>T("스토리위즈")</f>
        <v>스토리위즈</v>
      </c>
      <c r="I281" t="str">
        <f>T("[e북]화산지애")</f>
        <v>[e북]화산지애</v>
      </c>
      <c r="J281">
        <v>3200</v>
      </c>
      <c r="K281">
        <v>3200</v>
      </c>
      <c r="L281">
        <v>1</v>
      </c>
      <c r="M281">
        <v>0</v>
      </c>
      <c r="N281">
        <v>5400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8600</v>
      </c>
      <c r="AH281">
        <v>7</v>
      </c>
      <c r="AI281">
        <v>0</v>
      </c>
      <c r="AJ281">
        <v>0</v>
      </c>
      <c r="AK281">
        <v>8200</v>
      </c>
      <c r="AL281">
        <v>0</v>
      </c>
      <c r="AM281">
        <v>400</v>
      </c>
      <c r="AN281">
        <v>0</v>
      </c>
      <c r="AO281">
        <v>0</v>
      </c>
      <c r="AP281" s="2">
        <v>6020</v>
      </c>
      <c r="AV281" t="str">
        <f>T("판타지 e북 &gt; 신무협")</f>
        <v>판타지 e북 &gt; 신무협</v>
      </c>
    </row>
    <row r="282" spans="1:48" x14ac:dyDescent="0.4">
      <c r="A282">
        <v>1525008044</v>
      </c>
      <c r="B282">
        <v>1525008045</v>
      </c>
      <c r="C282" t="str">
        <f>T("[e북]다정한 내일을 위한 새벽 2권")</f>
        <v>[e북]다정한 내일을 위한 새벽 2권</v>
      </c>
      <c r="D282" t="str">
        <f>T("2")</f>
        <v>2</v>
      </c>
      <c r="E282" t="str">
        <f>T("나나코")</f>
        <v>나나코</v>
      </c>
      <c r="H282" t="str">
        <f>T("블러쉬")</f>
        <v>블러쉬</v>
      </c>
      <c r="I282" t="str">
        <f>T("[e북]다정한 내일을 위한 새벽")</f>
        <v>[e북]다정한 내일을 위한 새벽</v>
      </c>
      <c r="J282">
        <v>3200</v>
      </c>
      <c r="K282">
        <v>3200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3200</v>
      </c>
      <c r="AH282">
        <v>1</v>
      </c>
      <c r="AI282">
        <v>0</v>
      </c>
      <c r="AJ282">
        <v>0</v>
      </c>
      <c r="AK282">
        <v>3200</v>
      </c>
      <c r="AL282">
        <v>0</v>
      </c>
      <c r="AM282">
        <v>0</v>
      </c>
      <c r="AN282">
        <v>0</v>
      </c>
      <c r="AO282">
        <v>0</v>
      </c>
      <c r="AP282" s="2">
        <v>2240</v>
      </c>
      <c r="AR282" t="str">
        <f>T("0000000000000")</f>
        <v>0000000000000</v>
      </c>
      <c r="AT282" t="str">
        <f>T("9791164897582")</f>
        <v>9791164897582</v>
      </c>
      <c r="AV282" t="str">
        <f>T("BL 소설 e북 &gt; 현대물")</f>
        <v>BL 소설 e북 &gt; 현대물</v>
      </c>
    </row>
    <row r="283" spans="1:48" x14ac:dyDescent="0.4">
      <c r="A283">
        <v>1525000135</v>
      </c>
      <c r="B283">
        <v>1525000138</v>
      </c>
      <c r="C283" t="str">
        <f>T("[e북]하프 블러드 4권")</f>
        <v>[e북]하프 블러드 4권</v>
      </c>
      <c r="D283" t="str">
        <f>T("4")</f>
        <v>4</v>
      </c>
      <c r="E283" t="str">
        <f>T("김정률")</f>
        <v>김정률</v>
      </c>
      <c r="H283" t="str">
        <f t="shared" ref="H283:H291" si="28">T("스토리위즈")</f>
        <v>스토리위즈</v>
      </c>
      <c r="I283" t="str">
        <f>T("[e북]하프 블러드")</f>
        <v>[e북]하프 블러드</v>
      </c>
      <c r="J283">
        <v>3200</v>
      </c>
      <c r="K283">
        <v>3200</v>
      </c>
      <c r="L283">
        <v>1</v>
      </c>
      <c r="M283">
        <v>0</v>
      </c>
      <c r="N283">
        <v>4500</v>
      </c>
      <c r="O283">
        <v>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7700</v>
      </c>
      <c r="AH283">
        <v>6</v>
      </c>
      <c r="AI283">
        <v>0</v>
      </c>
      <c r="AJ283">
        <v>0</v>
      </c>
      <c r="AK283">
        <v>6800</v>
      </c>
      <c r="AL283">
        <v>0</v>
      </c>
      <c r="AM283">
        <v>900</v>
      </c>
      <c r="AN283">
        <v>0</v>
      </c>
      <c r="AO283">
        <v>0</v>
      </c>
      <c r="AP283" s="2">
        <v>5390</v>
      </c>
      <c r="AV283" t="str">
        <f>T("판타지 e북 &gt; 정통 판타지")</f>
        <v>판타지 e북 &gt; 정통 판타지</v>
      </c>
    </row>
    <row r="284" spans="1:48" x14ac:dyDescent="0.4">
      <c r="A284">
        <v>1525000125</v>
      </c>
      <c r="B284">
        <v>1525000130</v>
      </c>
      <c r="C284" t="str">
        <f>T("[e북]블레이드 헌터 6권")</f>
        <v>[e북]블레이드 헌터 6권</v>
      </c>
      <c r="D284" t="str">
        <f>T("6")</f>
        <v>6</v>
      </c>
      <c r="E284" t="str">
        <f>T("김정률")</f>
        <v>김정률</v>
      </c>
      <c r="H284" t="str">
        <f t="shared" si="28"/>
        <v>스토리위즈</v>
      </c>
      <c r="I284" t="str">
        <f>T("[e북]블레이드 헌터")</f>
        <v>[e북]블레이드 헌터</v>
      </c>
      <c r="J284">
        <v>3200</v>
      </c>
      <c r="K284">
        <v>3200</v>
      </c>
      <c r="L284">
        <v>1</v>
      </c>
      <c r="M284">
        <v>0</v>
      </c>
      <c r="N284">
        <v>5400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8600</v>
      </c>
      <c r="AH284">
        <v>7</v>
      </c>
      <c r="AI284">
        <v>0</v>
      </c>
      <c r="AJ284">
        <v>0</v>
      </c>
      <c r="AK284">
        <v>7700</v>
      </c>
      <c r="AL284">
        <v>0</v>
      </c>
      <c r="AM284">
        <v>900</v>
      </c>
      <c r="AN284">
        <v>0</v>
      </c>
      <c r="AO284">
        <v>0</v>
      </c>
      <c r="AP284" s="2">
        <v>6020</v>
      </c>
      <c r="AV284" t="str">
        <f>T("판타지 e북 &gt; 정통 판타지")</f>
        <v>판타지 e북 &gt; 정통 판타지</v>
      </c>
    </row>
    <row r="285" spans="1:48" x14ac:dyDescent="0.4">
      <c r="A285">
        <v>1525000158</v>
      </c>
      <c r="B285">
        <v>1525000163</v>
      </c>
      <c r="C285" t="str">
        <f>T("[e북]아나크레온 6권")</f>
        <v>[e북]아나크레온 6권</v>
      </c>
      <c r="D285" t="str">
        <f>T("6")</f>
        <v>6</v>
      </c>
      <c r="E285" t="str">
        <f>T("김정률")</f>
        <v>김정률</v>
      </c>
      <c r="H285" t="str">
        <f t="shared" si="28"/>
        <v>스토리위즈</v>
      </c>
      <c r="I285" t="str">
        <f>T("[e북]아나크레온")</f>
        <v>[e북]아나크레온</v>
      </c>
      <c r="J285">
        <v>3200</v>
      </c>
      <c r="K285">
        <v>3200</v>
      </c>
      <c r="L285">
        <v>1</v>
      </c>
      <c r="M285">
        <v>0</v>
      </c>
      <c r="N285">
        <v>2700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5900</v>
      </c>
      <c r="AH285">
        <v>4</v>
      </c>
      <c r="AI285">
        <v>0</v>
      </c>
      <c r="AJ285">
        <v>0</v>
      </c>
      <c r="AK285">
        <v>5000</v>
      </c>
      <c r="AL285">
        <v>0</v>
      </c>
      <c r="AM285">
        <v>900</v>
      </c>
      <c r="AN285">
        <v>0</v>
      </c>
      <c r="AO285">
        <v>0</v>
      </c>
      <c r="AP285" s="2">
        <v>4130</v>
      </c>
      <c r="AV285" t="str">
        <f>T("판타지 e북 &gt; 퓨전 판타지")</f>
        <v>판타지 e북 &gt; 퓨전 판타지</v>
      </c>
    </row>
    <row r="286" spans="1:48" x14ac:dyDescent="0.4">
      <c r="A286">
        <v>1525000055</v>
      </c>
      <c r="B286">
        <v>1525000058</v>
      </c>
      <c r="C286" t="str">
        <f>T("[e북]21세기 대마법사 3권")</f>
        <v>[e북]21세기 대마법사 3권</v>
      </c>
      <c r="D286" t="str">
        <f>T("3")</f>
        <v>3</v>
      </c>
      <c r="E286" t="str">
        <f>T("김광수")</f>
        <v>김광수</v>
      </c>
      <c r="H286" t="str">
        <f t="shared" si="28"/>
        <v>스토리위즈</v>
      </c>
      <c r="I286" t="str">
        <f>T("[e북]21세기 대마법사")</f>
        <v>[e북]21세기 대마법사</v>
      </c>
      <c r="J286">
        <v>3200</v>
      </c>
      <c r="K286">
        <v>3200</v>
      </c>
      <c r="L286">
        <v>1</v>
      </c>
      <c r="M286">
        <v>0</v>
      </c>
      <c r="N286">
        <v>12600</v>
      </c>
      <c r="O286">
        <v>14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15800</v>
      </c>
      <c r="AH286">
        <v>15</v>
      </c>
      <c r="AI286">
        <v>0</v>
      </c>
      <c r="AJ286">
        <v>0</v>
      </c>
      <c r="AK286">
        <v>14900</v>
      </c>
      <c r="AL286">
        <v>0</v>
      </c>
      <c r="AM286">
        <v>900</v>
      </c>
      <c r="AN286">
        <v>0</v>
      </c>
      <c r="AO286">
        <v>0</v>
      </c>
      <c r="AP286" s="2">
        <v>11060</v>
      </c>
      <c r="AT286" t="str">
        <f>T("9788925116501")</f>
        <v>9788925116501</v>
      </c>
      <c r="AV286" t="str">
        <f>T("판타지 e북 &gt; 퓨전 판타지")</f>
        <v>판타지 e북 &gt; 퓨전 판타지</v>
      </c>
    </row>
    <row r="287" spans="1:48" x14ac:dyDescent="0.4">
      <c r="A287">
        <v>1525002682</v>
      </c>
      <c r="B287">
        <v>1525002689</v>
      </c>
      <c r="C287" t="str">
        <f>T("[e북]스포트라이트 8권")</f>
        <v>[e북]스포트라이트 8권</v>
      </c>
      <c r="D287" t="str">
        <f>T("8")</f>
        <v>8</v>
      </c>
      <c r="E287" t="str">
        <f>T("전혁")</f>
        <v>전혁</v>
      </c>
      <c r="H287" t="str">
        <f t="shared" si="28"/>
        <v>스토리위즈</v>
      </c>
      <c r="I287" t="str">
        <f>T("[e북]스포트라이트")</f>
        <v>[e북]스포트라이트</v>
      </c>
      <c r="J287">
        <v>3200</v>
      </c>
      <c r="K287">
        <v>3200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3200</v>
      </c>
      <c r="AH287">
        <v>1</v>
      </c>
      <c r="AI287">
        <v>0</v>
      </c>
      <c r="AJ287">
        <v>0</v>
      </c>
      <c r="AK287">
        <v>3200</v>
      </c>
      <c r="AL287">
        <v>0</v>
      </c>
      <c r="AM287">
        <v>0</v>
      </c>
      <c r="AN287">
        <v>0</v>
      </c>
      <c r="AO287">
        <v>0</v>
      </c>
      <c r="AP287" s="2">
        <v>2240</v>
      </c>
      <c r="AT287" t="str">
        <f>T("9791159287725")</f>
        <v>9791159287725</v>
      </c>
      <c r="AV287" t="str">
        <f>T("판타지 e북 &gt; 현대 판타지")</f>
        <v>판타지 e북 &gt; 현대 판타지</v>
      </c>
    </row>
    <row r="288" spans="1:48" x14ac:dyDescent="0.4">
      <c r="A288">
        <v>1525006634</v>
      </c>
      <c r="B288">
        <v>1525006636</v>
      </c>
      <c r="C288" t="str">
        <f>T("[e북]개정판｜영웅 3권")</f>
        <v>[e북]개정판｜영웅 3권</v>
      </c>
      <c r="D288" t="str">
        <f>T("3")</f>
        <v>3</v>
      </c>
      <c r="E288" t="str">
        <f>T("김광수")</f>
        <v>김광수</v>
      </c>
      <c r="H288" t="str">
        <f t="shared" si="28"/>
        <v>스토리위즈</v>
      </c>
      <c r="I288" t="str">
        <f>T("[e북]개정판｜영웅")</f>
        <v>[e북]개정판｜영웅</v>
      </c>
      <c r="J288">
        <v>3200</v>
      </c>
      <c r="K288">
        <v>3200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3200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3200</v>
      </c>
      <c r="AN288">
        <v>0</v>
      </c>
      <c r="AO288">
        <v>0</v>
      </c>
      <c r="AP288" s="2">
        <v>2240</v>
      </c>
      <c r="AT288" t="str">
        <f>T("9791166300028")</f>
        <v>9791166300028</v>
      </c>
      <c r="AV288" t="str">
        <f>T("판타지 e북 &gt; 신무협")</f>
        <v>판타지 e북 &gt; 신무협</v>
      </c>
    </row>
    <row r="289" spans="1:49" x14ac:dyDescent="0.4">
      <c r="A289">
        <v>1525002848</v>
      </c>
      <c r="B289">
        <v>1525002852</v>
      </c>
      <c r="C289" t="str">
        <f>T("[e북]신을 죽이러 갑니다 5권")</f>
        <v>[e북]신을 죽이러 갑니다 5권</v>
      </c>
      <c r="D289" t="str">
        <f>T("5")</f>
        <v>5</v>
      </c>
      <c r="E289" t="str">
        <f>T("독고진")</f>
        <v>독고진</v>
      </c>
      <c r="H289" t="str">
        <f t="shared" si="28"/>
        <v>스토리위즈</v>
      </c>
      <c r="I289" t="str">
        <f>T("[e북]신을 죽이러 갑니다")</f>
        <v>[e북]신을 죽이러 갑니다</v>
      </c>
      <c r="J289">
        <v>3200</v>
      </c>
      <c r="K289">
        <v>3200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3200</v>
      </c>
      <c r="AH289">
        <v>1</v>
      </c>
      <c r="AI289">
        <v>0</v>
      </c>
      <c r="AJ289">
        <v>0</v>
      </c>
      <c r="AK289">
        <v>3200</v>
      </c>
      <c r="AL289">
        <v>0</v>
      </c>
      <c r="AM289">
        <v>0</v>
      </c>
      <c r="AN289">
        <v>0</v>
      </c>
      <c r="AO289">
        <v>0</v>
      </c>
      <c r="AP289" s="2">
        <v>2240</v>
      </c>
      <c r="AT289" t="str">
        <f>T("9791159288036")</f>
        <v>9791159288036</v>
      </c>
      <c r="AV289" t="str">
        <f>T("판타지 e북 &gt; 퓨전 판타지")</f>
        <v>판타지 e북 &gt; 퓨전 판타지</v>
      </c>
    </row>
    <row r="290" spans="1:49" x14ac:dyDescent="0.4">
      <c r="A290">
        <v>1525000146</v>
      </c>
      <c r="B290">
        <v>1525000149</v>
      </c>
      <c r="C290" t="str">
        <f>T("[e북]트루베니아 연대기 4권")</f>
        <v>[e북]트루베니아 연대기 4권</v>
      </c>
      <c r="D290" t="str">
        <f>T("4")</f>
        <v>4</v>
      </c>
      <c r="E290" t="str">
        <f>T("김정률")</f>
        <v>김정률</v>
      </c>
      <c r="H290" t="str">
        <f t="shared" si="28"/>
        <v>스토리위즈</v>
      </c>
      <c r="I290" t="str">
        <f>T("[e북]트루베니아 연대기")</f>
        <v>[e북]트루베니아 연대기</v>
      </c>
      <c r="J290">
        <v>3200</v>
      </c>
      <c r="K290">
        <v>3200</v>
      </c>
      <c r="L290">
        <v>1</v>
      </c>
      <c r="M290">
        <v>0</v>
      </c>
      <c r="N290">
        <v>6300</v>
      </c>
      <c r="O290">
        <v>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9500</v>
      </c>
      <c r="AH290">
        <v>8</v>
      </c>
      <c r="AI290">
        <v>0</v>
      </c>
      <c r="AJ290">
        <v>0</v>
      </c>
      <c r="AK290">
        <v>5400</v>
      </c>
      <c r="AL290">
        <v>0</v>
      </c>
      <c r="AM290">
        <v>4100</v>
      </c>
      <c r="AN290">
        <v>0</v>
      </c>
      <c r="AO290">
        <v>0</v>
      </c>
      <c r="AP290" s="2">
        <v>6650</v>
      </c>
      <c r="AV290" t="str">
        <f>T("판타지 e북 &gt; 정통 판타지")</f>
        <v>판타지 e북 &gt; 정통 판타지</v>
      </c>
    </row>
    <row r="291" spans="1:49" x14ac:dyDescent="0.4">
      <c r="A291">
        <v>1525000107</v>
      </c>
      <c r="B291">
        <v>1525000109</v>
      </c>
      <c r="C291" t="str">
        <f>T("[e북]데이몬 3권")</f>
        <v>[e북]데이몬 3권</v>
      </c>
      <c r="D291" t="str">
        <f>T("3")</f>
        <v>3</v>
      </c>
      <c r="E291" t="str">
        <f>T("김정률")</f>
        <v>김정률</v>
      </c>
      <c r="H291" t="str">
        <f t="shared" si="28"/>
        <v>스토리위즈</v>
      </c>
      <c r="I291" t="str">
        <f>T("[e북]데이몬")</f>
        <v>[e북]데이몬</v>
      </c>
      <c r="J291">
        <v>3200</v>
      </c>
      <c r="K291">
        <v>3200</v>
      </c>
      <c r="L291">
        <v>1</v>
      </c>
      <c r="M291">
        <v>0</v>
      </c>
      <c r="N291">
        <v>1800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5000</v>
      </c>
      <c r="AH291">
        <v>3</v>
      </c>
      <c r="AI291">
        <v>0</v>
      </c>
      <c r="AJ291">
        <v>0</v>
      </c>
      <c r="AK291">
        <v>5000</v>
      </c>
      <c r="AL291">
        <v>0</v>
      </c>
      <c r="AM291">
        <v>0</v>
      </c>
      <c r="AN291">
        <v>0</v>
      </c>
      <c r="AO291">
        <v>0</v>
      </c>
      <c r="AP291" s="2">
        <v>3500</v>
      </c>
      <c r="AR291" t="str">
        <f>T("0000000000000")</f>
        <v>0000000000000</v>
      </c>
      <c r="AT291" t="str">
        <f>T("9791166062025")</f>
        <v>9791166062025</v>
      </c>
      <c r="AV291" t="str">
        <f>T("판타지 e북 &gt; 퓨전 판타지")</f>
        <v>판타지 e북 &gt; 퓨전 판타지</v>
      </c>
    </row>
    <row r="292" spans="1:49" x14ac:dyDescent="0.4">
      <c r="A292">
        <v>1525011970</v>
      </c>
      <c r="B292">
        <v>1525011956</v>
      </c>
      <c r="C292" t="str">
        <f>T("[e북]강호, 미치다 15권")</f>
        <v>[e북]강호, 미치다 15권</v>
      </c>
      <c r="D292" t="str">
        <f>T("15")</f>
        <v>15</v>
      </c>
      <c r="E292" t="str">
        <f>T("최재봉")</f>
        <v>최재봉</v>
      </c>
      <c r="H292" t="str">
        <f>T("에필로그")</f>
        <v>에필로그</v>
      </c>
      <c r="I292" t="str">
        <f>T("[e북]강호, 미치다")</f>
        <v>[e북]강호, 미치다</v>
      </c>
      <c r="J292">
        <v>3200</v>
      </c>
      <c r="K292">
        <v>3200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3200</v>
      </c>
      <c r="AH292">
        <v>1</v>
      </c>
      <c r="AI292">
        <v>0</v>
      </c>
      <c r="AJ292">
        <v>0</v>
      </c>
      <c r="AK292">
        <v>800</v>
      </c>
      <c r="AL292">
        <v>0</v>
      </c>
      <c r="AM292">
        <v>2400</v>
      </c>
      <c r="AN292">
        <v>0</v>
      </c>
      <c r="AO292">
        <v>0</v>
      </c>
      <c r="AP292" s="2">
        <v>2240</v>
      </c>
      <c r="AT292" t="str">
        <f>T("9791164482689")</f>
        <v>9791164482689</v>
      </c>
      <c r="AV292" t="str">
        <f>T("판타지 e북 &gt; 신무협")</f>
        <v>판타지 e북 &gt; 신무협</v>
      </c>
    </row>
    <row r="293" spans="1:49" x14ac:dyDescent="0.4">
      <c r="A293">
        <v>1525001609</v>
      </c>
      <c r="B293">
        <v>1525001612</v>
      </c>
      <c r="C293" t="str">
        <f>T("[e북]절륜공자 4권")</f>
        <v>[e북]절륜공자 4권</v>
      </c>
      <c r="D293" t="str">
        <f>T("4")</f>
        <v>4</v>
      </c>
      <c r="E293" t="str">
        <f>T("전혁")</f>
        <v>전혁</v>
      </c>
      <c r="H293" t="str">
        <f>T("스토리위즈")</f>
        <v>스토리위즈</v>
      </c>
      <c r="I293" t="str">
        <f>T("[e북]절륜공자")</f>
        <v>[e북]절륜공자</v>
      </c>
      <c r="J293">
        <v>3200</v>
      </c>
      <c r="K293">
        <v>3200</v>
      </c>
      <c r="L293">
        <v>1</v>
      </c>
      <c r="M293">
        <v>0</v>
      </c>
      <c r="N293">
        <v>2700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5900</v>
      </c>
      <c r="AH293">
        <v>4</v>
      </c>
      <c r="AI293">
        <v>0</v>
      </c>
      <c r="AJ293">
        <v>0</v>
      </c>
      <c r="AK293">
        <v>5900</v>
      </c>
      <c r="AL293">
        <v>0</v>
      </c>
      <c r="AM293">
        <v>0</v>
      </c>
      <c r="AN293">
        <v>0</v>
      </c>
      <c r="AO293">
        <v>0</v>
      </c>
      <c r="AP293" s="2">
        <v>4130</v>
      </c>
      <c r="AT293" t="str">
        <f>T("9791159284977")</f>
        <v>9791159284977</v>
      </c>
      <c r="AV293" t="str">
        <f>T("판타지 e북 &gt; 전통 무협")</f>
        <v>판타지 e북 &gt; 전통 무협</v>
      </c>
    </row>
    <row r="294" spans="1:49" x14ac:dyDescent="0.4">
      <c r="A294">
        <v>1525000199</v>
      </c>
      <c r="B294">
        <v>1525000205</v>
      </c>
      <c r="C294" t="str">
        <f>T("[e북]화산지애 7권")</f>
        <v>[e북]화산지애 7권</v>
      </c>
      <c r="D294" t="str">
        <f>T("7")</f>
        <v>7</v>
      </c>
      <c r="E294" t="str">
        <f>T("김광수")</f>
        <v>김광수</v>
      </c>
      <c r="H294" t="str">
        <f>T("스토리위즈")</f>
        <v>스토리위즈</v>
      </c>
      <c r="I294" t="str">
        <f>T("[e북]화산지애")</f>
        <v>[e북]화산지애</v>
      </c>
      <c r="J294">
        <v>3200</v>
      </c>
      <c r="K294">
        <v>3200</v>
      </c>
      <c r="L294">
        <v>1</v>
      </c>
      <c r="M294">
        <v>0</v>
      </c>
      <c r="N294">
        <v>4500</v>
      </c>
      <c r="O294">
        <v>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7700</v>
      </c>
      <c r="AH294">
        <v>6</v>
      </c>
      <c r="AI294">
        <v>0</v>
      </c>
      <c r="AJ294">
        <v>0</v>
      </c>
      <c r="AK294">
        <v>7700</v>
      </c>
      <c r="AL294">
        <v>0</v>
      </c>
      <c r="AM294">
        <v>0</v>
      </c>
      <c r="AN294">
        <v>0</v>
      </c>
      <c r="AO294">
        <v>0</v>
      </c>
      <c r="AP294" s="2">
        <v>5390</v>
      </c>
      <c r="AV294" t="str">
        <f>T("판타지 e북 &gt; 신무협")</f>
        <v>판타지 e북 &gt; 신무협</v>
      </c>
    </row>
    <row r="295" spans="1:49" x14ac:dyDescent="0.4">
      <c r="A295">
        <v>1525000125</v>
      </c>
      <c r="B295">
        <v>1525000134</v>
      </c>
      <c r="C295" t="str">
        <f>T("[e북]블레이드 헌터 10권 (완결)")</f>
        <v>[e북]블레이드 헌터 10권 (완결)</v>
      </c>
      <c r="D295" t="str">
        <f>T("10")</f>
        <v>10</v>
      </c>
      <c r="E295" t="str">
        <f>T("김정률")</f>
        <v>김정률</v>
      </c>
      <c r="H295" t="str">
        <f>T("스토리위즈")</f>
        <v>스토리위즈</v>
      </c>
      <c r="I295" t="str">
        <f>T("[e북]블레이드 헌터")</f>
        <v>[e북]블레이드 헌터</v>
      </c>
      <c r="J295">
        <v>3200</v>
      </c>
      <c r="K295">
        <v>3200</v>
      </c>
      <c r="L295">
        <v>1</v>
      </c>
      <c r="M295">
        <v>0</v>
      </c>
      <c r="N295">
        <v>6300</v>
      </c>
      <c r="O295">
        <v>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9500</v>
      </c>
      <c r="AH295">
        <v>8</v>
      </c>
      <c r="AI295">
        <v>0</v>
      </c>
      <c r="AJ295">
        <v>0</v>
      </c>
      <c r="AK295">
        <v>7700</v>
      </c>
      <c r="AL295">
        <v>0</v>
      </c>
      <c r="AM295">
        <v>1800</v>
      </c>
      <c r="AN295">
        <v>0</v>
      </c>
      <c r="AO295">
        <v>0</v>
      </c>
      <c r="AP295" s="2">
        <v>6650</v>
      </c>
      <c r="AV295" t="str">
        <f>T("판타지 e북 &gt; 정통 판타지")</f>
        <v>판타지 e북 &gt; 정통 판타지</v>
      </c>
    </row>
    <row r="296" spans="1:49" x14ac:dyDescent="0.4">
      <c r="A296">
        <v>1525000125</v>
      </c>
      <c r="B296">
        <v>1525000127</v>
      </c>
      <c r="C296" t="str">
        <f>T("[e북]블레이드 헌터 3권")</f>
        <v>[e북]블레이드 헌터 3권</v>
      </c>
      <c r="D296" t="str">
        <f>T("3")</f>
        <v>3</v>
      </c>
      <c r="E296" t="str">
        <f>T("김정률")</f>
        <v>김정률</v>
      </c>
      <c r="H296" t="str">
        <f>T("스토리위즈")</f>
        <v>스토리위즈</v>
      </c>
      <c r="I296" t="str">
        <f>T("[e북]블레이드 헌터")</f>
        <v>[e북]블레이드 헌터</v>
      </c>
      <c r="J296">
        <v>3200</v>
      </c>
      <c r="K296">
        <v>3200</v>
      </c>
      <c r="L296">
        <v>1</v>
      </c>
      <c r="M296">
        <v>0</v>
      </c>
      <c r="N296">
        <v>5400</v>
      </c>
      <c r="O296">
        <v>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8600</v>
      </c>
      <c r="AH296">
        <v>7</v>
      </c>
      <c r="AI296">
        <v>0</v>
      </c>
      <c r="AJ296">
        <v>0</v>
      </c>
      <c r="AK296">
        <v>7700</v>
      </c>
      <c r="AL296">
        <v>0</v>
      </c>
      <c r="AM296">
        <v>900</v>
      </c>
      <c r="AN296">
        <v>0</v>
      </c>
      <c r="AO296">
        <v>0</v>
      </c>
      <c r="AP296" s="2">
        <v>6020</v>
      </c>
      <c r="AV296" t="str">
        <f>T("판타지 e북 &gt; 정통 판타지")</f>
        <v>판타지 e북 &gt; 정통 판타지</v>
      </c>
    </row>
    <row r="297" spans="1:49" x14ac:dyDescent="0.4">
      <c r="A297">
        <v>1525007787</v>
      </c>
      <c r="B297">
        <v>1525007788</v>
      </c>
      <c r="C297" t="str">
        <f>T("[e북]미칠 광(狂), 너에게 미치다 2권 (완결)")</f>
        <v>[e북]미칠 광(狂), 너에게 미치다 2권 (완결)</v>
      </c>
      <c r="D297" t="str">
        <f>T("2")</f>
        <v>2</v>
      </c>
      <c r="E297" t="str">
        <f>T("정연서")</f>
        <v>정연서</v>
      </c>
      <c r="H297" t="str">
        <f>T("쉬라즈")</f>
        <v>쉬라즈</v>
      </c>
      <c r="I297" t="str">
        <f>T("[e북]미칠 광(狂), 너에게 미치다")</f>
        <v>[e북]미칠 광(狂), 너에게 미치다</v>
      </c>
      <c r="J297">
        <v>3200</v>
      </c>
      <c r="K297">
        <v>3200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3200</v>
      </c>
      <c r="AH297">
        <v>1</v>
      </c>
      <c r="AI297">
        <v>0</v>
      </c>
      <c r="AJ297">
        <v>0</v>
      </c>
      <c r="AK297">
        <v>3200</v>
      </c>
      <c r="AL297">
        <v>0</v>
      </c>
      <c r="AM297">
        <v>0</v>
      </c>
      <c r="AN297">
        <v>0</v>
      </c>
      <c r="AO297">
        <v>0</v>
      </c>
      <c r="AP297" s="2">
        <v>2240</v>
      </c>
      <c r="AR297" t="str">
        <f>T("0000000000000")</f>
        <v>0000000000000</v>
      </c>
      <c r="AT297" t="str">
        <f>T("9791166480591")</f>
        <v>9791166480591</v>
      </c>
      <c r="AV297" t="str">
        <f>T("로맨스 e북 &gt; 현대물")</f>
        <v>로맨스 e북 &gt; 현대물</v>
      </c>
      <c r="AW297" t="str">
        <f>T("로맨스 e북 &gt; 19+")</f>
        <v>로맨스 e북 &gt; 19+</v>
      </c>
    </row>
    <row r="298" spans="1:49" x14ac:dyDescent="0.4">
      <c r="A298">
        <v>1525002682</v>
      </c>
      <c r="B298">
        <v>1525002686</v>
      </c>
      <c r="C298" t="str">
        <f>T("[e북]스포트라이트 5권")</f>
        <v>[e북]스포트라이트 5권</v>
      </c>
      <c r="D298" t="str">
        <f>T("5")</f>
        <v>5</v>
      </c>
      <c r="E298" t="str">
        <f>T("전혁")</f>
        <v>전혁</v>
      </c>
      <c r="H298" t="str">
        <f>T("스토리위즈")</f>
        <v>스토리위즈</v>
      </c>
      <c r="I298" t="str">
        <f>T("[e북]스포트라이트")</f>
        <v>[e북]스포트라이트</v>
      </c>
      <c r="J298">
        <v>3200</v>
      </c>
      <c r="K298">
        <v>3200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3200</v>
      </c>
      <c r="AH298">
        <v>1</v>
      </c>
      <c r="AI298">
        <v>0</v>
      </c>
      <c r="AJ298">
        <v>0</v>
      </c>
      <c r="AK298">
        <v>3200</v>
      </c>
      <c r="AL298">
        <v>0</v>
      </c>
      <c r="AM298">
        <v>0</v>
      </c>
      <c r="AN298">
        <v>0</v>
      </c>
      <c r="AO298">
        <v>0</v>
      </c>
      <c r="AP298" s="2">
        <v>2240</v>
      </c>
      <c r="AT298" t="str">
        <f>T("9791159287695")</f>
        <v>9791159287695</v>
      </c>
      <c r="AV298" t="str">
        <f>T("판타지 e북 &gt; 현대 판타지")</f>
        <v>판타지 e북 &gt; 현대 판타지</v>
      </c>
    </row>
    <row r="299" spans="1:49" x14ac:dyDescent="0.4">
      <c r="A299">
        <v>1525000158</v>
      </c>
      <c r="B299">
        <v>1525000160</v>
      </c>
      <c r="C299" t="str">
        <f>T("[e북]아나크레온 3권")</f>
        <v>[e북]아나크레온 3권</v>
      </c>
      <c r="D299" t="str">
        <f>T("3")</f>
        <v>3</v>
      </c>
      <c r="E299" t="str">
        <f>T("김정률")</f>
        <v>김정률</v>
      </c>
      <c r="H299" t="str">
        <f>T("스토리위즈")</f>
        <v>스토리위즈</v>
      </c>
      <c r="I299" t="str">
        <f>T("[e북]아나크레온")</f>
        <v>[e북]아나크레온</v>
      </c>
      <c r="J299">
        <v>3200</v>
      </c>
      <c r="K299">
        <v>3200</v>
      </c>
      <c r="L299">
        <v>1</v>
      </c>
      <c r="M299">
        <v>0</v>
      </c>
      <c r="N299">
        <v>2700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5900</v>
      </c>
      <c r="AH299">
        <v>4</v>
      </c>
      <c r="AI299">
        <v>0</v>
      </c>
      <c r="AJ299">
        <v>0</v>
      </c>
      <c r="AK299">
        <v>5000</v>
      </c>
      <c r="AL299">
        <v>0</v>
      </c>
      <c r="AM299">
        <v>900</v>
      </c>
      <c r="AN299">
        <v>0</v>
      </c>
      <c r="AO299">
        <v>0</v>
      </c>
      <c r="AP299" s="2">
        <v>4130</v>
      </c>
      <c r="AV299" t="str">
        <f>T("판타지 e북 &gt; 퓨전 판타지")</f>
        <v>판타지 e북 &gt; 퓨전 판타지</v>
      </c>
    </row>
    <row r="300" spans="1:49" x14ac:dyDescent="0.4">
      <c r="A300">
        <v>1525000146</v>
      </c>
      <c r="B300">
        <v>1525000153</v>
      </c>
      <c r="C300" t="str">
        <f>T("[e북]트루베니아 연대기 8권")</f>
        <v>[e북]트루베니아 연대기 8권</v>
      </c>
      <c r="D300" t="str">
        <f>T("8")</f>
        <v>8</v>
      </c>
      <c r="E300" t="str">
        <f>T("김정률")</f>
        <v>김정률</v>
      </c>
      <c r="H300" t="str">
        <f>T("스토리위즈")</f>
        <v>스토리위즈</v>
      </c>
      <c r="I300" t="str">
        <f>T("[e북]트루베니아 연대기")</f>
        <v>[e북]트루베니아 연대기</v>
      </c>
      <c r="J300">
        <v>3200</v>
      </c>
      <c r="K300">
        <v>3200</v>
      </c>
      <c r="L300">
        <v>1</v>
      </c>
      <c r="M300">
        <v>0</v>
      </c>
      <c r="N300">
        <v>6300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9500</v>
      </c>
      <c r="AH300">
        <v>8</v>
      </c>
      <c r="AI300">
        <v>0</v>
      </c>
      <c r="AJ300">
        <v>0</v>
      </c>
      <c r="AK300">
        <v>5400</v>
      </c>
      <c r="AL300">
        <v>0</v>
      </c>
      <c r="AM300">
        <v>4100</v>
      </c>
      <c r="AN300">
        <v>0</v>
      </c>
      <c r="AO300">
        <v>0</v>
      </c>
      <c r="AP300" s="2">
        <v>6650</v>
      </c>
      <c r="AV300" t="str">
        <f>T("판타지 e북 &gt; 정통 판타지")</f>
        <v>판타지 e북 &gt; 정통 판타지</v>
      </c>
    </row>
    <row r="301" spans="1:49" x14ac:dyDescent="0.4">
      <c r="A301">
        <v>1525011970</v>
      </c>
      <c r="B301">
        <v>1525011960</v>
      </c>
      <c r="C301" t="str">
        <f>T("[e북]강호, 미치다 11권")</f>
        <v>[e북]강호, 미치다 11권</v>
      </c>
      <c r="D301" t="str">
        <f>T("11")</f>
        <v>11</v>
      </c>
      <c r="E301" t="str">
        <f>T("최재봉")</f>
        <v>최재봉</v>
      </c>
      <c r="H301" t="str">
        <f>T("에필로그")</f>
        <v>에필로그</v>
      </c>
      <c r="I301" t="str">
        <f>T("[e북]강호, 미치다")</f>
        <v>[e북]강호, 미치다</v>
      </c>
      <c r="J301">
        <v>3200</v>
      </c>
      <c r="K301">
        <v>3200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3200</v>
      </c>
      <c r="AH301">
        <v>1</v>
      </c>
      <c r="AI301">
        <v>0</v>
      </c>
      <c r="AJ301">
        <v>0</v>
      </c>
      <c r="AK301">
        <v>3200</v>
      </c>
      <c r="AL301">
        <v>0</v>
      </c>
      <c r="AM301">
        <v>0</v>
      </c>
      <c r="AN301">
        <v>0</v>
      </c>
      <c r="AO301">
        <v>0</v>
      </c>
      <c r="AP301" s="2">
        <v>2240</v>
      </c>
      <c r="AT301" t="str">
        <f>T("9791164482641")</f>
        <v>9791164482641</v>
      </c>
      <c r="AV301" t="str">
        <f>T("판타지 e북 &gt; 신무협")</f>
        <v>판타지 e북 &gt; 신무협</v>
      </c>
    </row>
    <row r="302" spans="1:49" x14ac:dyDescent="0.4">
      <c r="A302">
        <v>1525012774</v>
      </c>
      <c r="B302">
        <v>1525012778</v>
      </c>
      <c r="C302" t="str">
        <f>T("[e북]주먹 구십구 5권 (완결)")</f>
        <v>[e북]주먹 구십구 5권 (완결)</v>
      </c>
      <c r="D302" t="str">
        <f>T("5")</f>
        <v>5</v>
      </c>
      <c r="E302" t="str">
        <f>T("마연")</f>
        <v>마연</v>
      </c>
      <c r="H302" t="str">
        <f>T("블러쉬")</f>
        <v>블러쉬</v>
      </c>
      <c r="I302" t="str">
        <f>T("[e북]주먹 구십구")</f>
        <v>[e북]주먹 구십구</v>
      </c>
      <c r="J302">
        <v>3200</v>
      </c>
      <c r="K302">
        <v>3200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3200</v>
      </c>
      <c r="AH302">
        <v>1</v>
      </c>
      <c r="AI302">
        <v>0</v>
      </c>
      <c r="AJ302">
        <v>0</v>
      </c>
      <c r="AK302">
        <v>3200</v>
      </c>
      <c r="AL302">
        <v>0</v>
      </c>
      <c r="AM302">
        <v>0</v>
      </c>
      <c r="AN302">
        <v>0</v>
      </c>
      <c r="AO302">
        <v>0</v>
      </c>
      <c r="AP302" s="2">
        <v>2240</v>
      </c>
      <c r="AR302" t="str">
        <f>T("0000000000000")</f>
        <v>0000000000000</v>
      </c>
      <c r="AT302" t="str">
        <f>T("9791166482687")</f>
        <v>9791166482687</v>
      </c>
      <c r="AV302" t="str">
        <f>T("BL 소설 e북 &gt; 현대물")</f>
        <v>BL 소설 e북 &gt; 현대물</v>
      </c>
    </row>
    <row r="303" spans="1:49" x14ac:dyDescent="0.4">
      <c r="A303">
        <v>1525000906</v>
      </c>
      <c r="B303">
        <v>1525000907</v>
      </c>
      <c r="C303" t="str">
        <f>T("[e북]완전판 | 레이드 만물상점 2권")</f>
        <v>[e북]완전판 | 레이드 만물상점 2권</v>
      </c>
      <c r="D303" t="str">
        <f>T("2")</f>
        <v>2</v>
      </c>
      <c r="E303" t="str">
        <f>T("전혁")</f>
        <v>전혁</v>
      </c>
      <c r="H303" t="str">
        <f>T("스토리위즈")</f>
        <v>스토리위즈</v>
      </c>
      <c r="I303" t="str">
        <f>T("[e북]완전판 | 레이드 만물상점")</f>
        <v>[e북]완전판 | 레이드 만물상점</v>
      </c>
      <c r="J303">
        <v>3200</v>
      </c>
      <c r="K303">
        <v>3200</v>
      </c>
      <c r="L303">
        <v>1</v>
      </c>
      <c r="M303">
        <v>0</v>
      </c>
      <c r="N303">
        <v>8100</v>
      </c>
      <c r="O303">
        <v>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11300</v>
      </c>
      <c r="AH303">
        <v>10</v>
      </c>
      <c r="AI303">
        <v>0</v>
      </c>
      <c r="AJ303">
        <v>0</v>
      </c>
      <c r="AK303">
        <v>7200</v>
      </c>
      <c r="AL303">
        <v>0</v>
      </c>
      <c r="AM303">
        <v>4100</v>
      </c>
      <c r="AN303">
        <v>0</v>
      </c>
      <c r="AO303">
        <v>0</v>
      </c>
      <c r="AP303" s="2">
        <v>7910</v>
      </c>
      <c r="AT303" t="str">
        <f>T("9791159282621")</f>
        <v>9791159282621</v>
      </c>
      <c r="AV303" t="str">
        <f>T("판타지 e북 &gt; 현대 판타지")</f>
        <v>판타지 e북 &gt; 현대 판타지</v>
      </c>
    </row>
    <row r="304" spans="1:49" x14ac:dyDescent="0.4">
      <c r="A304">
        <v>1525000199</v>
      </c>
      <c r="B304">
        <v>1525000202</v>
      </c>
      <c r="C304" t="str">
        <f>T("[e북]화산지애 4권")</f>
        <v>[e북]화산지애 4권</v>
      </c>
      <c r="D304" t="str">
        <f>T("4")</f>
        <v>4</v>
      </c>
      <c r="E304" t="str">
        <f>T("김광수")</f>
        <v>김광수</v>
      </c>
      <c r="H304" t="str">
        <f>T("스토리위즈")</f>
        <v>스토리위즈</v>
      </c>
      <c r="I304" t="str">
        <f>T("[e북]화산지애")</f>
        <v>[e북]화산지애</v>
      </c>
      <c r="J304">
        <v>3200</v>
      </c>
      <c r="K304">
        <v>3200</v>
      </c>
      <c r="L304">
        <v>1</v>
      </c>
      <c r="M304">
        <v>0</v>
      </c>
      <c r="N304">
        <v>5400</v>
      </c>
      <c r="O304">
        <v>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8600</v>
      </c>
      <c r="AH304">
        <v>7</v>
      </c>
      <c r="AI304">
        <v>0</v>
      </c>
      <c r="AJ304">
        <v>0</v>
      </c>
      <c r="AK304">
        <v>7700</v>
      </c>
      <c r="AL304">
        <v>0</v>
      </c>
      <c r="AM304">
        <v>900</v>
      </c>
      <c r="AN304">
        <v>0</v>
      </c>
      <c r="AO304">
        <v>0</v>
      </c>
      <c r="AP304" s="2">
        <v>6020</v>
      </c>
      <c r="AV304" t="str">
        <f>T("판타지 e북 &gt; 신무협")</f>
        <v>판타지 e북 &gt; 신무협</v>
      </c>
    </row>
    <row r="305" spans="1:48" x14ac:dyDescent="0.4">
      <c r="A305">
        <v>1525008044</v>
      </c>
      <c r="B305">
        <v>1525008046</v>
      </c>
      <c r="C305" t="str">
        <f>T("[e북]다정한 내일을 위한 새벽 3권 (완결)")</f>
        <v>[e북]다정한 내일을 위한 새벽 3권 (완결)</v>
      </c>
      <c r="D305" t="str">
        <f>T("3")</f>
        <v>3</v>
      </c>
      <c r="E305" t="str">
        <f>T("나나코")</f>
        <v>나나코</v>
      </c>
      <c r="H305" t="str">
        <f>T("블러쉬")</f>
        <v>블러쉬</v>
      </c>
      <c r="I305" t="str">
        <f>T("[e북]다정한 내일을 위한 새벽")</f>
        <v>[e북]다정한 내일을 위한 새벽</v>
      </c>
      <c r="J305">
        <v>3200</v>
      </c>
      <c r="K305">
        <v>3200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3200</v>
      </c>
      <c r="AH305">
        <v>1</v>
      </c>
      <c r="AI305">
        <v>0</v>
      </c>
      <c r="AJ305">
        <v>0</v>
      </c>
      <c r="AK305">
        <v>3200</v>
      </c>
      <c r="AL305">
        <v>0</v>
      </c>
      <c r="AM305">
        <v>0</v>
      </c>
      <c r="AN305">
        <v>0</v>
      </c>
      <c r="AO305">
        <v>0</v>
      </c>
      <c r="AP305" s="2">
        <v>2240</v>
      </c>
      <c r="AR305" t="str">
        <f>T("0000000000000")</f>
        <v>0000000000000</v>
      </c>
      <c r="AT305" t="str">
        <f>T("9791164897599")</f>
        <v>9791164897599</v>
      </c>
      <c r="AV305" t="str">
        <f>T("BL 소설 e북 &gt; 현대물")</f>
        <v>BL 소설 e북 &gt; 현대물</v>
      </c>
    </row>
    <row r="306" spans="1:48" x14ac:dyDescent="0.4">
      <c r="A306">
        <v>1525011970</v>
      </c>
      <c r="B306">
        <v>1525011953</v>
      </c>
      <c r="C306" t="str">
        <f>T("[e북]강호, 미치다 18권")</f>
        <v>[e북]강호, 미치다 18권</v>
      </c>
      <c r="D306" t="str">
        <f>T("18")</f>
        <v>18</v>
      </c>
      <c r="E306" t="str">
        <f>T("최재봉")</f>
        <v>최재봉</v>
      </c>
      <c r="H306" t="str">
        <f>T("에필로그")</f>
        <v>에필로그</v>
      </c>
      <c r="I306" t="str">
        <f>T("[e북]강호, 미치다")</f>
        <v>[e북]강호, 미치다</v>
      </c>
      <c r="J306">
        <v>3200</v>
      </c>
      <c r="K306">
        <v>3200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3200</v>
      </c>
      <c r="AH306">
        <v>1</v>
      </c>
      <c r="AI306">
        <v>0</v>
      </c>
      <c r="AJ306">
        <v>0</v>
      </c>
      <c r="AK306">
        <v>1200</v>
      </c>
      <c r="AL306">
        <v>0</v>
      </c>
      <c r="AM306">
        <v>2000</v>
      </c>
      <c r="AN306">
        <v>0</v>
      </c>
      <c r="AO306">
        <v>0</v>
      </c>
      <c r="AP306" s="2">
        <v>2240</v>
      </c>
      <c r="AT306" t="str">
        <f>T("9791164482740")</f>
        <v>9791164482740</v>
      </c>
      <c r="AV306" t="str">
        <f>T("판타지 e북 &gt; 신무협")</f>
        <v>판타지 e북 &gt; 신무협</v>
      </c>
    </row>
    <row r="307" spans="1:48" x14ac:dyDescent="0.4">
      <c r="A307">
        <v>1525000135</v>
      </c>
      <c r="B307">
        <v>1525000139</v>
      </c>
      <c r="C307" t="str">
        <f>T("[e북]하프 블러드 5권")</f>
        <v>[e북]하프 블러드 5권</v>
      </c>
      <c r="D307" t="str">
        <f>T("5")</f>
        <v>5</v>
      </c>
      <c r="E307" t="str">
        <f>T("김정률")</f>
        <v>김정률</v>
      </c>
      <c r="H307" t="str">
        <f>T("스토리위즈")</f>
        <v>스토리위즈</v>
      </c>
      <c r="I307" t="str">
        <f>T("[e북]하프 블러드")</f>
        <v>[e북]하프 블러드</v>
      </c>
      <c r="J307">
        <v>3200</v>
      </c>
      <c r="K307">
        <v>3200</v>
      </c>
      <c r="L307">
        <v>1</v>
      </c>
      <c r="M307">
        <v>0</v>
      </c>
      <c r="N307">
        <v>4500</v>
      </c>
      <c r="O307">
        <v>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7700</v>
      </c>
      <c r="AH307">
        <v>6</v>
      </c>
      <c r="AI307">
        <v>0</v>
      </c>
      <c r="AJ307">
        <v>0</v>
      </c>
      <c r="AK307">
        <v>6800</v>
      </c>
      <c r="AL307">
        <v>0</v>
      </c>
      <c r="AM307">
        <v>900</v>
      </c>
      <c r="AN307">
        <v>0</v>
      </c>
      <c r="AO307">
        <v>0</v>
      </c>
      <c r="AP307" s="2">
        <v>5390</v>
      </c>
      <c r="AV307" t="str">
        <f>T("판타지 e북 &gt; 정통 판타지")</f>
        <v>판타지 e북 &gt; 정통 판타지</v>
      </c>
    </row>
    <row r="308" spans="1:48" x14ac:dyDescent="0.4">
      <c r="A308">
        <v>1525000158</v>
      </c>
      <c r="B308">
        <v>1525000171</v>
      </c>
      <c r="C308" t="str">
        <f>T("[e북]아나크레온 14권")</f>
        <v>[e북]아나크레온 14권</v>
      </c>
      <c r="D308" t="str">
        <f>T("14")</f>
        <v>14</v>
      </c>
      <c r="E308" t="str">
        <f>T("김정률")</f>
        <v>김정률</v>
      </c>
      <c r="H308" t="str">
        <f>T("스토리위즈")</f>
        <v>스토리위즈</v>
      </c>
      <c r="I308" t="str">
        <f>T("[e북]아나크레온")</f>
        <v>[e북]아나크레온</v>
      </c>
      <c r="J308">
        <v>3200</v>
      </c>
      <c r="K308">
        <v>3200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3200</v>
      </c>
      <c r="AH308">
        <v>1</v>
      </c>
      <c r="AI308">
        <v>0</v>
      </c>
      <c r="AJ308">
        <v>0</v>
      </c>
      <c r="AK308">
        <v>3200</v>
      </c>
      <c r="AL308">
        <v>0</v>
      </c>
      <c r="AM308">
        <v>0</v>
      </c>
      <c r="AN308">
        <v>0</v>
      </c>
      <c r="AO308">
        <v>0</v>
      </c>
      <c r="AP308" s="2">
        <v>2240</v>
      </c>
      <c r="AV308" t="str">
        <f>T("판타지 e북 &gt; 퓨전 판타지")</f>
        <v>판타지 e북 &gt; 퓨전 판타지</v>
      </c>
    </row>
    <row r="309" spans="1:48" x14ac:dyDescent="0.4">
      <c r="A309">
        <v>1525000125</v>
      </c>
      <c r="B309">
        <v>1525000131</v>
      </c>
      <c r="C309" t="str">
        <f>T("[e북]블레이드 헌터 7권")</f>
        <v>[e북]블레이드 헌터 7권</v>
      </c>
      <c r="D309" t="str">
        <f>T("7")</f>
        <v>7</v>
      </c>
      <c r="E309" t="str">
        <f>T("김정률")</f>
        <v>김정률</v>
      </c>
      <c r="H309" t="str">
        <f>T("스토리위즈")</f>
        <v>스토리위즈</v>
      </c>
      <c r="I309" t="str">
        <f>T("[e북]블레이드 헌터")</f>
        <v>[e북]블레이드 헌터</v>
      </c>
      <c r="J309">
        <v>3200</v>
      </c>
      <c r="K309">
        <v>3200</v>
      </c>
      <c r="L309">
        <v>1</v>
      </c>
      <c r="M309">
        <v>0</v>
      </c>
      <c r="N309">
        <v>5400</v>
      </c>
      <c r="O309">
        <v>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8600</v>
      </c>
      <c r="AH309">
        <v>7</v>
      </c>
      <c r="AI309">
        <v>0</v>
      </c>
      <c r="AJ309">
        <v>0</v>
      </c>
      <c r="AK309">
        <v>7600</v>
      </c>
      <c r="AL309">
        <v>0</v>
      </c>
      <c r="AM309">
        <v>1000</v>
      </c>
      <c r="AN309">
        <v>0</v>
      </c>
      <c r="AO309">
        <v>0</v>
      </c>
      <c r="AP309" s="2">
        <v>6020</v>
      </c>
      <c r="AV309" t="str">
        <f>T("판타지 e북 &gt; 정통 판타지")</f>
        <v>판타지 e북 &gt; 정통 판타지</v>
      </c>
    </row>
    <row r="310" spans="1:48" x14ac:dyDescent="0.4">
      <c r="A310">
        <v>1525002682</v>
      </c>
      <c r="B310">
        <v>1525002690</v>
      </c>
      <c r="C310" t="str">
        <f>T("[e북]스포트라이트 9권")</f>
        <v>[e북]스포트라이트 9권</v>
      </c>
      <c r="D310" t="str">
        <f>T("9")</f>
        <v>9</v>
      </c>
      <c r="E310" t="str">
        <f>T("전혁")</f>
        <v>전혁</v>
      </c>
      <c r="H310" t="str">
        <f>T("스토리위즈")</f>
        <v>스토리위즈</v>
      </c>
      <c r="I310" t="str">
        <f>T("[e북]스포트라이트")</f>
        <v>[e북]스포트라이트</v>
      </c>
      <c r="J310">
        <v>3200</v>
      </c>
      <c r="K310">
        <v>3200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3200</v>
      </c>
      <c r="AH310">
        <v>1</v>
      </c>
      <c r="AI310">
        <v>0</v>
      </c>
      <c r="AJ310">
        <v>0</v>
      </c>
      <c r="AK310">
        <v>3200</v>
      </c>
      <c r="AL310">
        <v>0</v>
      </c>
      <c r="AM310">
        <v>0</v>
      </c>
      <c r="AN310">
        <v>0</v>
      </c>
      <c r="AO310">
        <v>0</v>
      </c>
      <c r="AP310" s="2">
        <v>2240</v>
      </c>
      <c r="AT310" t="str">
        <f>T("9791159287732")</f>
        <v>9791159287732</v>
      </c>
      <c r="AV310" t="str">
        <f>T("판타지 e북 &gt; 현대 판타지")</f>
        <v>판타지 e북 &gt; 현대 판타지</v>
      </c>
    </row>
    <row r="311" spans="1:48" x14ac:dyDescent="0.4">
      <c r="A311">
        <v>1525002682</v>
      </c>
      <c r="B311">
        <v>1525002683</v>
      </c>
      <c r="C311" t="str">
        <f>T("[e북]스포트라이트 2권")</f>
        <v>[e북]스포트라이트 2권</v>
      </c>
      <c r="D311" t="str">
        <f>T("2")</f>
        <v>2</v>
      </c>
      <c r="E311" t="str">
        <f>T("전혁")</f>
        <v>전혁</v>
      </c>
      <c r="H311" t="str">
        <f>T("스토리위즈")</f>
        <v>스토리위즈</v>
      </c>
      <c r="I311" t="str">
        <f>T("[e북]스포트라이트")</f>
        <v>[e북]스포트라이트</v>
      </c>
      <c r="J311">
        <v>3200</v>
      </c>
      <c r="K311">
        <v>3200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3200</v>
      </c>
      <c r="AH311">
        <v>1</v>
      </c>
      <c r="AI311">
        <v>0</v>
      </c>
      <c r="AJ311">
        <v>0</v>
      </c>
      <c r="AK311">
        <v>3200</v>
      </c>
      <c r="AL311">
        <v>0</v>
      </c>
      <c r="AM311">
        <v>0</v>
      </c>
      <c r="AN311">
        <v>0</v>
      </c>
      <c r="AO311">
        <v>0</v>
      </c>
      <c r="AP311" s="2">
        <v>2240</v>
      </c>
      <c r="AT311" t="str">
        <f>T("9791159287664")</f>
        <v>9791159287664</v>
      </c>
      <c r="AV311" t="str">
        <f>T("판타지 e북 &gt; 현대 판타지")</f>
        <v>판타지 e북 &gt; 현대 판타지</v>
      </c>
    </row>
    <row r="312" spans="1:48" x14ac:dyDescent="0.4">
      <c r="A312">
        <v>1525008063</v>
      </c>
      <c r="B312">
        <v>1525008063</v>
      </c>
      <c r="C312" t="str">
        <f>T("[e북]돌아갈 수 없는 1권")</f>
        <v>[e북]돌아갈 수 없는 1권</v>
      </c>
      <c r="D312" t="str">
        <f>T("1")</f>
        <v>1</v>
      </c>
      <c r="E312" t="str">
        <f>T("키도")</f>
        <v>키도</v>
      </c>
      <c r="H312" t="str">
        <f>T("블러쉬")</f>
        <v>블러쉬</v>
      </c>
      <c r="I312" t="str">
        <f>T("[e북]돌아갈 수 없는")</f>
        <v>[e북]돌아갈 수 없는</v>
      </c>
      <c r="J312">
        <v>3200</v>
      </c>
      <c r="K312">
        <v>3200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3200</v>
      </c>
      <c r="AH312">
        <v>1</v>
      </c>
      <c r="AI312">
        <v>0</v>
      </c>
      <c r="AJ312">
        <v>0</v>
      </c>
      <c r="AK312">
        <v>3200</v>
      </c>
      <c r="AL312">
        <v>0</v>
      </c>
      <c r="AM312">
        <v>0</v>
      </c>
      <c r="AN312">
        <v>0</v>
      </c>
      <c r="AO312">
        <v>0</v>
      </c>
      <c r="AP312" s="2">
        <v>2240</v>
      </c>
      <c r="AR312" t="str">
        <f>T("0000000000000")</f>
        <v>0000000000000</v>
      </c>
      <c r="AT312" t="str">
        <f>T("9791164898442")</f>
        <v>9791164898442</v>
      </c>
      <c r="AV312" t="str">
        <f>T("BL 소설 e북 &gt; 현대물")</f>
        <v>BL 소설 e북 &gt; 현대물</v>
      </c>
    </row>
    <row r="313" spans="1:48" x14ac:dyDescent="0.4">
      <c r="A313">
        <v>1525000107</v>
      </c>
      <c r="B313">
        <v>1525000110</v>
      </c>
      <c r="C313" t="str">
        <f>T("[e북]데이몬 4권")</f>
        <v>[e북]데이몬 4권</v>
      </c>
      <c r="D313" t="str">
        <f>T("4")</f>
        <v>4</v>
      </c>
      <c r="E313" t="str">
        <f>T("김정률")</f>
        <v>김정률</v>
      </c>
      <c r="H313" t="str">
        <f>T("스토리위즈")</f>
        <v>스토리위즈</v>
      </c>
      <c r="I313" t="str">
        <f>T("[e북]데이몬")</f>
        <v>[e북]데이몬</v>
      </c>
      <c r="J313">
        <v>3200</v>
      </c>
      <c r="K313">
        <v>3200</v>
      </c>
      <c r="L313">
        <v>1</v>
      </c>
      <c r="M313">
        <v>0</v>
      </c>
      <c r="N313">
        <v>1800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5000</v>
      </c>
      <c r="AH313">
        <v>3</v>
      </c>
      <c r="AI313">
        <v>0</v>
      </c>
      <c r="AJ313">
        <v>0</v>
      </c>
      <c r="AK313">
        <v>5000</v>
      </c>
      <c r="AL313">
        <v>0</v>
      </c>
      <c r="AM313">
        <v>0</v>
      </c>
      <c r="AN313">
        <v>0</v>
      </c>
      <c r="AO313">
        <v>0</v>
      </c>
      <c r="AP313" s="2">
        <v>3500</v>
      </c>
      <c r="AT313" t="str">
        <f>T("9791166062032")</f>
        <v>9791166062032</v>
      </c>
      <c r="AV313" t="str">
        <f>T("판타지 e북 &gt; 퓨전 판타지")</f>
        <v>판타지 e북 &gt; 퓨전 판타지</v>
      </c>
    </row>
    <row r="314" spans="1:48" x14ac:dyDescent="0.4">
      <c r="A314">
        <v>1525011970</v>
      </c>
      <c r="B314">
        <v>1525011957</v>
      </c>
      <c r="C314" t="str">
        <f>T("[e북]강호, 미치다 14권")</f>
        <v>[e북]강호, 미치다 14권</v>
      </c>
      <c r="D314" t="str">
        <f>T("14")</f>
        <v>14</v>
      </c>
      <c r="E314" t="str">
        <f>T("최재봉")</f>
        <v>최재봉</v>
      </c>
      <c r="H314" t="str">
        <f>T("에필로그")</f>
        <v>에필로그</v>
      </c>
      <c r="I314" t="str">
        <f>T("[e북]강호, 미치다")</f>
        <v>[e북]강호, 미치다</v>
      </c>
      <c r="J314">
        <v>3200</v>
      </c>
      <c r="K314">
        <v>3200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3200</v>
      </c>
      <c r="AH314">
        <v>1</v>
      </c>
      <c r="AI314">
        <v>0</v>
      </c>
      <c r="AJ314">
        <v>0</v>
      </c>
      <c r="AK314">
        <v>3200</v>
      </c>
      <c r="AL314">
        <v>0</v>
      </c>
      <c r="AM314">
        <v>0</v>
      </c>
      <c r="AN314">
        <v>0</v>
      </c>
      <c r="AO314">
        <v>0</v>
      </c>
      <c r="AP314" s="2">
        <v>2240</v>
      </c>
      <c r="AT314" t="str">
        <f>T("9791164482672")</f>
        <v>9791164482672</v>
      </c>
      <c r="AV314" t="str">
        <f>T("판타지 e북 &gt; 신무협")</f>
        <v>판타지 e북 &gt; 신무협</v>
      </c>
    </row>
    <row r="315" spans="1:48" x14ac:dyDescent="0.4">
      <c r="A315">
        <v>1525000199</v>
      </c>
      <c r="B315">
        <v>1525000206</v>
      </c>
      <c r="C315" t="str">
        <f>T("[e북]화산지애 8권")</f>
        <v>[e북]화산지애 8권</v>
      </c>
      <c r="D315" t="str">
        <f>T("8")</f>
        <v>8</v>
      </c>
      <c r="E315" t="str">
        <f>T("김광수")</f>
        <v>김광수</v>
      </c>
      <c r="H315" t="str">
        <f>T("스토리위즈")</f>
        <v>스토리위즈</v>
      </c>
      <c r="I315" t="str">
        <f>T("[e북]화산지애")</f>
        <v>[e북]화산지애</v>
      </c>
      <c r="J315">
        <v>3200</v>
      </c>
      <c r="K315">
        <v>3200</v>
      </c>
      <c r="L315">
        <v>1</v>
      </c>
      <c r="M315">
        <v>0</v>
      </c>
      <c r="N315">
        <v>3600</v>
      </c>
      <c r="O315">
        <v>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6800</v>
      </c>
      <c r="AH315">
        <v>5</v>
      </c>
      <c r="AI315">
        <v>0</v>
      </c>
      <c r="AJ315">
        <v>0</v>
      </c>
      <c r="AK315">
        <v>6800</v>
      </c>
      <c r="AL315">
        <v>0</v>
      </c>
      <c r="AM315">
        <v>0</v>
      </c>
      <c r="AN315">
        <v>0</v>
      </c>
      <c r="AO315">
        <v>0</v>
      </c>
      <c r="AP315" s="2">
        <v>4760</v>
      </c>
      <c r="AV315" t="str">
        <f>T("판타지 e북 &gt; 신무협")</f>
        <v>판타지 e북 &gt; 신무협</v>
      </c>
    </row>
    <row r="316" spans="1:48" x14ac:dyDescent="0.4">
      <c r="A316">
        <v>1525011970</v>
      </c>
      <c r="B316">
        <v>1525011950</v>
      </c>
      <c r="C316" t="str">
        <f>T("[e북]강호, 미치다 21권")</f>
        <v>[e북]강호, 미치다 21권</v>
      </c>
      <c r="D316" t="str">
        <f>T("21")</f>
        <v>21</v>
      </c>
      <c r="E316" t="str">
        <f>T("최재봉")</f>
        <v>최재봉</v>
      </c>
      <c r="H316" t="str">
        <f>T("에필로그")</f>
        <v>에필로그</v>
      </c>
      <c r="I316" t="str">
        <f>T("[e북]강호, 미치다")</f>
        <v>[e북]강호, 미치다</v>
      </c>
      <c r="J316">
        <v>3200</v>
      </c>
      <c r="K316">
        <v>3200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3200</v>
      </c>
      <c r="AH316">
        <v>1</v>
      </c>
      <c r="AI316">
        <v>0</v>
      </c>
      <c r="AJ316">
        <v>0</v>
      </c>
      <c r="AK316">
        <v>1600</v>
      </c>
      <c r="AL316">
        <v>0</v>
      </c>
      <c r="AM316">
        <v>1600</v>
      </c>
      <c r="AN316">
        <v>0</v>
      </c>
      <c r="AO316">
        <v>0</v>
      </c>
      <c r="AP316" s="2">
        <v>2240</v>
      </c>
      <c r="AT316" t="str">
        <f>T("9791164482733")</f>
        <v>9791164482733</v>
      </c>
      <c r="AV316" t="str">
        <f>T("판타지 e북 &gt; 신무협")</f>
        <v>판타지 e북 &gt; 신무협</v>
      </c>
    </row>
    <row r="317" spans="1:48" x14ac:dyDescent="0.4">
      <c r="A317">
        <v>1525001317</v>
      </c>
      <c r="B317">
        <v>1525001324</v>
      </c>
      <c r="C317" t="str">
        <f>T("[e북]완전판 | 스트라이커 8권")</f>
        <v>[e북]완전판 | 스트라이커 8권</v>
      </c>
      <c r="D317" t="str">
        <f>T("8")</f>
        <v>8</v>
      </c>
      <c r="E317" t="str">
        <f>T("독고진")</f>
        <v>독고진</v>
      </c>
      <c r="H317" t="str">
        <f t="shared" ref="H317:H322" si="29">T("스토리위즈")</f>
        <v>스토리위즈</v>
      </c>
      <c r="I317" t="str">
        <f>T("[e북]완전판 | 스트라이커")</f>
        <v>[e북]완전판 | 스트라이커</v>
      </c>
      <c r="J317">
        <v>3200</v>
      </c>
      <c r="K317">
        <v>3200</v>
      </c>
      <c r="L317">
        <v>1</v>
      </c>
      <c r="M317">
        <v>0</v>
      </c>
      <c r="N317">
        <v>5400</v>
      </c>
      <c r="O317">
        <v>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8600</v>
      </c>
      <c r="AH317">
        <v>7</v>
      </c>
      <c r="AI317">
        <v>0</v>
      </c>
      <c r="AJ317">
        <v>0</v>
      </c>
      <c r="AK317">
        <v>5400</v>
      </c>
      <c r="AL317">
        <v>0</v>
      </c>
      <c r="AM317">
        <v>3200</v>
      </c>
      <c r="AN317">
        <v>0</v>
      </c>
      <c r="AO317">
        <v>0</v>
      </c>
      <c r="AP317" s="2">
        <v>6020</v>
      </c>
      <c r="AR317" t="str">
        <f>T("9791159282904")</f>
        <v>9791159282904</v>
      </c>
      <c r="AT317" t="str">
        <f>T("9791159282904")</f>
        <v>9791159282904</v>
      </c>
      <c r="AV317" t="str">
        <f>T("판타지 e북 &gt; 스포츠물")</f>
        <v>판타지 e북 &gt; 스포츠물</v>
      </c>
    </row>
    <row r="318" spans="1:48" x14ac:dyDescent="0.4">
      <c r="A318">
        <v>1525000125</v>
      </c>
      <c r="B318">
        <v>1525000128</v>
      </c>
      <c r="C318" t="str">
        <f>T("[e북]블레이드 헌터 4권")</f>
        <v>[e북]블레이드 헌터 4권</v>
      </c>
      <c r="D318" t="str">
        <f>T("4")</f>
        <v>4</v>
      </c>
      <c r="E318" t="str">
        <f>T("김정률")</f>
        <v>김정률</v>
      </c>
      <c r="H318" t="str">
        <f t="shared" si="29"/>
        <v>스토리위즈</v>
      </c>
      <c r="I318" t="str">
        <f>T("[e북]블레이드 헌터")</f>
        <v>[e북]블레이드 헌터</v>
      </c>
      <c r="J318">
        <v>3200</v>
      </c>
      <c r="K318">
        <v>3200</v>
      </c>
      <c r="L318">
        <v>1</v>
      </c>
      <c r="M318">
        <v>0</v>
      </c>
      <c r="N318">
        <v>5400</v>
      </c>
      <c r="O318">
        <v>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8600</v>
      </c>
      <c r="AH318">
        <v>7</v>
      </c>
      <c r="AI318">
        <v>0</v>
      </c>
      <c r="AJ318">
        <v>0</v>
      </c>
      <c r="AK318">
        <v>7960</v>
      </c>
      <c r="AL318">
        <v>0</v>
      </c>
      <c r="AM318">
        <v>640</v>
      </c>
      <c r="AN318">
        <v>0</v>
      </c>
      <c r="AO318">
        <v>0</v>
      </c>
      <c r="AP318" s="2">
        <v>6020</v>
      </c>
      <c r="AV318" t="str">
        <f>T("판타지 e북 &gt; 정통 판타지")</f>
        <v>판타지 e북 &gt; 정통 판타지</v>
      </c>
    </row>
    <row r="319" spans="1:48" x14ac:dyDescent="0.4">
      <c r="A319">
        <v>1525000158</v>
      </c>
      <c r="B319">
        <v>1525000161</v>
      </c>
      <c r="C319" t="str">
        <f>T("[e북]아나크레온 4권")</f>
        <v>[e북]아나크레온 4권</v>
      </c>
      <c r="D319" t="str">
        <f>T("4")</f>
        <v>4</v>
      </c>
      <c r="E319" t="str">
        <f>T("김정률")</f>
        <v>김정률</v>
      </c>
      <c r="H319" t="str">
        <f t="shared" si="29"/>
        <v>스토리위즈</v>
      </c>
      <c r="I319" t="str">
        <f>T("[e북]아나크레온")</f>
        <v>[e북]아나크레온</v>
      </c>
      <c r="J319">
        <v>3200</v>
      </c>
      <c r="K319">
        <v>3200</v>
      </c>
      <c r="L319">
        <v>1</v>
      </c>
      <c r="M319">
        <v>0</v>
      </c>
      <c r="N319">
        <v>2700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5900</v>
      </c>
      <c r="AH319">
        <v>4</v>
      </c>
      <c r="AI319">
        <v>0</v>
      </c>
      <c r="AJ319">
        <v>0</v>
      </c>
      <c r="AK319">
        <v>5000</v>
      </c>
      <c r="AL319">
        <v>0</v>
      </c>
      <c r="AM319">
        <v>900</v>
      </c>
      <c r="AN319">
        <v>0</v>
      </c>
      <c r="AO319">
        <v>0</v>
      </c>
      <c r="AP319" s="2">
        <v>4130</v>
      </c>
      <c r="AV319" t="str">
        <f>T("판타지 e북 &gt; 퓨전 판타지")</f>
        <v>판타지 e북 &gt; 퓨전 판타지</v>
      </c>
    </row>
    <row r="320" spans="1:48" x14ac:dyDescent="0.4">
      <c r="A320">
        <v>1525002682</v>
      </c>
      <c r="B320">
        <v>1525002687</v>
      </c>
      <c r="C320" t="str">
        <f>T("[e북]스포트라이트 6권")</f>
        <v>[e북]스포트라이트 6권</v>
      </c>
      <c r="D320" t="str">
        <f>T("6")</f>
        <v>6</v>
      </c>
      <c r="E320" t="str">
        <f>T("전혁")</f>
        <v>전혁</v>
      </c>
      <c r="H320" t="str">
        <f t="shared" si="29"/>
        <v>스토리위즈</v>
      </c>
      <c r="I320" t="str">
        <f>T("[e북]스포트라이트")</f>
        <v>[e북]스포트라이트</v>
      </c>
      <c r="J320">
        <v>3200</v>
      </c>
      <c r="K320">
        <v>3200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3200</v>
      </c>
      <c r="AH320">
        <v>1</v>
      </c>
      <c r="AI320">
        <v>0</v>
      </c>
      <c r="AJ320">
        <v>0</v>
      </c>
      <c r="AK320">
        <v>3200</v>
      </c>
      <c r="AL320">
        <v>0</v>
      </c>
      <c r="AM320">
        <v>0</v>
      </c>
      <c r="AN320">
        <v>0</v>
      </c>
      <c r="AO320">
        <v>0</v>
      </c>
      <c r="AP320" s="2">
        <v>2240</v>
      </c>
      <c r="AT320" t="str">
        <f>T("9791159287701")</f>
        <v>9791159287701</v>
      </c>
      <c r="AV320" t="str">
        <f>T("판타지 e북 &gt; 현대 판타지")</f>
        <v>판타지 e북 &gt; 현대 판타지</v>
      </c>
    </row>
    <row r="321" spans="1:48" x14ac:dyDescent="0.4">
      <c r="A321">
        <v>1525003495</v>
      </c>
      <c r="B321">
        <v>1525003503</v>
      </c>
      <c r="C321" t="str">
        <f>T("[e북]소드마스터의 환생 9권 (완결)")</f>
        <v>[e북]소드마스터의 환생 9권 (완결)</v>
      </c>
      <c r="D321" t="str">
        <f>T("9")</f>
        <v>9</v>
      </c>
      <c r="E321" t="str">
        <f>T("파란영")</f>
        <v>파란영</v>
      </c>
      <c r="H321" t="str">
        <f t="shared" si="29"/>
        <v>스토리위즈</v>
      </c>
      <c r="I321" t="str">
        <f>T("[e북]소드마스터의 환생")</f>
        <v>[e북]소드마스터의 환생</v>
      </c>
      <c r="J321">
        <v>3200</v>
      </c>
      <c r="K321">
        <v>3200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3200</v>
      </c>
      <c r="AH321">
        <v>1</v>
      </c>
      <c r="AI321">
        <v>0</v>
      </c>
      <c r="AJ321">
        <v>0</v>
      </c>
      <c r="AK321">
        <v>3200</v>
      </c>
      <c r="AL321">
        <v>0</v>
      </c>
      <c r="AM321">
        <v>0</v>
      </c>
      <c r="AN321">
        <v>0</v>
      </c>
      <c r="AO321">
        <v>0</v>
      </c>
      <c r="AP321" s="2">
        <v>2240</v>
      </c>
      <c r="AT321" t="str">
        <f>T("9791159289897")</f>
        <v>9791159289897</v>
      </c>
      <c r="AV321" t="str">
        <f>T("판타지 e북 &gt; 정통 판타지")</f>
        <v>판타지 e북 &gt; 정통 판타지</v>
      </c>
    </row>
    <row r="322" spans="1:48" x14ac:dyDescent="0.4">
      <c r="A322">
        <v>1525000146</v>
      </c>
      <c r="B322">
        <v>1525000154</v>
      </c>
      <c r="C322" t="str">
        <f>T("[e북]트루베니아 연대기 9권")</f>
        <v>[e북]트루베니아 연대기 9권</v>
      </c>
      <c r="D322" t="str">
        <f>T("9")</f>
        <v>9</v>
      </c>
      <c r="E322" t="str">
        <f>T("김정률")</f>
        <v>김정률</v>
      </c>
      <c r="H322" t="str">
        <f t="shared" si="29"/>
        <v>스토리위즈</v>
      </c>
      <c r="I322" t="str">
        <f>T("[e북]트루베니아 연대기")</f>
        <v>[e북]트루베니아 연대기</v>
      </c>
      <c r="J322">
        <v>3200</v>
      </c>
      <c r="K322">
        <v>3200</v>
      </c>
      <c r="L322">
        <v>1</v>
      </c>
      <c r="M322">
        <v>0</v>
      </c>
      <c r="N322">
        <v>6300</v>
      </c>
      <c r="O322">
        <v>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9500</v>
      </c>
      <c r="AH322">
        <v>8</v>
      </c>
      <c r="AI322">
        <v>0</v>
      </c>
      <c r="AJ322">
        <v>0</v>
      </c>
      <c r="AK322">
        <v>5400</v>
      </c>
      <c r="AL322">
        <v>0</v>
      </c>
      <c r="AM322">
        <v>4100</v>
      </c>
      <c r="AN322">
        <v>0</v>
      </c>
      <c r="AO322">
        <v>0</v>
      </c>
      <c r="AP322" s="2">
        <v>6650</v>
      </c>
      <c r="AV322" t="str">
        <f>T("판타지 e북 &gt; 정통 판타지")</f>
        <v>판타지 e북 &gt; 정통 판타지</v>
      </c>
    </row>
    <row r="323" spans="1:48" x14ac:dyDescent="0.4">
      <c r="A323">
        <v>1525011970</v>
      </c>
      <c r="B323">
        <v>1525011961</v>
      </c>
      <c r="C323" t="str">
        <f>T("[e북]강호, 미치다 10권")</f>
        <v>[e북]강호, 미치다 10권</v>
      </c>
      <c r="D323" t="str">
        <f>T("10")</f>
        <v>10</v>
      </c>
      <c r="E323" t="str">
        <f>T("최재봉")</f>
        <v>최재봉</v>
      </c>
      <c r="H323" t="str">
        <f>T("에필로그")</f>
        <v>에필로그</v>
      </c>
      <c r="I323" t="str">
        <f>T("[e북]강호, 미치다")</f>
        <v>[e북]강호, 미치다</v>
      </c>
      <c r="J323">
        <v>3200</v>
      </c>
      <c r="K323">
        <v>3200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3200</v>
      </c>
      <c r="AH323">
        <v>1</v>
      </c>
      <c r="AI323">
        <v>0</v>
      </c>
      <c r="AJ323">
        <v>0</v>
      </c>
      <c r="AK323">
        <v>3200</v>
      </c>
      <c r="AL323">
        <v>0</v>
      </c>
      <c r="AM323">
        <v>0</v>
      </c>
      <c r="AN323">
        <v>0</v>
      </c>
      <c r="AO323">
        <v>0</v>
      </c>
      <c r="AP323" s="2">
        <v>2240</v>
      </c>
      <c r="AT323" t="str">
        <f>T("9791164482634")</f>
        <v>9791164482634</v>
      </c>
      <c r="AV323" t="str">
        <f>T("판타지 e북 &gt; 신무협")</f>
        <v>판타지 e북 &gt; 신무협</v>
      </c>
    </row>
    <row r="324" spans="1:48" x14ac:dyDescent="0.4">
      <c r="A324">
        <v>1525008213</v>
      </c>
      <c r="B324">
        <v>1525008213</v>
      </c>
      <c r="C324" t="str">
        <f>T("[e북]흠뻑 적셔줄게")</f>
        <v>[e북]흠뻑 적셔줄게</v>
      </c>
      <c r="D324" t="str">
        <f>T("1")</f>
        <v>1</v>
      </c>
      <c r="E324" t="str">
        <f>T("묜수")</f>
        <v>묜수</v>
      </c>
      <c r="H324" t="str">
        <f>T("블러쉬")</f>
        <v>블러쉬</v>
      </c>
      <c r="I324" t="str">
        <f>T("[e북]흠뻑 적셔줄게")</f>
        <v>[e북]흠뻑 적셔줄게</v>
      </c>
      <c r="J324">
        <v>3200</v>
      </c>
      <c r="K324">
        <v>3200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3200</v>
      </c>
      <c r="AH324">
        <v>1</v>
      </c>
      <c r="AI324">
        <v>0</v>
      </c>
      <c r="AJ324">
        <v>0</v>
      </c>
      <c r="AK324">
        <v>3200</v>
      </c>
      <c r="AL324">
        <v>0</v>
      </c>
      <c r="AM324">
        <v>0</v>
      </c>
      <c r="AN324">
        <v>0</v>
      </c>
      <c r="AO324">
        <v>0</v>
      </c>
      <c r="AP324" s="2">
        <v>2240</v>
      </c>
      <c r="AR324" t="str">
        <f>T("0000000000000")</f>
        <v>0000000000000</v>
      </c>
      <c r="AT324" t="str">
        <f>T("9791164899043")</f>
        <v>9791164899043</v>
      </c>
      <c r="AV324" t="str">
        <f>T("BL 소설 e북 &gt; 현대물")</f>
        <v>BL 소설 e북 &gt; 현대물</v>
      </c>
    </row>
    <row r="325" spans="1:48" x14ac:dyDescent="0.4">
      <c r="A325">
        <v>1525000146</v>
      </c>
      <c r="B325">
        <v>1525000147</v>
      </c>
      <c r="C325" t="str">
        <f>T("[e북]트루베니아 연대기 2권")</f>
        <v>[e북]트루베니아 연대기 2권</v>
      </c>
      <c r="D325" t="str">
        <f>T("2")</f>
        <v>2</v>
      </c>
      <c r="E325" t="str">
        <f>T("김정률")</f>
        <v>김정률</v>
      </c>
      <c r="H325" t="str">
        <f>T("스토리위즈")</f>
        <v>스토리위즈</v>
      </c>
      <c r="I325" t="str">
        <f>T("[e북]트루베니아 연대기")</f>
        <v>[e북]트루베니아 연대기</v>
      </c>
      <c r="J325">
        <v>3200</v>
      </c>
      <c r="K325">
        <v>3200</v>
      </c>
      <c r="L325">
        <v>1</v>
      </c>
      <c r="M325">
        <v>0</v>
      </c>
      <c r="N325">
        <v>7200</v>
      </c>
      <c r="O325">
        <v>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10400</v>
      </c>
      <c r="AH325">
        <v>9</v>
      </c>
      <c r="AI325">
        <v>0</v>
      </c>
      <c r="AJ325">
        <v>0</v>
      </c>
      <c r="AK325">
        <v>6700</v>
      </c>
      <c r="AL325">
        <v>0</v>
      </c>
      <c r="AM325">
        <v>3700</v>
      </c>
      <c r="AN325">
        <v>0</v>
      </c>
      <c r="AO325">
        <v>0</v>
      </c>
      <c r="AP325" s="2">
        <v>7280</v>
      </c>
      <c r="AV325" t="str">
        <f>T("판타지 e북 &gt; 정통 판타지")</f>
        <v>판타지 e북 &gt; 정통 판타지</v>
      </c>
    </row>
    <row r="326" spans="1:48" x14ac:dyDescent="0.4">
      <c r="A326">
        <v>1525000199</v>
      </c>
      <c r="B326">
        <v>1525000203</v>
      </c>
      <c r="C326" t="str">
        <f>T("[e북]화산지애 5권")</f>
        <v>[e북]화산지애 5권</v>
      </c>
      <c r="D326" t="str">
        <f>T("5")</f>
        <v>5</v>
      </c>
      <c r="E326" t="str">
        <f>T("김광수")</f>
        <v>김광수</v>
      </c>
      <c r="H326" t="str">
        <f>T("스토리위즈")</f>
        <v>스토리위즈</v>
      </c>
      <c r="I326" t="str">
        <f>T("[e북]화산지애")</f>
        <v>[e북]화산지애</v>
      </c>
      <c r="J326">
        <v>3200</v>
      </c>
      <c r="K326">
        <v>3200</v>
      </c>
      <c r="L326">
        <v>1</v>
      </c>
      <c r="M326">
        <v>0</v>
      </c>
      <c r="N326">
        <v>5400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8600</v>
      </c>
      <c r="AH326">
        <v>7</v>
      </c>
      <c r="AI326">
        <v>0</v>
      </c>
      <c r="AJ326">
        <v>0</v>
      </c>
      <c r="AK326">
        <v>7700</v>
      </c>
      <c r="AL326">
        <v>0</v>
      </c>
      <c r="AM326">
        <v>900</v>
      </c>
      <c r="AN326">
        <v>0</v>
      </c>
      <c r="AO326">
        <v>0</v>
      </c>
      <c r="AP326" s="2">
        <v>6020</v>
      </c>
      <c r="AV326" t="str">
        <f>T("판타지 e북 &gt; 신무협")</f>
        <v>판타지 e북 &gt; 신무협</v>
      </c>
    </row>
    <row r="327" spans="1:48" x14ac:dyDescent="0.4">
      <c r="A327">
        <v>1525000125</v>
      </c>
      <c r="B327">
        <v>1525000132</v>
      </c>
      <c r="C327" t="str">
        <f>T("[e북]블레이드 헌터 8권")</f>
        <v>[e북]블레이드 헌터 8권</v>
      </c>
      <c r="D327" t="str">
        <f>T("8")</f>
        <v>8</v>
      </c>
      <c r="E327" t="str">
        <f>T("김정률")</f>
        <v>김정률</v>
      </c>
      <c r="H327" t="str">
        <f>T("스토리위즈")</f>
        <v>스토리위즈</v>
      </c>
      <c r="I327" t="str">
        <f>T("[e북]블레이드 헌터")</f>
        <v>[e북]블레이드 헌터</v>
      </c>
      <c r="J327">
        <v>3200</v>
      </c>
      <c r="K327">
        <v>3200</v>
      </c>
      <c r="L327">
        <v>1</v>
      </c>
      <c r="M327">
        <v>0</v>
      </c>
      <c r="N327">
        <v>6300</v>
      </c>
      <c r="O327">
        <v>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9500</v>
      </c>
      <c r="AH327">
        <v>8</v>
      </c>
      <c r="AI327">
        <v>0</v>
      </c>
      <c r="AJ327">
        <v>0</v>
      </c>
      <c r="AK327">
        <v>7700</v>
      </c>
      <c r="AL327">
        <v>0</v>
      </c>
      <c r="AM327">
        <v>1800</v>
      </c>
      <c r="AN327">
        <v>0</v>
      </c>
      <c r="AO327">
        <v>0</v>
      </c>
      <c r="AP327" s="2">
        <v>6650</v>
      </c>
      <c r="AV327" t="str">
        <f>T("판타지 e북 &gt; 정통 판타지")</f>
        <v>판타지 e북 &gt; 정통 판타지</v>
      </c>
    </row>
    <row r="328" spans="1:48" x14ac:dyDescent="0.4">
      <c r="A328">
        <v>1525008021</v>
      </c>
      <c r="B328">
        <v>1525008021</v>
      </c>
      <c r="C328" t="str">
        <f>T("[e북]나는 내 연인의 것 1권")</f>
        <v>[e북]나는 내 연인의 것 1권</v>
      </c>
      <c r="D328" t="str">
        <f>T("1")</f>
        <v>1</v>
      </c>
      <c r="E328" t="str">
        <f>T("SISSI")</f>
        <v>SISSI</v>
      </c>
      <c r="H328" t="str">
        <f>T("블러쉬")</f>
        <v>블러쉬</v>
      </c>
      <c r="I328" t="str">
        <f>T("[e북]나는 내 연인의 것")</f>
        <v>[e북]나는 내 연인의 것</v>
      </c>
      <c r="J328">
        <v>3200</v>
      </c>
      <c r="K328">
        <v>3200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3200</v>
      </c>
      <c r="AH328">
        <v>1</v>
      </c>
      <c r="AI328">
        <v>0</v>
      </c>
      <c r="AJ328">
        <v>0</v>
      </c>
      <c r="AK328">
        <v>3200</v>
      </c>
      <c r="AL328">
        <v>0</v>
      </c>
      <c r="AM328">
        <v>0</v>
      </c>
      <c r="AN328">
        <v>0</v>
      </c>
      <c r="AO328">
        <v>0</v>
      </c>
      <c r="AP328" s="2">
        <v>2240</v>
      </c>
      <c r="AR328" t="str">
        <f>T("0000000000000")</f>
        <v>0000000000000</v>
      </c>
      <c r="AT328" t="str">
        <f>T("9791164899401")</f>
        <v>9791164899401</v>
      </c>
      <c r="AV328" t="str">
        <f>T("BL 소설 e북 &gt; 현대물")</f>
        <v>BL 소설 e북 &gt; 현대물</v>
      </c>
    </row>
    <row r="329" spans="1:48" x14ac:dyDescent="0.4">
      <c r="A329">
        <v>1525002682</v>
      </c>
      <c r="B329">
        <v>1525002691</v>
      </c>
      <c r="C329" t="str">
        <f>T("[e북]스포트라이트 10권 (완결)")</f>
        <v>[e북]스포트라이트 10권 (완결)</v>
      </c>
      <c r="D329" t="str">
        <f>T("10")</f>
        <v>10</v>
      </c>
      <c r="E329" t="str">
        <f>T("전혁")</f>
        <v>전혁</v>
      </c>
      <c r="H329" t="str">
        <f>T("스토리위즈")</f>
        <v>스토리위즈</v>
      </c>
      <c r="I329" t="str">
        <f>T("[e북]스포트라이트")</f>
        <v>[e북]스포트라이트</v>
      </c>
      <c r="J329">
        <v>3200</v>
      </c>
      <c r="K329">
        <v>3200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3200</v>
      </c>
      <c r="AH329">
        <v>1</v>
      </c>
      <c r="AI329">
        <v>0</v>
      </c>
      <c r="AJ329">
        <v>0</v>
      </c>
      <c r="AK329">
        <v>3200</v>
      </c>
      <c r="AL329">
        <v>0</v>
      </c>
      <c r="AM329">
        <v>0</v>
      </c>
      <c r="AN329">
        <v>0</v>
      </c>
      <c r="AO329">
        <v>0</v>
      </c>
      <c r="AP329" s="2">
        <v>2240</v>
      </c>
      <c r="AT329" t="str">
        <f>T("9791159287749")</f>
        <v>9791159287749</v>
      </c>
      <c r="AV329" t="str">
        <f>T("판타지 e북 &gt; 현대 판타지")</f>
        <v>판타지 e북 &gt; 현대 판타지</v>
      </c>
    </row>
    <row r="330" spans="1:48" x14ac:dyDescent="0.4">
      <c r="A330">
        <v>1525002682</v>
      </c>
      <c r="B330">
        <v>1525002684</v>
      </c>
      <c r="C330" t="str">
        <f>T("[e북]스포트라이트 3권")</f>
        <v>[e북]스포트라이트 3권</v>
      </c>
      <c r="D330" t="str">
        <f>T("3")</f>
        <v>3</v>
      </c>
      <c r="E330" t="str">
        <f>T("전혁")</f>
        <v>전혁</v>
      </c>
      <c r="H330" t="str">
        <f>T("스토리위즈")</f>
        <v>스토리위즈</v>
      </c>
      <c r="I330" t="str">
        <f>T("[e북]스포트라이트")</f>
        <v>[e북]스포트라이트</v>
      </c>
      <c r="J330">
        <v>3200</v>
      </c>
      <c r="K330">
        <v>3200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3200</v>
      </c>
      <c r="AH330">
        <v>1</v>
      </c>
      <c r="AI330">
        <v>0</v>
      </c>
      <c r="AJ330">
        <v>0</v>
      </c>
      <c r="AK330">
        <v>3200</v>
      </c>
      <c r="AL330">
        <v>0</v>
      </c>
      <c r="AM330">
        <v>0</v>
      </c>
      <c r="AN330">
        <v>0</v>
      </c>
      <c r="AO330">
        <v>0</v>
      </c>
      <c r="AP330" s="2">
        <v>2240</v>
      </c>
      <c r="AT330" t="str">
        <f>T("9791159287671")</f>
        <v>9791159287671</v>
      </c>
      <c r="AV330" t="str">
        <f>T("판타지 e북 &gt; 현대 판타지")</f>
        <v>판타지 e북 &gt; 현대 판타지</v>
      </c>
    </row>
    <row r="331" spans="1:48" x14ac:dyDescent="0.4">
      <c r="A331">
        <v>1525008063</v>
      </c>
      <c r="B331">
        <v>1525008064</v>
      </c>
      <c r="C331" t="str">
        <f>T("[e북]돌아갈 수 없는 2권 (완결)")</f>
        <v>[e북]돌아갈 수 없는 2권 (완결)</v>
      </c>
      <c r="D331" t="str">
        <f>T("2")</f>
        <v>2</v>
      </c>
      <c r="E331" t="str">
        <f>T("키도")</f>
        <v>키도</v>
      </c>
      <c r="H331" t="str">
        <f>T("블러쉬")</f>
        <v>블러쉬</v>
      </c>
      <c r="I331" t="str">
        <f>T("[e북]돌아갈 수 없는")</f>
        <v>[e북]돌아갈 수 없는</v>
      </c>
      <c r="J331">
        <v>3200</v>
      </c>
      <c r="K331">
        <v>3200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3200</v>
      </c>
      <c r="AH331">
        <v>1</v>
      </c>
      <c r="AI331">
        <v>0</v>
      </c>
      <c r="AJ331">
        <v>0</v>
      </c>
      <c r="AK331">
        <v>3200</v>
      </c>
      <c r="AL331">
        <v>0</v>
      </c>
      <c r="AM331">
        <v>0</v>
      </c>
      <c r="AN331">
        <v>0</v>
      </c>
      <c r="AO331">
        <v>0</v>
      </c>
      <c r="AP331" s="2">
        <v>2240</v>
      </c>
      <c r="AR331" t="str">
        <f>T("0000000000000")</f>
        <v>0000000000000</v>
      </c>
      <c r="AT331" t="str">
        <f>T("9791164898459")</f>
        <v>9791164898459</v>
      </c>
      <c r="AV331" t="str">
        <f>T("BL 소설 e북 &gt; 현대물")</f>
        <v>BL 소설 e북 &gt; 현대물</v>
      </c>
    </row>
    <row r="332" spans="1:48" x14ac:dyDescent="0.4">
      <c r="A332">
        <v>1525000107</v>
      </c>
      <c r="B332">
        <v>1525000111</v>
      </c>
      <c r="C332" t="str">
        <f>T("[e북]데이몬 5권")</f>
        <v>[e북]데이몬 5권</v>
      </c>
      <c r="D332" t="str">
        <f>T("5")</f>
        <v>5</v>
      </c>
      <c r="E332" t="str">
        <f>T("김정률")</f>
        <v>김정률</v>
      </c>
      <c r="H332" t="str">
        <f>T("스토리위즈")</f>
        <v>스토리위즈</v>
      </c>
      <c r="I332" t="str">
        <f>T("[e북]데이몬")</f>
        <v>[e북]데이몬</v>
      </c>
      <c r="J332">
        <v>3200</v>
      </c>
      <c r="K332">
        <v>3200</v>
      </c>
      <c r="L332">
        <v>1</v>
      </c>
      <c r="M332">
        <v>0</v>
      </c>
      <c r="N332">
        <v>2700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5900</v>
      </c>
      <c r="AH332">
        <v>4</v>
      </c>
      <c r="AI332">
        <v>0</v>
      </c>
      <c r="AJ332">
        <v>0</v>
      </c>
      <c r="AK332">
        <v>5900</v>
      </c>
      <c r="AL332">
        <v>0</v>
      </c>
      <c r="AM332">
        <v>0</v>
      </c>
      <c r="AN332">
        <v>0</v>
      </c>
      <c r="AO332">
        <v>0</v>
      </c>
      <c r="AP332" s="2">
        <v>4130</v>
      </c>
      <c r="AR332" t="str">
        <f>T("0000000000000")</f>
        <v>0000000000000</v>
      </c>
      <c r="AT332" t="str">
        <f>T("9791166062049")</f>
        <v>9791166062049</v>
      </c>
      <c r="AV332" t="str">
        <f>T("판타지 e북 &gt; 퓨전 판타지")</f>
        <v>판타지 e북 &gt; 퓨전 판타지</v>
      </c>
    </row>
    <row r="333" spans="1:48" x14ac:dyDescent="0.4">
      <c r="A333">
        <v>1525011970</v>
      </c>
      <c r="B333">
        <v>1525011958</v>
      </c>
      <c r="C333" t="str">
        <f>T("[e북]강호, 미치다 13권")</f>
        <v>[e북]강호, 미치다 13권</v>
      </c>
      <c r="D333" t="str">
        <f>T("13")</f>
        <v>13</v>
      </c>
      <c r="E333" t="str">
        <f>T("최재봉")</f>
        <v>최재봉</v>
      </c>
      <c r="H333" t="str">
        <f>T("에필로그")</f>
        <v>에필로그</v>
      </c>
      <c r="I333" t="str">
        <f>T("[e북]강호, 미치다")</f>
        <v>[e북]강호, 미치다</v>
      </c>
      <c r="J333">
        <v>3200</v>
      </c>
      <c r="K333">
        <v>3200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3200</v>
      </c>
      <c r="AH333">
        <v>1</v>
      </c>
      <c r="AI333">
        <v>0</v>
      </c>
      <c r="AJ333">
        <v>0</v>
      </c>
      <c r="AK333">
        <v>3200</v>
      </c>
      <c r="AL333">
        <v>0</v>
      </c>
      <c r="AM333">
        <v>0</v>
      </c>
      <c r="AN333">
        <v>0</v>
      </c>
      <c r="AO333">
        <v>0</v>
      </c>
      <c r="AP333" s="2">
        <v>2240</v>
      </c>
      <c r="AT333" t="str">
        <f>T("9791164482665")</f>
        <v>9791164482665</v>
      </c>
      <c r="AV333" t="str">
        <f>T("판타지 e북 &gt; 신무협")</f>
        <v>판타지 e북 &gt; 신무협</v>
      </c>
    </row>
    <row r="334" spans="1:48" x14ac:dyDescent="0.4">
      <c r="B334">
        <v>1525007756</v>
      </c>
      <c r="C334" t="str">
        <f>T("[e북]끝도 없이 젖어드는")</f>
        <v>[e북]끝도 없이 젖어드는</v>
      </c>
      <c r="E334" t="str">
        <f>T("이서윤")</f>
        <v>이서윤</v>
      </c>
      <c r="H334" t="str">
        <f>T("쉬라즈")</f>
        <v>쉬라즈</v>
      </c>
      <c r="J334">
        <v>3200</v>
      </c>
      <c r="K334">
        <v>3200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3200</v>
      </c>
      <c r="AH334">
        <v>1</v>
      </c>
      <c r="AI334">
        <v>0</v>
      </c>
      <c r="AJ334">
        <v>0</v>
      </c>
      <c r="AK334">
        <v>3200</v>
      </c>
      <c r="AL334">
        <v>0</v>
      </c>
      <c r="AM334">
        <v>0</v>
      </c>
      <c r="AN334">
        <v>0</v>
      </c>
      <c r="AO334">
        <v>0</v>
      </c>
      <c r="AP334" s="2">
        <v>2240</v>
      </c>
      <c r="AR334" t="str">
        <f>T("0000000000000")</f>
        <v>0000000000000</v>
      </c>
      <c r="AT334" t="str">
        <f>T("9791164897667")</f>
        <v>9791164897667</v>
      </c>
      <c r="AV334" t="str">
        <f>T("로맨스 e북 &gt; 현대물")</f>
        <v>로맨스 e북 &gt; 현대물</v>
      </c>
    </row>
    <row r="335" spans="1:48" x14ac:dyDescent="0.4">
      <c r="A335">
        <v>1525000199</v>
      </c>
      <c r="B335">
        <v>1525000207</v>
      </c>
      <c r="C335" t="str">
        <f>T("[e북]화산지애 9권 (완결)")</f>
        <v>[e북]화산지애 9권 (완결)</v>
      </c>
      <c r="D335" t="str">
        <f>T("9")</f>
        <v>9</v>
      </c>
      <c r="E335" t="str">
        <f>T("김광수")</f>
        <v>김광수</v>
      </c>
      <c r="H335" t="str">
        <f>T("스토리위즈")</f>
        <v>스토리위즈</v>
      </c>
      <c r="I335" t="str">
        <f>T("[e북]화산지애")</f>
        <v>[e북]화산지애</v>
      </c>
      <c r="J335">
        <v>3200</v>
      </c>
      <c r="K335">
        <v>3200</v>
      </c>
      <c r="L335">
        <v>1</v>
      </c>
      <c r="M335">
        <v>0</v>
      </c>
      <c r="N335">
        <v>3600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6800</v>
      </c>
      <c r="AH335">
        <v>5</v>
      </c>
      <c r="AI335">
        <v>0</v>
      </c>
      <c r="AJ335">
        <v>0</v>
      </c>
      <c r="AK335">
        <v>6800</v>
      </c>
      <c r="AL335">
        <v>0</v>
      </c>
      <c r="AM335">
        <v>0</v>
      </c>
      <c r="AN335">
        <v>0</v>
      </c>
      <c r="AO335">
        <v>0</v>
      </c>
      <c r="AP335" s="2">
        <v>4760</v>
      </c>
      <c r="AV335" t="str">
        <f>T("판타지 e북 &gt; 신무협")</f>
        <v>판타지 e북 &gt; 신무협</v>
      </c>
    </row>
    <row r="336" spans="1:48" x14ac:dyDescent="0.4">
      <c r="A336">
        <v>1525000199</v>
      </c>
      <c r="B336">
        <v>1525000200</v>
      </c>
      <c r="C336" t="str">
        <f>T("[e북]화산지애 2권")</f>
        <v>[e북]화산지애 2권</v>
      </c>
      <c r="D336" t="str">
        <f>T("2")</f>
        <v>2</v>
      </c>
      <c r="E336" t="str">
        <f>T("김광수")</f>
        <v>김광수</v>
      </c>
      <c r="H336" t="str">
        <f>T("스토리위즈")</f>
        <v>스토리위즈</v>
      </c>
      <c r="I336" t="str">
        <f>T("[e북]화산지애")</f>
        <v>[e북]화산지애</v>
      </c>
      <c r="J336">
        <v>3200</v>
      </c>
      <c r="K336">
        <v>3200</v>
      </c>
      <c r="L336">
        <v>1</v>
      </c>
      <c r="M336">
        <v>0</v>
      </c>
      <c r="N336">
        <v>5400</v>
      </c>
      <c r="O336">
        <v>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8600</v>
      </c>
      <c r="AH336">
        <v>7</v>
      </c>
      <c r="AI336">
        <v>0</v>
      </c>
      <c r="AJ336">
        <v>0</v>
      </c>
      <c r="AK336">
        <v>8600</v>
      </c>
      <c r="AL336">
        <v>0</v>
      </c>
      <c r="AM336">
        <v>0</v>
      </c>
      <c r="AN336">
        <v>0</v>
      </c>
      <c r="AO336">
        <v>0</v>
      </c>
      <c r="AP336" s="2">
        <v>6020</v>
      </c>
      <c r="AV336" t="str">
        <f>T("판타지 e북 &gt; 신무협")</f>
        <v>판타지 e북 &gt; 신무협</v>
      </c>
    </row>
    <row r="337" spans="1:48" x14ac:dyDescent="0.4">
      <c r="A337">
        <v>1525000135</v>
      </c>
      <c r="B337">
        <v>1525000136</v>
      </c>
      <c r="C337" t="str">
        <f>T("[e북]하프 블러드 2권")</f>
        <v>[e북]하프 블러드 2권</v>
      </c>
      <c r="D337" t="str">
        <f>T("2")</f>
        <v>2</v>
      </c>
      <c r="E337" t="str">
        <f>T("김정률")</f>
        <v>김정률</v>
      </c>
      <c r="H337" t="str">
        <f>T("스토리위즈")</f>
        <v>스토리위즈</v>
      </c>
      <c r="I337" t="str">
        <f>T("[e북]하프 블러드")</f>
        <v>[e북]하프 블러드</v>
      </c>
      <c r="J337">
        <v>3200</v>
      </c>
      <c r="K337">
        <v>3200</v>
      </c>
      <c r="L337">
        <v>1</v>
      </c>
      <c r="M337">
        <v>0</v>
      </c>
      <c r="N337">
        <v>4500</v>
      </c>
      <c r="O337">
        <v>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7700</v>
      </c>
      <c r="AH337">
        <v>6</v>
      </c>
      <c r="AI337">
        <v>0</v>
      </c>
      <c r="AJ337">
        <v>0</v>
      </c>
      <c r="AK337">
        <v>6800</v>
      </c>
      <c r="AL337">
        <v>0</v>
      </c>
      <c r="AM337">
        <v>900</v>
      </c>
      <c r="AN337">
        <v>0</v>
      </c>
      <c r="AO337">
        <v>0</v>
      </c>
      <c r="AP337" s="2">
        <v>5390</v>
      </c>
      <c r="AV337" t="str">
        <f>T("판타지 e북 &gt; 정통 판타지")</f>
        <v>판타지 e북 &gt; 정통 판타지</v>
      </c>
    </row>
    <row r="338" spans="1:48" x14ac:dyDescent="0.4">
      <c r="A338">
        <v>1525008044</v>
      </c>
      <c r="B338">
        <v>1525008044</v>
      </c>
      <c r="C338" t="str">
        <f>T("[e북]다정한 내일을 위한 새벽 1권")</f>
        <v>[e북]다정한 내일을 위한 새벽 1권</v>
      </c>
      <c r="D338" t="str">
        <f>T("1")</f>
        <v>1</v>
      </c>
      <c r="E338" t="str">
        <f>T("나나코")</f>
        <v>나나코</v>
      </c>
      <c r="H338" t="str">
        <f>T("블러쉬")</f>
        <v>블러쉬</v>
      </c>
      <c r="I338" t="str">
        <f>T("[e북]다정한 내일을 위한 새벽")</f>
        <v>[e북]다정한 내일을 위한 새벽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3200</v>
      </c>
      <c r="AH338">
        <v>1</v>
      </c>
      <c r="AI338">
        <v>0</v>
      </c>
      <c r="AJ338">
        <v>0</v>
      </c>
      <c r="AK338">
        <v>3200</v>
      </c>
      <c r="AL338">
        <v>0</v>
      </c>
      <c r="AM338">
        <v>0</v>
      </c>
      <c r="AN338">
        <v>0</v>
      </c>
      <c r="AO338">
        <v>0</v>
      </c>
      <c r="AP338" s="2">
        <v>2240</v>
      </c>
      <c r="AR338" t="str">
        <f>T("0000000000000")</f>
        <v>0000000000000</v>
      </c>
      <c r="AT338" t="str">
        <f>T("9791164897575")</f>
        <v>9791164897575</v>
      </c>
      <c r="AV338" t="str">
        <f>T("BL 소설 e북 &gt; 현대물")</f>
        <v>BL 소설 e북 &gt; 현대물</v>
      </c>
    </row>
    <row r="339" spans="1:48" x14ac:dyDescent="0.4">
      <c r="A339">
        <v>1525011970</v>
      </c>
      <c r="B339">
        <v>1525011951</v>
      </c>
      <c r="C339" t="str">
        <f>T("[e북]강호, 미치다 20권")</f>
        <v>[e북]강호, 미치다 20권</v>
      </c>
      <c r="D339" t="str">
        <f>T("20")</f>
        <v>20</v>
      </c>
      <c r="E339" t="str">
        <f>T("최재봉")</f>
        <v>최재봉</v>
      </c>
      <c r="H339" t="str">
        <f>T("에필로그")</f>
        <v>에필로그</v>
      </c>
      <c r="I339" t="str">
        <f>T("[e북]강호, 미치다")</f>
        <v>[e북]강호, 미치다</v>
      </c>
      <c r="J339">
        <v>3200</v>
      </c>
      <c r="K339">
        <v>3200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3200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3200</v>
      </c>
      <c r="AN339">
        <v>0</v>
      </c>
      <c r="AO339">
        <v>0</v>
      </c>
      <c r="AP339" s="2">
        <v>2240</v>
      </c>
      <c r="AT339" t="str">
        <f>T("9791164482726")</f>
        <v>9791164482726</v>
      </c>
      <c r="AV339" t="str">
        <f>T("판타지 e북 &gt; 신무협")</f>
        <v>판타지 e북 &gt; 신무협</v>
      </c>
    </row>
    <row r="340" spans="1:48" x14ac:dyDescent="0.4">
      <c r="A340">
        <v>1525000135</v>
      </c>
      <c r="B340">
        <v>1525000137</v>
      </c>
      <c r="C340" t="str">
        <f>T("[e북]하프 블러드 3권")</f>
        <v>[e북]하프 블러드 3권</v>
      </c>
      <c r="D340" t="str">
        <f>T("3")</f>
        <v>3</v>
      </c>
      <c r="E340" t="str">
        <f>T("김정률")</f>
        <v>김정률</v>
      </c>
      <c r="H340" t="str">
        <f t="shared" ref="H340:H353" si="30">T("스토리위즈")</f>
        <v>스토리위즈</v>
      </c>
      <c r="I340" t="str">
        <f>T("[e북]하프 블러드")</f>
        <v>[e북]하프 블러드</v>
      </c>
      <c r="J340">
        <v>3200</v>
      </c>
      <c r="K340">
        <v>3200</v>
      </c>
      <c r="L340">
        <v>1</v>
      </c>
      <c r="M340">
        <v>0</v>
      </c>
      <c r="N340">
        <v>4500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7700</v>
      </c>
      <c r="AH340">
        <v>6</v>
      </c>
      <c r="AI340">
        <v>0</v>
      </c>
      <c r="AJ340">
        <v>0</v>
      </c>
      <c r="AK340">
        <v>6900</v>
      </c>
      <c r="AL340">
        <v>0</v>
      </c>
      <c r="AM340">
        <v>800</v>
      </c>
      <c r="AN340">
        <v>0</v>
      </c>
      <c r="AO340">
        <v>0</v>
      </c>
      <c r="AP340" s="2">
        <v>5390</v>
      </c>
      <c r="AT340" t="str">
        <f>T("9788959240883")</f>
        <v>9788959240883</v>
      </c>
      <c r="AV340" t="str">
        <f>T("판타지 e북 &gt; 정통 판타지")</f>
        <v>판타지 e북 &gt; 정통 판타지</v>
      </c>
    </row>
    <row r="341" spans="1:48" x14ac:dyDescent="0.4">
      <c r="A341">
        <v>1525000125</v>
      </c>
      <c r="B341">
        <v>1525000129</v>
      </c>
      <c r="C341" t="str">
        <f>T("[e북]블레이드 헌터 5권")</f>
        <v>[e북]블레이드 헌터 5권</v>
      </c>
      <c r="D341" t="str">
        <f>T("5")</f>
        <v>5</v>
      </c>
      <c r="E341" t="str">
        <f>T("김정률")</f>
        <v>김정률</v>
      </c>
      <c r="H341" t="str">
        <f t="shared" si="30"/>
        <v>스토리위즈</v>
      </c>
      <c r="I341" t="str">
        <f>T("[e북]블레이드 헌터")</f>
        <v>[e북]블레이드 헌터</v>
      </c>
      <c r="J341">
        <v>3200</v>
      </c>
      <c r="K341">
        <v>3200</v>
      </c>
      <c r="L341">
        <v>1</v>
      </c>
      <c r="M341">
        <v>0</v>
      </c>
      <c r="N341">
        <v>5400</v>
      </c>
      <c r="O341">
        <v>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8600</v>
      </c>
      <c r="AH341">
        <v>7</v>
      </c>
      <c r="AI341">
        <v>0</v>
      </c>
      <c r="AJ341">
        <v>0</v>
      </c>
      <c r="AK341">
        <v>7700</v>
      </c>
      <c r="AL341">
        <v>0</v>
      </c>
      <c r="AM341">
        <v>900</v>
      </c>
      <c r="AN341">
        <v>0</v>
      </c>
      <c r="AO341">
        <v>0</v>
      </c>
      <c r="AP341" s="2">
        <v>6020</v>
      </c>
      <c r="AV341" t="str">
        <f>T("판타지 e북 &gt; 정통 판타지")</f>
        <v>판타지 e북 &gt; 정통 판타지</v>
      </c>
    </row>
    <row r="342" spans="1:48" x14ac:dyDescent="0.4">
      <c r="A342">
        <v>1525000158</v>
      </c>
      <c r="B342">
        <v>1525000162</v>
      </c>
      <c r="C342" t="str">
        <f>T("[e북]아나크레온 5권")</f>
        <v>[e북]아나크레온 5권</v>
      </c>
      <c r="D342" t="str">
        <f>T("5")</f>
        <v>5</v>
      </c>
      <c r="E342" t="str">
        <f>T("김정률")</f>
        <v>김정률</v>
      </c>
      <c r="H342" t="str">
        <f t="shared" si="30"/>
        <v>스토리위즈</v>
      </c>
      <c r="I342" t="str">
        <f>T("[e북]아나크레온")</f>
        <v>[e북]아나크레온</v>
      </c>
      <c r="J342">
        <v>3200</v>
      </c>
      <c r="K342">
        <v>3200</v>
      </c>
      <c r="L342">
        <v>1</v>
      </c>
      <c r="M342">
        <v>0</v>
      </c>
      <c r="N342">
        <v>2700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5900</v>
      </c>
      <c r="AH342">
        <v>4</v>
      </c>
      <c r="AI342">
        <v>0</v>
      </c>
      <c r="AJ342">
        <v>0</v>
      </c>
      <c r="AK342">
        <v>5360</v>
      </c>
      <c r="AL342">
        <v>0</v>
      </c>
      <c r="AM342">
        <v>540</v>
      </c>
      <c r="AN342">
        <v>0</v>
      </c>
      <c r="AO342">
        <v>0</v>
      </c>
      <c r="AP342" s="2">
        <v>4130</v>
      </c>
      <c r="AV342" t="str">
        <f>T("판타지 e북 &gt; 퓨전 판타지")</f>
        <v>판타지 e북 &gt; 퓨전 판타지</v>
      </c>
    </row>
    <row r="343" spans="1:48" x14ac:dyDescent="0.4">
      <c r="A343">
        <v>1525000055</v>
      </c>
      <c r="B343">
        <v>1525000057</v>
      </c>
      <c r="C343" t="str">
        <f>T("[e북]21세기 대마법사 2권")</f>
        <v>[e북]21세기 대마법사 2권</v>
      </c>
      <c r="D343" t="str">
        <f>T("2")</f>
        <v>2</v>
      </c>
      <c r="E343" t="str">
        <f>T("김광수")</f>
        <v>김광수</v>
      </c>
      <c r="H343" t="str">
        <f t="shared" si="30"/>
        <v>스토리위즈</v>
      </c>
      <c r="I343" t="str">
        <f>T("[e북]21세기 대마법사")</f>
        <v>[e북]21세기 대마법사</v>
      </c>
      <c r="J343">
        <v>3200</v>
      </c>
      <c r="K343">
        <v>3200</v>
      </c>
      <c r="L343">
        <v>1</v>
      </c>
      <c r="M343">
        <v>0</v>
      </c>
      <c r="N343">
        <v>13500</v>
      </c>
      <c r="O343">
        <v>15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16700</v>
      </c>
      <c r="AH343">
        <v>16</v>
      </c>
      <c r="AI343">
        <v>0</v>
      </c>
      <c r="AJ343">
        <v>0</v>
      </c>
      <c r="AK343">
        <v>15800</v>
      </c>
      <c r="AL343">
        <v>0</v>
      </c>
      <c r="AM343">
        <v>900</v>
      </c>
      <c r="AN343">
        <v>0</v>
      </c>
      <c r="AO343">
        <v>0</v>
      </c>
      <c r="AP343" s="2">
        <v>11690</v>
      </c>
      <c r="AT343" t="str">
        <f>T("9788925116112")</f>
        <v>9788925116112</v>
      </c>
      <c r="AV343" t="str">
        <f>T("판타지 e북 &gt; 퓨전 판타지")</f>
        <v>판타지 e북 &gt; 퓨전 판타지</v>
      </c>
    </row>
    <row r="344" spans="1:48" x14ac:dyDescent="0.4">
      <c r="A344">
        <v>1525002682</v>
      </c>
      <c r="B344">
        <v>1525002688</v>
      </c>
      <c r="C344" t="str">
        <f>T("[e북]스포트라이트 7권")</f>
        <v>[e북]스포트라이트 7권</v>
      </c>
      <c r="D344" t="str">
        <f>T("7")</f>
        <v>7</v>
      </c>
      <c r="E344" t="str">
        <f>T("전혁")</f>
        <v>전혁</v>
      </c>
      <c r="H344" t="str">
        <f t="shared" si="30"/>
        <v>스토리위즈</v>
      </c>
      <c r="I344" t="str">
        <f>T("[e북]스포트라이트")</f>
        <v>[e북]스포트라이트</v>
      </c>
      <c r="J344">
        <v>3200</v>
      </c>
      <c r="K344">
        <v>3200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3200</v>
      </c>
      <c r="AH344">
        <v>1</v>
      </c>
      <c r="AI344">
        <v>0</v>
      </c>
      <c r="AJ344">
        <v>0</v>
      </c>
      <c r="AK344">
        <v>3200</v>
      </c>
      <c r="AL344">
        <v>0</v>
      </c>
      <c r="AM344">
        <v>0</v>
      </c>
      <c r="AN344">
        <v>0</v>
      </c>
      <c r="AO344">
        <v>0</v>
      </c>
      <c r="AP344" s="2">
        <v>2240</v>
      </c>
      <c r="AT344" t="str">
        <f>T("9791159287718")</f>
        <v>9791159287718</v>
      </c>
      <c r="AV344" t="str">
        <f>T("판타지 e북 &gt; 현대 판타지")</f>
        <v>판타지 e북 &gt; 현대 판타지</v>
      </c>
    </row>
    <row r="345" spans="1:48" x14ac:dyDescent="0.4">
      <c r="A345">
        <v>1525006634</v>
      </c>
      <c r="B345">
        <v>1525006635</v>
      </c>
      <c r="C345" t="str">
        <f>T("[e북]개정판｜영웅 2권")</f>
        <v>[e북]개정판｜영웅 2권</v>
      </c>
      <c r="D345" t="str">
        <f>T("2")</f>
        <v>2</v>
      </c>
      <c r="E345" t="str">
        <f>T("김광수")</f>
        <v>김광수</v>
      </c>
      <c r="H345" t="str">
        <f t="shared" si="30"/>
        <v>스토리위즈</v>
      </c>
      <c r="I345" t="str">
        <f>T("[e북]개정판｜영웅")</f>
        <v>[e북]개정판｜영웅</v>
      </c>
      <c r="J345">
        <v>3200</v>
      </c>
      <c r="K345">
        <v>3200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3200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3200</v>
      </c>
      <c r="AN345">
        <v>0</v>
      </c>
      <c r="AO345">
        <v>0</v>
      </c>
      <c r="AP345" s="2">
        <v>2240</v>
      </c>
      <c r="AT345" t="str">
        <f>T("9791166300011")</f>
        <v>9791166300011</v>
      </c>
      <c r="AV345" t="str">
        <f>T("판타지 e북 &gt; 신무협")</f>
        <v>판타지 e북 &gt; 신무협</v>
      </c>
    </row>
    <row r="346" spans="1:48" x14ac:dyDescent="0.4">
      <c r="A346">
        <v>1525002848</v>
      </c>
      <c r="B346">
        <v>1525002851</v>
      </c>
      <c r="C346" t="str">
        <f>T("[e북]신을 죽이러 갑니다 4권")</f>
        <v>[e북]신을 죽이러 갑니다 4권</v>
      </c>
      <c r="D346" t="str">
        <f>T("4")</f>
        <v>4</v>
      </c>
      <c r="E346" t="str">
        <f>T("독고진")</f>
        <v>독고진</v>
      </c>
      <c r="H346" t="str">
        <f t="shared" si="30"/>
        <v>스토리위즈</v>
      </c>
      <c r="I346" t="str">
        <f>T("[e북]신을 죽이러 갑니다")</f>
        <v>[e북]신을 죽이러 갑니다</v>
      </c>
      <c r="J346">
        <v>3200</v>
      </c>
      <c r="K346">
        <v>3200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3200</v>
      </c>
      <c r="AH346">
        <v>1</v>
      </c>
      <c r="AI346">
        <v>0</v>
      </c>
      <c r="AJ346">
        <v>0</v>
      </c>
      <c r="AK346">
        <v>3200</v>
      </c>
      <c r="AL346">
        <v>0</v>
      </c>
      <c r="AM346">
        <v>0</v>
      </c>
      <c r="AN346">
        <v>0</v>
      </c>
      <c r="AO346">
        <v>0</v>
      </c>
      <c r="AP346" s="2">
        <v>2240</v>
      </c>
      <c r="AT346" t="str">
        <f>T("9791159288029")</f>
        <v>9791159288029</v>
      </c>
      <c r="AV346" t="str">
        <f>T("판타지 e북 &gt; 퓨전 판타지")</f>
        <v>판타지 e북 &gt; 퓨전 판타지</v>
      </c>
    </row>
    <row r="347" spans="1:48" x14ac:dyDescent="0.4">
      <c r="A347">
        <v>1525000146</v>
      </c>
      <c r="B347">
        <v>1525000155</v>
      </c>
      <c r="C347" t="str">
        <f>T("[e북]트루베니아 연대기 10권")</f>
        <v>[e북]트루베니아 연대기 10권</v>
      </c>
      <c r="D347" t="str">
        <f>T("10")</f>
        <v>10</v>
      </c>
      <c r="E347" t="str">
        <f>T("김정률")</f>
        <v>김정률</v>
      </c>
      <c r="H347" t="str">
        <f t="shared" si="30"/>
        <v>스토리위즈</v>
      </c>
      <c r="I347" t="str">
        <f>T("[e북]트루베니아 연대기")</f>
        <v>[e북]트루베니아 연대기</v>
      </c>
      <c r="J347">
        <v>3200</v>
      </c>
      <c r="K347">
        <v>3200</v>
      </c>
      <c r="L347">
        <v>1</v>
      </c>
      <c r="M347">
        <v>0</v>
      </c>
      <c r="N347">
        <v>6300</v>
      </c>
      <c r="O347">
        <v>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9500</v>
      </c>
      <c r="AH347">
        <v>8</v>
      </c>
      <c r="AI347">
        <v>0</v>
      </c>
      <c r="AJ347">
        <v>0</v>
      </c>
      <c r="AK347">
        <v>5400</v>
      </c>
      <c r="AL347">
        <v>0</v>
      </c>
      <c r="AM347">
        <v>4100</v>
      </c>
      <c r="AN347">
        <v>0</v>
      </c>
      <c r="AO347">
        <v>0</v>
      </c>
      <c r="AP347" s="2">
        <v>6650</v>
      </c>
      <c r="AV347" t="str">
        <f>T("판타지 e북 &gt; 정통 판타지")</f>
        <v>판타지 e북 &gt; 정통 판타지</v>
      </c>
    </row>
    <row r="348" spans="1:48" x14ac:dyDescent="0.4">
      <c r="A348">
        <v>1525000146</v>
      </c>
      <c r="B348">
        <v>1525000148</v>
      </c>
      <c r="C348" t="str">
        <f>T("[e북]트루베니아 연대기 3권")</f>
        <v>[e북]트루베니아 연대기 3권</v>
      </c>
      <c r="D348" t="str">
        <f>T("3")</f>
        <v>3</v>
      </c>
      <c r="E348" t="str">
        <f>T("김정률")</f>
        <v>김정률</v>
      </c>
      <c r="H348" t="str">
        <f t="shared" si="30"/>
        <v>스토리위즈</v>
      </c>
      <c r="I348" t="str">
        <f>T("[e북]트루베니아 연대기")</f>
        <v>[e북]트루베니아 연대기</v>
      </c>
      <c r="J348">
        <v>3200</v>
      </c>
      <c r="K348">
        <v>3200</v>
      </c>
      <c r="L348">
        <v>1</v>
      </c>
      <c r="M348">
        <v>0</v>
      </c>
      <c r="N348">
        <v>6300</v>
      </c>
      <c r="O348">
        <v>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9500</v>
      </c>
      <c r="AH348">
        <v>8</v>
      </c>
      <c r="AI348">
        <v>0</v>
      </c>
      <c r="AJ348">
        <v>0</v>
      </c>
      <c r="AK348">
        <v>5400</v>
      </c>
      <c r="AL348">
        <v>0</v>
      </c>
      <c r="AM348">
        <v>4100</v>
      </c>
      <c r="AN348">
        <v>0</v>
      </c>
      <c r="AO348">
        <v>0</v>
      </c>
      <c r="AP348" s="2">
        <v>6650</v>
      </c>
      <c r="AV348" t="str">
        <f>T("판타지 e북 &gt; 정통 판타지")</f>
        <v>판타지 e북 &gt; 정통 판타지</v>
      </c>
    </row>
    <row r="349" spans="1:48" x14ac:dyDescent="0.4">
      <c r="A349">
        <v>1525000107</v>
      </c>
      <c r="B349">
        <v>1525000108</v>
      </c>
      <c r="C349" t="str">
        <f>T("[e북]데이몬 2권")</f>
        <v>[e북]데이몬 2권</v>
      </c>
      <c r="D349" t="str">
        <f>T("2")</f>
        <v>2</v>
      </c>
      <c r="E349" t="str">
        <f>T("김정률")</f>
        <v>김정률</v>
      </c>
      <c r="H349" t="str">
        <f t="shared" si="30"/>
        <v>스토리위즈</v>
      </c>
      <c r="I349" t="str">
        <f>T("[e북]데이몬")</f>
        <v>[e북]데이몬</v>
      </c>
      <c r="J349">
        <v>3200</v>
      </c>
      <c r="K349">
        <v>3200</v>
      </c>
      <c r="L349">
        <v>1</v>
      </c>
      <c r="M349">
        <v>0</v>
      </c>
      <c r="N349">
        <v>4500</v>
      </c>
      <c r="O349">
        <v>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7700</v>
      </c>
      <c r="AH349">
        <v>6</v>
      </c>
      <c r="AI349">
        <v>0</v>
      </c>
      <c r="AJ349">
        <v>0</v>
      </c>
      <c r="AK349">
        <v>5900</v>
      </c>
      <c r="AL349">
        <v>0</v>
      </c>
      <c r="AM349">
        <v>2160</v>
      </c>
      <c r="AN349">
        <v>-648</v>
      </c>
      <c r="AO349">
        <v>0</v>
      </c>
      <c r="AP349" s="2">
        <v>5188.3999999999996</v>
      </c>
      <c r="AR349" t="str">
        <f>T("0000000000000")</f>
        <v>0000000000000</v>
      </c>
      <c r="AT349" t="str">
        <f>T("9791166062018")</f>
        <v>9791166062018</v>
      </c>
      <c r="AV349" t="str">
        <f>T("판타지 e북 &gt; 퓨전 판타지")</f>
        <v>판타지 e북 &gt; 퓨전 판타지</v>
      </c>
    </row>
    <row r="350" spans="1:48" x14ac:dyDescent="0.4">
      <c r="A350">
        <v>1525001609</v>
      </c>
      <c r="B350">
        <v>1525001611</v>
      </c>
      <c r="C350" t="str">
        <f>T("[e북]절륜공자 3권")</f>
        <v>[e북]절륜공자 3권</v>
      </c>
      <c r="D350" t="str">
        <f>T("3")</f>
        <v>3</v>
      </c>
      <c r="E350" t="str">
        <f>T("전혁")</f>
        <v>전혁</v>
      </c>
      <c r="H350" t="str">
        <f t="shared" si="30"/>
        <v>스토리위즈</v>
      </c>
      <c r="I350" t="str">
        <f>T("[e북]절륜공자")</f>
        <v>[e북]절륜공자</v>
      </c>
      <c r="J350">
        <v>3200</v>
      </c>
      <c r="K350">
        <v>3200</v>
      </c>
      <c r="L350">
        <v>1</v>
      </c>
      <c r="M350">
        <v>0</v>
      </c>
      <c r="N350">
        <v>3600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6800</v>
      </c>
      <c r="AH350">
        <v>5</v>
      </c>
      <c r="AI350">
        <v>0</v>
      </c>
      <c r="AJ350">
        <v>0</v>
      </c>
      <c r="AK350">
        <v>6800</v>
      </c>
      <c r="AL350">
        <v>0</v>
      </c>
      <c r="AM350">
        <v>0</v>
      </c>
      <c r="AN350">
        <v>0</v>
      </c>
      <c r="AO350">
        <v>0</v>
      </c>
      <c r="AP350" s="2">
        <v>4760</v>
      </c>
      <c r="AT350" t="str">
        <f>T("9791159284960")</f>
        <v>9791159284960</v>
      </c>
      <c r="AV350" t="str">
        <f>T("판타지 e북 &gt; 전통 무협")</f>
        <v>판타지 e북 &gt; 전통 무협</v>
      </c>
    </row>
    <row r="351" spans="1:48" x14ac:dyDescent="0.4">
      <c r="A351">
        <v>1525000199</v>
      </c>
      <c r="B351">
        <v>1525000204</v>
      </c>
      <c r="C351" t="str">
        <f>T("[e북]화산지애 6권")</f>
        <v>[e북]화산지애 6권</v>
      </c>
      <c r="D351" t="str">
        <f>T("6")</f>
        <v>6</v>
      </c>
      <c r="E351" t="str">
        <f>T("김광수")</f>
        <v>김광수</v>
      </c>
      <c r="H351" t="str">
        <f t="shared" si="30"/>
        <v>스토리위즈</v>
      </c>
      <c r="I351" t="str">
        <f>T("[e북]화산지애")</f>
        <v>[e북]화산지애</v>
      </c>
      <c r="J351">
        <v>3200</v>
      </c>
      <c r="K351">
        <v>3200</v>
      </c>
      <c r="L351">
        <v>1</v>
      </c>
      <c r="M351">
        <v>0</v>
      </c>
      <c r="N351">
        <v>4500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7700</v>
      </c>
      <c r="AH351">
        <v>6</v>
      </c>
      <c r="AI351">
        <v>0</v>
      </c>
      <c r="AJ351">
        <v>0</v>
      </c>
      <c r="AK351">
        <v>7700</v>
      </c>
      <c r="AL351">
        <v>0</v>
      </c>
      <c r="AM351">
        <v>0</v>
      </c>
      <c r="AN351">
        <v>0</v>
      </c>
      <c r="AO351">
        <v>0</v>
      </c>
      <c r="AP351" s="2">
        <v>5390</v>
      </c>
      <c r="AV351" t="str">
        <f>T("판타지 e북 &gt; 신무협")</f>
        <v>판타지 e북 &gt; 신무협</v>
      </c>
    </row>
    <row r="352" spans="1:48" x14ac:dyDescent="0.4">
      <c r="A352">
        <v>1525000125</v>
      </c>
      <c r="B352">
        <v>1525000133</v>
      </c>
      <c r="C352" t="str">
        <f>T("[e북]블레이드 헌터 9권")</f>
        <v>[e북]블레이드 헌터 9권</v>
      </c>
      <c r="D352" t="str">
        <f>T("9")</f>
        <v>9</v>
      </c>
      <c r="E352" t="str">
        <f>T("김정률")</f>
        <v>김정률</v>
      </c>
      <c r="H352" t="str">
        <f t="shared" si="30"/>
        <v>스토리위즈</v>
      </c>
      <c r="I352" t="str">
        <f>T("[e북]블레이드 헌터")</f>
        <v>[e북]블레이드 헌터</v>
      </c>
      <c r="J352">
        <v>3200</v>
      </c>
      <c r="K352">
        <v>3200</v>
      </c>
      <c r="L352">
        <v>1</v>
      </c>
      <c r="M352">
        <v>0</v>
      </c>
      <c r="N352">
        <v>5400</v>
      </c>
      <c r="O352">
        <v>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8600</v>
      </c>
      <c r="AH352">
        <v>7</v>
      </c>
      <c r="AI352">
        <v>0</v>
      </c>
      <c r="AJ352">
        <v>0</v>
      </c>
      <c r="AK352">
        <v>6800</v>
      </c>
      <c r="AL352">
        <v>0</v>
      </c>
      <c r="AM352">
        <v>1800</v>
      </c>
      <c r="AN352">
        <v>0</v>
      </c>
      <c r="AO352">
        <v>0</v>
      </c>
      <c r="AP352" s="2">
        <v>6020</v>
      </c>
      <c r="AV352" t="str">
        <f>T("판타지 e북 &gt; 정통 판타지")</f>
        <v>판타지 e북 &gt; 정통 판타지</v>
      </c>
    </row>
    <row r="353" spans="1:49" x14ac:dyDescent="0.4">
      <c r="A353">
        <v>1525000125</v>
      </c>
      <c r="B353">
        <v>1525000126</v>
      </c>
      <c r="C353" t="str">
        <f>T("[e북]블레이드 헌터 2권")</f>
        <v>[e북]블레이드 헌터 2권</v>
      </c>
      <c r="D353" t="str">
        <f>T("2")</f>
        <v>2</v>
      </c>
      <c r="E353" t="str">
        <f>T("김정률")</f>
        <v>김정률</v>
      </c>
      <c r="H353" t="str">
        <f t="shared" si="30"/>
        <v>스토리위즈</v>
      </c>
      <c r="I353" t="str">
        <f>T("[e북]블레이드 헌터")</f>
        <v>[e북]블레이드 헌터</v>
      </c>
      <c r="J353">
        <v>3200</v>
      </c>
      <c r="K353">
        <v>3200</v>
      </c>
      <c r="L353">
        <v>1</v>
      </c>
      <c r="M353">
        <v>0</v>
      </c>
      <c r="N353">
        <v>4500</v>
      </c>
      <c r="O353">
        <v>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7700</v>
      </c>
      <c r="AH353">
        <v>6</v>
      </c>
      <c r="AI353">
        <v>0</v>
      </c>
      <c r="AJ353">
        <v>0</v>
      </c>
      <c r="AK353">
        <v>7700</v>
      </c>
      <c r="AL353">
        <v>0</v>
      </c>
      <c r="AM353">
        <v>0</v>
      </c>
      <c r="AN353">
        <v>0</v>
      </c>
      <c r="AO353">
        <v>0</v>
      </c>
      <c r="AP353" s="2">
        <v>5390</v>
      </c>
      <c r="AV353" t="str">
        <f>T("판타지 e북 &gt; 정통 판타지")</f>
        <v>판타지 e북 &gt; 정통 판타지</v>
      </c>
    </row>
    <row r="354" spans="1:49" x14ac:dyDescent="0.4">
      <c r="A354">
        <v>1525008021</v>
      </c>
      <c r="B354">
        <v>1525008022</v>
      </c>
      <c r="C354" t="str">
        <f>T("[e북]나는 내 연인의 것 2권 (완결)")</f>
        <v>[e북]나는 내 연인의 것 2권 (완결)</v>
      </c>
      <c r="D354" t="str">
        <f>T("2")</f>
        <v>2</v>
      </c>
      <c r="E354" t="str">
        <f>T("SISSI")</f>
        <v>SISSI</v>
      </c>
      <c r="H354" t="str">
        <f>T("블러쉬")</f>
        <v>블러쉬</v>
      </c>
      <c r="I354" t="str">
        <f>T("[e북]나는 내 연인의 것")</f>
        <v>[e북]나는 내 연인의 것</v>
      </c>
      <c r="J354">
        <v>3200</v>
      </c>
      <c r="K354">
        <v>3200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3200</v>
      </c>
      <c r="AH354">
        <v>1</v>
      </c>
      <c r="AI354">
        <v>0</v>
      </c>
      <c r="AJ354">
        <v>0</v>
      </c>
      <c r="AK354">
        <v>3200</v>
      </c>
      <c r="AL354">
        <v>0</v>
      </c>
      <c r="AM354">
        <v>0</v>
      </c>
      <c r="AN354">
        <v>0</v>
      </c>
      <c r="AO354">
        <v>0</v>
      </c>
      <c r="AP354" s="2">
        <v>2240</v>
      </c>
      <c r="AR354" t="str">
        <f>T("0000000000000")</f>
        <v>0000000000000</v>
      </c>
      <c r="AT354" t="str">
        <f>T("9791164899418")</f>
        <v>9791164899418</v>
      </c>
      <c r="AV354" t="str">
        <f>T("BL 소설 e북 &gt; 현대물")</f>
        <v>BL 소설 e북 &gt; 현대물</v>
      </c>
    </row>
    <row r="355" spans="1:49" x14ac:dyDescent="0.4">
      <c r="A355">
        <v>1525007787</v>
      </c>
      <c r="B355">
        <v>1525007787</v>
      </c>
      <c r="C355" t="str">
        <f>T("[e북]미칠 광(狂), 너에게 미치다 1권")</f>
        <v>[e북]미칠 광(狂), 너에게 미치다 1권</v>
      </c>
      <c r="D355" t="str">
        <f>T("1")</f>
        <v>1</v>
      </c>
      <c r="E355" t="str">
        <f>T("정연서")</f>
        <v>정연서</v>
      </c>
      <c r="H355" t="str">
        <f>T("쉬라즈")</f>
        <v>쉬라즈</v>
      </c>
      <c r="I355" t="str">
        <f>T("[e북]미칠 광(狂), 너에게 미치다")</f>
        <v>[e북]미칠 광(狂), 너에게 미치다</v>
      </c>
      <c r="J355">
        <v>3200</v>
      </c>
      <c r="K355">
        <v>3200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3200</v>
      </c>
      <c r="AH355">
        <v>1</v>
      </c>
      <c r="AI355">
        <v>0</v>
      </c>
      <c r="AJ355">
        <v>0</v>
      </c>
      <c r="AK355">
        <v>3200</v>
      </c>
      <c r="AL355">
        <v>0</v>
      </c>
      <c r="AM355">
        <v>0</v>
      </c>
      <c r="AN355">
        <v>0</v>
      </c>
      <c r="AO355">
        <v>0</v>
      </c>
      <c r="AP355" s="2">
        <v>2240</v>
      </c>
      <c r="AR355" t="str">
        <f>T("0000000000000")</f>
        <v>0000000000000</v>
      </c>
      <c r="AT355" t="str">
        <f>T("9791166480584")</f>
        <v>9791166480584</v>
      </c>
      <c r="AV355" t="str">
        <f>T("로맨스 e북 &gt; 현대물")</f>
        <v>로맨스 e북 &gt; 현대물</v>
      </c>
      <c r="AW355" t="str">
        <f>T("로맨스 e북 &gt; 19+")</f>
        <v>로맨스 e북 &gt; 19+</v>
      </c>
    </row>
    <row r="356" spans="1:49" x14ac:dyDescent="0.4">
      <c r="A356">
        <v>1525002682</v>
      </c>
      <c r="B356">
        <v>1525002685</v>
      </c>
      <c r="C356" t="str">
        <f>T("[e북]스포트라이트 4권")</f>
        <v>[e북]스포트라이트 4권</v>
      </c>
      <c r="D356" t="str">
        <f>T("4")</f>
        <v>4</v>
      </c>
      <c r="E356" t="str">
        <f>T("전혁")</f>
        <v>전혁</v>
      </c>
      <c r="H356" t="str">
        <f>T("스토리위즈")</f>
        <v>스토리위즈</v>
      </c>
      <c r="I356" t="str">
        <f>T("[e북]스포트라이트")</f>
        <v>[e북]스포트라이트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3200</v>
      </c>
      <c r="AH356">
        <v>1</v>
      </c>
      <c r="AI356">
        <v>0</v>
      </c>
      <c r="AJ356">
        <v>0</v>
      </c>
      <c r="AK356">
        <v>3200</v>
      </c>
      <c r="AL356">
        <v>0</v>
      </c>
      <c r="AM356">
        <v>0</v>
      </c>
      <c r="AN356">
        <v>0</v>
      </c>
      <c r="AO356">
        <v>0</v>
      </c>
      <c r="AP356" s="2">
        <v>2240</v>
      </c>
      <c r="AT356" t="str">
        <f>T("9791159287688")</f>
        <v>9791159287688</v>
      </c>
      <c r="AV356" t="str">
        <f>T("판타지 e북 &gt; 현대 판타지")</f>
        <v>판타지 e북 &gt; 현대 판타지</v>
      </c>
    </row>
    <row r="357" spans="1:49" x14ac:dyDescent="0.4">
      <c r="A357">
        <v>1525008132</v>
      </c>
      <c r="B357">
        <v>1525008132</v>
      </c>
      <c r="C357" t="str">
        <f>T("[e북]여름의 시작은 키스를 부른다 1권")</f>
        <v>[e북]여름의 시작은 키스를 부른다 1권</v>
      </c>
      <c r="D357" t="str">
        <f>T("1")</f>
        <v>1</v>
      </c>
      <c r="E357" t="str">
        <f>T("키도")</f>
        <v>키도</v>
      </c>
      <c r="H357" t="str">
        <f t="shared" ref="H357:H385" si="31">T("블러쉬")</f>
        <v>블러쉬</v>
      </c>
      <c r="I357" t="str">
        <f>T("[e북]여름의 시작은 키스를 부른다")</f>
        <v>[e북]여름의 시작은 키스를 부른다</v>
      </c>
      <c r="J357">
        <v>3400</v>
      </c>
      <c r="K357">
        <v>3060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3060</v>
      </c>
      <c r="AH357">
        <v>1</v>
      </c>
      <c r="AI357">
        <v>0</v>
      </c>
      <c r="AJ357">
        <v>0</v>
      </c>
      <c r="AK357">
        <v>3060</v>
      </c>
      <c r="AL357">
        <v>0</v>
      </c>
      <c r="AM357">
        <v>0</v>
      </c>
      <c r="AN357">
        <v>0</v>
      </c>
      <c r="AO357">
        <v>0</v>
      </c>
      <c r="AP357" s="2">
        <v>2142</v>
      </c>
      <c r="AR357" t="str">
        <f>T("0000000000000")</f>
        <v>0000000000000</v>
      </c>
      <c r="AT357" t="str">
        <f>T("9791164899661")</f>
        <v>9791164899661</v>
      </c>
      <c r="AV357" t="str">
        <f t="shared" ref="AV357:AV366" si="32">T("BL 소설 e북 &gt; 현대물")</f>
        <v>BL 소설 e북 &gt; 현대물</v>
      </c>
    </row>
    <row r="358" spans="1:49" x14ac:dyDescent="0.4">
      <c r="A358">
        <v>1525008132</v>
      </c>
      <c r="B358">
        <v>1525008133</v>
      </c>
      <c r="C358" t="str">
        <f>T("[e북]여름의 시작은 키스를 부른다 2권")</f>
        <v>[e북]여름의 시작은 키스를 부른다 2권</v>
      </c>
      <c r="D358" t="str">
        <f>T("2")</f>
        <v>2</v>
      </c>
      <c r="E358" t="str">
        <f>T("키도")</f>
        <v>키도</v>
      </c>
      <c r="H358" t="str">
        <f t="shared" si="31"/>
        <v>블러쉬</v>
      </c>
      <c r="I358" t="str">
        <f>T("[e북]여름의 시작은 키스를 부른다")</f>
        <v>[e북]여름의 시작은 키스를 부른다</v>
      </c>
      <c r="J358">
        <v>3400</v>
      </c>
      <c r="K358">
        <v>3060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3060</v>
      </c>
      <c r="AH358">
        <v>1</v>
      </c>
      <c r="AI358">
        <v>0</v>
      </c>
      <c r="AJ358">
        <v>0</v>
      </c>
      <c r="AK358">
        <v>3060</v>
      </c>
      <c r="AL358">
        <v>0</v>
      </c>
      <c r="AM358">
        <v>0</v>
      </c>
      <c r="AN358">
        <v>0</v>
      </c>
      <c r="AO358">
        <v>0</v>
      </c>
      <c r="AP358" s="2">
        <v>2142</v>
      </c>
      <c r="AR358" t="str">
        <f>T("0000000000000")</f>
        <v>0000000000000</v>
      </c>
      <c r="AT358" t="str">
        <f>T("9791164899678")</f>
        <v>9791164899678</v>
      </c>
      <c r="AV358" t="str">
        <f t="shared" si="32"/>
        <v>BL 소설 e북 &gt; 현대물</v>
      </c>
    </row>
    <row r="359" spans="1:49" x14ac:dyDescent="0.4">
      <c r="A359">
        <v>1525008132</v>
      </c>
      <c r="B359">
        <v>1525008134</v>
      </c>
      <c r="C359" t="str">
        <f>T("[e북]여름의 시작은 키스를 부른다 3권 (완결)")</f>
        <v>[e북]여름의 시작은 키스를 부른다 3권 (완결)</v>
      </c>
      <c r="D359" t="str">
        <f>T("3")</f>
        <v>3</v>
      </c>
      <c r="E359" t="str">
        <f>T("키도")</f>
        <v>키도</v>
      </c>
      <c r="H359" t="str">
        <f t="shared" si="31"/>
        <v>블러쉬</v>
      </c>
      <c r="I359" t="str">
        <f>T("[e북]여름의 시작은 키스를 부른다")</f>
        <v>[e북]여름의 시작은 키스를 부른다</v>
      </c>
      <c r="J359">
        <v>3400</v>
      </c>
      <c r="K359">
        <v>3060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3060</v>
      </c>
      <c r="AH359">
        <v>1</v>
      </c>
      <c r="AI359">
        <v>0</v>
      </c>
      <c r="AJ359">
        <v>0</v>
      </c>
      <c r="AK359">
        <v>3060</v>
      </c>
      <c r="AL359">
        <v>0</v>
      </c>
      <c r="AM359">
        <v>0</v>
      </c>
      <c r="AN359">
        <v>0</v>
      </c>
      <c r="AO359">
        <v>0</v>
      </c>
      <c r="AP359" s="2">
        <v>2142</v>
      </c>
      <c r="AR359" t="str">
        <f>T("0000000000000")</f>
        <v>0000000000000</v>
      </c>
      <c r="AT359" t="str">
        <f>T("9791164899685")</f>
        <v>9791164899685</v>
      </c>
      <c r="AV359" t="str">
        <f t="shared" si="32"/>
        <v>BL 소설 e북 &gt; 현대물</v>
      </c>
    </row>
    <row r="360" spans="1:49" x14ac:dyDescent="0.4">
      <c r="A360">
        <v>1525008034</v>
      </c>
      <c r="B360">
        <v>1525008035</v>
      </c>
      <c r="C360" t="str">
        <f>T("[e북]너에게 나를 보낸다 2권 (완결)")</f>
        <v>[e북]너에게 나를 보낸다 2권 (완결)</v>
      </c>
      <c r="D360" t="str">
        <f>T("2")</f>
        <v>2</v>
      </c>
      <c r="E360" t="str">
        <f>T("검은밤")</f>
        <v>검은밤</v>
      </c>
      <c r="H360" t="str">
        <f t="shared" si="31"/>
        <v>블러쉬</v>
      </c>
      <c r="I360" t="str">
        <f>T("[e북]너에게 나를 보낸다")</f>
        <v>[e북]너에게 나를 보낸다</v>
      </c>
      <c r="J360">
        <v>3000</v>
      </c>
      <c r="K360">
        <v>3000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3000</v>
      </c>
      <c r="AH360">
        <v>1</v>
      </c>
      <c r="AI360">
        <v>0</v>
      </c>
      <c r="AJ360">
        <v>0</v>
      </c>
      <c r="AK360">
        <v>3000</v>
      </c>
      <c r="AL360">
        <v>0</v>
      </c>
      <c r="AM360">
        <v>0</v>
      </c>
      <c r="AN360">
        <v>0</v>
      </c>
      <c r="AO360">
        <v>0</v>
      </c>
      <c r="AP360" s="2">
        <v>2100</v>
      </c>
      <c r="AR360" t="str">
        <f>T("0000000000000")</f>
        <v>0000000000000</v>
      </c>
      <c r="AT360" t="str">
        <f>T("9791164894963")</f>
        <v>9791164894963</v>
      </c>
      <c r="AV360" t="str">
        <f t="shared" si="32"/>
        <v>BL 소설 e북 &gt; 현대물</v>
      </c>
    </row>
    <row r="361" spans="1:49" x14ac:dyDescent="0.4">
      <c r="A361">
        <v>1525012535</v>
      </c>
      <c r="B361">
        <v>1525012535</v>
      </c>
      <c r="C361" t="str">
        <f>T("[e북]비터, 비터(Bitter, Bitter) 1권")</f>
        <v>[e북]비터, 비터(Bitter, Bitter) 1권</v>
      </c>
      <c r="D361" t="str">
        <f>T("1")</f>
        <v>1</v>
      </c>
      <c r="E361" t="str">
        <f>T("라에르")</f>
        <v>라에르</v>
      </c>
      <c r="H361" t="str">
        <f t="shared" si="31"/>
        <v>블러쉬</v>
      </c>
      <c r="I361" t="str">
        <f>T("[e북]비터, 비터(Bitter, Bitter)")</f>
        <v>[e북]비터, 비터(Bitter, Bitter)</v>
      </c>
      <c r="J361">
        <v>3000</v>
      </c>
      <c r="K361">
        <v>3000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3000</v>
      </c>
      <c r="AH361">
        <v>1</v>
      </c>
      <c r="AI361">
        <v>0</v>
      </c>
      <c r="AJ361">
        <v>0</v>
      </c>
      <c r="AK361">
        <v>3000</v>
      </c>
      <c r="AL361">
        <v>0</v>
      </c>
      <c r="AM361">
        <v>0</v>
      </c>
      <c r="AN361">
        <v>0</v>
      </c>
      <c r="AO361">
        <v>0</v>
      </c>
      <c r="AP361" s="2">
        <v>2100</v>
      </c>
      <c r="AT361" t="str">
        <f>T("9791166482298")</f>
        <v>9791166482298</v>
      </c>
      <c r="AV361" t="str">
        <f t="shared" si="32"/>
        <v>BL 소설 e북 &gt; 현대물</v>
      </c>
    </row>
    <row r="362" spans="1:49" x14ac:dyDescent="0.4">
      <c r="A362">
        <v>1525008189</v>
      </c>
      <c r="B362">
        <v>1525008189</v>
      </c>
      <c r="C362" t="str">
        <f>T("[e북]클라우드 나인 (Cloud 9) 1권")</f>
        <v>[e북]클라우드 나인 (Cloud 9) 1권</v>
      </c>
      <c r="D362" t="str">
        <f>T("1")</f>
        <v>1</v>
      </c>
      <c r="E362" t="str">
        <f>T("jooki")</f>
        <v>jooki</v>
      </c>
      <c r="H362" t="str">
        <f t="shared" si="31"/>
        <v>블러쉬</v>
      </c>
      <c r="I362" t="str">
        <f>T("[e북]클라우드 나인 (Cloud 9)")</f>
        <v>[e북]클라우드 나인 (Cloud 9)</v>
      </c>
      <c r="J362">
        <v>3000</v>
      </c>
      <c r="K362">
        <v>3000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3000</v>
      </c>
      <c r="AH362">
        <v>1</v>
      </c>
      <c r="AI362">
        <v>0</v>
      </c>
      <c r="AJ362">
        <v>0</v>
      </c>
      <c r="AK362">
        <v>400</v>
      </c>
      <c r="AL362">
        <v>0</v>
      </c>
      <c r="AM362">
        <v>2600</v>
      </c>
      <c r="AN362">
        <v>0</v>
      </c>
      <c r="AO362">
        <v>0</v>
      </c>
      <c r="AP362" s="2">
        <v>2100</v>
      </c>
      <c r="AR362" t="str">
        <f t="shared" ref="AR362:AR372" si="33">T("0000000000000")</f>
        <v>0000000000000</v>
      </c>
      <c r="AT362" t="str">
        <f>T("9791190132343")</f>
        <v>9791190132343</v>
      </c>
      <c r="AV362" t="str">
        <f t="shared" si="32"/>
        <v>BL 소설 e북 &gt; 현대물</v>
      </c>
    </row>
    <row r="363" spans="1:49" x14ac:dyDescent="0.4">
      <c r="A363">
        <v>1525008034</v>
      </c>
      <c r="B363">
        <v>1525008033</v>
      </c>
      <c r="C363" t="str">
        <f>T("[e북]너에게 나를 보낸다 (외전)")</f>
        <v>[e북]너에게 나를 보낸다 (외전)</v>
      </c>
      <c r="D363" t="str">
        <f>T("3")</f>
        <v>3</v>
      </c>
      <c r="E363" t="str">
        <f>T("검은밤")</f>
        <v>검은밤</v>
      </c>
      <c r="H363" t="str">
        <f t="shared" si="31"/>
        <v>블러쉬</v>
      </c>
      <c r="I363" t="str">
        <f>T("[e북]너에게 나를 보낸다")</f>
        <v>[e북]너에게 나를 보낸다</v>
      </c>
      <c r="J363">
        <v>1000</v>
      </c>
      <c r="K363">
        <v>3000</v>
      </c>
      <c r="L363">
        <v>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3000</v>
      </c>
      <c r="AH363">
        <v>3</v>
      </c>
      <c r="AI363">
        <v>0</v>
      </c>
      <c r="AJ363">
        <v>0</v>
      </c>
      <c r="AK363">
        <v>3000</v>
      </c>
      <c r="AL363">
        <v>0</v>
      </c>
      <c r="AM363">
        <v>0</v>
      </c>
      <c r="AN363">
        <v>0</v>
      </c>
      <c r="AO363">
        <v>0</v>
      </c>
      <c r="AP363" s="2">
        <v>2100</v>
      </c>
      <c r="AR363" t="str">
        <f t="shared" si="33"/>
        <v>0000000000000</v>
      </c>
      <c r="AT363" t="str">
        <f>T("9791166481024")</f>
        <v>9791166481024</v>
      </c>
      <c r="AV363" t="str">
        <f t="shared" si="32"/>
        <v>BL 소설 e북 &gt; 현대물</v>
      </c>
    </row>
    <row r="364" spans="1:49" x14ac:dyDescent="0.4">
      <c r="A364">
        <v>1525008088</v>
      </c>
      <c r="B364">
        <v>1525008088</v>
      </c>
      <c r="C364" t="str">
        <f>T("[e북]반하는 세계 1권")</f>
        <v>[e북]반하는 세계 1권</v>
      </c>
      <c r="D364" t="str">
        <f>T("1")</f>
        <v>1</v>
      </c>
      <c r="E364" t="str">
        <f>T("나나코")</f>
        <v>나나코</v>
      </c>
      <c r="H364" t="str">
        <f t="shared" si="31"/>
        <v>블러쉬</v>
      </c>
      <c r="I364" t="str">
        <f>T("[e북]반하는 세계")</f>
        <v>[e북]반하는 세계</v>
      </c>
      <c r="J364">
        <v>3000</v>
      </c>
      <c r="K364">
        <v>3000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3000</v>
      </c>
      <c r="AH364">
        <v>1</v>
      </c>
      <c r="AI364">
        <v>0</v>
      </c>
      <c r="AJ364">
        <v>0</v>
      </c>
      <c r="AK364">
        <v>3000</v>
      </c>
      <c r="AL364">
        <v>0</v>
      </c>
      <c r="AM364">
        <v>0</v>
      </c>
      <c r="AN364">
        <v>0</v>
      </c>
      <c r="AO364">
        <v>0</v>
      </c>
      <c r="AP364" s="2">
        <v>2100</v>
      </c>
      <c r="AR364" t="str">
        <f t="shared" si="33"/>
        <v>0000000000000</v>
      </c>
      <c r="AT364" t="str">
        <f>T("9791164897797")</f>
        <v>9791164897797</v>
      </c>
      <c r="AV364" t="str">
        <f t="shared" si="32"/>
        <v>BL 소설 e북 &gt; 현대물</v>
      </c>
    </row>
    <row r="365" spans="1:49" x14ac:dyDescent="0.4">
      <c r="A365">
        <v>1525008159</v>
      </c>
      <c r="B365">
        <v>1525008158</v>
      </c>
      <c r="C365" t="str">
        <f>T("[e북]육식주의자 (외전)")</f>
        <v>[e북]육식주의자 (외전)</v>
      </c>
      <c r="D365" t="str">
        <f>T("3")</f>
        <v>3</v>
      </c>
      <c r="E365" t="str">
        <f>T("SISSI")</f>
        <v>SISSI</v>
      </c>
      <c r="H365" t="str">
        <f t="shared" si="31"/>
        <v>블러쉬</v>
      </c>
      <c r="I365" t="str">
        <f>T("[e북]육식주의자")</f>
        <v>[e북]육식주의자</v>
      </c>
      <c r="J365">
        <v>1000</v>
      </c>
      <c r="K365">
        <v>3000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3000</v>
      </c>
      <c r="AH365">
        <v>3</v>
      </c>
      <c r="AI365">
        <v>0</v>
      </c>
      <c r="AJ365">
        <v>0</v>
      </c>
      <c r="AK365">
        <v>3000</v>
      </c>
      <c r="AL365">
        <v>0</v>
      </c>
      <c r="AM365">
        <v>0</v>
      </c>
      <c r="AN365">
        <v>0</v>
      </c>
      <c r="AO365">
        <v>0</v>
      </c>
      <c r="AP365" s="2">
        <v>2100</v>
      </c>
      <c r="AR365" t="str">
        <f t="shared" si="33"/>
        <v>0000000000000</v>
      </c>
      <c r="AT365" t="str">
        <f>T("9791166480966")</f>
        <v>9791166480966</v>
      </c>
      <c r="AV365" t="str">
        <f t="shared" si="32"/>
        <v>BL 소설 e북 &gt; 현대물</v>
      </c>
    </row>
    <row r="366" spans="1:49" x14ac:dyDescent="0.4">
      <c r="A366">
        <v>1525008051</v>
      </c>
      <c r="B366">
        <v>1525008051</v>
      </c>
      <c r="C366" t="str">
        <f>T("[e북]달을 쫓는 하운드 1권")</f>
        <v>[e북]달을 쫓는 하운드 1권</v>
      </c>
      <c r="D366" t="str">
        <f>T("1")</f>
        <v>1</v>
      </c>
      <c r="E366" t="str">
        <f>T("채플린")</f>
        <v>채플린</v>
      </c>
      <c r="H366" t="str">
        <f t="shared" si="31"/>
        <v>블러쉬</v>
      </c>
      <c r="I366" t="str">
        <f>T("[e북]달을 쫓는 하운드")</f>
        <v>[e북]달을 쫓는 하운드</v>
      </c>
      <c r="J366">
        <v>3000</v>
      </c>
      <c r="K366">
        <v>3000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3000</v>
      </c>
      <c r="AH366">
        <v>1</v>
      </c>
      <c r="AI366">
        <v>0</v>
      </c>
      <c r="AJ366">
        <v>0</v>
      </c>
      <c r="AK366">
        <v>3000</v>
      </c>
      <c r="AL366">
        <v>0</v>
      </c>
      <c r="AM366">
        <v>0</v>
      </c>
      <c r="AN366">
        <v>0</v>
      </c>
      <c r="AO366">
        <v>0</v>
      </c>
      <c r="AP366" s="2">
        <v>2100</v>
      </c>
      <c r="AR366" t="str">
        <f t="shared" si="33"/>
        <v>0000000000000</v>
      </c>
      <c r="AT366" t="str">
        <f>T("9791164898510")</f>
        <v>9791164898510</v>
      </c>
      <c r="AV366" t="str">
        <f t="shared" si="32"/>
        <v>BL 소설 e북 &gt; 현대물</v>
      </c>
    </row>
    <row r="367" spans="1:49" x14ac:dyDescent="0.4">
      <c r="A367">
        <v>1525013010</v>
      </c>
      <c r="B367">
        <v>1525013011</v>
      </c>
      <c r="C367" t="str">
        <f>T("[e북]금의 해, 새의 눈 2권")</f>
        <v>[e북]금의 해, 새의 눈 2권</v>
      </c>
      <c r="D367" t="str">
        <f>T("2")</f>
        <v>2</v>
      </c>
      <c r="E367" t="str">
        <f>T("등나무밑소공자")</f>
        <v>등나무밑소공자</v>
      </c>
      <c r="H367" t="str">
        <f t="shared" si="31"/>
        <v>블러쉬</v>
      </c>
      <c r="I367" t="str">
        <f>T("[e북]금의 해, 새의 눈")</f>
        <v>[e북]금의 해, 새의 눈</v>
      </c>
      <c r="J367">
        <v>3000</v>
      </c>
      <c r="K367">
        <v>3000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3000</v>
      </c>
      <c r="AH367">
        <v>1</v>
      </c>
      <c r="AI367">
        <v>0</v>
      </c>
      <c r="AJ367">
        <v>0</v>
      </c>
      <c r="AK367">
        <v>3000</v>
      </c>
      <c r="AL367">
        <v>0</v>
      </c>
      <c r="AM367">
        <v>0</v>
      </c>
      <c r="AN367">
        <v>0</v>
      </c>
      <c r="AO367">
        <v>0</v>
      </c>
      <c r="AP367" s="2">
        <v>2100</v>
      </c>
      <c r="AR367" t="str">
        <f t="shared" si="33"/>
        <v>0000000000000</v>
      </c>
      <c r="AT367" t="str">
        <f>T("9791166482779")</f>
        <v>9791166482779</v>
      </c>
      <c r="AV367" t="str">
        <f>T("BL 소설 e북 &gt; 역사/시대물")</f>
        <v>BL 소설 e북 &gt; 역사/시대물</v>
      </c>
    </row>
    <row r="368" spans="1:49" x14ac:dyDescent="0.4">
      <c r="A368">
        <v>1525008034</v>
      </c>
      <c r="B368">
        <v>1525008034</v>
      </c>
      <c r="C368" t="str">
        <f>T("[e북]너에게 나를 보낸다 1권")</f>
        <v>[e북]너에게 나를 보낸다 1권</v>
      </c>
      <c r="D368" t="str">
        <f>T("1")</f>
        <v>1</v>
      </c>
      <c r="E368" t="str">
        <f>T("검은밤")</f>
        <v>검은밤</v>
      </c>
      <c r="H368" t="str">
        <f t="shared" si="31"/>
        <v>블러쉬</v>
      </c>
      <c r="I368" t="str">
        <f>T("[e북]너에게 나를 보낸다")</f>
        <v>[e북]너에게 나를 보낸다</v>
      </c>
      <c r="J368">
        <v>3000</v>
      </c>
      <c r="K368">
        <v>3000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3000</v>
      </c>
      <c r="AH368">
        <v>1</v>
      </c>
      <c r="AI368">
        <v>0</v>
      </c>
      <c r="AJ368">
        <v>0</v>
      </c>
      <c r="AK368">
        <v>3000</v>
      </c>
      <c r="AL368">
        <v>0</v>
      </c>
      <c r="AM368">
        <v>0</v>
      </c>
      <c r="AN368">
        <v>0</v>
      </c>
      <c r="AO368">
        <v>0</v>
      </c>
      <c r="AP368" s="2">
        <v>2100</v>
      </c>
      <c r="AR368" t="str">
        <f t="shared" si="33"/>
        <v>0000000000000</v>
      </c>
      <c r="AT368" t="str">
        <f>T("9791164894932")</f>
        <v>9791164894932</v>
      </c>
      <c r="AV368" t="str">
        <f>T("BL 소설 e북 &gt; 현대물")</f>
        <v>BL 소설 e북 &gt; 현대물</v>
      </c>
    </row>
    <row r="369" spans="1:49" x14ac:dyDescent="0.4">
      <c r="A369">
        <v>1525008164</v>
      </c>
      <c r="B369">
        <v>1525008164</v>
      </c>
      <c r="C369" t="str">
        <f>T("[e북]음양상열지사 1권")</f>
        <v>[e북]음양상열지사 1권</v>
      </c>
      <c r="D369" t="str">
        <f>T("1")</f>
        <v>1</v>
      </c>
      <c r="E369" t="str">
        <f>T("이염")</f>
        <v>이염</v>
      </c>
      <c r="H369" t="str">
        <f t="shared" si="31"/>
        <v>블러쉬</v>
      </c>
      <c r="I369" t="str">
        <f>T("[e북]음양상열지사")</f>
        <v>[e북]음양상열지사</v>
      </c>
      <c r="J369">
        <v>2900</v>
      </c>
      <c r="K369">
        <v>2900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2900</v>
      </c>
      <c r="AH369">
        <v>1</v>
      </c>
      <c r="AI369">
        <v>0</v>
      </c>
      <c r="AJ369">
        <v>0</v>
      </c>
      <c r="AK369">
        <v>2900</v>
      </c>
      <c r="AL369">
        <v>0</v>
      </c>
      <c r="AM369">
        <v>0</v>
      </c>
      <c r="AN369">
        <v>0</v>
      </c>
      <c r="AO369">
        <v>0</v>
      </c>
      <c r="AP369" s="2">
        <v>2030</v>
      </c>
      <c r="AR369" t="str">
        <f t="shared" si="33"/>
        <v>0000000000000</v>
      </c>
      <c r="AT369" t="str">
        <f>T("9791190132848")</f>
        <v>9791190132848</v>
      </c>
      <c r="AV369" t="str">
        <f>T("BL 소설 e북 &gt; 역사/시대물")</f>
        <v>BL 소설 e북 &gt; 역사/시대물</v>
      </c>
    </row>
    <row r="370" spans="1:49" x14ac:dyDescent="0.4">
      <c r="A370">
        <v>1525008097</v>
      </c>
      <c r="B370">
        <v>1525008098</v>
      </c>
      <c r="C370" t="str">
        <f>T("[e북]보통의 연애 2권 (완결)")</f>
        <v>[e북]보통의 연애 2권 (완결)</v>
      </c>
      <c r="D370" t="str">
        <f>T("2")</f>
        <v>2</v>
      </c>
      <c r="E370" t="str">
        <f>T("나나코")</f>
        <v>나나코</v>
      </c>
      <c r="H370" t="str">
        <f t="shared" si="31"/>
        <v>블러쉬</v>
      </c>
      <c r="I370" t="str">
        <f>T("[e북]보통의 연애")</f>
        <v>[e북]보통의 연애</v>
      </c>
      <c r="J370">
        <v>3200</v>
      </c>
      <c r="K370">
        <v>2880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2880</v>
      </c>
      <c r="AH370">
        <v>1</v>
      </c>
      <c r="AI370">
        <v>0</v>
      </c>
      <c r="AJ370">
        <v>0</v>
      </c>
      <c r="AK370">
        <v>2880</v>
      </c>
      <c r="AL370">
        <v>0</v>
      </c>
      <c r="AM370">
        <v>0</v>
      </c>
      <c r="AN370">
        <v>0</v>
      </c>
      <c r="AO370">
        <v>0</v>
      </c>
      <c r="AP370" s="2">
        <v>2016</v>
      </c>
      <c r="AR370" t="str">
        <f t="shared" si="33"/>
        <v>0000000000000</v>
      </c>
      <c r="AT370" t="str">
        <f>T("9791164897995")</f>
        <v>9791164897995</v>
      </c>
      <c r="AV370" t="str">
        <f>T("BL 소설 e북 &gt; 현대물")</f>
        <v>BL 소설 e북 &gt; 현대물</v>
      </c>
    </row>
    <row r="371" spans="1:49" x14ac:dyDescent="0.4">
      <c r="A371">
        <v>1525008097</v>
      </c>
      <c r="B371">
        <v>1525008097</v>
      </c>
      <c r="C371" t="str">
        <f>T("[e북]보통의 연애 1권")</f>
        <v>[e북]보통의 연애 1권</v>
      </c>
      <c r="D371" t="str">
        <f>T("1")</f>
        <v>1</v>
      </c>
      <c r="E371" t="str">
        <f>T("나나코")</f>
        <v>나나코</v>
      </c>
      <c r="H371" t="str">
        <f t="shared" si="31"/>
        <v>블러쉬</v>
      </c>
      <c r="I371" t="str">
        <f>T("[e북]보통의 연애")</f>
        <v>[e북]보통의 연애</v>
      </c>
      <c r="J371">
        <v>3200</v>
      </c>
      <c r="K371">
        <v>2880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2880</v>
      </c>
      <c r="AH371">
        <v>1</v>
      </c>
      <c r="AI371">
        <v>0</v>
      </c>
      <c r="AJ371">
        <v>0</v>
      </c>
      <c r="AK371">
        <v>2880</v>
      </c>
      <c r="AL371">
        <v>0</v>
      </c>
      <c r="AM371">
        <v>0</v>
      </c>
      <c r="AN371">
        <v>0</v>
      </c>
      <c r="AO371">
        <v>0</v>
      </c>
      <c r="AP371" s="2">
        <v>2016</v>
      </c>
      <c r="AR371" t="str">
        <f t="shared" si="33"/>
        <v>0000000000000</v>
      </c>
      <c r="AT371" t="str">
        <f>T("9791164897988")</f>
        <v>9791164897988</v>
      </c>
      <c r="AV371" t="str">
        <f>T("BL 소설 e북 &gt; 현대물")</f>
        <v>BL 소설 e북 &gt; 현대물</v>
      </c>
    </row>
    <row r="372" spans="1:49" x14ac:dyDescent="0.4">
      <c r="A372">
        <v>1525008177</v>
      </c>
      <c r="B372">
        <v>1525008178</v>
      </c>
      <c r="C372" t="str">
        <f>T("[e북]젠장 맞을 사랑 2권 (완결)")</f>
        <v>[e북]젠장 맞을 사랑 2권 (완결)</v>
      </c>
      <c r="D372" t="str">
        <f>T("2")</f>
        <v>2</v>
      </c>
      <c r="E372" t="str">
        <f>T("한슬")</f>
        <v>한슬</v>
      </c>
      <c r="H372" t="str">
        <f t="shared" si="31"/>
        <v>블러쉬</v>
      </c>
      <c r="I372" t="str">
        <f>T("[e북]젠장 맞을 사랑")</f>
        <v>[e북]젠장 맞을 사랑</v>
      </c>
      <c r="J372">
        <v>2800</v>
      </c>
      <c r="K372">
        <v>2800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2800</v>
      </c>
      <c r="AH372">
        <v>1</v>
      </c>
      <c r="AI372">
        <v>0</v>
      </c>
      <c r="AJ372">
        <v>0</v>
      </c>
      <c r="AK372">
        <v>2800</v>
      </c>
      <c r="AL372">
        <v>0</v>
      </c>
      <c r="AM372">
        <v>0</v>
      </c>
      <c r="AN372">
        <v>0</v>
      </c>
      <c r="AO372">
        <v>0</v>
      </c>
      <c r="AP372" s="2">
        <v>1960</v>
      </c>
      <c r="AR372" t="str">
        <f t="shared" si="33"/>
        <v>0000000000000</v>
      </c>
      <c r="AT372" t="str">
        <f>T("9791164890453")</f>
        <v>9791164890453</v>
      </c>
      <c r="AV372" t="str">
        <f>T("BL 소설 e북 &gt; 현대물")</f>
        <v>BL 소설 e북 &gt; 현대물</v>
      </c>
    </row>
    <row r="373" spans="1:49" x14ac:dyDescent="0.4">
      <c r="A373">
        <v>1525012524</v>
      </c>
      <c r="B373">
        <v>1525012525</v>
      </c>
      <c r="C373" t="str">
        <f>T("[e북]붉은 가을이 깃드는 너에게 2권")</f>
        <v>[e북]붉은 가을이 깃드는 너에게 2권</v>
      </c>
      <c r="D373" t="str">
        <f>T("2")</f>
        <v>2</v>
      </c>
      <c r="E373" t="str">
        <f>T("채플린")</f>
        <v>채플린</v>
      </c>
      <c r="H373" t="str">
        <f t="shared" si="31"/>
        <v>블러쉬</v>
      </c>
      <c r="I373" t="str">
        <f>T("[e북]붉은 가을이 깃드는 너에게")</f>
        <v>[e북]붉은 가을이 깃드는 너에게</v>
      </c>
      <c r="J373">
        <v>2800</v>
      </c>
      <c r="K373">
        <v>2800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2800</v>
      </c>
      <c r="AH373">
        <v>1</v>
      </c>
      <c r="AI373">
        <v>0</v>
      </c>
      <c r="AJ373">
        <v>0</v>
      </c>
      <c r="AK373">
        <v>2800</v>
      </c>
      <c r="AL373">
        <v>0</v>
      </c>
      <c r="AM373">
        <v>0</v>
      </c>
      <c r="AN373">
        <v>0</v>
      </c>
      <c r="AO373">
        <v>0</v>
      </c>
      <c r="AP373" s="2">
        <v>1960</v>
      </c>
      <c r="AT373" t="str">
        <f>T("9791166482175")</f>
        <v>9791166482175</v>
      </c>
      <c r="AV373" t="str">
        <f>T("BL 소설 e북 &gt; 현대물")</f>
        <v>BL 소설 e북 &gt; 현대물</v>
      </c>
    </row>
    <row r="374" spans="1:49" x14ac:dyDescent="0.4">
      <c r="A374">
        <v>1525008111</v>
      </c>
      <c r="B374">
        <v>1525008112</v>
      </c>
      <c r="C374" t="str">
        <f>T("[e북]소년연애담 2권 (완결)")</f>
        <v>[e북]소년연애담 2권 (완결)</v>
      </c>
      <c r="D374" t="str">
        <f>T("2")</f>
        <v>2</v>
      </c>
      <c r="E374" t="str">
        <f>T("나나코")</f>
        <v>나나코</v>
      </c>
      <c r="H374" t="str">
        <f t="shared" si="31"/>
        <v>블러쉬</v>
      </c>
      <c r="I374" t="str">
        <f>T("[e북]소년연애담")</f>
        <v>[e북]소년연애담</v>
      </c>
      <c r="J374">
        <v>2800</v>
      </c>
      <c r="K374">
        <v>2800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2800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2800</v>
      </c>
      <c r="AN374">
        <v>0</v>
      </c>
      <c r="AO374">
        <v>0</v>
      </c>
      <c r="AP374" s="2">
        <v>1960</v>
      </c>
      <c r="AR374" t="str">
        <f>T("0000000000000")</f>
        <v>0000000000000</v>
      </c>
      <c r="AT374" t="str">
        <f>T("9791164890705")</f>
        <v>9791164890705</v>
      </c>
      <c r="AV374" t="str">
        <f>T("BL 소설 e북 &gt; 현대물")</f>
        <v>BL 소설 e북 &gt; 현대물</v>
      </c>
    </row>
    <row r="375" spans="1:49" x14ac:dyDescent="0.4">
      <c r="A375">
        <v>1525008136</v>
      </c>
      <c r="B375">
        <v>1525008136</v>
      </c>
      <c r="C375" t="str">
        <f>T("[e북]여우비가 내리던 날 1권")</f>
        <v>[e북]여우비가 내리던 날 1권</v>
      </c>
      <c r="D375" t="str">
        <f>T("1")</f>
        <v>1</v>
      </c>
      <c r="E375" t="str">
        <f>T("키도")</f>
        <v>키도</v>
      </c>
      <c r="H375" t="str">
        <f t="shared" si="31"/>
        <v>블러쉬</v>
      </c>
      <c r="I375" t="str">
        <f>T("[e북]여우비가 내리던 날")</f>
        <v>[e북]여우비가 내리던 날</v>
      </c>
      <c r="J375">
        <v>2800</v>
      </c>
      <c r="K375">
        <v>2800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2800</v>
      </c>
      <c r="AH375">
        <v>1</v>
      </c>
      <c r="AI375">
        <v>0</v>
      </c>
      <c r="AJ375">
        <v>0</v>
      </c>
      <c r="AK375">
        <v>2800</v>
      </c>
      <c r="AL375">
        <v>0</v>
      </c>
      <c r="AM375">
        <v>0</v>
      </c>
      <c r="AN375">
        <v>0</v>
      </c>
      <c r="AO375">
        <v>0</v>
      </c>
      <c r="AP375" s="2">
        <v>1960</v>
      </c>
      <c r="AR375" t="str">
        <f>T("0000000000000")</f>
        <v>0000000000000</v>
      </c>
      <c r="AT375" t="str">
        <f>T("9791164899302")</f>
        <v>9791164899302</v>
      </c>
      <c r="AV375" t="str">
        <f>T("BL 소설 e북 &gt; 판타지물")</f>
        <v>BL 소설 e북 &gt; 판타지물</v>
      </c>
      <c r="AW375" t="str">
        <f>T("BL 소설 e북 &gt; 역사/시대물")</f>
        <v>BL 소설 e북 &gt; 역사/시대물</v>
      </c>
    </row>
    <row r="376" spans="1:49" x14ac:dyDescent="0.4">
      <c r="A376">
        <v>1525012524</v>
      </c>
      <c r="B376">
        <v>1525012526</v>
      </c>
      <c r="C376" t="str">
        <f>T("[e북]붉은 가을이 깃드는 너에게 3권 (완결)")</f>
        <v>[e북]붉은 가을이 깃드는 너에게 3권 (완결)</v>
      </c>
      <c r="D376" t="str">
        <f>T("3")</f>
        <v>3</v>
      </c>
      <c r="E376" t="str">
        <f>T("채플린")</f>
        <v>채플린</v>
      </c>
      <c r="H376" t="str">
        <f t="shared" si="31"/>
        <v>블러쉬</v>
      </c>
      <c r="I376" t="str">
        <f>T("[e북]붉은 가을이 깃드는 너에게")</f>
        <v>[e북]붉은 가을이 깃드는 너에게</v>
      </c>
      <c r="J376">
        <v>2800</v>
      </c>
      <c r="K376">
        <v>2800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2800</v>
      </c>
      <c r="AH376">
        <v>1</v>
      </c>
      <c r="AI376">
        <v>0</v>
      </c>
      <c r="AJ376">
        <v>0</v>
      </c>
      <c r="AK376">
        <v>2800</v>
      </c>
      <c r="AL376">
        <v>0</v>
      </c>
      <c r="AM376">
        <v>0</v>
      </c>
      <c r="AN376">
        <v>0</v>
      </c>
      <c r="AO376">
        <v>0</v>
      </c>
      <c r="AP376" s="2">
        <v>1960</v>
      </c>
      <c r="AT376" t="str">
        <f>T("9791166482182")</f>
        <v>9791166482182</v>
      </c>
      <c r="AV376" t="str">
        <f>T("BL 소설 e북 &gt; 현대물")</f>
        <v>BL 소설 e북 &gt; 현대물</v>
      </c>
    </row>
    <row r="377" spans="1:49" x14ac:dyDescent="0.4">
      <c r="A377">
        <v>1525008016</v>
      </c>
      <c r="B377">
        <v>1525008017</v>
      </c>
      <c r="C377" t="str">
        <f>T("[e북]까마귀밥여름나무숲 2권")</f>
        <v>[e북]까마귀밥여름나무숲 2권</v>
      </c>
      <c r="D377" t="str">
        <f>T("2")</f>
        <v>2</v>
      </c>
      <c r="E377" t="str">
        <f>T("키도")</f>
        <v>키도</v>
      </c>
      <c r="H377" t="str">
        <f t="shared" si="31"/>
        <v>블러쉬</v>
      </c>
      <c r="I377" t="str">
        <f>T("[e북]까마귀밥여름나무숲")</f>
        <v>[e북]까마귀밥여름나무숲</v>
      </c>
      <c r="J377">
        <v>2800</v>
      </c>
      <c r="K377">
        <v>2800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2800</v>
      </c>
      <c r="AH377">
        <v>1</v>
      </c>
      <c r="AI377">
        <v>0</v>
      </c>
      <c r="AJ377">
        <v>0</v>
      </c>
      <c r="AK377">
        <v>2800</v>
      </c>
      <c r="AL377">
        <v>0</v>
      </c>
      <c r="AM377">
        <v>0</v>
      </c>
      <c r="AN377">
        <v>0</v>
      </c>
      <c r="AO377">
        <v>0</v>
      </c>
      <c r="AP377" s="2">
        <v>1960</v>
      </c>
      <c r="AR377" t="str">
        <f>T("0000000000000")</f>
        <v>0000000000000</v>
      </c>
      <c r="AT377" t="str">
        <f>T("9791166481345")</f>
        <v>9791166481345</v>
      </c>
      <c r="AV377" t="str">
        <f>T("BL 소설 e북 &gt; 역사/시대물")</f>
        <v>BL 소설 e북 &gt; 역사/시대물</v>
      </c>
    </row>
    <row r="378" spans="1:49" x14ac:dyDescent="0.4">
      <c r="A378">
        <v>1525008136</v>
      </c>
      <c r="B378">
        <v>1525008137</v>
      </c>
      <c r="C378" t="str">
        <f>T("[e북]여우비가 내리던 날 2권 (완결)")</f>
        <v>[e북]여우비가 내리던 날 2권 (완결)</v>
      </c>
      <c r="D378" t="str">
        <f>T("2")</f>
        <v>2</v>
      </c>
      <c r="E378" t="str">
        <f>T("키도")</f>
        <v>키도</v>
      </c>
      <c r="H378" t="str">
        <f t="shared" si="31"/>
        <v>블러쉬</v>
      </c>
      <c r="I378" t="str">
        <f>T("[e북]여우비가 내리던 날")</f>
        <v>[e북]여우비가 내리던 날</v>
      </c>
      <c r="J378">
        <v>2800</v>
      </c>
      <c r="K378">
        <v>2800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2800</v>
      </c>
      <c r="AH378">
        <v>1</v>
      </c>
      <c r="AI378">
        <v>0</v>
      </c>
      <c r="AJ378">
        <v>0</v>
      </c>
      <c r="AK378">
        <v>2800</v>
      </c>
      <c r="AL378">
        <v>0</v>
      </c>
      <c r="AM378">
        <v>0</v>
      </c>
      <c r="AN378">
        <v>0</v>
      </c>
      <c r="AO378">
        <v>0</v>
      </c>
      <c r="AP378" s="2">
        <v>1960</v>
      </c>
      <c r="AR378" t="str">
        <f>T("0000000000000")</f>
        <v>0000000000000</v>
      </c>
      <c r="AT378" t="str">
        <f>T("9791164899319")</f>
        <v>9791164899319</v>
      </c>
      <c r="AV378" t="str">
        <f>T("BL 소설 e북 &gt; 판타지물")</f>
        <v>BL 소설 e북 &gt; 판타지물</v>
      </c>
      <c r="AW378" t="str">
        <f>T("BL 소설 e북 &gt; 역사/시대물")</f>
        <v>BL 소설 e북 &gt; 역사/시대물</v>
      </c>
    </row>
    <row r="379" spans="1:49" x14ac:dyDescent="0.4">
      <c r="A379">
        <v>1525008185</v>
      </c>
      <c r="B379">
        <v>1525008186</v>
      </c>
      <c r="C379" t="str">
        <f>T("[e북]칼의 기억 2권 (완결)")</f>
        <v>[e북]칼의 기억 2권 (완결)</v>
      </c>
      <c r="D379" t="str">
        <f>T("2")</f>
        <v>2</v>
      </c>
      <c r="E379" t="str">
        <f>T("SISSI")</f>
        <v>SISSI</v>
      </c>
      <c r="H379" t="str">
        <f t="shared" si="31"/>
        <v>블러쉬</v>
      </c>
      <c r="I379" t="str">
        <f>T("[e북]칼의 기억")</f>
        <v>[e북]칼의 기억</v>
      </c>
      <c r="J379">
        <v>2800</v>
      </c>
      <c r="K379">
        <v>2800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2800</v>
      </c>
      <c r="AH379">
        <v>1</v>
      </c>
      <c r="AI379">
        <v>0</v>
      </c>
      <c r="AJ379">
        <v>0</v>
      </c>
      <c r="AK379">
        <v>2800</v>
      </c>
      <c r="AL379">
        <v>0</v>
      </c>
      <c r="AM379">
        <v>0</v>
      </c>
      <c r="AN379">
        <v>0</v>
      </c>
      <c r="AO379">
        <v>0</v>
      </c>
      <c r="AP379" s="2">
        <v>1960</v>
      </c>
      <c r="AR379" t="str">
        <f>T("0000000000000")</f>
        <v>0000000000000</v>
      </c>
      <c r="AT379" t="str">
        <f>T("9791166481376")</f>
        <v>9791166481376</v>
      </c>
      <c r="AV379" t="str">
        <f>T("BL 소설 e북 &gt; 역사/시대물")</f>
        <v>BL 소설 e북 &gt; 역사/시대물</v>
      </c>
    </row>
    <row r="380" spans="1:49" x14ac:dyDescent="0.4">
      <c r="A380">
        <v>1525012533</v>
      </c>
      <c r="B380">
        <v>1525012533</v>
      </c>
      <c r="C380" t="str">
        <f>T("[e북]너만 모르는 연애 1권")</f>
        <v>[e북]너만 모르는 연애 1권</v>
      </c>
      <c r="D380" t="str">
        <f>T("1")</f>
        <v>1</v>
      </c>
      <c r="E380" t="str">
        <f>T("카에트")</f>
        <v>카에트</v>
      </c>
      <c r="H380" t="str">
        <f t="shared" si="31"/>
        <v>블러쉬</v>
      </c>
      <c r="I380" t="str">
        <f>T("[e북]너만 모르는 연애")</f>
        <v>[e북]너만 모르는 연애</v>
      </c>
      <c r="J380">
        <v>2800</v>
      </c>
      <c r="K380">
        <v>2800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2800</v>
      </c>
      <c r="AH380">
        <v>1</v>
      </c>
      <c r="AI380">
        <v>0</v>
      </c>
      <c r="AJ380">
        <v>0</v>
      </c>
      <c r="AK380">
        <v>2800</v>
      </c>
      <c r="AL380">
        <v>0</v>
      </c>
      <c r="AM380">
        <v>0</v>
      </c>
      <c r="AN380">
        <v>0</v>
      </c>
      <c r="AO380">
        <v>0</v>
      </c>
      <c r="AP380" s="2">
        <v>1960</v>
      </c>
      <c r="AT380" t="str">
        <f>T("9791166482274")</f>
        <v>9791166482274</v>
      </c>
      <c r="AV380" t="str">
        <f>T("BL 소설 e북 &gt; 현대물")</f>
        <v>BL 소설 e북 &gt; 현대물</v>
      </c>
    </row>
    <row r="381" spans="1:49" x14ac:dyDescent="0.4">
      <c r="A381">
        <v>1525008016</v>
      </c>
      <c r="B381">
        <v>1525008016</v>
      </c>
      <c r="C381" t="str">
        <f>T("[e북]까마귀밥여름나무숲 1권")</f>
        <v>[e북]까마귀밥여름나무숲 1권</v>
      </c>
      <c r="D381" t="str">
        <f>T("1")</f>
        <v>1</v>
      </c>
      <c r="E381" t="str">
        <f>T("키도")</f>
        <v>키도</v>
      </c>
      <c r="H381" t="str">
        <f t="shared" si="31"/>
        <v>블러쉬</v>
      </c>
      <c r="I381" t="str">
        <f>T("[e북]까마귀밥여름나무숲")</f>
        <v>[e북]까마귀밥여름나무숲</v>
      </c>
      <c r="J381">
        <v>2800</v>
      </c>
      <c r="K381">
        <v>2800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2800</v>
      </c>
      <c r="AH381">
        <v>1</v>
      </c>
      <c r="AI381">
        <v>0</v>
      </c>
      <c r="AJ381">
        <v>0</v>
      </c>
      <c r="AK381">
        <v>2800</v>
      </c>
      <c r="AL381">
        <v>0</v>
      </c>
      <c r="AM381">
        <v>0</v>
      </c>
      <c r="AN381">
        <v>0</v>
      </c>
      <c r="AO381">
        <v>0</v>
      </c>
      <c r="AP381" s="2">
        <v>1960</v>
      </c>
      <c r="AR381" t="str">
        <f>T("0000000000000")</f>
        <v>0000000000000</v>
      </c>
      <c r="AT381" t="str">
        <f>T("9791166481338")</f>
        <v>9791166481338</v>
      </c>
      <c r="AV381" t="str">
        <f>T("BL 소설 e북 &gt; 역사/시대물")</f>
        <v>BL 소설 e북 &gt; 역사/시대물</v>
      </c>
    </row>
    <row r="382" spans="1:49" x14ac:dyDescent="0.4">
      <c r="A382">
        <v>1525008177</v>
      </c>
      <c r="B382">
        <v>1525008177</v>
      </c>
      <c r="C382" t="str">
        <f>T("[e북]젠장 맞을 사랑 1권")</f>
        <v>[e북]젠장 맞을 사랑 1권</v>
      </c>
      <c r="D382" t="str">
        <f>T("1")</f>
        <v>1</v>
      </c>
      <c r="E382" t="str">
        <f>T("한슬")</f>
        <v>한슬</v>
      </c>
      <c r="H382" t="str">
        <f t="shared" si="31"/>
        <v>블러쉬</v>
      </c>
      <c r="I382" t="str">
        <f>T("[e북]젠장 맞을 사랑")</f>
        <v>[e북]젠장 맞을 사랑</v>
      </c>
      <c r="J382">
        <v>2800</v>
      </c>
      <c r="K382">
        <v>2800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2800</v>
      </c>
      <c r="AH382">
        <v>1</v>
      </c>
      <c r="AI382">
        <v>0</v>
      </c>
      <c r="AJ382">
        <v>0</v>
      </c>
      <c r="AK382">
        <v>2800</v>
      </c>
      <c r="AL382">
        <v>0</v>
      </c>
      <c r="AM382">
        <v>0</v>
      </c>
      <c r="AN382">
        <v>0</v>
      </c>
      <c r="AO382">
        <v>0</v>
      </c>
      <c r="AP382" s="2">
        <v>1960</v>
      </c>
      <c r="AR382" t="str">
        <f>T("0000000000000")</f>
        <v>0000000000000</v>
      </c>
      <c r="AT382" t="str">
        <f>T("9791164890446")</f>
        <v>9791164890446</v>
      </c>
      <c r="AV382" t="str">
        <f>T("BL 소설 e북 &gt; 현대물")</f>
        <v>BL 소설 e북 &gt; 현대물</v>
      </c>
    </row>
    <row r="383" spans="1:49" x14ac:dyDescent="0.4">
      <c r="A383">
        <v>1525008016</v>
      </c>
      <c r="B383">
        <v>1525008018</v>
      </c>
      <c r="C383" t="str">
        <f>T("[e북]까마귀밥여름나무숲 3권 (완결)")</f>
        <v>[e북]까마귀밥여름나무숲 3권 (완결)</v>
      </c>
      <c r="D383" t="str">
        <f>T("3")</f>
        <v>3</v>
      </c>
      <c r="E383" t="str">
        <f>T("키도")</f>
        <v>키도</v>
      </c>
      <c r="H383" t="str">
        <f t="shared" si="31"/>
        <v>블러쉬</v>
      </c>
      <c r="I383" t="str">
        <f>T("[e북]까마귀밥여름나무숲")</f>
        <v>[e북]까마귀밥여름나무숲</v>
      </c>
      <c r="J383">
        <v>2800</v>
      </c>
      <c r="K383">
        <v>2800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2800</v>
      </c>
      <c r="AH383">
        <v>1</v>
      </c>
      <c r="AI383">
        <v>0</v>
      </c>
      <c r="AJ383">
        <v>0</v>
      </c>
      <c r="AK383">
        <v>2800</v>
      </c>
      <c r="AL383">
        <v>0</v>
      </c>
      <c r="AM383">
        <v>0</v>
      </c>
      <c r="AN383">
        <v>0</v>
      </c>
      <c r="AO383">
        <v>0</v>
      </c>
      <c r="AP383" s="2">
        <v>1960</v>
      </c>
      <c r="AR383" t="str">
        <f>T("0000000000000")</f>
        <v>0000000000000</v>
      </c>
      <c r="AT383" t="str">
        <f>T("9791166481352")</f>
        <v>9791166481352</v>
      </c>
      <c r="AV383" t="str">
        <f>T("BL 소설 e북 &gt; 역사/시대물")</f>
        <v>BL 소설 e북 &gt; 역사/시대물</v>
      </c>
    </row>
    <row r="384" spans="1:49" x14ac:dyDescent="0.4">
      <c r="A384">
        <v>1525008111</v>
      </c>
      <c r="B384">
        <v>1525008111</v>
      </c>
      <c r="C384" t="str">
        <f>T("[e북]소년연애담 1권")</f>
        <v>[e북]소년연애담 1권</v>
      </c>
      <c r="D384" t="str">
        <f>T("1")</f>
        <v>1</v>
      </c>
      <c r="E384" t="str">
        <f>T("나나코")</f>
        <v>나나코</v>
      </c>
      <c r="H384" t="str">
        <f t="shared" si="31"/>
        <v>블러쉬</v>
      </c>
      <c r="I384" t="str">
        <f>T("[e북]소년연애담")</f>
        <v>[e북]소년연애담</v>
      </c>
      <c r="J384">
        <v>2800</v>
      </c>
      <c r="K384">
        <v>2800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2800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2800</v>
      </c>
      <c r="AN384">
        <v>0</v>
      </c>
      <c r="AO384">
        <v>0</v>
      </c>
      <c r="AP384" s="2">
        <v>1960</v>
      </c>
      <c r="AR384" t="str">
        <f>T("0000000000000")</f>
        <v>0000000000000</v>
      </c>
      <c r="AT384" t="str">
        <f>T("9791164890699")</f>
        <v>9791164890699</v>
      </c>
      <c r="AV384" t="str">
        <f>T("BL 소설 e북 &gt; 현대물")</f>
        <v>BL 소설 e북 &gt; 현대물</v>
      </c>
    </row>
    <row r="385" spans="1:49" x14ac:dyDescent="0.4">
      <c r="A385">
        <v>1525012533</v>
      </c>
      <c r="B385">
        <v>1525012534</v>
      </c>
      <c r="C385" t="str">
        <f>T("[e북]너만 모르는 연애 2권 (완결)")</f>
        <v>[e북]너만 모르는 연애 2권 (완결)</v>
      </c>
      <c r="D385" t="str">
        <f>T("2")</f>
        <v>2</v>
      </c>
      <c r="E385" t="str">
        <f>T("카에트")</f>
        <v>카에트</v>
      </c>
      <c r="H385" t="str">
        <f t="shared" si="31"/>
        <v>블러쉬</v>
      </c>
      <c r="I385" t="str">
        <f>T("[e북]너만 모르는 연애")</f>
        <v>[e북]너만 모르는 연애</v>
      </c>
      <c r="J385">
        <v>2800</v>
      </c>
      <c r="K385">
        <v>2800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2800</v>
      </c>
      <c r="AH385">
        <v>1</v>
      </c>
      <c r="AI385">
        <v>0</v>
      </c>
      <c r="AJ385">
        <v>0</v>
      </c>
      <c r="AK385">
        <v>2800</v>
      </c>
      <c r="AL385">
        <v>0</v>
      </c>
      <c r="AM385">
        <v>0</v>
      </c>
      <c r="AN385">
        <v>0</v>
      </c>
      <c r="AO385">
        <v>0</v>
      </c>
      <c r="AP385" s="2">
        <v>1960</v>
      </c>
      <c r="AT385" t="str">
        <f>T("9791166482281")</f>
        <v>9791166482281</v>
      </c>
      <c r="AV385" t="str">
        <f>T("BL 소설 e북 &gt; 현대물")</f>
        <v>BL 소설 e북 &gt; 현대물</v>
      </c>
    </row>
    <row r="386" spans="1:49" x14ac:dyDescent="0.4">
      <c r="A386">
        <v>1525008107</v>
      </c>
      <c r="B386">
        <v>1525008108</v>
      </c>
      <c r="C386" t="str">
        <f>T("[e북]사냥꾼 2권 (완결)")</f>
        <v>[e북]사냥꾼 2권 (완결)</v>
      </c>
      <c r="D386" t="str">
        <f>T("2")</f>
        <v>2</v>
      </c>
      <c r="E386" t="str">
        <f>T("라돌체")</f>
        <v>라돌체</v>
      </c>
      <c r="H386" t="str">
        <f>T("비엘스토리")</f>
        <v>비엘스토리</v>
      </c>
      <c r="I386" t="str">
        <f>T("[e북]사냥꾼")</f>
        <v>[e북]사냥꾼</v>
      </c>
      <c r="J386">
        <v>2700</v>
      </c>
      <c r="K386">
        <v>2700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2700</v>
      </c>
      <c r="AH386">
        <v>1</v>
      </c>
      <c r="AI386">
        <v>0</v>
      </c>
      <c r="AJ386">
        <v>0</v>
      </c>
      <c r="AK386">
        <v>2700</v>
      </c>
      <c r="AL386">
        <v>0</v>
      </c>
      <c r="AM386">
        <v>0</v>
      </c>
      <c r="AN386">
        <v>0</v>
      </c>
      <c r="AO386">
        <v>0</v>
      </c>
      <c r="AP386" s="2">
        <v>1890</v>
      </c>
      <c r="AR386" t="str">
        <f>T("0000000000000")</f>
        <v>0000000000000</v>
      </c>
      <c r="AT386" t="str">
        <f>T("9791164895533")</f>
        <v>9791164895533</v>
      </c>
      <c r="AV386" t="str">
        <f>T("BL 소설 e북 &gt; 현대물")</f>
        <v>BL 소설 e북 &gt; 현대물</v>
      </c>
    </row>
    <row r="387" spans="1:49" x14ac:dyDescent="0.4">
      <c r="A387">
        <v>1525008107</v>
      </c>
      <c r="B387">
        <v>1525008107</v>
      </c>
      <c r="C387" t="str">
        <f>T("[e북]사냥꾼 1권")</f>
        <v>[e북]사냥꾼 1권</v>
      </c>
      <c r="D387" t="str">
        <f>T("1")</f>
        <v>1</v>
      </c>
      <c r="E387" t="str">
        <f>T("라돌체")</f>
        <v>라돌체</v>
      </c>
      <c r="H387" t="str">
        <f>T("비엘스토리")</f>
        <v>비엘스토리</v>
      </c>
      <c r="I387" t="str">
        <f>T("[e북]사냥꾼")</f>
        <v>[e북]사냥꾼</v>
      </c>
      <c r="J387">
        <v>2700</v>
      </c>
      <c r="K387">
        <v>2700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2700</v>
      </c>
      <c r="AH387">
        <v>1</v>
      </c>
      <c r="AI387">
        <v>0</v>
      </c>
      <c r="AJ387">
        <v>0</v>
      </c>
      <c r="AK387">
        <v>2700</v>
      </c>
      <c r="AL387">
        <v>0</v>
      </c>
      <c r="AM387">
        <v>0</v>
      </c>
      <c r="AN387">
        <v>0</v>
      </c>
      <c r="AO387">
        <v>0</v>
      </c>
      <c r="AP387" s="2">
        <v>1890</v>
      </c>
      <c r="AR387" t="str">
        <f>T("0000000000000")</f>
        <v>0000000000000</v>
      </c>
      <c r="AT387" t="str">
        <f>T("9791164895526")</f>
        <v>9791164895526</v>
      </c>
      <c r="AV387" t="str">
        <f>T("BL 소설 e북 &gt; 현대물")</f>
        <v>BL 소설 e북 &gt; 현대물</v>
      </c>
    </row>
    <row r="388" spans="1:49" x14ac:dyDescent="0.4">
      <c r="B388">
        <v>1525007824</v>
      </c>
      <c r="C388" t="str">
        <f>T("[e북]예렌의 신부")</f>
        <v>[e북]예렌의 신부</v>
      </c>
      <c r="E388" t="str">
        <f>T("sJessi")</f>
        <v>sJessi</v>
      </c>
      <c r="H388" t="str">
        <f>T("쉬라즈")</f>
        <v>쉬라즈</v>
      </c>
      <c r="J388">
        <v>2600</v>
      </c>
      <c r="K388">
        <v>2600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2600</v>
      </c>
      <c r="AH388">
        <v>1</v>
      </c>
      <c r="AI388">
        <v>0</v>
      </c>
      <c r="AJ388">
        <v>0</v>
      </c>
      <c r="AK388">
        <v>2600</v>
      </c>
      <c r="AL388">
        <v>0</v>
      </c>
      <c r="AM388">
        <v>0</v>
      </c>
      <c r="AN388">
        <v>0</v>
      </c>
      <c r="AO388">
        <v>0</v>
      </c>
      <c r="AP388" s="2">
        <v>1820</v>
      </c>
      <c r="AR388" t="str">
        <f>T("0000000000000")</f>
        <v>0000000000000</v>
      </c>
      <c r="AT388" t="str">
        <f>T("9791164899791")</f>
        <v>9791164899791</v>
      </c>
      <c r="AV388" t="str">
        <f>T("로맨스 e북 &gt; 역사/시대물")</f>
        <v>로맨스 e북 &gt; 역사/시대물</v>
      </c>
      <c r="AW388" t="str">
        <f>T("로맨스 e북 &gt; 19+")</f>
        <v>로맨스 e북 &gt; 19+</v>
      </c>
    </row>
    <row r="389" spans="1:49" x14ac:dyDescent="0.4">
      <c r="A389">
        <v>1525010900</v>
      </c>
      <c r="B389">
        <v>1525010897</v>
      </c>
      <c r="C389" t="str">
        <f>T("[e북]무적살수 2권")</f>
        <v>[e북]무적살수 2권</v>
      </c>
      <c r="D389" t="str">
        <f>T("2")</f>
        <v>2</v>
      </c>
      <c r="E389" t="str">
        <f>T("협행마")</f>
        <v>협행마</v>
      </c>
      <c r="H389" t="str">
        <f t="shared" ref="H389:H400" si="34">T("에필로그")</f>
        <v>에필로그</v>
      </c>
      <c r="I389" t="str">
        <f>T("[e북]무적살수")</f>
        <v>[e북]무적살수</v>
      </c>
      <c r="J389">
        <v>2500</v>
      </c>
      <c r="K389">
        <v>2500</v>
      </c>
      <c r="L389">
        <v>1</v>
      </c>
      <c r="M389">
        <v>0</v>
      </c>
      <c r="N389">
        <v>2700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5200</v>
      </c>
      <c r="AH389">
        <v>4</v>
      </c>
      <c r="AI389">
        <v>0</v>
      </c>
      <c r="AJ389">
        <v>0</v>
      </c>
      <c r="AK389">
        <v>2700</v>
      </c>
      <c r="AL389">
        <v>0</v>
      </c>
      <c r="AM389">
        <v>3000</v>
      </c>
      <c r="AN389">
        <v>-900</v>
      </c>
      <c r="AO389">
        <v>0</v>
      </c>
      <c r="AP389" s="2">
        <v>3360</v>
      </c>
      <c r="AT389" t="str">
        <f>T("9791166000126")</f>
        <v>9791166000126</v>
      </c>
      <c r="AV389" t="str">
        <f>T("판타지 e북 &gt; 전통 무협")</f>
        <v>판타지 e북 &gt; 전통 무협</v>
      </c>
    </row>
    <row r="390" spans="1:49" x14ac:dyDescent="0.4">
      <c r="A390">
        <v>1525011063</v>
      </c>
      <c r="B390">
        <v>1525011053</v>
      </c>
      <c r="C390" t="str">
        <f>T("[e북]남창목가 11권")</f>
        <v>[e북]남창목가 11권</v>
      </c>
      <c r="D390" t="str">
        <f>T("11")</f>
        <v>11</v>
      </c>
      <c r="E390" t="str">
        <f t="shared" ref="E390:E400" si="35">T("최재봉")</f>
        <v>최재봉</v>
      </c>
      <c r="H390" t="str">
        <f t="shared" si="34"/>
        <v>에필로그</v>
      </c>
      <c r="I390" t="str">
        <f t="shared" ref="I390:I400" si="36">T("[e북]남창목가")</f>
        <v>[e북]남창목가</v>
      </c>
      <c r="J390">
        <v>2500</v>
      </c>
      <c r="K390">
        <v>2500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2500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2500</v>
      </c>
      <c r="AN390">
        <v>0</v>
      </c>
      <c r="AO390">
        <v>0</v>
      </c>
      <c r="AP390" s="2">
        <v>1750</v>
      </c>
      <c r="AT390" t="str">
        <f>T("9791164483099")</f>
        <v>9791164483099</v>
      </c>
      <c r="AV390" t="str">
        <f t="shared" ref="AV390:AV400" si="37">T("판타지 e북 &gt; 신무협")</f>
        <v>판타지 e북 &gt; 신무협</v>
      </c>
    </row>
    <row r="391" spans="1:49" x14ac:dyDescent="0.4">
      <c r="A391">
        <v>1525011063</v>
      </c>
      <c r="B391">
        <v>1525011046</v>
      </c>
      <c r="C391" t="str">
        <f>T("[e북]남창목가 18권")</f>
        <v>[e북]남창목가 18권</v>
      </c>
      <c r="D391" t="str">
        <f>T("18")</f>
        <v>18</v>
      </c>
      <c r="E391" t="str">
        <f t="shared" si="35"/>
        <v>최재봉</v>
      </c>
      <c r="H391" t="str">
        <f t="shared" si="34"/>
        <v>에필로그</v>
      </c>
      <c r="I391" t="str">
        <f t="shared" si="36"/>
        <v>[e북]남창목가</v>
      </c>
      <c r="J391">
        <v>2500</v>
      </c>
      <c r="K391">
        <v>2500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2500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2500</v>
      </c>
      <c r="AN391">
        <v>0</v>
      </c>
      <c r="AO391">
        <v>0</v>
      </c>
      <c r="AP391" s="2">
        <v>1750</v>
      </c>
      <c r="AT391" t="str">
        <f>T("9791164483143")</f>
        <v>9791164483143</v>
      </c>
      <c r="AV391" t="str">
        <f t="shared" si="37"/>
        <v>판타지 e북 &gt; 신무협</v>
      </c>
    </row>
    <row r="392" spans="1:49" x14ac:dyDescent="0.4">
      <c r="A392">
        <v>1525011063</v>
      </c>
      <c r="B392">
        <v>1525010985</v>
      </c>
      <c r="C392" t="str">
        <f>T("[e북]남창목가 외전 1권")</f>
        <v>[e북]남창목가 외전 1권</v>
      </c>
      <c r="D392" t="str">
        <f>T("24")</f>
        <v>24</v>
      </c>
      <c r="E392" t="str">
        <f t="shared" si="35"/>
        <v>최재봉</v>
      </c>
      <c r="H392" t="str">
        <f t="shared" si="34"/>
        <v>에필로그</v>
      </c>
      <c r="I392" t="str">
        <f t="shared" si="36"/>
        <v>[e북]남창목가</v>
      </c>
      <c r="J392">
        <v>2500</v>
      </c>
      <c r="K392">
        <v>2500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2500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2500</v>
      </c>
      <c r="AN392">
        <v>0</v>
      </c>
      <c r="AO392">
        <v>0</v>
      </c>
      <c r="AP392" s="2">
        <v>1750</v>
      </c>
      <c r="AT392" t="str">
        <f>T("9791164486144")</f>
        <v>9791164486144</v>
      </c>
      <c r="AV392" t="str">
        <f t="shared" si="37"/>
        <v>판타지 e북 &gt; 신무협</v>
      </c>
    </row>
    <row r="393" spans="1:49" x14ac:dyDescent="0.4">
      <c r="A393">
        <v>1525011063</v>
      </c>
      <c r="B393">
        <v>1525011060</v>
      </c>
      <c r="C393" t="str">
        <f>T("[e북]남창목가 4권")</f>
        <v>[e북]남창목가 4권</v>
      </c>
      <c r="D393" t="str">
        <f>T("4")</f>
        <v>4</v>
      </c>
      <c r="E393" t="str">
        <f t="shared" si="35"/>
        <v>최재봉</v>
      </c>
      <c r="H393" t="str">
        <f t="shared" si="34"/>
        <v>에필로그</v>
      </c>
      <c r="I393" t="str">
        <f t="shared" si="36"/>
        <v>[e북]남창목가</v>
      </c>
      <c r="J393">
        <v>2500</v>
      </c>
      <c r="K393">
        <v>2500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2500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2500</v>
      </c>
      <c r="AN393">
        <v>0</v>
      </c>
      <c r="AO393">
        <v>0</v>
      </c>
      <c r="AP393" s="2">
        <v>1750</v>
      </c>
      <c r="AT393" t="str">
        <f>T("9791164483006")</f>
        <v>9791164483006</v>
      </c>
      <c r="AV393" t="str">
        <f t="shared" si="37"/>
        <v>판타지 e북 &gt; 신무협</v>
      </c>
    </row>
    <row r="394" spans="1:49" x14ac:dyDescent="0.4">
      <c r="A394">
        <v>1525011063</v>
      </c>
      <c r="B394">
        <v>1525011050</v>
      </c>
      <c r="C394" t="str">
        <f>T("[e북]남창목가 14권")</f>
        <v>[e북]남창목가 14권</v>
      </c>
      <c r="D394" t="str">
        <f>T("14")</f>
        <v>14</v>
      </c>
      <c r="E394" t="str">
        <f t="shared" si="35"/>
        <v>최재봉</v>
      </c>
      <c r="H394" t="str">
        <f t="shared" si="34"/>
        <v>에필로그</v>
      </c>
      <c r="I394" t="str">
        <f t="shared" si="36"/>
        <v>[e북]남창목가</v>
      </c>
      <c r="J394">
        <v>2500</v>
      </c>
      <c r="K394">
        <v>2500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2500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2500</v>
      </c>
      <c r="AN394">
        <v>0</v>
      </c>
      <c r="AO394">
        <v>0</v>
      </c>
      <c r="AP394" s="2">
        <v>1750</v>
      </c>
      <c r="AT394" t="str">
        <f>T("9791164483013")</f>
        <v>9791164483013</v>
      </c>
      <c r="AV394" t="str">
        <f t="shared" si="37"/>
        <v>판타지 e북 &gt; 신무협</v>
      </c>
    </row>
    <row r="395" spans="1:49" x14ac:dyDescent="0.4">
      <c r="A395">
        <v>1525011063</v>
      </c>
      <c r="B395">
        <v>1525011043</v>
      </c>
      <c r="C395" t="str">
        <f>T("[e북]남창목가 21권")</f>
        <v>[e북]남창목가 21권</v>
      </c>
      <c r="D395" t="str">
        <f>T("21")</f>
        <v>21</v>
      </c>
      <c r="E395" t="str">
        <f t="shared" si="35"/>
        <v>최재봉</v>
      </c>
      <c r="H395" t="str">
        <f t="shared" si="34"/>
        <v>에필로그</v>
      </c>
      <c r="I395" t="str">
        <f t="shared" si="36"/>
        <v>[e북]남창목가</v>
      </c>
      <c r="J395">
        <v>2500</v>
      </c>
      <c r="K395">
        <v>2500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2500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2500</v>
      </c>
      <c r="AN395">
        <v>0</v>
      </c>
      <c r="AO395">
        <v>0</v>
      </c>
      <c r="AP395" s="2">
        <v>1750</v>
      </c>
      <c r="AT395" t="str">
        <f>T("9791164483174")</f>
        <v>9791164483174</v>
      </c>
      <c r="AV395" t="str">
        <f t="shared" si="37"/>
        <v>판타지 e북 &gt; 신무협</v>
      </c>
    </row>
    <row r="396" spans="1:49" x14ac:dyDescent="0.4">
      <c r="A396">
        <v>1525011063</v>
      </c>
      <c r="B396">
        <v>1525011054</v>
      </c>
      <c r="C396" t="str">
        <f>T("[e북]남창목가 10권")</f>
        <v>[e북]남창목가 10권</v>
      </c>
      <c r="D396" t="str">
        <f>T("10")</f>
        <v>10</v>
      </c>
      <c r="E396" t="str">
        <f t="shared" si="35"/>
        <v>최재봉</v>
      </c>
      <c r="H396" t="str">
        <f t="shared" si="34"/>
        <v>에필로그</v>
      </c>
      <c r="I396" t="str">
        <f t="shared" si="36"/>
        <v>[e북]남창목가</v>
      </c>
      <c r="J396">
        <v>2500</v>
      </c>
      <c r="K396">
        <v>2500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2500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2500</v>
      </c>
      <c r="AN396">
        <v>0</v>
      </c>
      <c r="AO396">
        <v>0</v>
      </c>
      <c r="AP396" s="2">
        <v>1750</v>
      </c>
      <c r="AT396" t="str">
        <f>T("9791164483082")</f>
        <v>9791164483082</v>
      </c>
      <c r="AV396" t="str">
        <f t="shared" si="37"/>
        <v>판타지 e북 &gt; 신무협</v>
      </c>
    </row>
    <row r="397" spans="1:49" x14ac:dyDescent="0.4">
      <c r="A397">
        <v>1525011063</v>
      </c>
      <c r="B397">
        <v>1525011047</v>
      </c>
      <c r="C397" t="str">
        <f>T("[e북]남창목가 17권")</f>
        <v>[e북]남창목가 17권</v>
      </c>
      <c r="D397" t="str">
        <f>T("17")</f>
        <v>17</v>
      </c>
      <c r="E397" t="str">
        <f t="shared" si="35"/>
        <v>최재봉</v>
      </c>
      <c r="H397" t="str">
        <f t="shared" si="34"/>
        <v>에필로그</v>
      </c>
      <c r="I397" t="str">
        <f t="shared" si="36"/>
        <v>[e북]남창목가</v>
      </c>
      <c r="J397">
        <v>2500</v>
      </c>
      <c r="K397">
        <v>2500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2500</v>
      </c>
      <c r="AH397">
        <v>1</v>
      </c>
      <c r="AI397">
        <v>0</v>
      </c>
      <c r="AJ397">
        <v>0</v>
      </c>
      <c r="AK397">
        <v>970</v>
      </c>
      <c r="AL397">
        <v>0</v>
      </c>
      <c r="AM397">
        <v>1530</v>
      </c>
      <c r="AN397">
        <v>0</v>
      </c>
      <c r="AO397">
        <v>0</v>
      </c>
      <c r="AP397" s="2">
        <v>1750</v>
      </c>
      <c r="AT397" t="str">
        <f>T("9791164483136")</f>
        <v>9791164483136</v>
      </c>
      <c r="AV397" t="str">
        <f t="shared" si="37"/>
        <v>판타지 e북 &gt; 신무협</v>
      </c>
    </row>
    <row r="398" spans="1:49" x14ac:dyDescent="0.4">
      <c r="A398">
        <v>1525011063</v>
      </c>
      <c r="B398">
        <v>1525011061</v>
      </c>
      <c r="C398" t="str">
        <f>T("[e북]남창목가 3권")</f>
        <v>[e북]남창목가 3권</v>
      </c>
      <c r="D398" t="str">
        <f>T("3")</f>
        <v>3</v>
      </c>
      <c r="E398" t="str">
        <f t="shared" si="35"/>
        <v>최재봉</v>
      </c>
      <c r="H398" t="str">
        <f t="shared" si="34"/>
        <v>에필로그</v>
      </c>
      <c r="I398" t="str">
        <f t="shared" si="36"/>
        <v>[e북]남창목가</v>
      </c>
      <c r="J398">
        <v>2500</v>
      </c>
      <c r="K398">
        <v>2500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2500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2500</v>
      </c>
      <c r="AN398">
        <v>0</v>
      </c>
      <c r="AO398">
        <v>0</v>
      </c>
      <c r="AP398" s="2">
        <v>1750</v>
      </c>
      <c r="AT398" t="str">
        <f>T("9791164482993")</f>
        <v>9791164482993</v>
      </c>
      <c r="AV398" t="str">
        <f t="shared" si="37"/>
        <v>판타지 e북 &gt; 신무협</v>
      </c>
    </row>
    <row r="399" spans="1:49" x14ac:dyDescent="0.4">
      <c r="A399">
        <v>1525011063</v>
      </c>
      <c r="B399">
        <v>1525011051</v>
      </c>
      <c r="C399" t="str">
        <f>T("[e북]남창목가 13권")</f>
        <v>[e북]남창목가 13권</v>
      </c>
      <c r="D399" t="str">
        <f>T("13")</f>
        <v>13</v>
      </c>
      <c r="E399" t="str">
        <f t="shared" si="35"/>
        <v>최재봉</v>
      </c>
      <c r="H399" t="str">
        <f t="shared" si="34"/>
        <v>에필로그</v>
      </c>
      <c r="I399" t="str">
        <f t="shared" si="36"/>
        <v>[e북]남창목가</v>
      </c>
      <c r="J399">
        <v>2500</v>
      </c>
      <c r="K399">
        <v>2500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2500</v>
      </c>
      <c r="AH399">
        <v>1</v>
      </c>
      <c r="AI399">
        <v>0</v>
      </c>
      <c r="AJ399">
        <v>0</v>
      </c>
      <c r="AK399">
        <v>970</v>
      </c>
      <c r="AL399">
        <v>0</v>
      </c>
      <c r="AM399">
        <v>1530</v>
      </c>
      <c r="AN399">
        <v>0</v>
      </c>
      <c r="AO399">
        <v>0</v>
      </c>
      <c r="AP399" s="2">
        <v>1750</v>
      </c>
      <c r="AT399" t="str">
        <f>T("9791164483112")</f>
        <v>9791164483112</v>
      </c>
      <c r="AV399" t="str">
        <f t="shared" si="37"/>
        <v>판타지 e북 &gt; 신무협</v>
      </c>
    </row>
    <row r="400" spans="1:49" x14ac:dyDescent="0.4">
      <c r="A400">
        <v>1525011063</v>
      </c>
      <c r="B400">
        <v>1525011044</v>
      </c>
      <c r="C400" t="str">
        <f>T("[e북]남창목가 20권")</f>
        <v>[e북]남창목가 20권</v>
      </c>
      <c r="D400" t="str">
        <f>T("20")</f>
        <v>20</v>
      </c>
      <c r="E400" t="str">
        <f t="shared" si="35"/>
        <v>최재봉</v>
      </c>
      <c r="H400" t="str">
        <f t="shared" si="34"/>
        <v>에필로그</v>
      </c>
      <c r="I400" t="str">
        <f t="shared" si="36"/>
        <v>[e북]남창목가</v>
      </c>
      <c r="J400">
        <v>2500</v>
      </c>
      <c r="K400">
        <v>2500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2500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2500</v>
      </c>
      <c r="AN400">
        <v>0</v>
      </c>
      <c r="AO400">
        <v>0</v>
      </c>
      <c r="AP400" s="2">
        <v>1750</v>
      </c>
      <c r="AT400" t="str">
        <f>T("9791164483167")</f>
        <v>9791164483167</v>
      </c>
      <c r="AV400" t="str">
        <f t="shared" si="37"/>
        <v>판타지 e북 &gt; 신무협</v>
      </c>
    </row>
    <row r="401" spans="1:49" x14ac:dyDescent="0.4">
      <c r="B401">
        <v>1525014000</v>
      </c>
      <c r="C401" t="str">
        <f>T("[e북]정략결혼")</f>
        <v>[e북]정략결혼</v>
      </c>
      <c r="E401" t="str">
        <f>T("수련")</f>
        <v>수련</v>
      </c>
      <c r="H401" t="str">
        <f>T("밀리오리지널")</f>
        <v>밀리오리지널</v>
      </c>
      <c r="J401">
        <v>2500</v>
      </c>
      <c r="K401">
        <v>2500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2500</v>
      </c>
      <c r="AH401">
        <v>1</v>
      </c>
      <c r="AI401">
        <v>0</v>
      </c>
      <c r="AJ401">
        <v>0</v>
      </c>
      <c r="AK401">
        <v>2500</v>
      </c>
      <c r="AL401">
        <v>0</v>
      </c>
      <c r="AM401">
        <v>0</v>
      </c>
      <c r="AN401">
        <v>0</v>
      </c>
      <c r="AO401">
        <v>0</v>
      </c>
      <c r="AP401" s="2">
        <v>1750</v>
      </c>
      <c r="AT401" t="str">
        <f>T("9791191562231")</f>
        <v>9791191562231</v>
      </c>
      <c r="AV401" t="str">
        <f>T("로판 e북 &gt; 서양풍 로판")</f>
        <v>로판 e북 &gt; 서양풍 로판</v>
      </c>
    </row>
    <row r="402" spans="1:49" x14ac:dyDescent="0.4">
      <c r="A402">
        <v>1525011063</v>
      </c>
      <c r="B402">
        <v>1525011055</v>
      </c>
      <c r="C402" t="str">
        <f>T("[e북]남창목가 9권")</f>
        <v>[e북]남창목가 9권</v>
      </c>
      <c r="D402" t="str">
        <f>T("9")</f>
        <v>9</v>
      </c>
      <c r="E402" t="str">
        <f>T("최재봉")</f>
        <v>최재봉</v>
      </c>
      <c r="H402" t="str">
        <f>T("에필로그")</f>
        <v>에필로그</v>
      </c>
      <c r="I402" t="str">
        <f>T("[e북]남창목가")</f>
        <v>[e북]남창목가</v>
      </c>
      <c r="J402">
        <v>2500</v>
      </c>
      <c r="K402">
        <v>2500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2500</v>
      </c>
      <c r="AH402">
        <v>1</v>
      </c>
      <c r="AI402">
        <v>0</v>
      </c>
      <c r="AJ402">
        <v>0</v>
      </c>
      <c r="AK402">
        <v>970</v>
      </c>
      <c r="AL402">
        <v>0</v>
      </c>
      <c r="AM402">
        <v>1530</v>
      </c>
      <c r="AN402">
        <v>0</v>
      </c>
      <c r="AO402">
        <v>0</v>
      </c>
      <c r="AP402" s="2">
        <v>1750</v>
      </c>
      <c r="AT402" t="str">
        <f>T("9791164483075")</f>
        <v>9791164483075</v>
      </c>
      <c r="AV402" t="str">
        <f>T("판타지 e북 &gt; 신무협")</f>
        <v>판타지 e북 &gt; 신무협</v>
      </c>
    </row>
    <row r="403" spans="1:49" x14ac:dyDescent="0.4">
      <c r="B403">
        <v>1525013359</v>
      </c>
      <c r="C403" t="str">
        <f>T("[e북]밤의 제물")</f>
        <v>[e북]밤의 제물</v>
      </c>
      <c r="E403" t="str">
        <f>T("두럭")</f>
        <v>두럭</v>
      </c>
      <c r="H403" t="str">
        <f>T("쉬라즈")</f>
        <v>쉬라즈</v>
      </c>
      <c r="J403">
        <v>2500</v>
      </c>
      <c r="K403">
        <v>2500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2500</v>
      </c>
      <c r="AH403">
        <v>1</v>
      </c>
      <c r="AI403">
        <v>0</v>
      </c>
      <c r="AJ403">
        <v>0</v>
      </c>
      <c r="AK403">
        <v>2500</v>
      </c>
      <c r="AL403">
        <v>0</v>
      </c>
      <c r="AM403">
        <v>0</v>
      </c>
      <c r="AN403">
        <v>0</v>
      </c>
      <c r="AO403">
        <v>0</v>
      </c>
      <c r="AP403" s="2">
        <v>1750</v>
      </c>
      <c r="AR403" t="str">
        <f>T("0000000000000")</f>
        <v>0000000000000</v>
      </c>
      <c r="AT403" t="str">
        <f>T("9791166483042")</f>
        <v>9791166483042</v>
      </c>
      <c r="AV403" t="str">
        <f>T("로판 e북 &gt; 서양풍 로판")</f>
        <v>로판 e북 &gt; 서양풍 로판</v>
      </c>
    </row>
    <row r="404" spans="1:49" x14ac:dyDescent="0.4">
      <c r="A404">
        <v>1525011063</v>
      </c>
      <c r="B404">
        <v>1525011048</v>
      </c>
      <c r="C404" t="str">
        <f>T("[e북]남창목가 16권")</f>
        <v>[e북]남창목가 16권</v>
      </c>
      <c r="D404" t="str">
        <f>T("16")</f>
        <v>16</v>
      </c>
      <c r="E404" t="str">
        <f t="shared" ref="E404:E411" si="38">T("최재봉")</f>
        <v>최재봉</v>
      </c>
      <c r="H404" t="str">
        <f t="shared" ref="H404:H411" si="39">T("에필로그")</f>
        <v>에필로그</v>
      </c>
      <c r="I404" t="str">
        <f t="shared" ref="I404:I411" si="40">T("[e북]남창목가")</f>
        <v>[e북]남창목가</v>
      </c>
      <c r="J404">
        <v>2500</v>
      </c>
      <c r="K404">
        <v>2500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2500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2500</v>
      </c>
      <c r="AN404">
        <v>0</v>
      </c>
      <c r="AO404">
        <v>0</v>
      </c>
      <c r="AP404" s="2">
        <v>1750</v>
      </c>
      <c r="AT404" t="str">
        <f>T("9791164483129")</f>
        <v>9791164483129</v>
      </c>
      <c r="AV404" t="str">
        <f t="shared" ref="AV404:AV411" si="41">T("판타지 e북 &gt; 신무협")</f>
        <v>판타지 e북 &gt; 신무협</v>
      </c>
    </row>
    <row r="405" spans="1:49" x14ac:dyDescent="0.4">
      <c r="A405">
        <v>1525011063</v>
      </c>
      <c r="B405">
        <v>1525011041</v>
      </c>
      <c r="C405" t="str">
        <f>T("[e북]남창목가 23권")</f>
        <v>[e북]남창목가 23권</v>
      </c>
      <c r="D405" t="str">
        <f>T("23")</f>
        <v>23</v>
      </c>
      <c r="E405" t="str">
        <f t="shared" si="38"/>
        <v>최재봉</v>
      </c>
      <c r="H405" t="str">
        <f t="shared" si="39"/>
        <v>에필로그</v>
      </c>
      <c r="I405" t="str">
        <f t="shared" si="40"/>
        <v>[e북]남창목가</v>
      </c>
      <c r="J405">
        <v>2500</v>
      </c>
      <c r="K405">
        <v>2500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2500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2500</v>
      </c>
      <c r="AN405">
        <v>0</v>
      </c>
      <c r="AO405">
        <v>0</v>
      </c>
      <c r="AP405" s="2">
        <v>1750</v>
      </c>
      <c r="AT405" t="str">
        <f>T("9791164483198")</f>
        <v>9791164483198</v>
      </c>
      <c r="AV405" t="str">
        <f t="shared" si="41"/>
        <v>판타지 e북 &gt; 신무협</v>
      </c>
    </row>
    <row r="406" spans="1:49" x14ac:dyDescent="0.4">
      <c r="A406">
        <v>1525011063</v>
      </c>
      <c r="B406">
        <v>1525011052</v>
      </c>
      <c r="C406" t="str">
        <f>T("[e북]남창목가 12권")</f>
        <v>[e북]남창목가 12권</v>
      </c>
      <c r="D406" t="str">
        <f>T("12")</f>
        <v>12</v>
      </c>
      <c r="E406" t="str">
        <f t="shared" si="38"/>
        <v>최재봉</v>
      </c>
      <c r="H406" t="str">
        <f t="shared" si="39"/>
        <v>에필로그</v>
      </c>
      <c r="I406" t="str">
        <f t="shared" si="40"/>
        <v>[e북]남창목가</v>
      </c>
      <c r="J406">
        <v>2500</v>
      </c>
      <c r="K406">
        <v>2500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2500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2500</v>
      </c>
      <c r="AN406">
        <v>0</v>
      </c>
      <c r="AO406">
        <v>0</v>
      </c>
      <c r="AP406" s="2">
        <v>1750</v>
      </c>
      <c r="AT406" t="str">
        <f>T("9791164483105")</f>
        <v>9791164483105</v>
      </c>
      <c r="AV406" t="str">
        <f t="shared" si="41"/>
        <v>판타지 e북 &gt; 신무협</v>
      </c>
    </row>
    <row r="407" spans="1:49" x14ac:dyDescent="0.4">
      <c r="A407">
        <v>1525011063</v>
      </c>
      <c r="B407">
        <v>1525011045</v>
      </c>
      <c r="C407" t="str">
        <f>T("[e북]남창목가 19권")</f>
        <v>[e북]남창목가 19권</v>
      </c>
      <c r="D407" t="str">
        <f>T("19")</f>
        <v>19</v>
      </c>
      <c r="E407" t="str">
        <f t="shared" si="38"/>
        <v>최재봉</v>
      </c>
      <c r="H407" t="str">
        <f t="shared" si="39"/>
        <v>에필로그</v>
      </c>
      <c r="I407" t="str">
        <f t="shared" si="40"/>
        <v>[e북]남창목가</v>
      </c>
      <c r="J407">
        <v>2500</v>
      </c>
      <c r="K407">
        <v>2500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2500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2500</v>
      </c>
      <c r="AN407">
        <v>0</v>
      </c>
      <c r="AO407">
        <v>0</v>
      </c>
      <c r="AP407" s="2">
        <v>1750</v>
      </c>
      <c r="AT407" t="str">
        <f>T("9791164483150")</f>
        <v>9791164483150</v>
      </c>
      <c r="AV407" t="str">
        <f t="shared" si="41"/>
        <v>판타지 e북 &gt; 신무협</v>
      </c>
    </row>
    <row r="408" spans="1:49" x14ac:dyDescent="0.4">
      <c r="A408">
        <v>1525011063</v>
      </c>
      <c r="B408">
        <v>1525010984</v>
      </c>
      <c r="C408" t="str">
        <f>T("[e북]남창목가 외전 2권 (완결)")</f>
        <v>[e북]남창목가 외전 2권 (완결)</v>
      </c>
      <c r="D408" t="str">
        <f>T("25")</f>
        <v>25</v>
      </c>
      <c r="E408" t="str">
        <f t="shared" si="38"/>
        <v>최재봉</v>
      </c>
      <c r="H408" t="str">
        <f t="shared" si="39"/>
        <v>에필로그</v>
      </c>
      <c r="I408" t="str">
        <f t="shared" si="40"/>
        <v>[e북]남창목가</v>
      </c>
      <c r="J408">
        <v>2500</v>
      </c>
      <c r="K408">
        <v>2500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2500</v>
      </c>
      <c r="AH408">
        <v>1</v>
      </c>
      <c r="AI408">
        <v>0</v>
      </c>
      <c r="AJ408">
        <v>0</v>
      </c>
      <c r="AK408">
        <v>970</v>
      </c>
      <c r="AL408">
        <v>0</v>
      </c>
      <c r="AM408">
        <v>1530</v>
      </c>
      <c r="AN408">
        <v>0</v>
      </c>
      <c r="AO408">
        <v>0</v>
      </c>
      <c r="AP408" s="2">
        <v>1750</v>
      </c>
      <c r="AT408" t="str">
        <f>T("9791164486144")</f>
        <v>9791164486144</v>
      </c>
      <c r="AV408" t="str">
        <f t="shared" si="41"/>
        <v>판타지 e북 &gt; 신무협</v>
      </c>
    </row>
    <row r="409" spans="1:49" x14ac:dyDescent="0.4">
      <c r="A409">
        <v>1525011063</v>
      </c>
      <c r="B409">
        <v>1525011059</v>
      </c>
      <c r="C409" t="str">
        <f>T("[e북]남창목가 5권")</f>
        <v>[e북]남창목가 5권</v>
      </c>
      <c r="D409" t="str">
        <f>T("5")</f>
        <v>5</v>
      </c>
      <c r="E409" t="str">
        <f t="shared" si="38"/>
        <v>최재봉</v>
      </c>
      <c r="H409" t="str">
        <f t="shared" si="39"/>
        <v>에필로그</v>
      </c>
      <c r="I409" t="str">
        <f t="shared" si="40"/>
        <v>[e북]남창목가</v>
      </c>
      <c r="J409">
        <v>2500</v>
      </c>
      <c r="K409">
        <v>2500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2500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2500</v>
      </c>
      <c r="AN409">
        <v>0</v>
      </c>
      <c r="AO409">
        <v>0</v>
      </c>
      <c r="AP409" s="2">
        <v>1750</v>
      </c>
      <c r="AT409" t="str">
        <f>T("9791164483020")</f>
        <v>9791164483020</v>
      </c>
      <c r="AV409" t="str">
        <f t="shared" si="41"/>
        <v>판타지 e북 &gt; 신무협</v>
      </c>
    </row>
    <row r="410" spans="1:49" x14ac:dyDescent="0.4">
      <c r="A410">
        <v>1525011063</v>
      </c>
      <c r="B410">
        <v>1525011049</v>
      </c>
      <c r="C410" t="str">
        <f>T("[e북]남창목가 15권")</f>
        <v>[e북]남창목가 15권</v>
      </c>
      <c r="D410" t="str">
        <f>T("15")</f>
        <v>15</v>
      </c>
      <c r="E410" t="str">
        <f t="shared" si="38"/>
        <v>최재봉</v>
      </c>
      <c r="H410" t="str">
        <f t="shared" si="39"/>
        <v>에필로그</v>
      </c>
      <c r="I410" t="str">
        <f t="shared" si="40"/>
        <v>[e북]남창목가</v>
      </c>
      <c r="J410">
        <v>2500</v>
      </c>
      <c r="K410">
        <v>2500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2500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2500</v>
      </c>
      <c r="AN410">
        <v>0</v>
      </c>
      <c r="AO410">
        <v>0</v>
      </c>
      <c r="AP410" s="2">
        <v>1750</v>
      </c>
      <c r="AT410" t="str">
        <f>T("9791164483044")</f>
        <v>9791164483044</v>
      </c>
      <c r="AV410" t="str">
        <f t="shared" si="41"/>
        <v>판타지 e북 &gt; 신무협</v>
      </c>
    </row>
    <row r="411" spans="1:49" x14ac:dyDescent="0.4">
      <c r="A411">
        <v>1525011063</v>
      </c>
      <c r="B411">
        <v>1525011042</v>
      </c>
      <c r="C411" t="str">
        <f>T("[e북]남창목가 22권")</f>
        <v>[e북]남창목가 22권</v>
      </c>
      <c r="D411" t="str">
        <f>T("22")</f>
        <v>22</v>
      </c>
      <c r="E411" t="str">
        <f t="shared" si="38"/>
        <v>최재봉</v>
      </c>
      <c r="H411" t="str">
        <f t="shared" si="39"/>
        <v>에필로그</v>
      </c>
      <c r="I411" t="str">
        <f t="shared" si="40"/>
        <v>[e북]남창목가</v>
      </c>
      <c r="J411">
        <v>2500</v>
      </c>
      <c r="K411">
        <v>2500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2500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2500</v>
      </c>
      <c r="AN411">
        <v>0</v>
      </c>
      <c r="AO411">
        <v>0</v>
      </c>
      <c r="AP411" s="2">
        <v>1750</v>
      </c>
      <c r="AT411" t="str">
        <f>T("9791164483181")</f>
        <v>9791164483181</v>
      </c>
      <c r="AV411" t="str">
        <f t="shared" si="41"/>
        <v>판타지 e북 &gt; 신무협</v>
      </c>
    </row>
    <row r="412" spans="1:49" x14ac:dyDescent="0.4">
      <c r="A412">
        <v>1525008065</v>
      </c>
      <c r="B412">
        <v>1525008066</v>
      </c>
      <c r="C412" t="str">
        <f>T("[e북]두근두근 복사실 2권 (완결)")</f>
        <v>[e북]두근두근 복사실 2권 (완결)</v>
      </c>
      <c r="D412" t="str">
        <f>T("2")</f>
        <v>2</v>
      </c>
      <c r="E412" t="str">
        <f>T("파씨")</f>
        <v>파씨</v>
      </c>
      <c r="H412" t="str">
        <f>T("비엘스토리")</f>
        <v>비엘스토리</v>
      </c>
      <c r="I412" t="str">
        <f>T("[e북]두근두근 복사실")</f>
        <v>[e북]두근두근 복사실</v>
      </c>
      <c r="J412">
        <v>2300</v>
      </c>
      <c r="K412">
        <v>2300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2300</v>
      </c>
      <c r="AH412">
        <v>1</v>
      </c>
      <c r="AI412">
        <v>0</v>
      </c>
      <c r="AJ412">
        <v>0</v>
      </c>
      <c r="AK412">
        <v>2300</v>
      </c>
      <c r="AL412">
        <v>0</v>
      </c>
      <c r="AM412">
        <v>0</v>
      </c>
      <c r="AN412">
        <v>0</v>
      </c>
      <c r="AO412">
        <v>0</v>
      </c>
      <c r="AP412" s="2">
        <v>1610</v>
      </c>
      <c r="AR412" t="str">
        <f>T("0000000000000")</f>
        <v>0000000000000</v>
      </c>
      <c r="AT412" t="str">
        <f>T("9791164895014")</f>
        <v>9791164895014</v>
      </c>
      <c r="AV412" t="str">
        <f>T("BL 소설 e북 &gt; 현대물")</f>
        <v>BL 소설 e북 &gt; 현대물</v>
      </c>
    </row>
    <row r="413" spans="1:49" x14ac:dyDescent="0.4">
      <c r="A413">
        <v>1525008065</v>
      </c>
      <c r="B413">
        <v>1525008065</v>
      </c>
      <c r="C413" t="str">
        <f>T("[e북]두근두근 복사실 1권")</f>
        <v>[e북]두근두근 복사실 1권</v>
      </c>
      <c r="D413" t="str">
        <f>T("1")</f>
        <v>1</v>
      </c>
      <c r="E413" t="str">
        <f>T("파씨")</f>
        <v>파씨</v>
      </c>
      <c r="H413" t="str">
        <f>T("비엘스토리")</f>
        <v>비엘스토리</v>
      </c>
      <c r="I413" t="str">
        <f>T("[e북]두근두근 복사실")</f>
        <v>[e북]두근두근 복사실</v>
      </c>
      <c r="J413">
        <v>2300</v>
      </c>
      <c r="K413">
        <v>2300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2300</v>
      </c>
      <c r="AH413">
        <v>1</v>
      </c>
      <c r="AI413">
        <v>0</v>
      </c>
      <c r="AJ413">
        <v>0</v>
      </c>
      <c r="AK413">
        <v>2300</v>
      </c>
      <c r="AL413">
        <v>0</v>
      </c>
      <c r="AM413">
        <v>0</v>
      </c>
      <c r="AN413">
        <v>0</v>
      </c>
      <c r="AO413">
        <v>0</v>
      </c>
      <c r="AP413" s="2">
        <v>1610</v>
      </c>
      <c r="AR413" t="str">
        <f>T("0000000000000")</f>
        <v>0000000000000</v>
      </c>
      <c r="AT413" t="str">
        <f>T("9791164895007")</f>
        <v>9791164895007</v>
      </c>
      <c r="AV413" t="str">
        <f>T("BL 소설 e북 &gt; 현대물")</f>
        <v>BL 소설 e북 &gt; 현대물</v>
      </c>
    </row>
    <row r="414" spans="1:49" x14ac:dyDescent="0.4">
      <c r="A414">
        <v>1525010944</v>
      </c>
      <c r="B414">
        <v>1525010937</v>
      </c>
      <c r="C414" t="str">
        <f>T("[e북]법보다 주먹 8권")</f>
        <v>[e북]법보다 주먹 8권</v>
      </c>
      <c r="D414" t="str">
        <f>T("8")</f>
        <v>8</v>
      </c>
      <c r="E414" t="str">
        <f>T("백범(白帆)")</f>
        <v>백범(白帆)</v>
      </c>
      <c r="H414" t="str">
        <f>T("에필로그")</f>
        <v>에필로그</v>
      </c>
      <c r="I414" t="str">
        <f>T("[e북]법보다 주먹")</f>
        <v>[e북]법보다 주먹</v>
      </c>
      <c r="J414">
        <v>2000</v>
      </c>
      <c r="K414">
        <v>2000</v>
      </c>
      <c r="L414">
        <v>1</v>
      </c>
      <c r="M414">
        <v>0</v>
      </c>
      <c r="N414">
        <v>2700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4700</v>
      </c>
      <c r="AH414">
        <v>4</v>
      </c>
      <c r="AI414">
        <v>0</v>
      </c>
      <c r="AJ414">
        <v>0</v>
      </c>
      <c r="AK414">
        <v>2740</v>
      </c>
      <c r="AL414">
        <v>0</v>
      </c>
      <c r="AM414">
        <v>1960</v>
      </c>
      <c r="AN414">
        <v>0</v>
      </c>
      <c r="AO414">
        <v>0</v>
      </c>
      <c r="AP414" s="2">
        <v>3290</v>
      </c>
      <c r="AT414" t="str">
        <f>T("9791164480142")</f>
        <v>9791164480142</v>
      </c>
      <c r="AV414" t="str">
        <f>T("판타지 e북 &gt; 현대 판타지")</f>
        <v>판타지 e북 &gt; 현대 판타지</v>
      </c>
    </row>
    <row r="415" spans="1:49" x14ac:dyDescent="0.4">
      <c r="B415">
        <v>1525013364</v>
      </c>
      <c r="C415" t="str">
        <f>T("[e북]비공개 열애")</f>
        <v>[e북]비공개 열애</v>
      </c>
      <c r="E415" t="str">
        <f>T("박지영")</f>
        <v>박지영</v>
      </c>
      <c r="H415" t="str">
        <f>T("밀리오리지널")</f>
        <v>밀리오리지널</v>
      </c>
      <c r="J415">
        <v>2000</v>
      </c>
      <c r="K415">
        <v>2000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2000</v>
      </c>
      <c r="AH415">
        <v>1</v>
      </c>
      <c r="AI415">
        <v>0</v>
      </c>
      <c r="AJ415">
        <v>0</v>
      </c>
      <c r="AK415">
        <v>2000</v>
      </c>
      <c r="AL415">
        <v>0</v>
      </c>
      <c r="AM415">
        <v>0</v>
      </c>
      <c r="AN415">
        <v>0</v>
      </c>
      <c r="AO415">
        <v>0</v>
      </c>
      <c r="AP415" s="2">
        <v>1400</v>
      </c>
      <c r="AR415" t="str">
        <f>T("0000000000000")</f>
        <v>0000000000000</v>
      </c>
      <c r="AT415" t="str">
        <f>T("9791196945299")</f>
        <v>9791196945299</v>
      </c>
      <c r="AV415" t="str">
        <f>T("로맨스 e북 &gt; 19+")</f>
        <v>로맨스 e북 &gt; 19+</v>
      </c>
      <c r="AW415" t="str">
        <f>T("로맨스 e북 &gt; 현대물")</f>
        <v>로맨스 e북 &gt; 현대물</v>
      </c>
    </row>
    <row r="416" spans="1:49" x14ac:dyDescent="0.4">
      <c r="A416">
        <v>1525010944</v>
      </c>
      <c r="B416">
        <v>1525010941</v>
      </c>
      <c r="C416" t="str">
        <f>T("[e북]법보다 주먹 4권")</f>
        <v>[e북]법보다 주먹 4권</v>
      </c>
      <c r="D416" t="str">
        <f>T("4")</f>
        <v>4</v>
      </c>
      <c r="E416" t="str">
        <f t="shared" ref="E416:E421" si="42">T("백범(白帆)")</f>
        <v>백범(白帆)</v>
      </c>
      <c r="H416" t="str">
        <f t="shared" ref="H416:H421" si="43">T("에필로그")</f>
        <v>에필로그</v>
      </c>
      <c r="I416" t="str">
        <f t="shared" ref="I416:I421" si="44">T("[e북]법보다 주먹")</f>
        <v>[e북]법보다 주먹</v>
      </c>
      <c r="J416">
        <v>2000</v>
      </c>
      <c r="K416">
        <v>2000</v>
      </c>
      <c r="L416">
        <v>1</v>
      </c>
      <c r="M416">
        <v>0</v>
      </c>
      <c r="N416">
        <v>3600</v>
      </c>
      <c r="O416">
        <v>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5600</v>
      </c>
      <c r="AH416">
        <v>5</v>
      </c>
      <c r="AI416">
        <v>0</v>
      </c>
      <c r="AJ416">
        <v>0</v>
      </c>
      <c r="AK416">
        <v>3640</v>
      </c>
      <c r="AL416">
        <v>0</v>
      </c>
      <c r="AM416">
        <v>1960</v>
      </c>
      <c r="AN416">
        <v>0</v>
      </c>
      <c r="AO416">
        <v>0</v>
      </c>
      <c r="AP416" s="2">
        <v>3920</v>
      </c>
      <c r="AT416" t="str">
        <f t="shared" ref="AT416:AT421" si="45">T("9791164480142")</f>
        <v>9791164480142</v>
      </c>
      <c r="AV416" t="str">
        <f t="shared" ref="AV416:AV421" si="46">T("판타지 e북 &gt; 현대 판타지")</f>
        <v>판타지 e북 &gt; 현대 판타지</v>
      </c>
    </row>
    <row r="417" spans="1:49" x14ac:dyDescent="0.4">
      <c r="A417">
        <v>1525010944</v>
      </c>
      <c r="B417">
        <v>1525010934</v>
      </c>
      <c r="C417" t="str">
        <f>T("[e북]법보다 주먹 11권")</f>
        <v>[e북]법보다 주먹 11권</v>
      </c>
      <c r="D417" t="str">
        <f>T("11")</f>
        <v>11</v>
      </c>
      <c r="E417" t="str">
        <f t="shared" si="42"/>
        <v>백범(白帆)</v>
      </c>
      <c r="H417" t="str">
        <f t="shared" si="43"/>
        <v>에필로그</v>
      </c>
      <c r="I417" t="str">
        <f t="shared" si="44"/>
        <v>[e북]법보다 주먹</v>
      </c>
      <c r="J417">
        <v>2000</v>
      </c>
      <c r="K417">
        <v>2000</v>
      </c>
      <c r="L417">
        <v>1</v>
      </c>
      <c r="M417">
        <v>0</v>
      </c>
      <c r="N417">
        <v>3600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5600</v>
      </c>
      <c r="AH417">
        <v>5</v>
      </c>
      <c r="AI417">
        <v>0</v>
      </c>
      <c r="AJ417">
        <v>0</v>
      </c>
      <c r="AK417">
        <v>3640</v>
      </c>
      <c r="AL417">
        <v>0</v>
      </c>
      <c r="AM417">
        <v>1960</v>
      </c>
      <c r="AN417">
        <v>0</v>
      </c>
      <c r="AO417">
        <v>0</v>
      </c>
      <c r="AP417" s="2">
        <v>3920</v>
      </c>
      <c r="AT417" t="str">
        <f t="shared" si="45"/>
        <v>9791164480142</v>
      </c>
      <c r="AV417" t="str">
        <f t="shared" si="46"/>
        <v>판타지 e북 &gt; 현대 판타지</v>
      </c>
    </row>
    <row r="418" spans="1:49" x14ac:dyDescent="0.4">
      <c r="A418">
        <v>1525010944</v>
      </c>
      <c r="B418">
        <v>1525010938</v>
      </c>
      <c r="C418" t="str">
        <f>T("[e북]법보다 주먹 7권")</f>
        <v>[e북]법보다 주먹 7권</v>
      </c>
      <c r="D418" t="str">
        <f>T("7")</f>
        <v>7</v>
      </c>
      <c r="E418" t="str">
        <f t="shared" si="42"/>
        <v>백범(白帆)</v>
      </c>
      <c r="H418" t="str">
        <f t="shared" si="43"/>
        <v>에필로그</v>
      </c>
      <c r="I418" t="str">
        <f t="shared" si="44"/>
        <v>[e북]법보다 주먹</v>
      </c>
      <c r="J418">
        <v>2000</v>
      </c>
      <c r="K418">
        <v>2000</v>
      </c>
      <c r="L418">
        <v>1</v>
      </c>
      <c r="M418">
        <v>0</v>
      </c>
      <c r="N418">
        <v>3600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5600</v>
      </c>
      <c r="AH418">
        <v>5</v>
      </c>
      <c r="AI418">
        <v>0</v>
      </c>
      <c r="AJ418">
        <v>0</v>
      </c>
      <c r="AK418">
        <v>3640</v>
      </c>
      <c r="AL418">
        <v>0</v>
      </c>
      <c r="AM418">
        <v>1960</v>
      </c>
      <c r="AN418">
        <v>0</v>
      </c>
      <c r="AO418">
        <v>0</v>
      </c>
      <c r="AP418" s="2">
        <v>3920</v>
      </c>
      <c r="AT418" t="str">
        <f t="shared" si="45"/>
        <v>9791164480142</v>
      </c>
      <c r="AV418" t="str">
        <f t="shared" si="46"/>
        <v>판타지 e북 &gt; 현대 판타지</v>
      </c>
    </row>
    <row r="419" spans="1:49" x14ac:dyDescent="0.4">
      <c r="A419">
        <v>1525010944</v>
      </c>
      <c r="B419">
        <v>1525010931</v>
      </c>
      <c r="C419" t="str">
        <f>T("[e북]법보다 주먹 14권")</f>
        <v>[e북]법보다 주먹 14권</v>
      </c>
      <c r="D419" t="str">
        <f>T("14")</f>
        <v>14</v>
      </c>
      <c r="E419" t="str">
        <f t="shared" si="42"/>
        <v>백범(白帆)</v>
      </c>
      <c r="H419" t="str">
        <f t="shared" si="43"/>
        <v>에필로그</v>
      </c>
      <c r="I419" t="str">
        <f t="shared" si="44"/>
        <v>[e북]법보다 주먹</v>
      </c>
      <c r="J419">
        <v>2000</v>
      </c>
      <c r="K419">
        <v>2000</v>
      </c>
      <c r="L419">
        <v>1</v>
      </c>
      <c r="M419">
        <v>0</v>
      </c>
      <c r="N419">
        <v>3600</v>
      </c>
      <c r="O419">
        <v>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5600</v>
      </c>
      <c r="AH419">
        <v>5</v>
      </c>
      <c r="AI419">
        <v>0</v>
      </c>
      <c r="AJ419">
        <v>0</v>
      </c>
      <c r="AK419">
        <v>3640</v>
      </c>
      <c r="AL419">
        <v>0</v>
      </c>
      <c r="AM419">
        <v>1960</v>
      </c>
      <c r="AN419">
        <v>0</v>
      </c>
      <c r="AO419">
        <v>0</v>
      </c>
      <c r="AP419" s="2">
        <v>3920</v>
      </c>
      <c r="AT419" t="str">
        <f t="shared" si="45"/>
        <v>9791164480142</v>
      </c>
      <c r="AV419" t="str">
        <f t="shared" si="46"/>
        <v>판타지 e북 &gt; 현대 판타지</v>
      </c>
    </row>
    <row r="420" spans="1:49" x14ac:dyDescent="0.4">
      <c r="A420">
        <v>1525010944</v>
      </c>
      <c r="B420">
        <v>1525010942</v>
      </c>
      <c r="C420" t="str">
        <f>T("[e북]법보다 주먹 3권")</f>
        <v>[e북]법보다 주먹 3권</v>
      </c>
      <c r="D420" t="str">
        <f>T("3")</f>
        <v>3</v>
      </c>
      <c r="E420" t="str">
        <f t="shared" si="42"/>
        <v>백범(白帆)</v>
      </c>
      <c r="H420" t="str">
        <f t="shared" si="43"/>
        <v>에필로그</v>
      </c>
      <c r="I420" t="str">
        <f t="shared" si="44"/>
        <v>[e북]법보다 주먹</v>
      </c>
      <c r="J420">
        <v>2000</v>
      </c>
      <c r="K420">
        <v>2000</v>
      </c>
      <c r="L420">
        <v>1</v>
      </c>
      <c r="M420">
        <v>0</v>
      </c>
      <c r="N420">
        <v>3600</v>
      </c>
      <c r="O420">
        <v>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5600</v>
      </c>
      <c r="AH420">
        <v>5</v>
      </c>
      <c r="AI420">
        <v>0</v>
      </c>
      <c r="AJ420">
        <v>0</v>
      </c>
      <c r="AK420">
        <v>3640</v>
      </c>
      <c r="AL420">
        <v>0</v>
      </c>
      <c r="AM420">
        <v>1960</v>
      </c>
      <c r="AN420">
        <v>0</v>
      </c>
      <c r="AO420">
        <v>0</v>
      </c>
      <c r="AP420" s="2">
        <v>3920</v>
      </c>
      <c r="AT420" t="str">
        <f t="shared" si="45"/>
        <v>9791164480142</v>
      </c>
      <c r="AV420" t="str">
        <f t="shared" si="46"/>
        <v>판타지 e북 &gt; 현대 판타지</v>
      </c>
    </row>
    <row r="421" spans="1:49" x14ac:dyDescent="0.4">
      <c r="A421">
        <v>1525010944</v>
      </c>
      <c r="B421">
        <v>1525010935</v>
      </c>
      <c r="C421" t="str">
        <f>T("[e북]법보다 주먹 10권")</f>
        <v>[e북]법보다 주먹 10권</v>
      </c>
      <c r="D421" t="str">
        <f>T("10")</f>
        <v>10</v>
      </c>
      <c r="E421" t="str">
        <f t="shared" si="42"/>
        <v>백범(白帆)</v>
      </c>
      <c r="H421" t="str">
        <f t="shared" si="43"/>
        <v>에필로그</v>
      </c>
      <c r="I421" t="str">
        <f t="shared" si="44"/>
        <v>[e북]법보다 주먹</v>
      </c>
      <c r="J421">
        <v>2000</v>
      </c>
      <c r="K421">
        <v>2000</v>
      </c>
      <c r="L421">
        <v>1</v>
      </c>
      <c r="M421">
        <v>0</v>
      </c>
      <c r="N421">
        <v>3600</v>
      </c>
      <c r="O421">
        <v>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5600</v>
      </c>
      <c r="AH421">
        <v>5</v>
      </c>
      <c r="AI421">
        <v>0</v>
      </c>
      <c r="AJ421">
        <v>0</v>
      </c>
      <c r="AK421">
        <v>3640</v>
      </c>
      <c r="AL421">
        <v>0</v>
      </c>
      <c r="AM421">
        <v>1960</v>
      </c>
      <c r="AN421">
        <v>0</v>
      </c>
      <c r="AO421">
        <v>0</v>
      </c>
      <c r="AP421" s="2">
        <v>3920</v>
      </c>
      <c r="AT421" t="str">
        <f t="shared" si="45"/>
        <v>9791164480142</v>
      </c>
      <c r="AV421" t="str">
        <f t="shared" si="46"/>
        <v>판타지 e북 &gt; 현대 판타지</v>
      </c>
    </row>
    <row r="422" spans="1:49" x14ac:dyDescent="0.4">
      <c r="A422">
        <v>1525008048</v>
      </c>
      <c r="B422">
        <v>1525008047</v>
      </c>
      <c r="C422" t="str">
        <f>T("[e북]달보드레 (외전)")</f>
        <v>[e북]달보드레 (외전)</v>
      </c>
      <c r="D422" t="str">
        <f>T("3")</f>
        <v>3</v>
      </c>
      <c r="E422" t="str">
        <f>T("시아")</f>
        <v>시아</v>
      </c>
      <c r="H422" t="str">
        <f>T("비엘스토리")</f>
        <v>비엘스토리</v>
      </c>
      <c r="I422" t="str">
        <f>T("[e북]달보드레")</f>
        <v>[e북]달보드레</v>
      </c>
      <c r="J422">
        <v>1000</v>
      </c>
      <c r="K422">
        <v>2000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2000</v>
      </c>
      <c r="AH422">
        <v>2</v>
      </c>
      <c r="AI422">
        <v>0</v>
      </c>
      <c r="AJ422">
        <v>0</v>
      </c>
      <c r="AK422">
        <v>2000</v>
      </c>
      <c r="AL422">
        <v>0</v>
      </c>
      <c r="AM422">
        <v>0</v>
      </c>
      <c r="AN422">
        <v>0</v>
      </c>
      <c r="AO422">
        <v>0</v>
      </c>
      <c r="AP422" s="2">
        <v>1400</v>
      </c>
      <c r="AR422" t="str">
        <f>T("0000000000000")</f>
        <v>0000000000000</v>
      </c>
      <c r="AT422" t="str">
        <f>T("9791164894857")</f>
        <v>9791164894857</v>
      </c>
      <c r="AV422" t="str">
        <f>T("BL 소설 e북 &gt; 현대물")</f>
        <v>BL 소설 e북 &gt; 현대물</v>
      </c>
    </row>
    <row r="423" spans="1:49" x14ac:dyDescent="0.4">
      <c r="A423">
        <v>1525010944</v>
      </c>
      <c r="B423">
        <v>1525010939</v>
      </c>
      <c r="C423" t="str">
        <f>T("[e북]법보다 주먹 6권")</f>
        <v>[e북]법보다 주먹 6권</v>
      </c>
      <c r="D423" t="str">
        <f>T("6")</f>
        <v>6</v>
      </c>
      <c r="E423" t="str">
        <f>T("백범(白帆)")</f>
        <v>백범(白帆)</v>
      </c>
      <c r="H423" t="str">
        <f>T("에필로그")</f>
        <v>에필로그</v>
      </c>
      <c r="I423" t="str">
        <f>T("[e북]법보다 주먹")</f>
        <v>[e북]법보다 주먹</v>
      </c>
      <c r="J423">
        <v>2000</v>
      </c>
      <c r="K423">
        <v>2000</v>
      </c>
      <c r="L423">
        <v>1</v>
      </c>
      <c r="M423">
        <v>0</v>
      </c>
      <c r="N423">
        <v>2700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4700</v>
      </c>
      <c r="AH423">
        <v>4</v>
      </c>
      <c r="AI423">
        <v>0</v>
      </c>
      <c r="AJ423">
        <v>0</v>
      </c>
      <c r="AK423">
        <v>2740</v>
      </c>
      <c r="AL423">
        <v>0</v>
      </c>
      <c r="AM423">
        <v>1960</v>
      </c>
      <c r="AN423">
        <v>0</v>
      </c>
      <c r="AO423">
        <v>0</v>
      </c>
      <c r="AP423" s="2">
        <v>3290</v>
      </c>
      <c r="AT423" t="str">
        <f>T("9791164480142")</f>
        <v>9791164480142</v>
      </c>
      <c r="AV423" t="str">
        <f>T("판타지 e북 &gt; 현대 판타지")</f>
        <v>판타지 e북 &gt; 현대 판타지</v>
      </c>
    </row>
    <row r="424" spans="1:49" x14ac:dyDescent="0.4">
      <c r="A424">
        <v>1525010944</v>
      </c>
      <c r="B424">
        <v>1525010932</v>
      </c>
      <c r="C424" t="str">
        <f>T("[e북]법보다 주먹 13권")</f>
        <v>[e북]법보다 주먹 13권</v>
      </c>
      <c r="D424" t="str">
        <f>T("13")</f>
        <v>13</v>
      </c>
      <c r="E424" t="str">
        <f>T("백범(白帆)")</f>
        <v>백범(白帆)</v>
      </c>
      <c r="H424" t="str">
        <f>T("에필로그")</f>
        <v>에필로그</v>
      </c>
      <c r="I424" t="str">
        <f>T("[e북]법보다 주먹")</f>
        <v>[e북]법보다 주먹</v>
      </c>
      <c r="J424">
        <v>2000</v>
      </c>
      <c r="K424">
        <v>2000</v>
      </c>
      <c r="L424">
        <v>1</v>
      </c>
      <c r="M424">
        <v>0</v>
      </c>
      <c r="N424">
        <v>3600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5600</v>
      </c>
      <c r="AH424">
        <v>5</v>
      </c>
      <c r="AI424">
        <v>0</v>
      </c>
      <c r="AJ424">
        <v>0</v>
      </c>
      <c r="AK424">
        <v>3640</v>
      </c>
      <c r="AL424">
        <v>0</v>
      </c>
      <c r="AM424">
        <v>1960</v>
      </c>
      <c r="AN424">
        <v>0</v>
      </c>
      <c r="AO424">
        <v>0</v>
      </c>
      <c r="AP424" s="2">
        <v>3920</v>
      </c>
      <c r="AT424" t="str">
        <f>T("9791164480142")</f>
        <v>9791164480142</v>
      </c>
      <c r="AV424" t="str">
        <f>T("판타지 e북 &gt; 현대 판타지")</f>
        <v>판타지 e북 &gt; 현대 판타지</v>
      </c>
    </row>
    <row r="425" spans="1:49" x14ac:dyDescent="0.4">
      <c r="B425">
        <v>1525014012</v>
      </c>
      <c r="C425" t="str">
        <f>T("[e북]깊은 밤 너의 고백이")</f>
        <v>[e북]깊은 밤 너의 고백이</v>
      </c>
      <c r="E425" t="str">
        <f>T("이새인")</f>
        <v>이새인</v>
      </c>
      <c r="H425" t="str">
        <f>T("밀리오리지널")</f>
        <v>밀리오리지널</v>
      </c>
      <c r="J425">
        <v>2000</v>
      </c>
      <c r="K425">
        <v>2000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2000</v>
      </c>
      <c r="AH425">
        <v>1</v>
      </c>
      <c r="AI425">
        <v>0</v>
      </c>
      <c r="AJ425">
        <v>0</v>
      </c>
      <c r="AK425">
        <v>2000</v>
      </c>
      <c r="AL425">
        <v>0</v>
      </c>
      <c r="AM425">
        <v>0</v>
      </c>
      <c r="AN425">
        <v>0</v>
      </c>
      <c r="AO425">
        <v>0</v>
      </c>
      <c r="AP425" s="2">
        <v>1400</v>
      </c>
      <c r="AR425" t="str">
        <f>T("0000000000000")</f>
        <v>0000000000000</v>
      </c>
      <c r="AT425" t="str">
        <f>T("9791191562378")</f>
        <v>9791191562378</v>
      </c>
      <c r="AV425" t="str">
        <f>T("로맨스 e북 &gt; 현대물")</f>
        <v>로맨스 e북 &gt; 현대물</v>
      </c>
      <c r="AW425" t="str">
        <f>T("로맨스 e북 &gt; 19+")</f>
        <v>로맨스 e북 &gt; 19+</v>
      </c>
    </row>
    <row r="426" spans="1:49" x14ac:dyDescent="0.4">
      <c r="A426">
        <v>1525010944</v>
      </c>
      <c r="B426">
        <v>1525010943</v>
      </c>
      <c r="C426" t="str">
        <f>T("[e북]법보다 주먹 2권")</f>
        <v>[e북]법보다 주먹 2권</v>
      </c>
      <c r="D426" t="str">
        <f>T("2")</f>
        <v>2</v>
      </c>
      <c r="E426" t="str">
        <f>T("백범(白帆)")</f>
        <v>백범(白帆)</v>
      </c>
      <c r="H426" t="str">
        <f>T("에필로그")</f>
        <v>에필로그</v>
      </c>
      <c r="I426" t="str">
        <f>T("[e북]법보다 주먹")</f>
        <v>[e북]법보다 주먹</v>
      </c>
      <c r="J426">
        <v>2000</v>
      </c>
      <c r="K426">
        <v>2000</v>
      </c>
      <c r="L426">
        <v>1</v>
      </c>
      <c r="M426">
        <v>0</v>
      </c>
      <c r="N426">
        <v>4500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6500</v>
      </c>
      <c r="AH426">
        <v>6</v>
      </c>
      <c r="AI426">
        <v>0</v>
      </c>
      <c r="AJ426">
        <v>0</v>
      </c>
      <c r="AK426">
        <v>4540</v>
      </c>
      <c r="AL426">
        <v>0</v>
      </c>
      <c r="AM426">
        <v>1960</v>
      </c>
      <c r="AN426">
        <v>0</v>
      </c>
      <c r="AO426">
        <v>0</v>
      </c>
      <c r="AP426" s="2">
        <v>4550</v>
      </c>
      <c r="AT426" t="str">
        <f>T("9791164480142")</f>
        <v>9791164480142</v>
      </c>
      <c r="AV426" t="str">
        <f>T("판타지 e북 &gt; 현대 판타지")</f>
        <v>판타지 e북 &gt; 현대 판타지</v>
      </c>
    </row>
    <row r="427" spans="1:49" x14ac:dyDescent="0.4">
      <c r="A427">
        <v>1525010944</v>
      </c>
      <c r="B427">
        <v>1525010936</v>
      </c>
      <c r="C427" t="str">
        <f>T("[e북]법보다 주먹 9권")</f>
        <v>[e북]법보다 주먹 9권</v>
      </c>
      <c r="D427" t="str">
        <f>T("9")</f>
        <v>9</v>
      </c>
      <c r="E427" t="str">
        <f>T("백범(白帆)")</f>
        <v>백범(白帆)</v>
      </c>
      <c r="H427" t="str">
        <f>T("에필로그")</f>
        <v>에필로그</v>
      </c>
      <c r="I427" t="str">
        <f>T("[e북]법보다 주먹")</f>
        <v>[e북]법보다 주먹</v>
      </c>
      <c r="J427">
        <v>2000</v>
      </c>
      <c r="K427">
        <v>2000</v>
      </c>
      <c r="L427">
        <v>1</v>
      </c>
      <c r="M427">
        <v>0</v>
      </c>
      <c r="N427">
        <v>2700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4700</v>
      </c>
      <c r="AH427">
        <v>4</v>
      </c>
      <c r="AI427">
        <v>0</v>
      </c>
      <c r="AJ427">
        <v>0</v>
      </c>
      <c r="AK427">
        <v>2740</v>
      </c>
      <c r="AL427">
        <v>0</v>
      </c>
      <c r="AM427">
        <v>1960</v>
      </c>
      <c r="AN427">
        <v>0</v>
      </c>
      <c r="AO427">
        <v>0</v>
      </c>
      <c r="AP427" s="2">
        <v>3290</v>
      </c>
      <c r="AT427" t="str">
        <f>T("9791164480142")</f>
        <v>9791164480142</v>
      </c>
      <c r="AV427" t="str">
        <f>T("판타지 e북 &gt; 현대 판타지")</f>
        <v>판타지 e북 &gt; 현대 판타지</v>
      </c>
    </row>
    <row r="428" spans="1:49" x14ac:dyDescent="0.4">
      <c r="B428">
        <v>1525013646</v>
      </c>
      <c r="C428" t="str">
        <f>T("[e북]베로나에서 그를 만나다")</f>
        <v>[e북]베로나에서 그를 만나다</v>
      </c>
      <c r="E428" t="str">
        <f>T("원성혜")</f>
        <v>원성혜</v>
      </c>
      <c r="H428" t="str">
        <f>T("밀리오리지널")</f>
        <v>밀리오리지널</v>
      </c>
      <c r="J428">
        <v>2000</v>
      </c>
      <c r="K428">
        <v>2000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2000</v>
      </c>
      <c r="AH428">
        <v>1</v>
      </c>
      <c r="AI428">
        <v>0</v>
      </c>
      <c r="AJ428">
        <v>0</v>
      </c>
      <c r="AK428">
        <v>2000</v>
      </c>
      <c r="AL428">
        <v>0</v>
      </c>
      <c r="AM428">
        <v>0</v>
      </c>
      <c r="AN428">
        <v>0</v>
      </c>
      <c r="AO428">
        <v>0</v>
      </c>
      <c r="AP428" s="2">
        <v>1400</v>
      </c>
      <c r="AT428" t="str">
        <f>T("9791191562194")</f>
        <v>9791191562194</v>
      </c>
      <c r="AV428" t="str">
        <f>T("로맨스 e북 &gt; 현대물")</f>
        <v>로맨스 e북 &gt; 현대물</v>
      </c>
    </row>
    <row r="429" spans="1:49" x14ac:dyDescent="0.4">
      <c r="A429">
        <v>1525010944</v>
      </c>
      <c r="B429">
        <v>1525010940</v>
      </c>
      <c r="C429" t="str">
        <f>T("[e북]법보다 주먹 5권")</f>
        <v>[e북]법보다 주먹 5권</v>
      </c>
      <c r="D429" t="str">
        <f>T("5")</f>
        <v>5</v>
      </c>
      <c r="E429" t="str">
        <f>T("백범(白帆)")</f>
        <v>백범(白帆)</v>
      </c>
      <c r="H429" t="str">
        <f>T("에필로그")</f>
        <v>에필로그</v>
      </c>
      <c r="I429" t="str">
        <f>T("[e북]법보다 주먹")</f>
        <v>[e북]법보다 주먹</v>
      </c>
      <c r="J429">
        <v>2000</v>
      </c>
      <c r="K429">
        <v>2000</v>
      </c>
      <c r="L429">
        <v>1</v>
      </c>
      <c r="M429">
        <v>0</v>
      </c>
      <c r="N429">
        <v>3600</v>
      </c>
      <c r="O429">
        <v>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5600</v>
      </c>
      <c r="AH429">
        <v>5</v>
      </c>
      <c r="AI429">
        <v>0</v>
      </c>
      <c r="AJ429">
        <v>0</v>
      </c>
      <c r="AK429">
        <v>3640</v>
      </c>
      <c r="AL429">
        <v>0</v>
      </c>
      <c r="AM429">
        <v>1960</v>
      </c>
      <c r="AN429">
        <v>0</v>
      </c>
      <c r="AO429">
        <v>0</v>
      </c>
      <c r="AP429" s="2">
        <v>3920</v>
      </c>
      <c r="AT429" t="str">
        <f>T("9791164480142")</f>
        <v>9791164480142</v>
      </c>
      <c r="AV429" t="str">
        <f>T("판타지 e북 &gt; 현대 판타지")</f>
        <v>판타지 e북 &gt; 현대 판타지</v>
      </c>
    </row>
    <row r="430" spans="1:49" x14ac:dyDescent="0.4">
      <c r="A430">
        <v>1525010944</v>
      </c>
      <c r="B430">
        <v>1525010933</v>
      </c>
      <c r="C430" t="str">
        <f>T("[e북]법보다 주먹 12권")</f>
        <v>[e북]법보다 주먹 12권</v>
      </c>
      <c r="D430" t="str">
        <f>T("12")</f>
        <v>12</v>
      </c>
      <c r="E430" t="str">
        <f>T("백범(白帆)")</f>
        <v>백범(白帆)</v>
      </c>
      <c r="H430" t="str">
        <f>T("에필로그")</f>
        <v>에필로그</v>
      </c>
      <c r="I430" t="str">
        <f>T("[e북]법보다 주먹")</f>
        <v>[e북]법보다 주먹</v>
      </c>
      <c r="J430">
        <v>2000</v>
      </c>
      <c r="K430">
        <v>2000</v>
      </c>
      <c r="L430">
        <v>1</v>
      </c>
      <c r="M430">
        <v>0</v>
      </c>
      <c r="N430">
        <v>3600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5600</v>
      </c>
      <c r="AH430">
        <v>5</v>
      </c>
      <c r="AI430">
        <v>0</v>
      </c>
      <c r="AJ430">
        <v>0</v>
      </c>
      <c r="AK430">
        <v>3640</v>
      </c>
      <c r="AL430">
        <v>0</v>
      </c>
      <c r="AM430">
        <v>1960</v>
      </c>
      <c r="AN430">
        <v>0</v>
      </c>
      <c r="AO430">
        <v>0</v>
      </c>
      <c r="AP430" s="2">
        <v>3920</v>
      </c>
      <c r="AT430" t="str">
        <f>T("9791164480142")</f>
        <v>9791164480142</v>
      </c>
      <c r="AV430" t="str">
        <f>T("판타지 e북 &gt; 현대 판타지")</f>
        <v>판타지 e북 &gt; 현대 판타지</v>
      </c>
    </row>
    <row r="431" spans="1:49" x14ac:dyDescent="0.4">
      <c r="A431">
        <v>1525008051</v>
      </c>
      <c r="B431">
        <v>1525008050</v>
      </c>
      <c r="C431" t="str">
        <f>T("[e북]달을 쫓는 하운드 (외전)")</f>
        <v>[e북]달을 쫓는 하운드 (외전)</v>
      </c>
      <c r="D431" t="str">
        <f>T("4")</f>
        <v>4</v>
      </c>
      <c r="E431" t="str">
        <f>T("채플린")</f>
        <v>채플린</v>
      </c>
      <c r="H431" t="str">
        <f>T("블러쉬")</f>
        <v>블러쉬</v>
      </c>
      <c r="I431" t="str">
        <f>T("[e북]달을 쫓는 하운드")</f>
        <v>[e북]달을 쫓는 하운드</v>
      </c>
      <c r="J431">
        <v>800</v>
      </c>
      <c r="K431">
        <v>1600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1600</v>
      </c>
      <c r="AH431">
        <v>2</v>
      </c>
      <c r="AI431">
        <v>0</v>
      </c>
      <c r="AJ431">
        <v>0</v>
      </c>
      <c r="AK431">
        <v>1600</v>
      </c>
      <c r="AL431">
        <v>0</v>
      </c>
      <c r="AM431">
        <v>0</v>
      </c>
      <c r="AN431">
        <v>0</v>
      </c>
      <c r="AO431">
        <v>0</v>
      </c>
      <c r="AP431" s="2">
        <v>1120</v>
      </c>
      <c r="AR431" t="str">
        <f>T("0000000000000")</f>
        <v>0000000000000</v>
      </c>
      <c r="AT431" t="str">
        <f>T("9791164899142")</f>
        <v>9791164899142</v>
      </c>
      <c r="AV431" t="str">
        <f>T("BL 소설 e북 &gt; 현대물")</f>
        <v>BL 소설 e북 &gt; 현대물</v>
      </c>
    </row>
    <row r="432" spans="1:49" x14ac:dyDescent="0.4">
      <c r="A432">
        <v>1525008129</v>
      </c>
      <c r="B432">
        <v>1525008128</v>
      </c>
      <c r="C432" t="str">
        <f>T("[e북]엠프티 (Empty) (외전)")</f>
        <v>[e북]엠프티 (Empty) (외전)</v>
      </c>
      <c r="D432" t="str">
        <f>T("3")</f>
        <v>3</v>
      </c>
      <c r="E432" t="str">
        <f>T("라돌체")</f>
        <v>라돌체</v>
      </c>
      <c r="H432" t="str">
        <f>T("블러쉬")</f>
        <v>블러쉬</v>
      </c>
      <c r="I432" t="str">
        <f>T("[e북]엠프티 (Empty)")</f>
        <v>[e북]엠프티 (Empty)</v>
      </c>
      <c r="J432">
        <v>300</v>
      </c>
      <c r="K432">
        <v>1500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1500</v>
      </c>
      <c r="AH432">
        <v>5</v>
      </c>
      <c r="AI432">
        <v>0</v>
      </c>
      <c r="AJ432">
        <v>0</v>
      </c>
      <c r="AK432">
        <v>1500</v>
      </c>
      <c r="AL432">
        <v>0</v>
      </c>
      <c r="AM432">
        <v>0</v>
      </c>
      <c r="AN432">
        <v>0</v>
      </c>
      <c r="AO432">
        <v>0</v>
      </c>
      <c r="AP432" s="2">
        <v>1050</v>
      </c>
      <c r="AR432" t="str">
        <f>T("0000000000000")</f>
        <v>0000000000000</v>
      </c>
      <c r="AT432" t="str">
        <f>T("9791190132428")</f>
        <v>9791190132428</v>
      </c>
      <c r="AV432" t="str">
        <f>T("BL 소설 e북 &gt; 현대물")</f>
        <v>BL 소설 e북 &gt; 현대물</v>
      </c>
    </row>
    <row r="433" spans="1:49" x14ac:dyDescent="0.4">
      <c r="A433">
        <v>1525007806</v>
      </c>
      <c r="B433">
        <v>1525007807</v>
      </c>
      <c r="C433" t="str">
        <f>T("[e북]상무님이 원하시는 대로 (외전)")</f>
        <v>[e북]상무님이 원하시는 대로 (외전)</v>
      </c>
      <c r="D433" t="str">
        <f>T("2")</f>
        <v>2</v>
      </c>
      <c r="E433" t="str">
        <f>T("벨")</f>
        <v>벨</v>
      </c>
      <c r="H433" t="str">
        <f>T("쉬라즈")</f>
        <v>쉬라즈</v>
      </c>
      <c r="I433" t="str">
        <f>T("[e북]상무님이 원하시는 대로")</f>
        <v>[e북]상무님이 원하시는 대로</v>
      </c>
      <c r="J433">
        <v>500</v>
      </c>
      <c r="K433">
        <v>1500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1500</v>
      </c>
      <c r="AH433">
        <v>3</v>
      </c>
      <c r="AI433">
        <v>0</v>
      </c>
      <c r="AJ433">
        <v>0</v>
      </c>
      <c r="AK433">
        <v>1500</v>
      </c>
      <c r="AL433">
        <v>0</v>
      </c>
      <c r="AM433">
        <v>0</v>
      </c>
      <c r="AN433">
        <v>0</v>
      </c>
      <c r="AO433">
        <v>0</v>
      </c>
      <c r="AP433" s="2">
        <v>1050</v>
      </c>
      <c r="AR433" t="str">
        <f>T("0000000000000")</f>
        <v>0000000000000</v>
      </c>
      <c r="AT433" t="str">
        <f>T("9791166480058")</f>
        <v>9791166480058</v>
      </c>
      <c r="AV433" t="str">
        <f>T("로맨스 e북 &gt; 현대물")</f>
        <v>로맨스 e북 &gt; 현대물</v>
      </c>
      <c r="AW433" t="str">
        <f>T("로맨스 e북 &gt; 19+")</f>
        <v>로맨스 e북 &gt; 19+</v>
      </c>
    </row>
    <row r="434" spans="1:49" x14ac:dyDescent="0.4">
      <c r="A434">
        <v>1525013996</v>
      </c>
      <c r="B434">
        <v>1525013998</v>
      </c>
      <c r="C434" t="str">
        <f>T("[e북]집착의 맛 (외전)")</f>
        <v>[e북]집착의 맛 (외전)</v>
      </c>
      <c r="D434" t="str">
        <f>T("3")</f>
        <v>3</v>
      </c>
      <c r="E434" t="str">
        <f>T("sJessi")</f>
        <v>sJessi</v>
      </c>
      <c r="H434" t="str">
        <f>T("쉬라즈")</f>
        <v>쉬라즈</v>
      </c>
      <c r="I434" t="str">
        <f>T("[e북]집착의 맛")</f>
        <v>[e북]집착의 맛</v>
      </c>
      <c r="J434">
        <v>300</v>
      </c>
      <c r="K434">
        <v>1200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1200</v>
      </c>
      <c r="AH434">
        <v>4</v>
      </c>
      <c r="AI434">
        <v>0</v>
      </c>
      <c r="AJ434">
        <v>0</v>
      </c>
      <c r="AK434">
        <v>900</v>
      </c>
      <c r="AL434">
        <v>0</v>
      </c>
      <c r="AM434">
        <v>360</v>
      </c>
      <c r="AN434">
        <v>-108</v>
      </c>
      <c r="AO434">
        <v>0</v>
      </c>
      <c r="AP434" s="2">
        <v>806.4</v>
      </c>
      <c r="AT434" t="str">
        <f>T("9791166483257")</f>
        <v>9791166483257</v>
      </c>
      <c r="AV434" t="str">
        <f>T("로맨스 e북 &gt; 현대물")</f>
        <v>로맨스 e북 &gt; 현대물</v>
      </c>
    </row>
    <row r="435" spans="1:49" x14ac:dyDescent="0.4">
      <c r="A435">
        <v>1525008021</v>
      </c>
      <c r="B435">
        <v>1525008020</v>
      </c>
      <c r="C435" t="str">
        <f>T("[e북]나는 내 연인의 것 (외전)")</f>
        <v>[e북]나는 내 연인의 것 (외전)</v>
      </c>
      <c r="D435" t="str">
        <f>T("3")</f>
        <v>3</v>
      </c>
      <c r="E435" t="str">
        <f>T("SISSI")</f>
        <v>SISSI</v>
      </c>
      <c r="H435" t="str">
        <f>T("블러쉬")</f>
        <v>블러쉬</v>
      </c>
      <c r="I435" t="str">
        <f>T("[e북]나는 내 연인의 것")</f>
        <v>[e북]나는 내 연인의 것</v>
      </c>
      <c r="J435">
        <v>600</v>
      </c>
      <c r="K435">
        <v>1200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1200</v>
      </c>
      <c r="AH435">
        <v>2</v>
      </c>
      <c r="AI435">
        <v>0</v>
      </c>
      <c r="AJ435">
        <v>0</v>
      </c>
      <c r="AK435">
        <v>1200</v>
      </c>
      <c r="AL435">
        <v>0</v>
      </c>
      <c r="AM435">
        <v>0</v>
      </c>
      <c r="AN435">
        <v>0</v>
      </c>
      <c r="AO435">
        <v>0</v>
      </c>
      <c r="AP435" s="2">
        <v>840</v>
      </c>
      <c r="AR435" t="str">
        <f>T("0000000000000")</f>
        <v>0000000000000</v>
      </c>
      <c r="AT435" t="str">
        <f>T("9791164899432")</f>
        <v>9791164899432</v>
      </c>
      <c r="AV435" t="str">
        <f>T("BL 소설 e북 &gt; 현대물")</f>
        <v>BL 소설 e북 &gt; 현대물</v>
      </c>
    </row>
    <row r="436" spans="1:49" x14ac:dyDescent="0.4">
      <c r="A436">
        <v>1525007834</v>
      </c>
      <c r="B436">
        <v>1525007835</v>
      </c>
      <c r="C436" t="str">
        <f>T("[e북]이리 와 봐 (외전)")</f>
        <v>[e북]이리 와 봐 (외전)</v>
      </c>
      <c r="D436" t="str">
        <f>T("2")</f>
        <v>2</v>
      </c>
      <c r="E436" t="str">
        <f>T("최강주")</f>
        <v>최강주</v>
      </c>
      <c r="H436" t="str">
        <f>T("쉬라즈")</f>
        <v>쉬라즈</v>
      </c>
      <c r="I436" t="str">
        <f>T("[e북]이리 와 봐")</f>
        <v>[e북]이리 와 봐</v>
      </c>
      <c r="J436">
        <v>600</v>
      </c>
      <c r="K436">
        <v>1200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1200</v>
      </c>
      <c r="AH436">
        <v>2</v>
      </c>
      <c r="AI436">
        <v>0</v>
      </c>
      <c r="AJ436">
        <v>0</v>
      </c>
      <c r="AK436">
        <v>1200</v>
      </c>
      <c r="AL436">
        <v>0</v>
      </c>
      <c r="AM436">
        <v>0</v>
      </c>
      <c r="AN436">
        <v>0</v>
      </c>
      <c r="AO436">
        <v>0</v>
      </c>
      <c r="AP436" s="2">
        <v>840</v>
      </c>
      <c r="AR436" t="str">
        <f>T("0000000000000")</f>
        <v>0000000000000</v>
      </c>
      <c r="AT436" t="str">
        <f>T("9791190132527")</f>
        <v>9791190132527</v>
      </c>
      <c r="AV436" t="str">
        <f>T("로맨스 e북 &gt; 현대물")</f>
        <v>로맨스 e북 &gt; 현대물</v>
      </c>
      <c r="AW436" t="str">
        <f>T("로맨스 e북 &gt; 19+")</f>
        <v>로맨스 e북 &gt; 19+</v>
      </c>
    </row>
    <row r="437" spans="1:49" x14ac:dyDescent="0.4">
      <c r="A437">
        <v>1525008197</v>
      </c>
      <c r="B437">
        <v>1525008196</v>
      </c>
      <c r="C437" t="str">
        <f>T("[e북]페이버릿 나이트메어(Favorite Nightmare) (외전)")</f>
        <v>[e북]페이버릿 나이트메어(Favorite Nightmare) (외전)</v>
      </c>
      <c r="D437" t="str">
        <f>T("4")</f>
        <v>4</v>
      </c>
      <c r="E437" t="str">
        <f>T("하지")</f>
        <v>하지</v>
      </c>
      <c r="H437" t="str">
        <f>T("블러쉬")</f>
        <v>블러쉬</v>
      </c>
      <c r="I437" t="str">
        <f>T("[e북]페이버릿 나이트메어(Favorite Nightmare)")</f>
        <v>[e북]페이버릿 나이트메어(Favorite Nightmare)</v>
      </c>
      <c r="J437">
        <v>1000</v>
      </c>
      <c r="K437">
        <v>1000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1000</v>
      </c>
      <c r="AH437">
        <v>1</v>
      </c>
      <c r="AI437">
        <v>0</v>
      </c>
      <c r="AJ437">
        <v>0</v>
      </c>
      <c r="AK437">
        <v>1000</v>
      </c>
      <c r="AL437">
        <v>0</v>
      </c>
      <c r="AM437">
        <v>0</v>
      </c>
      <c r="AN437">
        <v>0</v>
      </c>
      <c r="AO437">
        <v>0</v>
      </c>
      <c r="AP437" s="2">
        <v>700</v>
      </c>
      <c r="AR437" t="str">
        <f>T("0000000000000")</f>
        <v>0000000000000</v>
      </c>
      <c r="AT437" t="str">
        <f>T("9791166480997")</f>
        <v>9791166480997</v>
      </c>
      <c r="AV437" t="str">
        <f>T("BL 소설 e북 &gt; 현대물")</f>
        <v>BL 소설 e북 &gt; 현대물</v>
      </c>
    </row>
    <row r="438" spans="1:49" x14ac:dyDescent="0.4">
      <c r="A438">
        <v>1525008077</v>
      </c>
      <c r="B438">
        <v>1525008078</v>
      </c>
      <c r="C438" t="str">
        <f>T("[e북]마지막 춤은, 악인과 함께 (외전)")</f>
        <v>[e북]마지막 춤은, 악인과 함께 (외전)</v>
      </c>
      <c r="D438" t="str">
        <f>T("2")</f>
        <v>2</v>
      </c>
      <c r="E438" t="str">
        <f>T("SISSI")</f>
        <v>SISSI</v>
      </c>
      <c r="H438" t="str">
        <f>T("블러쉬")</f>
        <v>블러쉬</v>
      </c>
      <c r="I438" t="str">
        <f>T("[e북]마지막 춤은, 악인과 함께")</f>
        <v>[e북]마지막 춤은, 악인과 함께</v>
      </c>
      <c r="J438">
        <v>500</v>
      </c>
      <c r="K438">
        <v>1000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1000</v>
      </c>
      <c r="AH438">
        <v>2</v>
      </c>
      <c r="AI438">
        <v>0</v>
      </c>
      <c r="AJ438">
        <v>0</v>
      </c>
      <c r="AK438">
        <v>1000</v>
      </c>
      <c r="AL438">
        <v>0</v>
      </c>
      <c r="AM438">
        <v>0</v>
      </c>
      <c r="AN438">
        <v>0</v>
      </c>
      <c r="AO438">
        <v>0</v>
      </c>
      <c r="AP438" s="2">
        <v>700</v>
      </c>
      <c r="AR438" t="str">
        <f>T("0000000000000")</f>
        <v>0000000000000</v>
      </c>
      <c r="AT438" t="str">
        <f>T("9791166480003")</f>
        <v>9791166480003</v>
      </c>
      <c r="AV438" t="str">
        <f>T("BL 소설 e북 &gt; 현대물")</f>
        <v>BL 소설 e북 &gt; 현대물</v>
      </c>
    </row>
    <row r="439" spans="1:49" x14ac:dyDescent="0.4">
      <c r="A439">
        <v>1525004030</v>
      </c>
      <c r="B439">
        <v>1525004133</v>
      </c>
      <c r="C439" t="str">
        <f>T("회귀의 전설 104화")</f>
        <v>회귀의 전설 104화</v>
      </c>
      <c r="D439" t="str">
        <f>T("104")</f>
        <v>104</v>
      </c>
      <c r="E439" t="str">
        <f>T("김광수")</f>
        <v>김광수</v>
      </c>
      <c r="H439" t="str">
        <f>T("스토리위즈")</f>
        <v>스토리위즈</v>
      </c>
      <c r="I439" t="str">
        <f>T("회귀의 전설")</f>
        <v>회귀의 전설</v>
      </c>
      <c r="J439">
        <v>100</v>
      </c>
      <c r="K439">
        <v>800</v>
      </c>
      <c r="L439">
        <v>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800</v>
      </c>
      <c r="AH439">
        <v>8</v>
      </c>
      <c r="AI439">
        <v>0</v>
      </c>
      <c r="AJ439">
        <v>0</v>
      </c>
      <c r="AK439">
        <v>700</v>
      </c>
      <c r="AL439">
        <v>0</v>
      </c>
      <c r="AM439">
        <v>100</v>
      </c>
      <c r="AN439">
        <v>0</v>
      </c>
      <c r="AO439">
        <v>0</v>
      </c>
      <c r="AP439" s="2">
        <v>560</v>
      </c>
      <c r="AT439" t="str">
        <f>T("9788997946006")</f>
        <v>9788997946006</v>
      </c>
      <c r="AV439" t="str">
        <f>T("판타지 웹소설 &gt; 현대 판타지")</f>
        <v>판타지 웹소설 &gt; 현대 판타지</v>
      </c>
    </row>
    <row r="440" spans="1:49" x14ac:dyDescent="0.4">
      <c r="A440">
        <v>1525008063</v>
      </c>
      <c r="B440">
        <v>1525008062</v>
      </c>
      <c r="C440" t="str">
        <f>T("[e북]돌아갈 수 없는 (외전)")</f>
        <v>[e북]돌아갈 수 없는 (외전)</v>
      </c>
      <c r="D440" t="str">
        <f>T("3")</f>
        <v>3</v>
      </c>
      <c r="E440" t="str">
        <f>T("키도")</f>
        <v>키도</v>
      </c>
      <c r="H440" t="str">
        <f>T("블러쉬")</f>
        <v>블러쉬</v>
      </c>
      <c r="I440" t="str">
        <f>T("[e북]돌아갈 수 없는")</f>
        <v>[e북]돌아갈 수 없는</v>
      </c>
      <c r="J440">
        <v>400</v>
      </c>
      <c r="K440">
        <v>800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800</v>
      </c>
      <c r="AH440">
        <v>2</v>
      </c>
      <c r="AI440">
        <v>0</v>
      </c>
      <c r="AJ440">
        <v>0</v>
      </c>
      <c r="AK440">
        <v>800</v>
      </c>
      <c r="AL440">
        <v>0</v>
      </c>
      <c r="AM440">
        <v>0</v>
      </c>
      <c r="AN440">
        <v>0</v>
      </c>
      <c r="AO440">
        <v>0</v>
      </c>
      <c r="AP440" s="2">
        <v>560</v>
      </c>
      <c r="AR440" t="str">
        <f>T("0000000000000")</f>
        <v>0000000000000</v>
      </c>
      <c r="AT440" t="str">
        <f>T("9791164898473")</f>
        <v>9791164898473</v>
      </c>
      <c r="AV440" t="str">
        <f>T("BL 소설 e북 &gt; 현대물")</f>
        <v>BL 소설 e북 &gt; 현대물</v>
      </c>
    </row>
    <row r="441" spans="1:49" x14ac:dyDescent="0.4">
      <c r="A441">
        <v>1525004030</v>
      </c>
      <c r="B441">
        <v>1525004134</v>
      </c>
      <c r="C441" t="str">
        <f>T("회귀의 전설 105화")</f>
        <v>회귀의 전설 105화</v>
      </c>
      <c r="D441" t="str">
        <f>T("105")</f>
        <v>105</v>
      </c>
      <c r="E441" t="str">
        <f>T("김광수")</f>
        <v>김광수</v>
      </c>
      <c r="H441" t="str">
        <f>T("스토리위즈")</f>
        <v>스토리위즈</v>
      </c>
      <c r="I441" t="str">
        <f>T("회귀의 전설")</f>
        <v>회귀의 전설</v>
      </c>
      <c r="J441">
        <v>100</v>
      </c>
      <c r="K441">
        <v>800</v>
      </c>
      <c r="L441">
        <v>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800</v>
      </c>
      <c r="AH441">
        <v>8</v>
      </c>
      <c r="AI441">
        <v>0</v>
      </c>
      <c r="AJ441">
        <v>0</v>
      </c>
      <c r="AK441">
        <v>700</v>
      </c>
      <c r="AL441">
        <v>0</v>
      </c>
      <c r="AM441">
        <v>100</v>
      </c>
      <c r="AN441">
        <v>0</v>
      </c>
      <c r="AO441">
        <v>0</v>
      </c>
      <c r="AP441" s="2">
        <v>560</v>
      </c>
      <c r="AT441" t="str">
        <f>T("9788997946006")</f>
        <v>9788997946006</v>
      </c>
      <c r="AV441" t="str">
        <f>T("판타지 웹소설 &gt; 현대 판타지")</f>
        <v>판타지 웹소설 &gt; 현대 판타지</v>
      </c>
    </row>
    <row r="442" spans="1:49" x14ac:dyDescent="0.4">
      <c r="A442">
        <v>1525007857</v>
      </c>
      <c r="B442">
        <v>1525007856</v>
      </c>
      <c r="C442" t="str">
        <f>T("[e북]황궁애사 (외전)")</f>
        <v>[e북]황궁애사 (외전)</v>
      </c>
      <c r="D442" t="str">
        <f>T("3")</f>
        <v>3</v>
      </c>
      <c r="E442" t="str">
        <f>T("연유")</f>
        <v>연유</v>
      </c>
      <c r="H442" t="str">
        <f>T("쉬라즈")</f>
        <v>쉬라즈</v>
      </c>
      <c r="I442" t="str">
        <f>T("[e북]황궁애사")</f>
        <v>[e북]황궁애사</v>
      </c>
      <c r="J442">
        <v>400</v>
      </c>
      <c r="K442">
        <v>800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800</v>
      </c>
      <c r="AH442">
        <v>2</v>
      </c>
      <c r="AI442">
        <v>0</v>
      </c>
      <c r="AJ442">
        <v>0</v>
      </c>
      <c r="AK442">
        <v>800</v>
      </c>
      <c r="AL442">
        <v>0</v>
      </c>
      <c r="AM442">
        <v>0</v>
      </c>
      <c r="AN442">
        <v>0</v>
      </c>
      <c r="AO442">
        <v>0</v>
      </c>
      <c r="AP442" s="2">
        <v>560</v>
      </c>
      <c r="AR442" t="str">
        <f>T("0000000000000")</f>
        <v>0000000000000</v>
      </c>
      <c r="AT442" t="str">
        <f>T("9791164897650")</f>
        <v>9791164897650</v>
      </c>
      <c r="AV442" t="str">
        <f>T("로맨스 e북 &gt; 역사/시대물")</f>
        <v>로맨스 e북 &gt; 역사/시대물</v>
      </c>
    </row>
    <row r="443" spans="1:49" x14ac:dyDescent="0.4">
      <c r="A443">
        <v>1525004030</v>
      </c>
      <c r="B443">
        <v>1525004132</v>
      </c>
      <c r="C443" t="str">
        <f>T("회귀의 전설 103화")</f>
        <v>회귀의 전설 103화</v>
      </c>
      <c r="D443" t="str">
        <f>T("103")</f>
        <v>103</v>
      </c>
      <c r="E443" t="str">
        <f t="shared" ref="E443:E456" si="47">T("김광수")</f>
        <v>김광수</v>
      </c>
      <c r="H443" t="str">
        <f t="shared" ref="H443:H456" si="48">T("스토리위즈")</f>
        <v>스토리위즈</v>
      </c>
      <c r="I443" t="str">
        <f t="shared" ref="I443:I456" si="49">T("회귀의 전설")</f>
        <v>회귀의 전설</v>
      </c>
      <c r="J443">
        <v>100</v>
      </c>
      <c r="K443">
        <v>800</v>
      </c>
      <c r="L443">
        <v>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800</v>
      </c>
      <c r="AH443">
        <v>8</v>
      </c>
      <c r="AI443">
        <v>0</v>
      </c>
      <c r="AJ443">
        <v>0</v>
      </c>
      <c r="AK443">
        <v>700</v>
      </c>
      <c r="AL443">
        <v>0</v>
      </c>
      <c r="AM443">
        <v>100</v>
      </c>
      <c r="AN443">
        <v>0</v>
      </c>
      <c r="AO443">
        <v>0</v>
      </c>
      <c r="AP443" s="2">
        <v>560</v>
      </c>
      <c r="AT443" t="str">
        <f t="shared" ref="AT443:AT456" si="50">T("9788997946006")</f>
        <v>9788997946006</v>
      </c>
      <c r="AV443" t="str">
        <f t="shared" ref="AV443:AV456" si="51">T("판타지 웹소설 &gt; 현대 판타지")</f>
        <v>판타지 웹소설 &gt; 현대 판타지</v>
      </c>
    </row>
    <row r="444" spans="1:49" x14ac:dyDescent="0.4">
      <c r="A444">
        <v>1525004030</v>
      </c>
      <c r="B444">
        <v>1525004129</v>
      </c>
      <c r="C444" t="str">
        <f>T("회귀의 전설 100화")</f>
        <v>회귀의 전설 100화</v>
      </c>
      <c r="D444" t="str">
        <f>T("100")</f>
        <v>100</v>
      </c>
      <c r="E444" t="str">
        <f t="shared" si="47"/>
        <v>김광수</v>
      </c>
      <c r="H444" t="str">
        <f t="shared" si="48"/>
        <v>스토리위즈</v>
      </c>
      <c r="I444" t="str">
        <f t="shared" si="49"/>
        <v>회귀의 전설</v>
      </c>
      <c r="J444">
        <v>100</v>
      </c>
      <c r="K444">
        <v>700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700</v>
      </c>
      <c r="AH444">
        <v>7</v>
      </c>
      <c r="AI444">
        <v>0</v>
      </c>
      <c r="AJ444">
        <v>0</v>
      </c>
      <c r="AK444">
        <v>700</v>
      </c>
      <c r="AL444">
        <v>0</v>
      </c>
      <c r="AM444">
        <v>0</v>
      </c>
      <c r="AN444">
        <v>0</v>
      </c>
      <c r="AO444">
        <v>0</v>
      </c>
      <c r="AP444" s="2">
        <v>490</v>
      </c>
      <c r="AT444" t="str">
        <f t="shared" si="50"/>
        <v>9788997946006</v>
      </c>
      <c r="AV444" t="str">
        <f t="shared" si="51"/>
        <v>판타지 웹소설 &gt; 현대 판타지</v>
      </c>
    </row>
    <row r="445" spans="1:49" x14ac:dyDescent="0.4">
      <c r="A445">
        <v>1525004030</v>
      </c>
      <c r="B445">
        <v>1525004130</v>
      </c>
      <c r="C445" t="str">
        <f>T("회귀의 전설 101화")</f>
        <v>회귀의 전설 101화</v>
      </c>
      <c r="D445" t="str">
        <f>T("101")</f>
        <v>101</v>
      </c>
      <c r="E445" t="str">
        <f t="shared" si="47"/>
        <v>김광수</v>
      </c>
      <c r="H445" t="str">
        <f t="shared" si="48"/>
        <v>스토리위즈</v>
      </c>
      <c r="I445" t="str">
        <f t="shared" si="49"/>
        <v>회귀의 전설</v>
      </c>
      <c r="J445">
        <v>100</v>
      </c>
      <c r="K445">
        <v>700</v>
      </c>
      <c r="L445">
        <v>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700</v>
      </c>
      <c r="AH445">
        <v>7</v>
      </c>
      <c r="AI445">
        <v>0</v>
      </c>
      <c r="AJ445">
        <v>0</v>
      </c>
      <c r="AK445">
        <v>700</v>
      </c>
      <c r="AL445">
        <v>0</v>
      </c>
      <c r="AM445">
        <v>0</v>
      </c>
      <c r="AN445">
        <v>0</v>
      </c>
      <c r="AO445">
        <v>0</v>
      </c>
      <c r="AP445" s="2">
        <v>490</v>
      </c>
      <c r="AT445" t="str">
        <f t="shared" si="50"/>
        <v>9788997946006</v>
      </c>
      <c r="AV445" t="str">
        <f t="shared" si="51"/>
        <v>판타지 웹소설 &gt; 현대 판타지</v>
      </c>
    </row>
    <row r="446" spans="1:49" x14ac:dyDescent="0.4">
      <c r="A446">
        <v>1525004030</v>
      </c>
      <c r="B446">
        <v>1525004131</v>
      </c>
      <c r="C446" t="str">
        <f>T("회귀의 전설 102화")</f>
        <v>회귀의 전설 102화</v>
      </c>
      <c r="D446" t="str">
        <f>T("102")</f>
        <v>102</v>
      </c>
      <c r="E446" t="str">
        <f t="shared" si="47"/>
        <v>김광수</v>
      </c>
      <c r="H446" t="str">
        <f t="shared" si="48"/>
        <v>스토리위즈</v>
      </c>
      <c r="I446" t="str">
        <f t="shared" si="49"/>
        <v>회귀의 전설</v>
      </c>
      <c r="J446">
        <v>100</v>
      </c>
      <c r="K446">
        <v>700</v>
      </c>
      <c r="L446">
        <v>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700</v>
      </c>
      <c r="AH446">
        <v>7</v>
      </c>
      <c r="AI446">
        <v>0</v>
      </c>
      <c r="AJ446">
        <v>0</v>
      </c>
      <c r="AK446">
        <v>700</v>
      </c>
      <c r="AL446">
        <v>0</v>
      </c>
      <c r="AM446">
        <v>0</v>
      </c>
      <c r="AN446">
        <v>0</v>
      </c>
      <c r="AO446">
        <v>0</v>
      </c>
      <c r="AP446" s="2">
        <v>490</v>
      </c>
      <c r="AT446" t="str">
        <f t="shared" si="50"/>
        <v>9788997946006</v>
      </c>
      <c r="AV446" t="str">
        <f t="shared" si="51"/>
        <v>판타지 웹소설 &gt; 현대 판타지</v>
      </c>
    </row>
    <row r="447" spans="1:49" x14ac:dyDescent="0.4">
      <c r="A447">
        <v>1525004030</v>
      </c>
      <c r="B447">
        <v>1525004147</v>
      </c>
      <c r="C447" t="str">
        <f>T("회귀의 전설 118화")</f>
        <v>회귀의 전설 118화</v>
      </c>
      <c r="D447" t="str">
        <f>T("118")</f>
        <v>118</v>
      </c>
      <c r="E447" t="str">
        <f t="shared" si="47"/>
        <v>김광수</v>
      </c>
      <c r="H447" t="str">
        <f t="shared" si="48"/>
        <v>스토리위즈</v>
      </c>
      <c r="I447" t="str">
        <f t="shared" si="49"/>
        <v>회귀의 전설</v>
      </c>
      <c r="J447">
        <v>100</v>
      </c>
      <c r="K447">
        <v>600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600</v>
      </c>
      <c r="AH447">
        <v>6</v>
      </c>
      <c r="AI447">
        <v>0</v>
      </c>
      <c r="AJ447">
        <v>0</v>
      </c>
      <c r="AK447">
        <v>600</v>
      </c>
      <c r="AL447">
        <v>0</v>
      </c>
      <c r="AM447">
        <v>0</v>
      </c>
      <c r="AN447">
        <v>0</v>
      </c>
      <c r="AO447">
        <v>0</v>
      </c>
      <c r="AP447" s="2">
        <v>420</v>
      </c>
      <c r="AT447" t="str">
        <f t="shared" si="50"/>
        <v>9788997946006</v>
      </c>
      <c r="AV447" t="str">
        <f t="shared" si="51"/>
        <v>판타지 웹소설 &gt; 현대 판타지</v>
      </c>
    </row>
    <row r="448" spans="1:49" x14ac:dyDescent="0.4">
      <c r="A448">
        <v>1525004030</v>
      </c>
      <c r="B448">
        <v>1525004140</v>
      </c>
      <c r="C448" t="str">
        <f>T("회귀의 전설 111화")</f>
        <v>회귀의 전설 111화</v>
      </c>
      <c r="D448" t="str">
        <f>T("111")</f>
        <v>111</v>
      </c>
      <c r="E448" t="str">
        <f t="shared" si="47"/>
        <v>김광수</v>
      </c>
      <c r="H448" t="str">
        <f t="shared" si="48"/>
        <v>스토리위즈</v>
      </c>
      <c r="I448" t="str">
        <f t="shared" si="49"/>
        <v>회귀의 전설</v>
      </c>
      <c r="J448">
        <v>100</v>
      </c>
      <c r="K448">
        <v>600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600</v>
      </c>
      <c r="AH448">
        <v>6</v>
      </c>
      <c r="AI448">
        <v>0</v>
      </c>
      <c r="AJ448">
        <v>0</v>
      </c>
      <c r="AK448">
        <v>500</v>
      </c>
      <c r="AL448">
        <v>0</v>
      </c>
      <c r="AM448">
        <v>100</v>
      </c>
      <c r="AN448">
        <v>0</v>
      </c>
      <c r="AO448">
        <v>0</v>
      </c>
      <c r="AP448" s="2">
        <v>420</v>
      </c>
      <c r="AT448" t="str">
        <f t="shared" si="50"/>
        <v>9788997946006</v>
      </c>
      <c r="AV448" t="str">
        <f t="shared" si="51"/>
        <v>판타지 웹소설 &gt; 현대 판타지</v>
      </c>
    </row>
    <row r="449" spans="1:48" x14ac:dyDescent="0.4">
      <c r="A449">
        <v>1525004030</v>
      </c>
      <c r="B449">
        <v>1525004144</v>
      </c>
      <c r="C449" t="str">
        <f>T("회귀의 전설 115화")</f>
        <v>회귀의 전설 115화</v>
      </c>
      <c r="D449" t="str">
        <f>T("115")</f>
        <v>115</v>
      </c>
      <c r="E449" t="str">
        <f t="shared" si="47"/>
        <v>김광수</v>
      </c>
      <c r="H449" t="str">
        <f t="shared" si="48"/>
        <v>스토리위즈</v>
      </c>
      <c r="I449" t="str">
        <f t="shared" si="49"/>
        <v>회귀의 전설</v>
      </c>
      <c r="J449">
        <v>100</v>
      </c>
      <c r="K449">
        <v>600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600</v>
      </c>
      <c r="AH449">
        <v>6</v>
      </c>
      <c r="AI449">
        <v>0</v>
      </c>
      <c r="AJ449">
        <v>0</v>
      </c>
      <c r="AK449">
        <v>600</v>
      </c>
      <c r="AL449">
        <v>0</v>
      </c>
      <c r="AM449">
        <v>0</v>
      </c>
      <c r="AN449">
        <v>0</v>
      </c>
      <c r="AO449">
        <v>0</v>
      </c>
      <c r="AP449" s="2">
        <v>420</v>
      </c>
      <c r="AT449" t="str">
        <f t="shared" si="50"/>
        <v>9788997946006</v>
      </c>
      <c r="AV449" t="str">
        <f t="shared" si="51"/>
        <v>판타지 웹소설 &gt; 현대 판타지</v>
      </c>
    </row>
    <row r="450" spans="1:48" x14ac:dyDescent="0.4">
      <c r="A450">
        <v>1525004030</v>
      </c>
      <c r="B450">
        <v>1525004148</v>
      </c>
      <c r="C450" t="str">
        <f>T("회귀의 전설 119화")</f>
        <v>회귀의 전설 119화</v>
      </c>
      <c r="D450" t="str">
        <f>T("119")</f>
        <v>119</v>
      </c>
      <c r="E450" t="str">
        <f t="shared" si="47"/>
        <v>김광수</v>
      </c>
      <c r="H450" t="str">
        <f t="shared" si="48"/>
        <v>스토리위즈</v>
      </c>
      <c r="I450" t="str">
        <f t="shared" si="49"/>
        <v>회귀의 전설</v>
      </c>
      <c r="J450">
        <v>100</v>
      </c>
      <c r="K450">
        <v>600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600</v>
      </c>
      <c r="AH450">
        <v>6</v>
      </c>
      <c r="AI450">
        <v>0</v>
      </c>
      <c r="AJ450">
        <v>0</v>
      </c>
      <c r="AK450">
        <v>600</v>
      </c>
      <c r="AL450">
        <v>0</v>
      </c>
      <c r="AM450">
        <v>0</v>
      </c>
      <c r="AN450">
        <v>0</v>
      </c>
      <c r="AO450">
        <v>0</v>
      </c>
      <c r="AP450" s="2">
        <v>420</v>
      </c>
      <c r="AT450" t="str">
        <f t="shared" si="50"/>
        <v>9788997946006</v>
      </c>
      <c r="AV450" t="str">
        <f t="shared" si="51"/>
        <v>판타지 웹소설 &gt; 현대 판타지</v>
      </c>
    </row>
    <row r="451" spans="1:48" x14ac:dyDescent="0.4">
      <c r="A451">
        <v>1525004030</v>
      </c>
      <c r="B451">
        <v>1525004141</v>
      </c>
      <c r="C451" t="str">
        <f>T("회귀의 전설 112화")</f>
        <v>회귀의 전설 112화</v>
      </c>
      <c r="D451" t="str">
        <f>T("112")</f>
        <v>112</v>
      </c>
      <c r="E451" t="str">
        <f t="shared" si="47"/>
        <v>김광수</v>
      </c>
      <c r="H451" t="str">
        <f t="shared" si="48"/>
        <v>스토리위즈</v>
      </c>
      <c r="I451" t="str">
        <f t="shared" si="49"/>
        <v>회귀의 전설</v>
      </c>
      <c r="J451">
        <v>100</v>
      </c>
      <c r="K451">
        <v>600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600</v>
      </c>
      <c r="AH451">
        <v>6</v>
      </c>
      <c r="AI451">
        <v>0</v>
      </c>
      <c r="AJ451">
        <v>0</v>
      </c>
      <c r="AK451">
        <v>500</v>
      </c>
      <c r="AL451">
        <v>0</v>
      </c>
      <c r="AM451">
        <v>100</v>
      </c>
      <c r="AN451">
        <v>0</v>
      </c>
      <c r="AO451">
        <v>0</v>
      </c>
      <c r="AP451" s="2">
        <v>420</v>
      </c>
      <c r="AT451" t="str">
        <f t="shared" si="50"/>
        <v>9788997946006</v>
      </c>
      <c r="AV451" t="str">
        <f t="shared" si="51"/>
        <v>판타지 웹소설 &gt; 현대 판타지</v>
      </c>
    </row>
    <row r="452" spans="1:48" x14ac:dyDescent="0.4">
      <c r="A452">
        <v>1525004030</v>
      </c>
      <c r="B452">
        <v>1525004145</v>
      </c>
      <c r="C452" t="str">
        <f>T("회귀의 전설 116화")</f>
        <v>회귀의 전설 116화</v>
      </c>
      <c r="D452" t="str">
        <f>T("116")</f>
        <v>116</v>
      </c>
      <c r="E452" t="str">
        <f t="shared" si="47"/>
        <v>김광수</v>
      </c>
      <c r="H452" t="str">
        <f t="shared" si="48"/>
        <v>스토리위즈</v>
      </c>
      <c r="I452" t="str">
        <f t="shared" si="49"/>
        <v>회귀의 전설</v>
      </c>
      <c r="J452">
        <v>100</v>
      </c>
      <c r="K452">
        <v>600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600</v>
      </c>
      <c r="AH452">
        <v>6</v>
      </c>
      <c r="AI452">
        <v>0</v>
      </c>
      <c r="AJ452">
        <v>0</v>
      </c>
      <c r="AK452">
        <v>600</v>
      </c>
      <c r="AL452">
        <v>0</v>
      </c>
      <c r="AM452">
        <v>0</v>
      </c>
      <c r="AN452">
        <v>0</v>
      </c>
      <c r="AO452">
        <v>0</v>
      </c>
      <c r="AP452" s="2">
        <v>420</v>
      </c>
      <c r="AT452" t="str">
        <f t="shared" si="50"/>
        <v>9788997946006</v>
      </c>
      <c r="AV452" t="str">
        <f t="shared" si="51"/>
        <v>판타지 웹소설 &gt; 현대 판타지</v>
      </c>
    </row>
    <row r="453" spans="1:48" x14ac:dyDescent="0.4">
      <c r="A453">
        <v>1525004030</v>
      </c>
      <c r="B453">
        <v>1525004149</v>
      </c>
      <c r="C453" t="str">
        <f>T("회귀의 전설 120화")</f>
        <v>회귀의 전설 120화</v>
      </c>
      <c r="D453" t="str">
        <f>T("120")</f>
        <v>120</v>
      </c>
      <c r="E453" t="str">
        <f t="shared" si="47"/>
        <v>김광수</v>
      </c>
      <c r="H453" t="str">
        <f t="shared" si="48"/>
        <v>스토리위즈</v>
      </c>
      <c r="I453" t="str">
        <f t="shared" si="49"/>
        <v>회귀의 전설</v>
      </c>
      <c r="J453">
        <v>100</v>
      </c>
      <c r="K453">
        <v>600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600</v>
      </c>
      <c r="AH453">
        <v>6</v>
      </c>
      <c r="AI453">
        <v>0</v>
      </c>
      <c r="AJ453">
        <v>0</v>
      </c>
      <c r="AK453">
        <v>600</v>
      </c>
      <c r="AL453">
        <v>0</v>
      </c>
      <c r="AM453">
        <v>0</v>
      </c>
      <c r="AN453">
        <v>0</v>
      </c>
      <c r="AO453">
        <v>0</v>
      </c>
      <c r="AP453" s="2">
        <v>420</v>
      </c>
      <c r="AT453" t="str">
        <f t="shared" si="50"/>
        <v>9788997946006</v>
      </c>
      <c r="AV453" t="str">
        <f t="shared" si="51"/>
        <v>판타지 웹소설 &gt; 현대 판타지</v>
      </c>
    </row>
    <row r="454" spans="1:48" x14ac:dyDescent="0.4">
      <c r="A454">
        <v>1525004030</v>
      </c>
      <c r="B454">
        <v>1525004142</v>
      </c>
      <c r="C454" t="str">
        <f>T("회귀의 전설 113화")</f>
        <v>회귀의 전설 113화</v>
      </c>
      <c r="D454" t="str">
        <f>T("113")</f>
        <v>113</v>
      </c>
      <c r="E454" t="str">
        <f t="shared" si="47"/>
        <v>김광수</v>
      </c>
      <c r="H454" t="str">
        <f t="shared" si="48"/>
        <v>스토리위즈</v>
      </c>
      <c r="I454" t="str">
        <f t="shared" si="49"/>
        <v>회귀의 전설</v>
      </c>
      <c r="J454">
        <v>100</v>
      </c>
      <c r="K454">
        <v>600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600</v>
      </c>
      <c r="AH454">
        <v>6</v>
      </c>
      <c r="AI454">
        <v>0</v>
      </c>
      <c r="AJ454">
        <v>0</v>
      </c>
      <c r="AK454">
        <v>500</v>
      </c>
      <c r="AL454">
        <v>0</v>
      </c>
      <c r="AM454">
        <v>100</v>
      </c>
      <c r="AN454">
        <v>0</v>
      </c>
      <c r="AO454">
        <v>0</v>
      </c>
      <c r="AP454" s="2">
        <v>420</v>
      </c>
      <c r="AT454" t="str">
        <f t="shared" si="50"/>
        <v>9788997946006</v>
      </c>
      <c r="AV454" t="str">
        <f t="shared" si="51"/>
        <v>판타지 웹소설 &gt; 현대 판타지</v>
      </c>
    </row>
    <row r="455" spans="1:48" x14ac:dyDescent="0.4">
      <c r="A455">
        <v>1525004030</v>
      </c>
      <c r="B455">
        <v>1525004135</v>
      </c>
      <c r="C455" t="str">
        <f>T("회귀의 전설 106화")</f>
        <v>회귀의 전설 106화</v>
      </c>
      <c r="D455" t="str">
        <f>T("106")</f>
        <v>106</v>
      </c>
      <c r="E455" t="str">
        <f t="shared" si="47"/>
        <v>김광수</v>
      </c>
      <c r="H455" t="str">
        <f t="shared" si="48"/>
        <v>스토리위즈</v>
      </c>
      <c r="I455" t="str">
        <f t="shared" si="49"/>
        <v>회귀의 전설</v>
      </c>
      <c r="J455">
        <v>100</v>
      </c>
      <c r="K455">
        <v>600</v>
      </c>
      <c r="L455">
        <v>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600</v>
      </c>
      <c r="AH455">
        <v>6</v>
      </c>
      <c r="AI455">
        <v>0</v>
      </c>
      <c r="AJ455">
        <v>0</v>
      </c>
      <c r="AK455">
        <v>500</v>
      </c>
      <c r="AL455">
        <v>0</v>
      </c>
      <c r="AM455">
        <v>100</v>
      </c>
      <c r="AN455">
        <v>0</v>
      </c>
      <c r="AO455">
        <v>0</v>
      </c>
      <c r="AP455" s="2">
        <v>420</v>
      </c>
      <c r="AT455" t="str">
        <f t="shared" si="50"/>
        <v>9788997946006</v>
      </c>
      <c r="AV455" t="str">
        <f t="shared" si="51"/>
        <v>판타지 웹소설 &gt; 현대 판타지</v>
      </c>
    </row>
    <row r="456" spans="1:48" x14ac:dyDescent="0.4">
      <c r="A456">
        <v>1525004030</v>
      </c>
      <c r="B456">
        <v>1525004146</v>
      </c>
      <c r="C456" t="str">
        <f>T("회귀의 전설 117화")</f>
        <v>회귀의 전설 117화</v>
      </c>
      <c r="D456" t="str">
        <f>T("117")</f>
        <v>117</v>
      </c>
      <c r="E456" t="str">
        <f t="shared" si="47"/>
        <v>김광수</v>
      </c>
      <c r="H456" t="str">
        <f t="shared" si="48"/>
        <v>스토리위즈</v>
      </c>
      <c r="I456" t="str">
        <f t="shared" si="49"/>
        <v>회귀의 전설</v>
      </c>
      <c r="J456">
        <v>100</v>
      </c>
      <c r="K456">
        <v>600</v>
      </c>
      <c r="L456">
        <v>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600</v>
      </c>
      <c r="AH456">
        <v>6</v>
      </c>
      <c r="AI456">
        <v>0</v>
      </c>
      <c r="AJ456">
        <v>0</v>
      </c>
      <c r="AK456">
        <v>600</v>
      </c>
      <c r="AL456">
        <v>0</v>
      </c>
      <c r="AM456">
        <v>0</v>
      </c>
      <c r="AN456">
        <v>0</v>
      </c>
      <c r="AO456">
        <v>0</v>
      </c>
      <c r="AP456" s="2">
        <v>420</v>
      </c>
      <c r="AT456" t="str">
        <f t="shared" si="50"/>
        <v>9788997946006</v>
      </c>
      <c r="AV456" t="str">
        <f t="shared" si="51"/>
        <v>판타지 웹소설 &gt; 현대 판타지</v>
      </c>
    </row>
    <row r="457" spans="1:48" x14ac:dyDescent="0.4">
      <c r="A457">
        <v>1525008140</v>
      </c>
      <c r="B457">
        <v>1525008142</v>
      </c>
      <c r="C457" t="str">
        <f>T("[e북]오블리비언(Oblivion) (외전)")</f>
        <v>[e북]오블리비언(Oblivion) (외전)</v>
      </c>
      <c r="D457" t="str">
        <f>T("3")</f>
        <v>3</v>
      </c>
      <c r="E457" t="str">
        <f>T("녹치")</f>
        <v>녹치</v>
      </c>
      <c r="H457" t="str">
        <f>T("블러쉬")</f>
        <v>블러쉬</v>
      </c>
      <c r="I457" t="str">
        <f>T("[e북]오블리비언(Oblivion)")</f>
        <v>[e북]오블리비언(Oblivion)</v>
      </c>
      <c r="J457">
        <v>300</v>
      </c>
      <c r="K457">
        <v>600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600</v>
      </c>
      <c r="AH457">
        <v>2</v>
      </c>
      <c r="AI457">
        <v>0</v>
      </c>
      <c r="AJ457">
        <v>0</v>
      </c>
      <c r="AK457">
        <v>600</v>
      </c>
      <c r="AL457">
        <v>0</v>
      </c>
      <c r="AM457">
        <v>0</v>
      </c>
      <c r="AN457">
        <v>0</v>
      </c>
      <c r="AO457">
        <v>0</v>
      </c>
      <c r="AP457" s="2">
        <v>420</v>
      </c>
      <c r="AR457" t="str">
        <f>T("0000000000000")</f>
        <v>0000000000000</v>
      </c>
      <c r="AT457" t="str">
        <f>T("9791164890125")</f>
        <v>9791164890125</v>
      </c>
      <c r="AV457" t="str">
        <f>T("BL 소설 e북 &gt; 현대물")</f>
        <v>BL 소설 e북 &gt; 현대물</v>
      </c>
    </row>
    <row r="458" spans="1:48" x14ac:dyDescent="0.4">
      <c r="A458">
        <v>1525004030</v>
      </c>
      <c r="B458">
        <v>1525004150</v>
      </c>
      <c r="C458" t="str">
        <f>T("회귀의 전설 121화")</f>
        <v>회귀의 전설 121화</v>
      </c>
      <c r="D458" t="str">
        <f>T("121")</f>
        <v>121</v>
      </c>
      <c r="E458" t="str">
        <f t="shared" ref="E458:E491" si="52">T("김광수")</f>
        <v>김광수</v>
      </c>
      <c r="H458" t="str">
        <f t="shared" ref="H458:H491" si="53">T("스토리위즈")</f>
        <v>스토리위즈</v>
      </c>
      <c r="I458" t="str">
        <f t="shared" ref="I458:I491" si="54">T("회귀의 전설")</f>
        <v>회귀의 전설</v>
      </c>
      <c r="J458">
        <v>100</v>
      </c>
      <c r="K458">
        <v>600</v>
      </c>
      <c r="L458">
        <v>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600</v>
      </c>
      <c r="AH458">
        <v>6</v>
      </c>
      <c r="AI458">
        <v>0</v>
      </c>
      <c r="AJ458">
        <v>0</v>
      </c>
      <c r="AK458">
        <v>600</v>
      </c>
      <c r="AL458">
        <v>0</v>
      </c>
      <c r="AM458">
        <v>0</v>
      </c>
      <c r="AN458">
        <v>0</v>
      </c>
      <c r="AO458">
        <v>0</v>
      </c>
      <c r="AP458" s="2">
        <v>420</v>
      </c>
      <c r="AT458" t="str">
        <f t="shared" ref="AT458:AT489" si="55">T("9788997946006")</f>
        <v>9788997946006</v>
      </c>
      <c r="AV458" t="str">
        <f t="shared" ref="AV458:AV491" si="56">T("판타지 웹소설 &gt; 현대 판타지")</f>
        <v>판타지 웹소설 &gt; 현대 판타지</v>
      </c>
    </row>
    <row r="459" spans="1:48" x14ac:dyDescent="0.4">
      <c r="A459">
        <v>1525004030</v>
      </c>
      <c r="B459">
        <v>1525004143</v>
      </c>
      <c r="C459" t="str">
        <f>T("회귀의 전설 114화")</f>
        <v>회귀의 전설 114화</v>
      </c>
      <c r="D459" t="str">
        <f>T("114")</f>
        <v>114</v>
      </c>
      <c r="E459" t="str">
        <f t="shared" si="52"/>
        <v>김광수</v>
      </c>
      <c r="H459" t="str">
        <f t="shared" si="53"/>
        <v>스토리위즈</v>
      </c>
      <c r="I459" t="str">
        <f t="shared" si="54"/>
        <v>회귀의 전설</v>
      </c>
      <c r="J459">
        <v>100</v>
      </c>
      <c r="K459">
        <v>600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600</v>
      </c>
      <c r="AH459">
        <v>6</v>
      </c>
      <c r="AI459">
        <v>0</v>
      </c>
      <c r="AJ459">
        <v>0</v>
      </c>
      <c r="AK459">
        <v>600</v>
      </c>
      <c r="AL459">
        <v>0</v>
      </c>
      <c r="AM459">
        <v>0</v>
      </c>
      <c r="AN459">
        <v>0</v>
      </c>
      <c r="AO459">
        <v>0</v>
      </c>
      <c r="AP459" s="2">
        <v>420</v>
      </c>
      <c r="AT459" t="str">
        <f t="shared" si="55"/>
        <v>9788997946006</v>
      </c>
      <c r="AV459" t="str">
        <f t="shared" si="56"/>
        <v>판타지 웹소설 &gt; 현대 판타지</v>
      </c>
    </row>
    <row r="460" spans="1:48" x14ac:dyDescent="0.4">
      <c r="A460">
        <v>1525004030</v>
      </c>
      <c r="B460">
        <v>1525004136</v>
      </c>
      <c r="C460" t="str">
        <f>T("회귀의 전설 107화")</f>
        <v>회귀의 전설 107화</v>
      </c>
      <c r="D460" t="str">
        <f>T("107")</f>
        <v>107</v>
      </c>
      <c r="E460" t="str">
        <f t="shared" si="52"/>
        <v>김광수</v>
      </c>
      <c r="H460" t="str">
        <f t="shared" si="53"/>
        <v>스토리위즈</v>
      </c>
      <c r="I460" t="str">
        <f t="shared" si="54"/>
        <v>회귀의 전설</v>
      </c>
      <c r="J460">
        <v>100</v>
      </c>
      <c r="K460">
        <v>600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600</v>
      </c>
      <c r="AH460">
        <v>6</v>
      </c>
      <c r="AI460">
        <v>0</v>
      </c>
      <c r="AJ460">
        <v>0</v>
      </c>
      <c r="AK460">
        <v>500</v>
      </c>
      <c r="AL460">
        <v>0</v>
      </c>
      <c r="AM460">
        <v>100</v>
      </c>
      <c r="AN460">
        <v>0</v>
      </c>
      <c r="AO460">
        <v>0</v>
      </c>
      <c r="AP460" s="2">
        <v>420</v>
      </c>
      <c r="AT460" t="str">
        <f t="shared" si="55"/>
        <v>9788997946006</v>
      </c>
      <c r="AV460" t="str">
        <f t="shared" si="56"/>
        <v>판타지 웹소설 &gt; 현대 판타지</v>
      </c>
    </row>
    <row r="461" spans="1:48" x14ac:dyDescent="0.4">
      <c r="A461">
        <v>1525004030</v>
      </c>
      <c r="B461">
        <v>1525004179</v>
      </c>
      <c r="C461" t="str">
        <f>T("회귀의 전설 150화")</f>
        <v>회귀의 전설 150화</v>
      </c>
      <c r="D461" t="str">
        <f>T("150")</f>
        <v>150</v>
      </c>
      <c r="E461" t="str">
        <f t="shared" si="52"/>
        <v>김광수</v>
      </c>
      <c r="H461" t="str">
        <f t="shared" si="53"/>
        <v>스토리위즈</v>
      </c>
      <c r="I461" t="str">
        <f t="shared" si="54"/>
        <v>회귀의 전설</v>
      </c>
      <c r="J461">
        <v>100</v>
      </c>
      <c r="K461">
        <v>500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500</v>
      </c>
      <c r="AH461">
        <v>5</v>
      </c>
      <c r="AI461">
        <v>0</v>
      </c>
      <c r="AJ461">
        <v>0</v>
      </c>
      <c r="AK461">
        <v>500</v>
      </c>
      <c r="AL461">
        <v>0</v>
      </c>
      <c r="AM461">
        <v>0</v>
      </c>
      <c r="AN461">
        <v>0</v>
      </c>
      <c r="AO461">
        <v>0</v>
      </c>
      <c r="AP461" s="2">
        <v>350</v>
      </c>
      <c r="AT461" t="str">
        <f t="shared" si="55"/>
        <v>9788997946006</v>
      </c>
      <c r="AV461" t="str">
        <f t="shared" si="56"/>
        <v>판타지 웹소설 &gt; 현대 판타지</v>
      </c>
    </row>
    <row r="462" spans="1:48" x14ac:dyDescent="0.4">
      <c r="A462">
        <v>1525004030</v>
      </c>
      <c r="B462">
        <v>1525004183</v>
      </c>
      <c r="C462" t="str">
        <f>T("회귀의 전설 154화")</f>
        <v>회귀의 전설 154화</v>
      </c>
      <c r="D462" t="str">
        <f>T("154")</f>
        <v>154</v>
      </c>
      <c r="E462" t="str">
        <f t="shared" si="52"/>
        <v>김광수</v>
      </c>
      <c r="H462" t="str">
        <f t="shared" si="53"/>
        <v>스토리위즈</v>
      </c>
      <c r="I462" t="str">
        <f t="shared" si="54"/>
        <v>회귀의 전설</v>
      </c>
      <c r="J462">
        <v>100</v>
      </c>
      <c r="K462">
        <v>500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500</v>
      </c>
      <c r="AH462">
        <v>5</v>
      </c>
      <c r="AI462">
        <v>0</v>
      </c>
      <c r="AJ462">
        <v>0</v>
      </c>
      <c r="AK462">
        <v>500</v>
      </c>
      <c r="AL462">
        <v>0</v>
      </c>
      <c r="AM462">
        <v>0</v>
      </c>
      <c r="AN462">
        <v>0</v>
      </c>
      <c r="AO462">
        <v>0</v>
      </c>
      <c r="AP462" s="2">
        <v>350</v>
      </c>
      <c r="AT462" t="str">
        <f t="shared" si="55"/>
        <v>9788997946006</v>
      </c>
      <c r="AV462" t="str">
        <f t="shared" si="56"/>
        <v>판타지 웹소설 &gt; 현대 판타지</v>
      </c>
    </row>
    <row r="463" spans="1:48" x14ac:dyDescent="0.4">
      <c r="A463">
        <v>1525004030</v>
      </c>
      <c r="B463">
        <v>1525004151</v>
      </c>
      <c r="C463" t="str">
        <f>T("회귀의 전설 122화")</f>
        <v>회귀의 전설 122화</v>
      </c>
      <c r="D463" t="str">
        <f>T("122")</f>
        <v>122</v>
      </c>
      <c r="E463" t="str">
        <f t="shared" si="52"/>
        <v>김광수</v>
      </c>
      <c r="H463" t="str">
        <f t="shared" si="53"/>
        <v>스토리위즈</v>
      </c>
      <c r="I463" t="str">
        <f t="shared" si="54"/>
        <v>회귀의 전설</v>
      </c>
      <c r="J463">
        <v>100</v>
      </c>
      <c r="K463">
        <v>500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500</v>
      </c>
      <c r="AH463">
        <v>5</v>
      </c>
      <c r="AI463">
        <v>0</v>
      </c>
      <c r="AJ463">
        <v>0</v>
      </c>
      <c r="AK463">
        <v>500</v>
      </c>
      <c r="AL463">
        <v>0</v>
      </c>
      <c r="AM463">
        <v>0</v>
      </c>
      <c r="AN463">
        <v>0</v>
      </c>
      <c r="AO463">
        <v>0</v>
      </c>
      <c r="AP463" s="2">
        <v>350</v>
      </c>
      <c r="AT463" t="str">
        <f t="shared" si="55"/>
        <v>9788997946006</v>
      </c>
      <c r="AV463" t="str">
        <f t="shared" si="56"/>
        <v>판타지 웹소설 &gt; 현대 판타지</v>
      </c>
    </row>
    <row r="464" spans="1:48" x14ac:dyDescent="0.4">
      <c r="A464">
        <v>1525004030</v>
      </c>
      <c r="B464">
        <v>1525004137</v>
      </c>
      <c r="C464" t="str">
        <f>T("회귀의 전설 108화")</f>
        <v>회귀의 전설 108화</v>
      </c>
      <c r="D464" t="str">
        <f>T("108")</f>
        <v>108</v>
      </c>
      <c r="E464" t="str">
        <f t="shared" si="52"/>
        <v>김광수</v>
      </c>
      <c r="H464" t="str">
        <f t="shared" si="53"/>
        <v>스토리위즈</v>
      </c>
      <c r="I464" t="str">
        <f t="shared" si="54"/>
        <v>회귀의 전설</v>
      </c>
      <c r="J464">
        <v>100</v>
      </c>
      <c r="K464">
        <v>500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500</v>
      </c>
      <c r="AH464">
        <v>5</v>
      </c>
      <c r="AI464">
        <v>0</v>
      </c>
      <c r="AJ464">
        <v>0</v>
      </c>
      <c r="AK464">
        <v>400</v>
      </c>
      <c r="AL464">
        <v>0</v>
      </c>
      <c r="AM464">
        <v>100</v>
      </c>
      <c r="AN464">
        <v>0</v>
      </c>
      <c r="AO464">
        <v>0</v>
      </c>
      <c r="AP464" s="2">
        <v>350</v>
      </c>
      <c r="AT464" t="str">
        <f t="shared" si="55"/>
        <v>9788997946006</v>
      </c>
      <c r="AV464" t="str">
        <f t="shared" si="56"/>
        <v>판타지 웹소설 &gt; 현대 판타지</v>
      </c>
    </row>
    <row r="465" spans="1:48" x14ac:dyDescent="0.4">
      <c r="A465">
        <v>1525004030</v>
      </c>
      <c r="B465">
        <v>1525004162</v>
      </c>
      <c r="C465" t="str">
        <f>T("회귀의 전설 133화")</f>
        <v>회귀의 전설 133화</v>
      </c>
      <c r="D465" t="str">
        <f>T("133")</f>
        <v>133</v>
      </c>
      <c r="E465" t="str">
        <f t="shared" si="52"/>
        <v>김광수</v>
      </c>
      <c r="H465" t="str">
        <f t="shared" si="53"/>
        <v>스토리위즈</v>
      </c>
      <c r="I465" t="str">
        <f t="shared" si="54"/>
        <v>회귀의 전설</v>
      </c>
      <c r="J465">
        <v>100</v>
      </c>
      <c r="K465">
        <v>500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500</v>
      </c>
      <c r="AH465">
        <v>5</v>
      </c>
      <c r="AI465">
        <v>0</v>
      </c>
      <c r="AJ465">
        <v>0</v>
      </c>
      <c r="AK465">
        <v>500</v>
      </c>
      <c r="AL465">
        <v>0</v>
      </c>
      <c r="AM465">
        <v>0</v>
      </c>
      <c r="AN465">
        <v>0</v>
      </c>
      <c r="AO465">
        <v>0</v>
      </c>
      <c r="AP465" s="2">
        <v>350</v>
      </c>
      <c r="AT465" t="str">
        <f t="shared" si="55"/>
        <v>9788997946006</v>
      </c>
      <c r="AV465" t="str">
        <f t="shared" si="56"/>
        <v>판타지 웹소설 &gt; 현대 판타지</v>
      </c>
    </row>
    <row r="466" spans="1:48" x14ac:dyDescent="0.4">
      <c r="A466">
        <v>1525004030</v>
      </c>
      <c r="B466">
        <v>1525004155</v>
      </c>
      <c r="C466" t="str">
        <f>T("회귀의 전설 126화")</f>
        <v>회귀의 전설 126화</v>
      </c>
      <c r="D466" t="str">
        <f>T("126")</f>
        <v>126</v>
      </c>
      <c r="E466" t="str">
        <f t="shared" si="52"/>
        <v>김광수</v>
      </c>
      <c r="H466" t="str">
        <f t="shared" si="53"/>
        <v>스토리위즈</v>
      </c>
      <c r="I466" t="str">
        <f t="shared" si="54"/>
        <v>회귀의 전설</v>
      </c>
      <c r="J466">
        <v>100</v>
      </c>
      <c r="K466">
        <v>500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500</v>
      </c>
      <c r="AH466">
        <v>5</v>
      </c>
      <c r="AI466">
        <v>0</v>
      </c>
      <c r="AJ466">
        <v>0</v>
      </c>
      <c r="AK466">
        <v>500</v>
      </c>
      <c r="AL466">
        <v>0</v>
      </c>
      <c r="AM466">
        <v>0</v>
      </c>
      <c r="AN466">
        <v>0</v>
      </c>
      <c r="AO466">
        <v>0</v>
      </c>
      <c r="AP466" s="2">
        <v>350</v>
      </c>
      <c r="AT466" t="str">
        <f t="shared" si="55"/>
        <v>9788997946006</v>
      </c>
      <c r="AV466" t="str">
        <f t="shared" si="56"/>
        <v>판타지 웹소설 &gt; 현대 판타지</v>
      </c>
    </row>
    <row r="467" spans="1:48" x14ac:dyDescent="0.4">
      <c r="A467">
        <v>1525004030</v>
      </c>
      <c r="B467">
        <v>1525004187</v>
      </c>
      <c r="C467" t="str">
        <f>T("회귀의 전설 158화")</f>
        <v>회귀의 전설 158화</v>
      </c>
      <c r="D467" t="str">
        <f>T("158")</f>
        <v>158</v>
      </c>
      <c r="E467" t="str">
        <f t="shared" si="52"/>
        <v>김광수</v>
      </c>
      <c r="H467" t="str">
        <f t="shared" si="53"/>
        <v>스토리위즈</v>
      </c>
      <c r="I467" t="str">
        <f t="shared" si="54"/>
        <v>회귀의 전설</v>
      </c>
      <c r="J467">
        <v>100</v>
      </c>
      <c r="K467">
        <v>500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500</v>
      </c>
      <c r="AH467">
        <v>5</v>
      </c>
      <c r="AI467">
        <v>0</v>
      </c>
      <c r="AJ467">
        <v>0</v>
      </c>
      <c r="AK467">
        <v>500</v>
      </c>
      <c r="AL467">
        <v>0</v>
      </c>
      <c r="AM467">
        <v>0</v>
      </c>
      <c r="AN467">
        <v>0</v>
      </c>
      <c r="AO467">
        <v>0</v>
      </c>
      <c r="AP467" s="2">
        <v>350</v>
      </c>
      <c r="AT467" t="str">
        <f t="shared" si="55"/>
        <v>9788997946006</v>
      </c>
      <c r="AV467" t="str">
        <f t="shared" si="56"/>
        <v>판타지 웹소설 &gt; 현대 판타지</v>
      </c>
    </row>
    <row r="468" spans="1:48" x14ac:dyDescent="0.4">
      <c r="A468">
        <v>1525004030</v>
      </c>
      <c r="B468">
        <v>1525004180</v>
      </c>
      <c r="C468" t="str">
        <f>T("회귀의 전설 151화")</f>
        <v>회귀의 전설 151화</v>
      </c>
      <c r="D468" t="str">
        <f>T("151")</f>
        <v>151</v>
      </c>
      <c r="E468" t="str">
        <f t="shared" si="52"/>
        <v>김광수</v>
      </c>
      <c r="H468" t="str">
        <f t="shared" si="53"/>
        <v>스토리위즈</v>
      </c>
      <c r="I468" t="str">
        <f t="shared" si="54"/>
        <v>회귀의 전설</v>
      </c>
      <c r="J468">
        <v>100</v>
      </c>
      <c r="K468">
        <v>500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500</v>
      </c>
      <c r="AH468">
        <v>5</v>
      </c>
      <c r="AI468">
        <v>0</v>
      </c>
      <c r="AJ468">
        <v>0</v>
      </c>
      <c r="AK468">
        <v>500</v>
      </c>
      <c r="AL468">
        <v>0</v>
      </c>
      <c r="AM468">
        <v>0</v>
      </c>
      <c r="AN468">
        <v>0</v>
      </c>
      <c r="AO468">
        <v>0</v>
      </c>
      <c r="AP468" s="2">
        <v>350</v>
      </c>
      <c r="AT468" t="str">
        <f t="shared" si="55"/>
        <v>9788997946006</v>
      </c>
      <c r="AV468" t="str">
        <f t="shared" si="56"/>
        <v>판타지 웹소설 &gt; 현대 판타지</v>
      </c>
    </row>
    <row r="469" spans="1:48" x14ac:dyDescent="0.4">
      <c r="A469">
        <v>1525004030</v>
      </c>
      <c r="B469">
        <v>1525004184</v>
      </c>
      <c r="C469" t="str">
        <f>T("회귀의 전설 155화")</f>
        <v>회귀의 전설 155화</v>
      </c>
      <c r="D469" t="str">
        <f>T("155")</f>
        <v>155</v>
      </c>
      <c r="E469" t="str">
        <f t="shared" si="52"/>
        <v>김광수</v>
      </c>
      <c r="H469" t="str">
        <f t="shared" si="53"/>
        <v>스토리위즈</v>
      </c>
      <c r="I469" t="str">
        <f t="shared" si="54"/>
        <v>회귀의 전설</v>
      </c>
      <c r="J469">
        <v>100</v>
      </c>
      <c r="K469">
        <v>500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500</v>
      </c>
      <c r="AH469">
        <v>5</v>
      </c>
      <c r="AI469">
        <v>0</v>
      </c>
      <c r="AJ469">
        <v>0</v>
      </c>
      <c r="AK469">
        <v>500</v>
      </c>
      <c r="AL469">
        <v>0</v>
      </c>
      <c r="AM469">
        <v>0</v>
      </c>
      <c r="AN469">
        <v>0</v>
      </c>
      <c r="AO469">
        <v>0</v>
      </c>
      <c r="AP469" s="2">
        <v>350</v>
      </c>
      <c r="AT469" t="str">
        <f t="shared" si="55"/>
        <v>9788997946006</v>
      </c>
      <c r="AV469" t="str">
        <f t="shared" si="56"/>
        <v>판타지 웹소설 &gt; 현대 판타지</v>
      </c>
    </row>
    <row r="470" spans="1:48" x14ac:dyDescent="0.4">
      <c r="A470">
        <v>1525004030</v>
      </c>
      <c r="B470">
        <v>1525004152</v>
      </c>
      <c r="C470" t="str">
        <f>T("회귀의 전설 123화")</f>
        <v>회귀의 전설 123화</v>
      </c>
      <c r="D470" t="str">
        <f>T("123")</f>
        <v>123</v>
      </c>
      <c r="E470" t="str">
        <f t="shared" si="52"/>
        <v>김광수</v>
      </c>
      <c r="H470" t="str">
        <f t="shared" si="53"/>
        <v>스토리위즈</v>
      </c>
      <c r="I470" t="str">
        <f t="shared" si="54"/>
        <v>회귀의 전설</v>
      </c>
      <c r="J470">
        <v>100</v>
      </c>
      <c r="K470">
        <v>500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500</v>
      </c>
      <c r="AH470">
        <v>5</v>
      </c>
      <c r="AI470">
        <v>0</v>
      </c>
      <c r="AJ470">
        <v>0</v>
      </c>
      <c r="AK470">
        <v>500</v>
      </c>
      <c r="AL470">
        <v>0</v>
      </c>
      <c r="AM470">
        <v>0</v>
      </c>
      <c r="AN470">
        <v>0</v>
      </c>
      <c r="AO470">
        <v>0</v>
      </c>
      <c r="AP470" s="2">
        <v>350</v>
      </c>
      <c r="AT470" t="str">
        <f t="shared" si="55"/>
        <v>9788997946006</v>
      </c>
      <c r="AV470" t="str">
        <f t="shared" si="56"/>
        <v>판타지 웹소설 &gt; 현대 판타지</v>
      </c>
    </row>
    <row r="471" spans="1:48" x14ac:dyDescent="0.4">
      <c r="A471">
        <v>1525004030</v>
      </c>
      <c r="B471">
        <v>1525004138</v>
      </c>
      <c r="C471" t="str">
        <f>T("회귀의 전설 109화")</f>
        <v>회귀의 전설 109화</v>
      </c>
      <c r="D471" t="str">
        <f>T("109")</f>
        <v>109</v>
      </c>
      <c r="E471" t="str">
        <f t="shared" si="52"/>
        <v>김광수</v>
      </c>
      <c r="H471" t="str">
        <f t="shared" si="53"/>
        <v>스토리위즈</v>
      </c>
      <c r="I471" t="str">
        <f t="shared" si="54"/>
        <v>회귀의 전설</v>
      </c>
      <c r="J471">
        <v>100</v>
      </c>
      <c r="K471">
        <v>500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500</v>
      </c>
      <c r="AH471">
        <v>5</v>
      </c>
      <c r="AI471">
        <v>0</v>
      </c>
      <c r="AJ471">
        <v>0</v>
      </c>
      <c r="AK471">
        <v>400</v>
      </c>
      <c r="AL471">
        <v>0</v>
      </c>
      <c r="AM471">
        <v>100</v>
      </c>
      <c r="AN471">
        <v>0</v>
      </c>
      <c r="AO471">
        <v>0</v>
      </c>
      <c r="AP471" s="2">
        <v>350</v>
      </c>
      <c r="AT471" t="str">
        <f t="shared" si="55"/>
        <v>9788997946006</v>
      </c>
      <c r="AV471" t="str">
        <f t="shared" si="56"/>
        <v>판타지 웹소설 &gt; 현대 판타지</v>
      </c>
    </row>
    <row r="472" spans="1:48" x14ac:dyDescent="0.4">
      <c r="A472">
        <v>1525004030</v>
      </c>
      <c r="B472">
        <v>1525004163</v>
      </c>
      <c r="C472" t="str">
        <f>T("회귀의 전설 134화")</f>
        <v>회귀의 전설 134화</v>
      </c>
      <c r="D472" t="str">
        <f>T("134")</f>
        <v>134</v>
      </c>
      <c r="E472" t="str">
        <f t="shared" si="52"/>
        <v>김광수</v>
      </c>
      <c r="H472" t="str">
        <f t="shared" si="53"/>
        <v>스토리위즈</v>
      </c>
      <c r="I472" t="str">
        <f t="shared" si="54"/>
        <v>회귀의 전설</v>
      </c>
      <c r="J472">
        <v>100</v>
      </c>
      <c r="K472">
        <v>500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500</v>
      </c>
      <c r="AH472">
        <v>5</v>
      </c>
      <c r="AI472">
        <v>0</v>
      </c>
      <c r="AJ472">
        <v>0</v>
      </c>
      <c r="AK472">
        <v>500</v>
      </c>
      <c r="AL472">
        <v>0</v>
      </c>
      <c r="AM472">
        <v>0</v>
      </c>
      <c r="AN472">
        <v>0</v>
      </c>
      <c r="AO472">
        <v>0</v>
      </c>
      <c r="AP472" s="2">
        <v>350</v>
      </c>
      <c r="AT472" t="str">
        <f t="shared" si="55"/>
        <v>9788997946006</v>
      </c>
      <c r="AV472" t="str">
        <f t="shared" si="56"/>
        <v>판타지 웹소설 &gt; 현대 판타지</v>
      </c>
    </row>
    <row r="473" spans="1:48" x14ac:dyDescent="0.4">
      <c r="A473">
        <v>1525004030</v>
      </c>
      <c r="B473">
        <v>1525004156</v>
      </c>
      <c r="C473" t="str">
        <f>T("회귀의 전설 127화")</f>
        <v>회귀의 전설 127화</v>
      </c>
      <c r="D473" t="str">
        <f>T("127")</f>
        <v>127</v>
      </c>
      <c r="E473" t="str">
        <f t="shared" si="52"/>
        <v>김광수</v>
      </c>
      <c r="H473" t="str">
        <f t="shared" si="53"/>
        <v>스토리위즈</v>
      </c>
      <c r="I473" t="str">
        <f t="shared" si="54"/>
        <v>회귀의 전설</v>
      </c>
      <c r="J473">
        <v>100</v>
      </c>
      <c r="K473">
        <v>500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500</v>
      </c>
      <c r="AH473">
        <v>5</v>
      </c>
      <c r="AI473">
        <v>0</v>
      </c>
      <c r="AJ473">
        <v>0</v>
      </c>
      <c r="AK473">
        <v>500</v>
      </c>
      <c r="AL473">
        <v>0</v>
      </c>
      <c r="AM473">
        <v>0</v>
      </c>
      <c r="AN473">
        <v>0</v>
      </c>
      <c r="AO473">
        <v>0</v>
      </c>
      <c r="AP473" s="2">
        <v>350</v>
      </c>
      <c r="AT473" t="str">
        <f t="shared" si="55"/>
        <v>9788997946006</v>
      </c>
      <c r="AV473" t="str">
        <f t="shared" si="56"/>
        <v>판타지 웹소설 &gt; 현대 판타지</v>
      </c>
    </row>
    <row r="474" spans="1:48" x14ac:dyDescent="0.4">
      <c r="A474">
        <v>1525004030</v>
      </c>
      <c r="B474">
        <v>1525004181</v>
      </c>
      <c r="C474" t="str">
        <f>T("회귀의 전설 152화")</f>
        <v>회귀의 전설 152화</v>
      </c>
      <c r="D474" t="str">
        <f>T("152")</f>
        <v>152</v>
      </c>
      <c r="E474" t="str">
        <f t="shared" si="52"/>
        <v>김광수</v>
      </c>
      <c r="H474" t="str">
        <f t="shared" si="53"/>
        <v>스토리위즈</v>
      </c>
      <c r="I474" t="str">
        <f t="shared" si="54"/>
        <v>회귀의 전설</v>
      </c>
      <c r="J474">
        <v>100</v>
      </c>
      <c r="K474">
        <v>500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500</v>
      </c>
      <c r="AH474">
        <v>5</v>
      </c>
      <c r="AI474">
        <v>0</v>
      </c>
      <c r="AJ474">
        <v>0</v>
      </c>
      <c r="AK474">
        <v>500</v>
      </c>
      <c r="AL474">
        <v>0</v>
      </c>
      <c r="AM474">
        <v>0</v>
      </c>
      <c r="AN474">
        <v>0</v>
      </c>
      <c r="AO474">
        <v>0</v>
      </c>
      <c r="AP474" s="2">
        <v>350</v>
      </c>
      <c r="AT474" t="str">
        <f t="shared" si="55"/>
        <v>9788997946006</v>
      </c>
      <c r="AV474" t="str">
        <f t="shared" si="56"/>
        <v>판타지 웹소설 &gt; 현대 판타지</v>
      </c>
    </row>
    <row r="475" spans="1:48" x14ac:dyDescent="0.4">
      <c r="A475">
        <v>1525004030</v>
      </c>
      <c r="B475">
        <v>1525004139</v>
      </c>
      <c r="C475" t="str">
        <f>T("회귀의 전설 110화")</f>
        <v>회귀의 전설 110화</v>
      </c>
      <c r="D475" t="str">
        <f>T("110")</f>
        <v>110</v>
      </c>
      <c r="E475" t="str">
        <f t="shared" si="52"/>
        <v>김광수</v>
      </c>
      <c r="H475" t="str">
        <f t="shared" si="53"/>
        <v>스토리위즈</v>
      </c>
      <c r="I475" t="str">
        <f t="shared" si="54"/>
        <v>회귀의 전설</v>
      </c>
      <c r="J475">
        <v>100</v>
      </c>
      <c r="K475">
        <v>500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500</v>
      </c>
      <c r="AH475">
        <v>5</v>
      </c>
      <c r="AI475">
        <v>0</v>
      </c>
      <c r="AJ475">
        <v>0</v>
      </c>
      <c r="AK475">
        <v>400</v>
      </c>
      <c r="AL475">
        <v>0</v>
      </c>
      <c r="AM475">
        <v>100</v>
      </c>
      <c r="AN475">
        <v>0</v>
      </c>
      <c r="AO475">
        <v>0</v>
      </c>
      <c r="AP475" s="2">
        <v>350</v>
      </c>
      <c r="AT475" t="str">
        <f t="shared" si="55"/>
        <v>9788997946006</v>
      </c>
      <c r="AV475" t="str">
        <f t="shared" si="56"/>
        <v>판타지 웹소설 &gt; 현대 판타지</v>
      </c>
    </row>
    <row r="476" spans="1:48" x14ac:dyDescent="0.4">
      <c r="A476">
        <v>1525004030</v>
      </c>
      <c r="B476">
        <v>1525004099</v>
      </c>
      <c r="C476" t="str">
        <f>T("회귀의 전설 70화")</f>
        <v>회귀의 전설 70화</v>
      </c>
      <c r="D476" t="str">
        <f>T("70")</f>
        <v>70</v>
      </c>
      <c r="E476" t="str">
        <f t="shared" si="52"/>
        <v>김광수</v>
      </c>
      <c r="H476" t="str">
        <f t="shared" si="53"/>
        <v>스토리위즈</v>
      </c>
      <c r="I476" t="str">
        <f t="shared" si="54"/>
        <v>회귀의 전설</v>
      </c>
      <c r="J476">
        <v>100</v>
      </c>
      <c r="K476">
        <v>500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500</v>
      </c>
      <c r="AH476">
        <v>5</v>
      </c>
      <c r="AI476">
        <v>0</v>
      </c>
      <c r="AJ476">
        <v>0</v>
      </c>
      <c r="AK476">
        <v>500</v>
      </c>
      <c r="AL476">
        <v>0</v>
      </c>
      <c r="AM476">
        <v>0</v>
      </c>
      <c r="AN476">
        <v>0</v>
      </c>
      <c r="AO476">
        <v>0</v>
      </c>
      <c r="AP476" s="2">
        <v>350</v>
      </c>
      <c r="AT476" t="str">
        <f t="shared" si="55"/>
        <v>9788997946006</v>
      </c>
      <c r="AV476" t="str">
        <f t="shared" si="56"/>
        <v>판타지 웹소설 &gt; 현대 판타지</v>
      </c>
    </row>
    <row r="477" spans="1:48" x14ac:dyDescent="0.4">
      <c r="A477">
        <v>1525004030</v>
      </c>
      <c r="B477">
        <v>1525004171</v>
      </c>
      <c r="C477" t="str">
        <f>T("회귀의 전설 142화")</f>
        <v>회귀의 전설 142화</v>
      </c>
      <c r="D477" t="str">
        <f>T("142")</f>
        <v>142</v>
      </c>
      <c r="E477" t="str">
        <f t="shared" si="52"/>
        <v>김광수</v>
      </c>
      <c r="H477" t="str">
        <f t="shared" si="53"/>
        <v>스토리위즈</v>
      </c>
      <c r="I477" t="str">
        <f t="shared" si="54"/>
        <v>회귀의 전설</v>
      </c>
      <c r="J477">
        <v>100</v>
      </c>
      <c r="K477">
        <v>500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500</v>
      </c>
      <c r="AH477">
        <v>5</v>
      </c>
      <c r="AI477">
        <v>0</v>
      </c>
      <c r="AJ477">
        <v>0</v>
      </c>
      <c r="AK477">
        <v>500</v>
      </c>
      <c r="AL477">
        <v>0</v>
      </c>
      <c r="AM477">
        <v>0</v>
      </c>
      <c r="AN477">
        <v>0</v>
      </c>
      <c r="AO477">
        <v>0</v>
      </c>
      <c r="AP477" s="2">
        <v>350</v>
      </c>
      <c r="AT477" t="str">
        <f t="shared" si="55"/>
        <v>9788997946006</v>
      </c>
      <c r="AV477" t="str">
        <f t="shared" si="56"/>
        <v>판타지 웹소설 &gt; 현대 판타지</v>
      </c>
    </row>
    <row r="478" spans="1:48" x14ac:dyDescent="0.4">
      <c r="A478">
        <v>1525004030</v>
      </c>
      <c r="B478">
        <v>1525004164</v>
      </c>
      <c r="C478" t="str">
        <f>T("회귀의 전설 135화")</f>
        <v>회귀의 전설 135화</v>
      </c>
      <c r="D478" t="str">
        <f>T("135")</f>
        <v>135</v>
      </c>
      <c r="E478" t="str">
        <f t="shared" si="52"/>
        <v>김광수</v>
      </c>
      <c r="H478" t="str">
        <f t="shared" si="53"/>
        <v>스토리위즈</v>
      </c>
      <c r="I478" t="str">
        <f t="shared" si="54"/>
        <v>회귀의 전설</v>
      </c>
      <c r="J478">
        <v>100</v>
      </c>
      <c r="K478">
        <v>500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500</v>
      </c>
      <c r="AH478">
        <v>5</v>
      </c>
      <c r="AI478">
        <v>0</v>
      </c>
      <c r="AJ478">
        <v>0</v>
      </c>
      <c r="AK478">
        <v>500</v>
      </c>
      <c r="AL478">
        <v>0</v>
      </c>
      <c r="AM478">
        <v>0</v>
      </c>
      <c r="AN478">
        <v>0</v>
      </c>
      <c r="AO478">
        <v>0</v>
      </c>
      <c r="AP478" s="2">
        <v>350</v>
      </c>
      <c r="AT478" t="str">
        <f t="shared" si="55"/>
        <v>9788997946006</v>
      </c>
      <c r="AV478" t="str">
        <f t="shared" si="56"/>
        <v>판타지 웹소설 &gt; 현대 판타지</v>
      </c>
    </row>
    <row r="479" spans="1:48" x14ac:dyDescent="0.4">
      <c r="A479">
        <v>1525004030</v>
      </c>
      <c r="B479">
        <v>1525004157</v>
      </c>
      <c r="C479" t="str">
        <f>T("회귀의 전설 128화")</f>
        <v>회귀의 전설 128화</v>
      </c>
      <c r="D479" t="str">
        <f>T("128")</f>
        <v>128</v>
      </c>
      <c r="E479" t="str">
        <f t="shared" si="52"/>
        <v>김광수</v>
      </c>
      <c r="H479" t="str">
        <f t="shared" si="53"/>
        <v>스토리위즈</v>
      </c>
      <c r="I479" t="str">
        <f t="shared" si="54"/>
        <v>회귀의 전설</v>
      </c>
      <c r="J479">
        <v>100</v>
      </c>
      <c r="K479">
        <v>500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500</v>
      </c>
      <c r="AH479">
        <v>5</v>
      </c>
      <c r="AI479">
        <v>0</v>
      </c>
      <c r="AJ479">
        <v>0</v>
      </c>
      <c r="AK479">
        <v>500</v>
      </c>
      <c r="AL479">
        <v>0</v>
      </c>
      <c r="AM479">
        <v>0</v>
      </c>
      <c r="AN479">
        <v>0</v>
      </c>
      <c r="AO479">
        <v>0</v>
      </c>
      <c r="AP479" s="2">
        <v>350</v>
      </c>
      <c r="AT479" t="str">
        <f t="shared" si="55"/>
        <v>9788997946006</v>
      </c>
      <c r="AV479" t="str">
        <f t="shared" si="56"/>
        <v>판타지 웹소설 &gt; 현대 판타지</v>
      </c>
    </row>
    <row r="480" spans="1:48" x14ac:dyDescent="0.4">
      <c r="A480">
        <v>1525004030</v>
      </c>
      <c r="B480">
        <v>1525004182</v>
      </c>
      <c r="C480" t="str">
        <f>T("회귀의 전설 153화")</f>
        <v>회귀의 전설 153화</v>
      </c>
      <c r="D480" t="str">
        <f>T("153")</f>
        <v>153</v>
      </c>
      <c r="E480" t="str">
        <f t="shared" si="52"/>
        <v>김광수</v>
      </c>
      <c r="H480" t="str">
        <f t="shared" si="53"/>
        <v>스토리위즈</v>
      </c>
      <c r="I480" t="str">
        <f t="shared" si="54"/>
        <v>회귀의 전설</v>
      </c>
      <c r="J480">
        <v>100</v>
      </c>
      <c r="K480">
        <v>500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500</v>
      </c>
      <c r="AH480">
        <v>5</v>
      </c>
      <c r="AI480">
        <v>0</v>
      </c>
      <c r="AJ480">
        <v>0</v>
      </c>
      <c r="AK480">
        <v>500</v>
      </c>
      <c r="AL480">
        <v>0</v>
      </c>
      <c r="AM480">
        <v>0</v>
      </c>
      <c r="AN480">
        <v>0</v>
      </c>
      <c r="AO480">
        <v>0</v>
      </c>
      <c r="AP480" s="2">
        <v>350</v>
      </c>
      <c r="AT480" t="str">
        <f t="shared" si="55"/>
        <v>9788997946006</v>
      </c>
      <c r="AV480" t="str">
        <f t="shared" si="56"/>
        <v>판타지 웹소설 &gt; 현대 판타지</v>
      </c>
    </row>
    <row r="481" spans="1:48" x14ac:dyDescent="0.4">
      <c r="A481">
        <v>1525004030</v>
      </c>
      <c r="B481">
        <v>1525004055</v>
      </c>
      <c r="C481" t="str">
        <f>T("회귀의 전설 26화")</f>
        <v>회귀의 전설 26화</v>
      </c>
      <c r="D481" t="str">
        <f>T("26")</f>
        <v>26</v>
      </c>
      <c r="E481" t="str">
        <f t="shared" si="52"/>
        <v>김광수</v>
      </c>
      <c r="H481" t="str">
        <f t="shared" si="53"/>
        <v>스토리위즈</v>
      </c>
      <c r="I481" t="str">
        <f t="shared" si="54"/>
        <v>회귀의 전설</v>
      </c>
      <c r="J481">
        <v>100</v>
      </c>
      <c r="K481">
        <v>500</v>
      </c>
      <c r="L481">
        <v>5</v>
      </c>
      <c r="M481">
        <v>0</v>
      </c>
      <c r="N481">
        <v>100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600</v>
      </c>
      <c r="AH481">
        <v>6</v>
      </c>
      <c r="AI481">
        <v>0</v>
      </c>
      <c r="AJ481">
        <v>0</v>
      </c>
      <c r="AK481">
        <v>600</v>
      </c>
      <c r="AL481">
        <v>0</v>
      </c>
      <c r="AM481">
        <v>0</v>
      </c>
      <c r="AN481">
        <v>0</v>
      </c>
      <c r="AO481">
        <v>0</v>
      </c>
      <c r="AP481" s="2">
        <v>420</v>
      </c>
      <c r="AT481" t="str">
        <f t="shared" si="55"/>
        <v>9788997946006</v>
      </c>
      <c r="AV481" t="str">
        <f t="shared" si="56"/>
        <v>판타지 웹소설 &gt; 현대 판타지</v>
      </c>
    </row>
    <row r="482" spans="1:48" x14ac:dyDescent="0.4">
      <c r="A482">
        <v>1525004030</v>
      </c>
      <c r="B482">
        <v>1525004154</v>
      </c>
      <c r="C482" t="str">
        <f>T("회귀의 전설 125화")</f>
        <v>회귀의 전설 125화</v>
      </c>
      <c r="D482" t="str">
        <f>T("125")</f>
        <v>125</v>
      </c>
      <c r="E482" t="str">
        <f t="shared" si="52"/>
        <v>김광수</v>
      </c>
      <c r="H482" t="str">
        <f t="shared" si="53"/>
        <v>스토리위즈</v>
      </c>
      <c r="I482" t="str">
        <f t="shared" si="54"/>
        <v>회귀의 전설</v>
      </c>
      <c r="J482">
        <v>100</v>
      </c>
      <c r="K482">
        <v>500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500</v>
      </c>
      <c r="AH482">
        <v>5</v>
      </c>
      <c r="AI482">
        <v>0</v>
      </c>
      <c r="AJ482">
        <v>0</v>
      </c>
      <c r="AK482">
        <v>500</v>
      </c>
      <c r="AL482">
        <v>0</v>
      </c>
      <c r="AM482">
        <v>0</v>
      </c>
      <c r="AN482">
        <v>0</v>
      </c>
      <c r="AO482">
        <v>0</v>
      </c>
      <c r="AP482" s="2">
        <v>350</v>
      </c>
      <c r="AT482" t="str">
        <f t="shared" si="55"/>
        <v>9788997946006</v>
      </c>
      <c r="AV482" t="str">
        <f t="shared" si="56"/>
        <v>판타지 웹소설 &gt; 현대 판타지</v>
      </c>
    </row>
    <row r="483" spans="1:48" x14ac:dyDescent="0.4">
      <c r="A483">
        <v>1525004030</v>
      </c>
      <c r="B483">
        <v>1525004172</v>
      </c>
      <c r="C483" t="str">
        <f>T("회귀의 전설 143화")</f>
        <v>회귀의 전설 143화</v>
      </c>
      <c r="D483" t="str">
        <f>T("143")</f>
        <v>143</v>
      </c>
      <c r="E483" t="str">
        <f t="shared" si="52"/>
        <v>김광수</v>
      </c>
      <c r="H483" t="str">
        <f t="shared" si="53"/>
        <v>스토리위즈</v>
      </c>
      <c r="I483" t="str">
        <f t="shared" si="54"/>
        <v>회귀의 전설</v>
      </c>
      <c r="J483">
        <v>100</v>
      </c>
      <c r="K483">
        <v>400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400</v>
      </c>
      <c r="AH483">
        <v>4</v>
      </c>
      <c r="AI483">
        <v>0</v>
      </c>
      <c r="AJ483">
        <v>0</v>
      </c>
      <c r="AK483">
        <v>400</v>
      </c>
      <c r="AL483">
        <v>0</v>
      </c>
      <c r="AM483">
        <v>0</v>
      </c>
      <c r="AN483">
        <v>0</v>
      </c>
      <c r="AO483">
        <v>0</v>
      </c>
      <c r="AP483" s="2">
        <v>280</v>
      </c>
      <c r="AT483" t="str">
        <f t="shared" si="55"/>
        <v>9788997946006</v>
      </c>
      <c r="AV483" t="str">
        <f t="shared" si="56"/>
        <v>판타지 웹소설 &gt; 현대 판타지</v>
      </c>
    </row>
    <row r="484" spans="1:48" x14ac:dyDescent="0.4">
      <c r="A484">
        <v>1525004030</v>
      </c>
      <c r="B484">
        <v>1525004198</v>
      </c>
      <c r="C484" t="str">
        <f>T("회귀의 전설 169화")</f>
        <v>회귀의 전설 169화</v>
      </c>
      <c r="D484" t="str">
        <f>T("169")</f>
        <v>169</v>
      </c>
      <c r="E484" t="str">
        <f t="shared" si="52"/>
        <v>김광수</v>
      </c>
      <c r="H484" t="str">
        <f t="shared" si="53"/>
        <v>스토리위즈</v>
      </c>
      <c r="I484" t="str">
        <f t="shared" si="54"/>
        <v>회귀의 전설</v>
      </c>
      <c r="J484">
        <v>100</v>
      </c>
      <c r="K484">
        <v>400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400</v>
      </c>
      <c r="AH484">
        <v>4</v>
      </c>
      <c r="AI484">
        <v>0</v>
      </c>
      <c r="AJ484">
        <v>0</v>
      </c>
      <c r="AK484">
        <v>400</v>
      </c>
      <c r="AL484">
        <v>0</v>
      </c>
      <c r="AM484">
        <v>0</v>
      </c>
      <c r="AN484">
        <v>0</v>
      </c>
      <c r="AO484">
        <v>0</v>
      </c>
      <c r="AP484" s="2">
        <v>280</v>
      </c>
      <c r="AT484" t="str">
        <f t="shared" si="55"/>
        <v>9788997946006</v>
      </c>
      <c r="AV484" t="str">
        <f t="shared" si="56"/>
        <v>판타지 웹소설 &gt; 현대 판타지</v>
      </c>
    </row>
    <row r="485" spans="1:48" x14ac:dyDescent="0.4">
      <c r="A485">
        <v>1525004030</v>
      </c>
      <c r="B485">
        <v>1525004158</v>
      </c>
      <c r="C485" t="str">
        <f>T("회귀의 전설 129화")</f>
        <v>회귀의 전설 129화</v>
      </c>
      <c r="D485" t="str">
        <f>T("129")</f>
        <v>129</v>
      </c>
      <c r="E485" t="str">
        <f t="shared" si="52"/>
        <v>김광수</v>
      </c>
      <c r="H485" t="str">
        <f t="shared" si="53"/>
        <v>스토리위즈</v>
      </c>
      <c r="I485" t="str">
        <f t="shared" si="54"/>
        <v>회귀의 전설</v>
      </c>
      <c r="J485">
        <v>100</v>
      </c>
      <c r="K485">
        <v>400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400</v>
      </c>
      <c r="AH485">
        <v>4</v>
      </c>
      <c r="AI485">
        <v>0</v>
      </c>
      <c r="AJ485">
        <v>0</v>
      </c>
      <c r="AK485">
        <v>400</v>
      </c>
      <c r="AL485">
        <v>0</v>
      </c>
      <c r="AM485">
        <v>0</v>
      </c>
      <c r="AN485">
        <v>0</v>
      </c>
      <c r="AO485">
        <v>0</v>
      </c>
      <c r="AP485" s="2">
        <v>280</v>
      </c>
      <c r="AT485" t="str">
        <f t="shared" si="55"/>
        <v>9788997946006</v>
      </c>
      <c r="AV485" t="str">
        <f t="shared" si="56"/>
        <v>판타지 웹소설 &gt; 현대 판타지</v>
      </c>
    </row>
    <row r="486" spans="1:48" x14ac:dyDescent="0.4">
      <c r="A486">
        <v>1525004030</v>
      </c>
      <c r="B486">
        <v>1525004079</v>
      </c>
      <c r="C486" t="str">
        <f>T("회귀의 전설 50화")</f>
        <v>회귀의 전설 50화</v>
      </c>
      <c r="D486" t="str">
        <f>T("50")</f>
        <v>50</v>
      </c>
      <c r="E486" t="str">
        <f t="shared" si="52"/>
        <v>김광수</v>
      </c>
      <c r="H486" t="str">
        <f t="shared" si="53"/>
        <v>스토리위즈</v>
      </c>
      <c r="I486" t="str">
        <f t="shared" si="54"/>
        <v>회귀의 전설</v>
      </c>
      <c r="J486">
        <v>100</v>
      </c>
      <c r="K486">
        <v>400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400</v>
      </c>
      <c r="AH486">
        <v>4</v>
      </c>
      <c r="AI486">
        <v>0</v>
      </c>
      <c r="AJ486">
        <v>0</v>
      </c>
      <c r="AK486">
        <v>400</v>
      </c>
      <c r="AL486">
        <v>0</v>
      </c>
      <c r="AM486">
        <v>0</v>
      </c>
      <c r="AN486">
        <v>0</v>
      </c>
      <c r="AO486">
        <v>0</v>
      </c>
      <c r="AP486" s="2">
        <v>280</v>
      </c>
      <c r="AT486" t="str">
        <f t="shared" si="55"/>
        <v>9788997946006</v>
      </c>
      <c r="AV486" t="str">
        <f t="shared" si="56"/>
        <v>판타지 웹소설 &gt; 현대 판타지</v>
      </c>
    </row>
    <row r="487" spans="1:48" x14ac:dyDescent="0.4">
      <c r="A487">
        <v>1525004030</v>
      </c>
      <c r="B487">
        <v>1525004176</v>
      </c>
      <c r="C487" t="str">
        <f>T("회귀의 전설 147화")</f>
        <v>회귀의 전설 147화</v>
      </c>
      <c r="D487" t="str">
        <f>T("147")</f>
        <v>147</v>
      </c>
      <c r="E487" t="str">
        <f t="shared" si="52"/>
        <v>김광수</v>
      </c>
      <c r="H487" t="str">
        <f t="shared" si="53"/>
        <v>스토리위즈</v>
      </c>
      <c r="I487" t="str">
        <f t="shared" si="54"/>
        <v>회귀의 전설</v>
      </c>
      <c r="J487">
        <v>100</v>
      </c>
      <c r="K487">
        <v>400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400</v>
      </c>
      <c r="AH487">
        <v>4</v>
      </c>
      <c r="AI487">
        <v>0</v>
      </c>
      <c r="AJ487">
        <v>0</v>
      </c>
      <c r="AK487">
        <v>400</v>
      </c>
      <c r="AL487">
        <v>0</v>
      </c>
      <c r="AM487">
        <v>0</v>
      </c>
      <c r="AN487">
        <v>0</v>
      </c>
      <c r="AO487">
        <v>0</v>
      </c>
      <c r="AP487" s="2">
        <v>280</v>
      </c>
      <c r="AT487" t="str">
        <f t="shared" si="55"/>
        <v>9788997946006</v>
      </c>
      <c r="AV487" t="str">
        <f t="shared" si="56"/>
        <v>판타지 웹소설 &gt; 현대 판타지</v>
      </c>
    </row>
    <row r="488" spans="1:48" x14ac:dyDescent="0.4">
      <c r="A488">
        <v>1525004030</v>
      </c>
      <c r="B488">
        <v>1525004209</v>
      </c>
      <c r="C488" t="str">
        <f>T("회귀의 전설 180화")</f>
        <v>회귀의 전설 180화</v>
      </c>
      <c r="D488" t="str">
        <f>T("180")</f>
        <v>180</v>
      </c>
      <c r="E488" t="str">
        <f t="shared" si="52"/>
        <v>김광수</v>
      </c>
      <c r="H488" t="str">
        <f t="shared" si="53"/>
        <v>스토리위즈</v>
      </c>
      <c r="I488" t="str">
        <f t="shared" si="54"/>
        <v>회귀의 전설</v>
      </c>
      <c r="J488">
        <v>100</v>
      </c>
      <c r="K488">
        <v>400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400</v>
      </c>
      <c r="AH488">
        <v>4</v>
      </c>
      <c r="AI488">
        <v>0</v>
      </c>
      <c r="AJ488">
        <v>0</v>
      </c>
      <c r="AK488">
        <v>400</v>
      </c>
      <c r="AL488">
        <v>0</v>
      </c>
      <c r="AM488">
        <v>0</v>
      </c>
      <c r="AN488">
        <v>0</v>
      </c>
      <c r="AO488">
        <v>0</v>
      </c>
      <c r="AP488" s="2">
        <v>280</v>
      </c>
      <c r="AT488" t="str">
        <f t="shared" si="55"/>
        <v>9788997946006</v>
      </c>
      <c r="AV488" t="str">
        <f t="shared" si="56"/>
        <v>판타지 웹소설 &gt; 현대 판타지</v>
      </c>
    </row>
    <row r="489" spans="1:48" x14ac:dyDescent="0.4">
      <c r="A489">
        <v>1525004030</v>
      </c>
      <c r="B489">
        <v>1525004169</v>
      </c>
      <c r="C489" t="str">
        <f>T("회귀의 전설 140화")</f>
        <v>회귀의 전설 140화</v>
      </c>
      <c r="D489" t="str">
        <f>T("140")</f>
        <v>140</v>
      </c>
      <c r="E489" t="str">
        <f t="shared" si="52"/>
        <v>김광수</v>
      </c>
      <c r="H489" t="str">
        <f t="shared" si="53"/>
        <v>스토리위즈</v>
      </c>
      <c r="I489" t="str">
        <f t="shared" si="54"/>
        <v>회귀의 전설</v>
      </c>
      <c r="J489">
        <v>100</v>
      </c>
      <c r="K489">
        <v>400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400</v>
      </c>
      <c r="AH489">
        <v>4</v>
      </c>
      <c r="AI489">
        <v>0</v>
      </c>
      <c r="AJ489">
        <v>0</v>
      </c>
      <c r="AK489">
        <v>400</v>
      </c>
      <c r="AL489">
        <v>0</v>
      </c>
      <c r="AM489">
        <v>0</v>
      </c>
      <c r="AN489">
        <v>0</v>
      </c>
      <c r="AO489">
        <v>0</v>
      </c>
      <c r="AP489" s="2">
        <v>280</v>
      </c>
      <c r="AT489" t="str">
        <f t="shared" si="55"/>
        <v>9788997946006</v>
      </c>
      <c r="AV489" t="str">
        <f t="shared" si="56"/>
        <v>판타지 웹소설 &gt; 현대 판타지</v>
      </c>
    </row>
    <row r="490" spans="1:48" x14ac:dyDescent="0.4">
      <c r="A490">
        <v>1525004030</v>
      </c>
      <c r="B490">
        <v>1525006948</v>
      </c>
      <c r="C490" t="str">
        <f>T("회귀의 전설 2부 832화")</f>
        <v>회귀의 전설 2부 832화</v>
      </c>
      <c r="D490" t="str">
        <f>T("832")</f>
        <v>832</v>
      </c>
      <c r="E490" t="str">
        <f t="shared" si="52"/>
        <v>김광수</v>
      </c>
      <c r="H490" t="str">
        <f t="shared" si="53"/>
        <v>스토리위즈</v>
      </c>
      <c r="I490" t="str">
        <f t="shared" si="54"/>
        <v>회귀의 전설</v>
      </c>
      <c r="J490">
        <v>100</v>
      </c>
      <c r="K490">
        <v>400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400</v>
      </c>
      <c r="AH490">
        <v>4</v>
      </c>
      <c r="AI490">
        <v>0</v>
      </c>
      <c r="AJ490">
        <v>0</v>
      </c>
      <c r="AK490">
        <v>400</v>
      </c>
      <c r="AL490">
        <v>0</v>
      </c>
      <c r="AM490">
        <v>0</v>
      </c>
      <c r="AN490">
        <v>0</v>
      </c>
      <c r="AO490">
        <v>0</v>
      </c>
      <c r="AP490" s="2">
        <v>280</v>
      </c>
      <c r="AT490" t="str">
        <f>T("9791191102086")</f>
        <v>9791191102086</v>
      </c>
      <c r="AV490" t="str">
        <f t="shared" si="56"/>
        <v>판타지 웹소설 &gt; 현대 판타지</v>
      </c>
    </row>
    <row r="491" spans="1:48" x14ac:dyDescent="0.4">
      <c r="A491">
        <v>1525004030</v>
      </c>
      <c r="B491">
        <v>1525004202</v>
      </c>
      <c r="C491" t="str">
        <f>T("회귀의 전설 173화")</f>
        <v>회귀의 전설 173화</v>
      </c>
      <c r="D491" t="str">
        <f>T("173")</f>
        <v>173</v>
      </c>
      <c r="E491" t="str">
        <f t="shared" si="52"/>
        <v>김광수</v>
      </c>
      <c r="H491" t="str">
        <f t="shared" si="53"/>
        <v>스토리위즈</v>
      </c>
      <c r="I491" t="str">
        <f t="shared" si="54"/>
        <v>회귀의 전설</v>
      </c>
      <c r="J491">
        <v>100</v>
      </c>
      <c r="K491">
        <v>400</v>
      </c>
      <c r="L491">
        <v>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400</v>
      </c>
      <c r="AH491">
        <v>4</v>
      </c>
      <c r="AI491">
        <v>0</v>
      </c>
      <c r="AJ491">
        <v>0</v>
      </c>
      <c r="AK491">
        <v>400</v>
      </c>
      <c r="AL491">
        <v>0</v>
      </c>
      <c r="AM491">
        <v>0</v>
      </c>
      <c r="AN491">
        <v>0</v>
      </c>
      <c r="AO491">
        <v>0</v>
      </c>
      <c r="AP491" s="2">
        <v>280</v>
      </c>
      <c r="AT491" t="str">
        <f>T("9788997946006")</f>
        <v>9788997946006</v>
      </c>
      <c r="AV491" t="str">
        <f t="shared" si="56"/>
        <v>판타지 웹소설 &gt; 현대 판타지</v>
      </c>
    </row>
    <row r="492" spans="1:48" x14ac:dyDescent="0.4">
      <c r="A492">
        <v>1525008060</v>
      </c>
      <c r="B492">
        <v>1525008059</v>
      </c>
      <c r="C492" t="str">
        <f>T("[e북]더티독 (외전)")</f>
        <v>[e북]더티독 (외전)</v>
      </c>
      <c r="D492" t="str">
        <f>T("3")</f>
        <v>3</v>
      </c>
      <c r="E492" t="str">
        <f>T("용가리맛쿠키")</f>
        <v>용가리맛쿠키</v>
      </c>
      <c r="H492" t="str">
        <f>T("블러쉬")</f>
        <v>블러쉬</v>
      </c>
      <c r="I492" t="str">
        <f>T("[e북]더티독")</f>
        <v>[e북]더티독</v>
      </c>
      <c r="J492">
        <v>200</v>
      </c>
      <c r="K492">
        <v>400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400</v>
      </c>
      <c r="AH492">
        <v>2</v>
      </c>
      <c r="AI492">
        <v>0</v>
      </c>
      <c r="AJ492">
        <v>0</v>
      </c>
      <c r="AK492">
        <v>400</v>
      </c>
      <c r="AL492">
        <v>0</v>
      </c>
      <c r="AM492">
        <v>0</v>
      </c>
      <c r="AN492">
        <v>0</v>
      </c>
      <c r="AO492">
        <v>0</v>
      </c>
      <c r="AP492" s="2">
        <v>280</v>
      </c>
      <c r="AR492" t="str">
        <f>T("0000000000000")</f>
        <v>0000000000000</v>
      </c>
      <c r="AT492" t="str">
        <f>T("9791164897063")</f>
        <v>9791164897063</v>
      </c>
      <c r="AV492" t="str">
        <f>T("BL 소설 e북 &gt; 현대물")</f>
        <v>BL 소설 e북 &gt; 현대물</v>
      </c>
    </row>
    <row r="493" spans="1:48" x14ac:dyDescent="0.4">
      <c r="A493">
        <v>1525004030</v>
      </c>
      <c r="B493">
        <v>1525004173</v>
      </c>
      <c r="C493" t="str">
        <f>T("회귀의 전설 144화")</f>
        <v>회귀의 전설 144화</v>
      </c>
      <c r="D493" t="str">
        <f>T("144")</f>
        <v>144</v>
      </c>
      <c r="E493" t="str">
        <f t="shared" ref="E493:E503" si="57">T("김광수")</f>
        <v>김광수</v>
      </c>
      <c r="H493" t="str">
        <f t="shared" ref="H493:H503" si="58">T("스토리위즈")</f>
        <v>스토리위즈</v>
      </c>
      <c r="I493" t="str">
        <f t="shared" ref="I493:I503" si="59">T("회귀의 전설")</f>
        <v>회귀의 전설</v>
      </c>
      <c r="J493">
        <v>100</v>
      </c>
      <c r="K493">
        <v>400</v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400</v>
      </c>
      <c r="AH493">
        <v>4</v>
      </c>
      <c r="AI493">
        <v>0</v>
      </c>
      <c r="AJ493">
        <v>0</v>
      </c>
      <c r="AK493">
        <v>400</v>
      </c>
      <c r="AL493">
        <v>0</v>
      </c>
      <c r="AM493">
        <v>0</v>
      </c>
      <c r="AN493">
        <v>0</v>
      </c>
      <c r="AO493">
        <v>0</v>
      </c>
      <c r="AP493" s="2">
        <v>280</v>
      </c>
      <c r="AT493" t="str">
        <f t="shared" ref="AT493:AT503" si="60">T("9788997946006")</f>
        <v>9788997946006</v>
      </c>
      <c r="AV493" t="str">
        <f t="shared" ref="AV493:AV503" si="61">T("판타지 웹소설 &gt; 현대 판타지")</f>
        <v>판타지 웹소설 &gt; 현대 판타지</v>
      </c>
    </row>
    <row r="494" spans="1:48" x14ac:dyDescent="0.4">
      <c r="A494">
        <v>1525004030</v>
      </c>
      <c r="B494">
        <v>1525004206</v>
      </c>
      <c r="C494" t="str">
        <f>T("회귀의 전설 177화")</f>
        <v>회귀의 전설 177화</v>
      </c>
      <c r="D494" t="str">
        <f>T("177")</f>
        <v>177</v>
      </c>
      <c r="E494" t="str">
        <f t="shared" si="57"/>
        <v>김광수</v>
      </c>
      <c r="H494" t="str">
        <f t="shared" si="58"/>
        <v>스토리위즈</v>
      </c>
      <c r="I494" t="str">
        <f t="shared" si="59"/>
        <v>회귀의 전설</v>
      </c>
      <c r="J494">
        <v>100</v>
      </c>
      <c r="K494">
        <v>400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400</v>
      </c>
      <c r="AH494">
        <v>4</v>
      </c>
      <c r="AI494">
        <v>0</v>
      </c>
      <c r="AJ494">
        <v>0</v>
      </c>
      <c r="AK494">
        <v>400</v>
      </c>
      <c r="AL494">
        <v>0</v>
      </c>
      <c r="AM494">
        <v>0</v>
      </c>
      <c r="AN494">
        <v>0</v>
      </c>
      <c r="AO494">
        <v>0</v>
      </c>
      <c r="AP494" s="2">
        <v>280</v>
      </c>
      <c r="AT494" t="str">
        <f t="shared" si="60"/>
        <v>9788997946006</v>
      </c>
      <c r="AV494" t="str">
        <f t="shared" si="61"/>
        <v>판타지 웹소설 &gt; 현대 판타지</v>
      </c>
    </row>
    <row r="495" spans="1:48" x14ac:dyDescent="0.4">
      <c r="A495">
        <v>1525004030</v>
      </c>
      <c r="B495">
        <v>1525004119</v>
      </c>
      <c r="C495" t="str">
        <f>T("회귀의 전설 90화")</f>
        <v>회귀의 전설 90화</v>
      </c>
      <c r="D495" t="str">
        <f>T("90")</f>
        <v>90</v>
      </c>
      <c r="E495" t="str">
        <f t="shared" si="57"/>
        <v>김광수</v>
      </c>
      <c r="H495" t="str">
        <f t="shared" si="58"/>
        <v>스토리위즈</v>
      </c>
      <c r="I495" t="str">
        <f t="shared" si="59"/>
        <v>회귀의 전설</v>
      </c>
      <c r="J495">
        <v>100</v>
      </c>
      <c r="K495">
        <v>400</v>
      </c>
      <c r="L495">
        <v>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4</v>
      </c>
      <c r="AI495">
        <v>0</v>
      </c>
      <c r="AJ495">
        <v>0</v>
      </c>
      <c r="AK495">
        <v>400</v>
      </c>
      <c r="AL495">
        <v>0</v>
      </c>
      <c r="AM495">
        <v>0</v>
      </c>
      <c r="AN495">
        <v>0</v>
      </c>
      <c r="AO495">
        <v>0</v>
      </c>
      <c r="AP495" s="2">
        <v>280</v>
      </c>
      <c r="AT495" t="str">
        <f t="shared" si="60"/>
        <v>9788997946006</v>
      </c>
      <c r="AV495" t="str">
        <f t="shared" si="61"/>
        <v>판타지 웹소설 &gt; 현대 판타지</v>
      </c>
    </row>
    <row r="496" spans="1:48" x14ac:dyDescent="0.4">
      <c r="A496">
        <v>1525004030</v>
      </c>
      <c r="B496">
        <v>1525004080</v>
      </c>
      <c r="C496" t="str">
        <f>T("회귀의 전설 51화")</f>
        <v>회귀의 전설 51화</v>
      </c>
      <c r="D496" t="str">
        <f>T("51")</f>
        <v>51</v>
      </c>
      <c r="E496" t="str">
        <f t="shared" si="57"/>
        <v>김광수</v>
      </c>
      <c r="H496" t="str">
        <f t="shared" si="58"/>
        <v>스토리위즈</v>
      </c>
      <c r="I496" t="str">
        <f t="shared" si="59"/>
        <v>회귀의 전설</v>
      </c>
      <c r="J496">
        <v>100</v>
      </c>
      <c r="K496">
        <v>400</v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400</v>
      </c>
      <c r="AH496">
        <v>4</v>
      </c>
      <c r="AI496">
        <v>0</v>
      </c>
      <c r="AJ496">
        <v>0</v>
      </c>
      <c r="AK496">
        <v>400</v>
      </c>
      <c r="AL496">
        <v>0</v>
      </c>
      <c r="AM496">
        <v>0</v>
      </c>
      <c r="AN496">
        <v>0</v>
      </c>
      <c r="AO496">
        <v>0</v>
      </c>
      <c r="AP496" s="2">
        <v>280</v>
      </c>
      <c r="AT496" t="str">
        <f t="shared" si="60"/>
        <v>9788997946006</v>
      </c>
      <c r="AV496" t="str">
        <f t="shared" si="61"/>
        <v>판타지 웹소설 &gt; 현대 판타지</v>
      </c>
    </row>
    <row r="497" spans="1:48" x14ac:dyDescent="0.4">
      <c r="A497">
        <v>1525004030</v>
      </c>
      <c r="B497">
        <v>1525004192</v>
      </c>
      <c r="C497" t="str">
        <f>T("회귀의 전설 163화")</f>
        <v>회귀의 전설 163화</v>
      </c>
      <c r="D497" t="str">
        <f>T("163")</f>
        <v>163</v>
      </c>
      <c r="E497" t="str">
        <f t="shared" si="57"/>
        <v>김광수</v>
      </c>
      <c r="H497" t="str">
        <f t="shared" si="58"/>
        <v>스토리위즈</v>
      </c>
      <c r="I497" t="str">
        <f t="shared" si="59"/>
        <v>회귀의 전설</v>
      </c>
      <c r="J497">
        <v>100</v>
      </c>
      <c r="K497">
        <v>400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400</v>
      </c>
      <c r="AH497">
        <v>4</v>
      </c>
      <c r="AI497">
        <v>0</v>
      </c>
      <c r="AJ497">
        <v>0</v>
      </c>
      <c r="AK497">
        <v>400</v>
      </c>
      <c r="AL497">
        <v>0</v>
      </c>
      <c r="AM497">
        <v>0</v>
      </c>
      <c r="AN497">
        <v>0</v>
      </c>
      <c r="AO497">
        <v>0</v>
      </c>
      <c r="AP497" s="2">
        <v>280</v>
      </c>
      <c r="AT497" t="str">
        <f t="shared" si="60"/>
        <v>9788997946006</v>
      </c>
      <c r="AV497" t="str">
        <f t="shared" si="61"/>
        <v>판타지 웹소설 &gt; 현대 판타지</v>
      </c>
    </row>
    <row r="498" spans="1:48" x14ac:dyDescent="0.4">
      <c r="A498">
        <v>1525004030</v>
      </c>
      <c r="B498">
        <v>1525004177</v>
      </c>
      <c r="C498" t="str">
        <f>T("회귀의 전설 148화")</f>
        <v>회귀의 전설 148화</v>
      </c>
      <c r="D498" t="str">
        <f>T("148")</f>
        <v>148</v>
      </c>
      <c r="E498" t="str">
        <f t="shared" si="57"/>
        <v>김광수</v>
      </c>
      <c r="H498" t="str">
        <f t="shared" si="58"/>
        <v>스토리위즈</v>
      </c>
      <c r="I498" t="str">
        <f t="shared" si="59"/>
        <v>회귀의 전설</v>
      </c>
      <c r="J498">
        <v>100</v>
      </c>
      <c r="K498">
        <v>400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400</v>
      </c>
      <c r="AH498">
        <v>4</v>
      </c>
      <c r="AI498">
        <v>0</v>
      </c>
      <c r="AJ498">
        <v>0</v>
      </c>
      <c r="AK498">
        <v>400</v>
      </c>
      <c r="AL498">
        <v>0</v>
      </c>
      <c r="AM498">
        <v>0</v>
      </c>
      <c r="AN498">
        <v>0</v>
      </c>
      <c r="AO498">
        <v>0</v>
      </c>
      <c r="AP498" s="2">
        <v>280</v>
      </c>
      <c r="AT498" t="str">
        <f t="shared" si="60"/>
        <v>9788997946006</v>
      </c>
      <c r="AV498" t="str">
        <f t="shared" si="61"/>
        <v>판타지 웹소설 &gt; 현대 판타지</v>
      </c>
    </row>
    <row r="499" spans="1:48" x14ac:dyDescent="0.4">
      <c r="A499">
        <v>1525004030</v>
      </c>
      <c r="B499">
        <v>1525004170</v>
      </c>
      <c r="C499" t="str">
        <f>T("회귀의 전설 141화")</f>
        <v>회귀의 전설 141화</v>
      </c>
      <c r="D499" t="str">
        <f>T("141")</f>
        <v>141</v>
      </c>
      <c r="E499" t="str">
        <f t="shared" si="57"/>
        <v>김광수</v>
      </c>
      <c r="H499" t="str">
        <f t="shared" si="58"/>
        <v>스토리위즈</v>
      </c>
      <c r="I499" t="str">
        <f t="shared" si="59"/>
        <v>회귀의 전설</v>
      </c>
      <c r="J499">
        <v>100</v>
      </c>
      <c r="K499">
        <v>400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400</v>
      </c>
      <c r="AH499">
        <v>4</v>
      </c>
      <c r="AI499">
        <v>0</v>
      </c>
      <c r="AJ499">
        <v>0</v>
      </c>
      <c r="AK499">
        <v>400</v>
      </c>
      <c r="AL499">
        <v>0</v>
      </c>
      <c r="AM499">
        <v>0</v>
      </c>
      <c r="AN499">
        <v>0</v>
      </c>
      <c r="AO499">
        <v>0</v>
      </c>
      <c r="AP499" s="2">
        <v>280</v>
      </c>
      <c r="AT499" t="str">
        <f t="shared" si="60"/>
        <v>9788997946006</v>
      </c>
      <c r="AV499" t="str">
        <f t="shared" si="61"/>
        <v>판타지 웹소설 &gt; 현대 판타지</v>
      </c>
    </row>
    <row r="500" spans="1:48" x14ac:dyDescent="0.4">
      <c r="A500">
        <v>1525004030</v>
      </c>
      <c r="B500">
        <v>1525004196</v>
      </c>
      <c r="C500" t="str">
        <f>T("회귀의 전설 167화")</f>
        <v>회귀의 전설 167화</v>
      </c>
      <c r="D500" t="str">
        <f>T("167")</f>
        <v>167</v>
      </c>
      <c r="E500" t="str">
        <f t="shared" si="57"/>
        <v>김광수</v>
      </c>
      <c r="H500" t="str">
        <f t="shared" si="58"/>
        <v>스토리위즈</v>
      </c>
      <c r="I500" t="str">
        <f t="shared" si="59"/>
        <v>회귀의 전설</v>
      </c>
      <c r="J500">
        <v>100</v>
      </c>
      <c r="K500">
        <v>400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400</v>
      </c>
      <c r="AH500">
        <v>4</v>
      </c>
      <c r="AI500">
        <v>0</v>
      </c>
      <c r="AJ500">
        <v>0</v>
      </c>
      <c r="AK500">
        <v>400</v>
      </c>
      <c r="AL500">
        <v>0</v>
      </c>
      <c r="AM500">
        <v>0</v>
      </c>
      <c r="AN500">
        <v>0</v>
      </c>
      <c r="AO500">
        <v>0</v>
      </c>
      <c r="AP500" s="2">
        <v>280</v>
      </c>
      <c r="AT500" t="str">
        <f t="shared" si="60"/>
        <v>9788997946006</v>
      </c>
      <c r="AV500" t="str">
        <f t="shared" si="61"/>
        <v>판타지 웹소설 &gt; 현대 판타지</v>
      </c>
    </row>
    <row r="501" spans="1:48" x14ac:dyDescent="0.4">
      <c r="A501">
        <v>1525004030</v>
      </c>
      <c r="B501">
        <v>1525004174</v>
      </c>
      <c r="C501" t="str">
        <f>T("회귀의 전설 145화")</f>
        <v>회귀의 전설 145화</v>
      </c>
      <c r="D501" t="str">
        <f>T("145")</f>
        <v>145</v>
      </c>
      <c r="E501" t="str">
        <f t="shared" si="57"/>
        <v>김광수</v>
      </c>
      <c r="H501" t="str">
        <f t="shared" si="58"/>
        <v>스토리위즈</v>
      </c>
      <c r="I501" t="str">
        <f t="shared" si="59"/>
        <v>회귀의 전설</v>
      </c>
      <c r="J501">
        <v>100</v>
      </c>
      <c r="K501">
        <v>400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400</v>
      </c>
      <c r="AH501">
        <v>4</v>
      </c>
      <c r="AI501">
        <v>0</v>
      </c>
      <c r="AJ501">
        <v>0</v>
      </c>
      <c r="AK501">
        <v>400</v>
      </c>
      <c r="AL501">
        <v>0</v>
      </c>
      <c r="AM501">
        <v>0</v>
      </c>
      <c r="AN501">
        <v>0</v>
      </c>
      <c r="AO501">
        <v>0</v>
      </c>
      <c r="AP501" s="2">
        <v>280</v>
      </c>
      <c r="AT501" t="str">
        <f t="shared" si="60"/>
        <v>9788997946006</v>
      </c>
      <c r="AV501" t="str">
        <f t="shared" si="61"/>
        <v>판타지 웹소설 &gt; 현대 판타지</v>
      </c>
    </row>
    <row r="502" spans="1:48" x14ac:dyDescent="0.4">
      <c r="A502">
        <v>1525004030</v>
      </c>
      <c r="B502">
        <v>1525004167</v>
      </c>
      <c r="C502" t="str">
        <f>T("회귀의 전설 138화")</f>
        <v>회귀의 전설 138화</v>
      </c>
      <c r="D502" t="str">
        <f>T("138")</f>
        <v>138</v>
      </c>
      <c r="E502" t="str">
        <f t="shared" si="57"/>
        <v>김광수</v>
      </c>
      <c r="H502" t="str">
        <f t="shared" si="58"/>
        <v>스토리위즈</v>
      </c>
      <c r="I502" t="str">
        <f t="shared" si="59"/>
        <v>회귀의 전설</v>
      </c>
      <c r="J502">
        <v>100</v>
      </c>
      <c r="K502">
        <v>400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400</v>
      </c>
      <c r="AH502">
        <v>4</v>
      </c>
      <c r="AI502">
        <v>0</v>
      </c>
      <c r="AJ502">
        <v>0</v>
      </c>
      <c r="AK502">
        <v>400</v>
      </c>
      <c r="AL502">
        <v>0</v>
      </c>
      <c r="AM502">
        <v>0</v>
      </c>
      <c r="AN502">
        <v>0</v>
      </c>
      <c r="AO502">
        <v>0</v>
      </c>
      <c r="AP502" s="2">
        <v>280</v>
      </c>
      <c r="AT502" t="str">
        <f t="shared" si="60"/>
        <v>9788997946006</v>
      </c>
      <c r="AV502" t="str">
        <f t="shared" si="61"/>
        <v>판타지 웹소설 &gt; 현대 판타지</v>
      </c>
    </row>
    <row r="503" spans="1:48" x14ac:dyDescent="0.4">
      <c r="A503">
        <v>1525004030</v>
      </c>
      <c r="B503">
        <v>1525004127</v>
      </c>
      <c r="C503" t="str">
        <f>T("회귀의 전설 98화")</f>
        <v>회귀의 전설 98화</v>
      </c>
      <c r="D503" t="str">
        <f>T("98")</f>
        <v>98</v>
      </c>
      <c r="E503" t="str">
        <f t="shared" si="57"/>
        <v>김광수</v>
      </c>
      <c r="H503" t="str">
        <f t="shared" si="58"/>
        <v>스토리위즈</v>
      </c>
      <c r="I503" t="str">
        <f t="shared" si="59"/>
        <v>회귀의 전설</v>
      </c>
      <c r="J503">
        <v>100</v>
      </c>
      <c r="K503">
        <v>400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400</v>
      </c>
      <c r="AH503">
        <v>4</v>
      </c>
      <c r="AI503">
        <v>0</v>
      </c>
      <c r="AJ503">
        <v>0</v>
      </c>
      <c r="AK503">
        <v>400</v>
      </c>
      <c r="AL503">
        <v>0</v>
      </c>
      <c r="AM503">
        <v>0</v>
      </c>
      <c r="AN503">
        <v>0</v>
      </c>
      <c r="AO503">
        <v>0</v>
      </c>
      <c r="AP503" s="2">
        <v>280</v>
      </c>
      <c r="AT503" t="str">
        <f t="shared" si="60"/>
        <v>9788997946006</v>
      </c>
      <c r="AV503" t="str">
        <f t="shared" si="61"/>
        <v>판타지 웹소설 &gt; 현대 판타지</v>
      </c>
    </row>
    <row r="504" spans="1:48" x14ac:dyDescent="0.4">
      <c r="A504">
        <v>1525008013</v>
      </c>
      <c r="B504">
        <v>1525008012</v>
      </c>
      <c r="C504" t="str">
        <f>T("[e북]귀수 (외전)")</f>
        <v>[e북]귀수 (외전)</v>
      </c>
      <c r="D504" t="str">
        <f>T("3")</f>
        <v>3</v>
      </c>
      <c r="E504" t="str">
        <f>T("키도")</f>
        <v>키도</v>
      </c>
      <c r="H504" t="str">
        <f>T("블러쉬")</f>
        <v>블러쉬</v>
      </c>
      <c r="I504" t="str">
        <f>T("[e북]귀수")</f>
        <v>[e북]귀수</v>
      </c>
      <c r="J504">
        <v>400</v>
      </c>
      <c r="K504">
        <v>400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400</v>
      </c>
      <c r="AH504">
        <v>1</v>
      </c>
      <c r="AI504">
        <v>0</v>
      </c>
      <c r="AJ504">
        <v>0</v>
      </c>
      <c r="AK504">
        <v>400</v>
      </c>
      <c r="AL504">
        <v>0</v>
      </c>
      <c r="AM504">
        <v>0</v>
      </c>
      <c r="AN504">
        <v>0</v>
      </c>
      <c r="AO504">
        <v>0</v>
      </c>
      <c r="AP504" s="2">
        <v>280</v>
      </c>
      <c r="AR504" t="str">
        <f>T("0000000000000")</f>
        <v>0000000000000</v>
      </c>
      <c r="AT504" t="str">
        <f>T("9791166481116")</f>
        <v>9791166481116</v>
      </c>
      <c r="AV504" t="str">
        <f>T("BL 소설 e북 &gt; 역사/시대물")</f>
        <v>BL 소설 e북 &gt; 역사/시대물</v>
      </c>
    </row>
    <row r="505" spans="1:48" x14ac:dyDescent="0.4">
      <c r="A505">
        <v>1525004030</v>
      </c>
      <c r="B505">
        <v>1525004207</v>
      </c>
      <c r="C505" t="str">
        <f>T("회귀의 전설 178화")</f>
        <v>회귀의 전설 178화</v>
      </c>
      <c r="D505" t="str">
        <f>T("178")</f>
        <v>178</v>
      </c>
      <c r="E505" t="str">
        <f t="shared" ref="E505:E518" si="62">T("김광수")</f>
        <v>김광수</v>
      </c>
      <c r="H505" t="str">
        <f t="shared" ref="H505:H518" si="63">T("스토리위즈")</f>
        <v>스토리위즈</v>
      </c>
      <c r="I505" t="str">
        <f t="shared" ref="I505:I518" si="64">T("회귀의 전설")</f>
        <v>회귀의 전설</v>
      </c>
      <c r="J505">
        <v>100</v>
      </c>
      <c r="K505">
        <v>400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400</v>
      </c>
      <c r="AH505">
        <v>4</v>
      </c>
      <c r="AI505">
        <v>0</v>
      </c>
      <c r="AJ505">
        <v>0</v>
      </c>
      <c r="AK505">
        <v>400</v>
      </c>
      <c r="AL505">
        <v>0</v>
      </c>
      <c r="AM505">
        <v>0</v>
      </c>
      <c r="AN505">
        <v>0</v>
      </c>
      <c r="AO505">
        <v>0</v>
      </c>
      <c r="AP505" s="2">
        <v>280</v>
      </c>
      <c r="AT505" t="str">
        <f t="shared" ref="AT505:AT518" si="65">T("9788997946006")</f>
        <v>9788997946006</v>
      </c>
      <c r="AV505" t="str">
        <f t="shared" ref="AV505:AV518" si="66">T("판타지 웹소설 &gt; 현대 판타지")</f>
        <v>판타지 웹소설 &gt; 현대 판타지</v>
      </c>
    </row>
    <row r="506" spans="1:48" x14ac:dyDescent="0.4">
      <c r="A506">
        <v>1525004030</v>
      </c>
      <c r="B506">
        <v>1525004160</v>
      </c>
      <c r="C506" t="str">
        <f>T("회귀의 전설 131화")</f>
        <v>회귀의 전설 131화</v>
      </c>
      <c r="D506" t="str">
        <f>T("131")</f>
        <v>131</v>
      </c>
      <c r="E506" t="str">
        <f t="shared" si="62"/>
        <v>김광수</v>
      </c>
      <c r="H506" t="str">
        <f t="shared" si="63"/>
        <v>스토리위즈</v>
      </c>
      <c r="I506" t="str">
        <f t="shared" si="64"/>
        <v>회귀의 전설</v>
      </c>
      <c r="J506">
        <v>100</v>
      </c>
      <c r="K506">
        <v>400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400</v>
      </c>
      <c r="AH506">
        <v>4</v>
      </c>
      <c r="AI506">
        <v>0</v>
      </c>
      <c r="AJ506">
        <v>0</v>
      </c>
      <c r="AK506">
        <v>400</v>
      </c>
      <c r="AL506">
        <v>0</v>
      </c>
      <c r="AM506">
        <v>0</v>
      </c>
      <c r="AN506">
        <v>0</v>
      </c>
      <c r="AO506">
        <v>0</v>
      </c>
      <c r="AP506" s="2">
        <v>280</v>
      </c>
      <c r="AT506" t="str">
        <f t="shared" si="65"/>
        <v>9788997946006</v>
      </c>
      <c r="AV506" t="str">
        <f t="shared" si="66"/>
        <v>판타지 웹소설 &gt; 현대 판타지</v>
      </c>
    </row>
    <row r="507" spans="1:48" x14ac:dyDescent="0.4">
      <c r="A507">
        <v>1525004030</v>
      </c>
      <c r="B507">
        <v>1525004153</v>
      </c>
      <c r="C507" t="str">
        <f>T("회귀의 전설 124화")</f>
        <v>회귀의 전설 124화</v>
      </c>
      <c r="D507" t="str">
        <f>T("124")</f>
        <v>124</v>
      </c>
      <c r="E507" t="str">
        <f t="shared" si="62"/>
        <v>김광수</v>
      </c>
      <c r="H507" t="str">
        <f t="shared" si="63"/>
        <v>스토리위즈</v>
      </c>
      <c r="I507" t="str">
        <f t="shared" si="64"/>
        <v>회귀의 전설</v>
      </c>
      <c r="J507">
        <v>100</v>
      </c>
      <c r="K507">
        <v>400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400</v>
      </c>
      <c r="AH507">
        <v>4</v>
      </c>
      <c r="AI507">
        <v>0</v>
      </c>
      <c r="AJ507">
        <v>0</v>
      </c>
      <c r="AK507">
        <v>400</v>
      </c>
      <c r="AL507">
        <v>0</v>
      </c>
      <c r="AM507">
        <v>0</v>
      </c>
      <c r="AN507">
        <v>0</v>
      </c>
      <c r="AO507">
        <v>0</v>
      </c>
      <c r="AP507" s="2">
        <v>280</v>
      </c>
      <c r="AT507" t="str">
        <f t="shared" si="65"/>
        <v>9788997946006</v>
      </c>
      <c r="AV507" t="str">
        <f t="shared" si="66"/>
        <v>판타지 웹소설 &gt; 현대 판타지</v>
      </c>
    </row>
    <row r="508" spans="1:48" x14ac:dyDescent="0.4">
      <c r="A508">
        <v>1525004030</v>
      </c>
      <c r="B508">
        <v>1525004185</v>
      </c>
      <c r="C508" t="str">
        <f>T("회귀의 전설 156화")</f>
        <v>회귀의 전설 156화</v>
      </c>
      <c r="D508" t="str">
        <f>T("156")</f>
        <v>156</v>
      </c>
      <c r="E508" t="str">
        <f t="shared" si="62"/>
        <v>김광수</v>
      </c>
      <c r="H508" t="str">
        <f t="shared" si="63"/>
        <v>스토리위즈</v>
      </c>
      <c r="I508" t="str">
        <f t="shared" si="64"/>
        <v>회귀의 전설</v>
      </c>
      <c r="J508">
        <v>100</v>
      </c>
      <c r="K508">
        <v>400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400</v>
      </c>
      <c r="AH508">
        <v>4</v>
      </c>
      <c r="AI508">
        <v>0</v>
      </c>
      <c r="AJ508">
        <v>0</v>
      </c>
      <c r="AK508">
        <v>400</v>
      </c>
      <c r="AL508">
        <v>0</v>
      </c>
      <c r="AM508">
        <v>0</v>
      </c>
      <c r="AN508">
        <v>0</v>
      </c>
      <c r="AO508">
        <v>0</v>
      </c>
      <c r="AP508" s="2">
        <v>280</v>
      </c>
      <c r="AT508" t="str">
        <f t="shared" si="65"/>
        <v>9788997946006</v>
      </c>
      <c r="AV508" t="str">
        <f t="shared" si="66"/>
        <v>판타지 웹소설 &gt; 현대 판타지</v>
      </c>
    </row>
    <row r="509" spans="1:48" x14ac:dyDescent="0.4">
      <c r="A509">
        <v>1525004030</v>
      </c>
      <c r="B509">
        <v>1525004178</v>
      </c>
      <c r="C509" t="str">
        <f>T("회귀의 전설 149화")</f>
        <v>회귀의 전설 149화</v>
      </c>
      <c r="D509" t="str">
        <f>T("149")</f>
        <v>149</v>
      </c>
      <c r="E509" t="str">
        <f t="shared" si="62"/>
        <v>김광수</v>
      </c>
      <c r="H509" t="str">
        <f t="shared" si="63"/>
        <v>스토리위즈</v>
      </c>
      <c r="I509" t="str">
        <f t="shared" si="64"/>
        <v>회귀의 전설</v>
      </c>
      <c r="J509">
        <v>100</v>
      </c>
      <c r="K509">
        <v>400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4</v>
      </c>
      <c r="AI509">
        <v>0</v>
      </c>
      <c r="AJ509">
        <v>0</v>
      </c>
      <c r="AK509">
        <v>400</v>
      </c>
      <c r="AL509">
        <v>0</v>
      </c>
      <c r="AM509">
        <v>0</v>
      </c>
      <c r="AN509">
        <v>0</v>
      </c>
      <c r="AO509">
        <v>0</v>
      </c>
      <c r="AP509" s="2">
        <v>280</v>
      </c>
      <c r="AT509" t="str">
        <f t="shared" si="65"/>
        <v>9788997946006</v>
      </c>
      <c r="AV509" t="str">
        <f t="shared" si="66"/>
        <v>판타지 웹소설 &gt; 현대 판타지</v>
      </c>
    </row>
    <row r="510" spans="1:48" x14ac:dyDescent="0.4">
      <c r="A510">
        <v>1525004030</v>
      </c>
      <c r="B510">
        <v>1525004124</v>
      </c>
      <c r="C510" t="str">
        <f>T("회귀의 전설 95화")</f>
        <v>회귀의 전설 95화</v>
      </c>
      <c r="D510" t="str">
        <f>T("95")</f>
        <v>95</v>
      </c>
      <c r="E510" t="str">
        <f t="shared" si="62"/>
        <v>김광수</v>
      </c>
      <c r="H510" t="str">
        <f t="shared" si="63"/>
        <v>스토리위즈</v>
      </c>
      <c r="I510" t="str">
        <f t="shared" si="64"/>
        <v>회귀의 전설</v>
      </c>
      <c r="J510">
        <v>100</v>
      </c>
      <c r="K510">
        <v>400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400</v>
      </c>
      <c r="AH510">
        <v>4</v>
      </c>
      <c r="AI510">
        <v>0</v>
      </c>
      <c r="AJ510">
        <v>0</v>
      </c>
      <c r="AK510">
        <v>400</v>
      </c>
      <c r="AL510">
        <v>0</v>
      </c>
      <c r="AM510">
        <v>0</v>
      </c>
      <c r="AN510">
        <v>0</v>
      </c>
      <c r="AO510">
        <v>0</v>
      </c>
      <c r="AP510" s="2">
        <v>280</v>
      </c>
      <c r="AT510" t="str">
        <f t="shared" si="65"/>
        <v>9788997946006</v>
      </c>
      <c r="AV510" t="str">
        <f t="shared" si="66"/>
        <v>판타지 웹소설 &gt; 현대 판타지</v>
      </c>
    </row>
    <row r="511" spans="1:48" x14ac:dyDescent="0.4">
      <c r="A511">
        <v>1525004030</v>
      </c>
      <c r="B511">
        <v>1525004197</v>
      </c>
      <c r="C511" t="str">
        <f>T("회귀의 전설 168화")</f>
        <v>회귀의 전설 168화</v>
      </c>
      <c r="D511" t="str">
        <f>T("168")</f>
        <v>168</v>
      </c>
      <c r="E511" t="str">
        <f t="shared" si="62"/>
        <v>김광수</v>
      </c>
      <c r="H511" t="str">
        <f t="shared" si="63"/>
        <v>스토리위즈</v>
      </c>
      <c r="I511" t="str">
        <f t="shared" si="64"/>
        <v>회귀의 전설</v>
      </c>
      <c r="J511">
        <v>100</v>
      </c>
      <c r="K511">
        <v>400</v>
      </c>
      <c r="L511">
        <v>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400</v>
      </c>
      <c r="AH511">
        <v>4</v>
      </c>
      <c r="AI511">
        <v>0</v>
      </c>
      <c r="AJ511">
        <v>0</v>
      </c>
      <c r="AK511">
        <v>400</v>
      </c>
      <c r="AL511">
        <v>0</v>
      </c>
      <c r="AM511">
        <v>0</v>
      </c>
      <c r="AN511">
        <v>0</v>
      </c>
      <c r="AO511">
        <v>0</v>
      </c>
      <c r="AP511" s="2">
        <v>280</v>
      </c>
      <c r="AT511" t="str">
        <f t="shared" si="65"/>
        <v>9788997946006</v>
      </c>
      <c r="AV511" t="str">
        <f t="shared" si="66"/>
        <v>판타지 웹소설 &gt; 현대 판타지</v>
      </c>
    </row>
    <row r="512" spans="1:48" x14ac:dyDescent="0.4">
      <c r="A512">
        <v>1525004030</v>
      </c>
      <c r="B512">
        <v>1525004175</v>
      </c>
      <c r="C512" t="str">
        <f>T("회귀의 전설 146화")</f>
        <v>회귀의 전설 146화</v>
      </c>
      <c r="D512" t="str">
        <f>T("146")</f>
        <v>146</v>
      </c>
      <c r="E512" t="str">
        <f t="shared" si="62"/>
        <v>김광수</v>
      </c>
      <c r="H512" t="str">
        <f t="shared" si="63"/>
        <v>스토리위즈</v>
      </c>
      <c r="I512" t="str">
        <f t="shared" si="64"/>
        <v>회귀의 전설</v>
      </c>
      <c r="J512">
        <v>100</v>
      </c>
      <c r="K512">
        <v>400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4</v>
      </c>
      <c r="AI512">
        <v>0</v>
      </c>
      <c r="AJ512">
        <v>0</v>
      </c>
      <c r="AK512">
        <v>400</v>
      </c>
      <c r="AL512">
        <v>0</v>
      </c>
      <c r="AM512">
        <v>0</v>
      </c>
      <c r="AN512">
        <v>0</v>
      </c>
      <c r="AO512">
        <v>0</v>
      </c>
      <c r="AP512" s="2">
        <v>280</v>
      </c>
      <c r="AT512" t="str">
        <f t="shared" si="65"/>
        <v>9788997946006</v>
      </c>
      <c r="AV512" t="str">
        <f t="shared" si="66"/>
        <v>판타지 웹소설 &gt; 현대 판타지</v>
      </c>
    </row>
    <row r="513" spans="1:49" x14ac:dyDescent="0.4">
      <c r="A513">
        <v>1525004030</v>
      </c>
      <c r="B513">
        <v>1525004208</v>
      </c>
      <c r="C513" t="str">
        <f>T("회귀의 전설 179화")</f>
        <v>회귀의 전설 179화</v>
      </c>
      <c r="D513" t="str">
        <f>T("179")</f>
        <v>179</v>
      </c>
      <c r="E513" t="str">
        <f t="shared" si="62"/>
        <v>김광수</v>
      </c>
      <c r="H513" t="str">
        <f t="shared" si="63"/>
        <v>스토리위즈</v>
      </c>
      <c r="I513" t="str">
        <f t="shared" si="64"/>
        <v>회귀의 전설</v>
      </c>
      <c r="J513">
        <v>100</v>
      </c>
      <c r="K513">
        <v>400</v>
      </c>
      <c r="L513">
        <v>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400</v>
      </c>
      <c r="AH513">
        <v>4</v>
      </c>
      <c r="AI513">
        <v>0</v>
      </c>
      <c r="AJ513">
        <v>0</v>
      </c>
      <c r="AK513">
        <v>400</v>
      </c>
      <c r="AL513">
        <v>0</v>
      </c>
      <c r="AM513">
        <v>0</v>
      </c>
      <c r="AN513">
        <v>0</v>
      </c>
      <c r="AO513">
        <v>0</v>
      </c>
      <c r="AP513" s="2">
        <v>280</v>
      </c>
      <c r="AT513" t="str">
        <f t="shared" si="65"/>
        <v>9788997946006</v>
      </c>
      <c r="AV513" t="str">
        <f t="shared" si="66"/>
        <v>판타지 웹소설 &gt; 현대 판타지</v>
      </c>
    </row>
    <row r="514" spans="1:49" x14ac:dyDescent="0.4">
      <c r="A514">
        <v>1525004030</v>
      </c>
      <c r="B514">
        <v>1525004168</v>
      </c>
      <c r="C514" t="str">
        <f>T("회귀의 전설 139화")</f>
        <v>회귀의 전설 139화</v>
      </c>
      <c r="D514" t="str">
        <f>T("139")</f>
        <v>139</v>
      </c>
      <c r="E514" t="str">
        <f t="shared" si="62"/>
        <v>김광수</v>
      </c>
      <c r="H514" t="str">
        <f t="shared" si="63"/>
        <v>스토리위즈</v>
      </c>
      <c r="I514" t="str">
        <f t="shared" si="64"/>
        <v>회귀의 전설</v>
      </c>
      <c r="J514">
        <v>100</v>
      </c>
      <c r="K514">
        <v>400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4</v>
      </c>
      <c r="AI514">
        <v>0</v>
      </c>
      <c r="AJ514">
        <v>0</v>
      </c>
      <c r="AK514">
        <v>400</v>
      </c>
      <c r="AL514">
        <v>0</v>
      </c>
      <c r="AM514">
        <v>0</v>
      </c>
      <c r="AN514">
        <v>0</v>
      </c>
      <c r="AO514">
        <v>0</v>
      </c>
      <c r="AP514" s="2">
        <v>280</v>
      </c>
      <c r="AT514" t="str">
        <f t="shared" si="65"/>
        <v>9788997946006</v>
      </c>
      <c r="AV514" t="str">
        <f t="shared" si="66"/>
        <v>판타지 웹소설 &gt; 현대 판타지</v>
      </c>
    </row>
    <row r="515" spans="1:49" x14ac:dyDescent="0.4">
      <c r="A515">
        <v>1525004030</v>
      </c>
      <c r="B515">
        <v>1525004128</v>
      </c>
      <c r="C515" t="str">
        <f>T("회귀의 전설 99화")</f>
        <v>회귀의 전설 99화</v>
      </c>
      <c r="D515" t="str">
        <f>T("99")</f>
        <v>99</v>
      </c>
      <c r="E515" t="str">
        <f t="shared" si="62"/>
        <v>김광수</v>
      </c>
      <c r="H515" t="str">
        <f t="shared" si="63"/>
        <v>스토리위즈</v>
      </c>
      <c r="I515" t="str">
        <f t="shared" si="64"/>
        <v>회귀의 전설</v>
      </c>
      <c r="J515">
        <v>100</v>
      </c>
      <c r="K515">
        <v>400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400</v>
      </c>
      <c r="AH515">
        <v>4</v>
      </c>
      <c r="AI515">
        <v>0</v>
      </c>
      <c r="AJ515">
        <v>0</v>
      </c>
      <c r="AK515">
        <v>400</v>
      </c>
      <c r="AL515">
        <v>0</v>
      </c>
      <c r="AM515">
        <v>0</v>
      </c>
      <c r="AN515">
        <v>0</v>
      </c>
      <c r="AO515">
        <v>0</v>
      </c>
      <c r="AP515" s="2">
        <v>280</v>
      </c>
      <c r="AT515" t="str">
        <f t="shared" si="65"/>
        <v>9788997946006</v>
      </c>
      <c r="AV515" t="str">
        <f t="shared" si="66"/>
        <v>판타지 웹소설 &gt; 현대 판타지</v>
      </c>
    </row>
    <row r="516" spans="1:49" x14ac:dyDescent="0.4">
      <c r="A516">
        <v>1525004030</v>
      </c>
      <c r="B516">
        <v>1525004161</v>
      </c>
      <c r="C516" t="str">
        <f>T("회귀의 전설 132화")</f>
        <v>회귀의 전설 132화</v>
      </c>
      <c r="D516" t="str">
        <f>T("132")</f>
        <v>132</v>
      </c>
      <c r="E516" t="str">
        <f t="shared" si="62"/>
        <v>김광수</v>
      </c>
      <c r="H516" t="str">
        <f t="shared" si="63"/>
        <v>스토리위즈</v>
      </c>
      <c r="I516" t="str">
        <f t="shared" si="64"/>
        <v>회귀의 전설</v>
      </c>
      <c r="J516">
        <v>100</v>
      </c>
      <c r="K516">
        <v>400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400</v>
      </c>
      <c r="AH516">
        <v>4</v>
      </c>
      <c r="AI516">
        <v>0</v>
      </c>
      <c r="AJ516">
        <v>0</v>
      </c>
      <c r="AK516">
        <v>400</v>
      </c>
      <c r="AL516">
        <v>0</v>
      </c>
      <c r="AM516">
        <v>0</v>
      </c>
      <c r="AN516">
        <v>0</v>
      </c>
      <c r="AO516">
        <v>0</v>
      </c>
      <c r="AP516" s="2">
        <v>280</v>
      </c>
      <c r="AT516" t="str">
        <f t="shared" si="65"/>
        <v>9788997946006</v>
      </c>
      <c r="AV516" t="str">
        <f t="shared" si="66"/>
        <v>판타지 웹소설 &gt; 현대 판타지</v>
      </c>
    </row>
    <row r="517" spans="1:49" x14ac:dyDescent="0.4">
      <c r="A517">
        <v>1525004030</v>
      </c>
      <c r="B517">
        <v>1525004186</v>
      </c>
      <c r="C517" t="str">
        <f>T("회귀의 전설 157화")</f>
        <v>회귀의 전설 157화</v>
      </c>
      <c r="D517" t="str">
        <f>T("157")</f>
        <v>157</v>
      </c>
      <c r="E517" t="str">
        <f t="shared" si="62"/>
        <v>김광수</v>
      </c>
      <c r="H517" t="str">
        <f t="shared" si="63"/>
        <v>스토리위즈</v>
      </c>
      <c r="I517" t="str">
        <f t="shared" si="64"/>
        <v>회귀의 전설</v>
      </c>
      <c r="J517">
        <v>100</v>
      </c>
      <c r="K517">
        <v>400</v>
      </c>
      <c r="L517">
        <v>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400</v>
      </c>
      <c r="AH517">
        <v>4</v>
      </c>
      <c r="AI517">
        <v>0</v>
      </c>
      <c r="AJ517">
        <v>0</v>
      </c>
      <c r="AK517">
        <v>400</v>
      </c>
      <c r="AL517">
        <v>0</v>
      </c>
      <c r="AM517">
        <v>0</v>
      </c>
      <c r="AN517">
        <v>0</v>
      </c>
      <c r="AO517">
        <v>0</v>
      </c>
      <c r="AP517" s="2">
        <v>280</v>
      </c>
      <c r="AT517" t="str">
        <f t="shared" si="65"/>
        <v>9788997946006</v>
      </c>
      <c r="AV517" t="str">
        <f t="shared" si="66"/>
        <v>판타지 웹소설 &gt; 현대 판타지</v>
      </c>
    </row>
    <row r="518" spans="1:49" x14ac:dyDescent="0.4">
      <c r="A518">
        <v>1525004030</v>
      </c>
      <c r="B518">
        <v>1525004059</v>
      </c>
      <c r="C518" t="str">
        <f>T("회귀의 전설 30화")</f>
        <v>회귀의 전설 30화</v>
      </c>
      <c r="D518" t="str">
        <f>T("30")</f>
        <v>30</v>
      </c>
      <c r="E518" t="str">
        <f t="shared" si="62"/>
        <v>김광수</v>
      </c>
      <c r="H518" t="str">
        <f t="shared" si="63"/>
        <v>스토리위즈</v>
      </c>
      <c r="I518" t="str">
        <f t="shared" si="64"/>
        <v>회귀의 전설</v>
      </c>
      <c r="J518">
        <v>100</v>
      </c>
      <c r="K518">
        <v>300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300</v>
      </c>
      <c r="AH518">
        <v>3</v>
      </c>
      <c r="AI518">
        <v>0</v>
      </c>
      <c r="AJ518">
        <v>0</v>
      </c>
      <c r="AK518">
        <v>300</v>
      </c>
      <c r="AL518">
        <v>0</v>
      </c>
      <c r="AM518">
        <v>0</v>
      </c>
      <c r="AN518">
        <v>0</v>
      </c>
      <c r="AO518">
        <v>0</v>
      </c>
      <c r="AP518" s="2">
        <v>210</v>
      </c>
      <c r="AT518" t="str">
        <f t="shared" si="65"/>
        <v>9788997946006</v>
      </c>
      <c r="AV518" t="str">
        <f t="shared" si="66"/>
        <v>판타지 웹소설 &gt; 현대 판타지</v>
      </c>
    </row>
    <row r="519" spans="1:49" x14ac:dyDescent="0.4">
      <c r="A519">
        <v>1525008136</v>
      </c>
      <c r="B519">
        <v>1525008135</v>
      </c>
      <c r="C519" t="str">
        <f>T("[e북]여우비가 내리던 날 (외전)")</f>
        <v>[e북]여우비가 내리던 날 (외전)</v>
      </c>
      <c r="D519" t="str">
        <f>T("3")</f>
        <v>3</v>
      </c>
      <c r="E519" t="str">
        <f>T("키도")</f>
        <v>키도</v>
      </c>
      <c r="H519" t="str">
        <f>T("블러쉬")</f>
        <v>블러쉬</v>
      </c>
      <c r="I519" t="str">
        <f>T("[e북]여우비가 내리던 날")</f>
        <v>[e북]여우비가 내리던 날</v>
      </c>
      <c r="J519">
        <v>300</v>
      </c>
      <c r="K519">
        <v>300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300</v>
      </c>
      <c r="AH519">
        <v>1</v>
      </c>
      <c r="AI519">
        <v>0</v>
      </c>
      <c r="AJ519">
        <v>0</v>
      </c>
      <c r="AK519">
        <v>300</v>
      </c>
      <c r="AL519">
        <v>0</v>
      </c>
      <c r="AM519">
        <v>0</v>
      </c>
      <c r="AN519">
        <v>0</v>
      </c>
      <c r="AO519">
        <v>0</v>
      </c>
      <c r="AP519" s="2">
        <v>210</v>
      </c>
      <c r="AR519" t="str">
        <f>T("0000000000000")</f>
        <v>0000000000000</v>
      </c>
      <c r="AT519" t="str">
        <f>T("9791164899333")</f>
        <v>9791164899333</v>
      </c>
      <c r="AV519" t="str">
        <f>T("BL 소설 e북 &gt; 판타지물")</f>
        <v>BL 소설 e북 &gt; 판타지물</v>
      </c>
      <c r="AW519" t="str">
        <f>T("BL 소설 e북 &gt; 역사/시대물")</f>
        <v>BL 소설 e북 &gt; 역사/시대물</v>
      </c>
    </row>
    <row r="520" spans="1:49" x14ac:dyDescent="0.4">
      <c r="A520">
        <v>1525004030</v>
      </c>
      <c r="B520">
        <v>1525004107</v>
      </c>
      <c r="C520" t="str">
        <f>T("회귀의 전설 78화")</f>
        <v>회귀의 전설 78화</v>
      </c>
      <c r="D520" t="str">
        <f>T("78")</f>
        <v>78</v>
      </c>
      <c r="E520" t="str">
        <f t="shared" ref="E520:E532" si="67">T("김광수")</f>
        <v>김광수</v>
      </c>
      <c r="H520" t="str">
        <f t="shared" ref="H520:H579" si="68">T("스토리위즈")</f>
        <v>스토리위즈</v>
      </c>
      <c r="I520" t="str">
        <f t="shared" ref="I520:I532" si="69">T("회귀의 전설")</f>
        <v>회귀의 전설</v>
      </c>
      <c r="J520">
        <v>100</v>
      </c>
      <c r="K520">
        <v>300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300</v>
      </c>
      <c r="AH520">
        <v>3</v>
      </c>
      <c r="AI520">
        <v>0</v>
      </c>
      <c r="AJ520">
        <v>0</v>
      </c>
      <c r="AK520">
        <v>300</v>
      </c>
      <c r="AL520">
        <v>0</v>
      </c>
      <c r="AM520">
        <v>0</v>
      </c>
      <c r="AN520">
        <v>0</v>
      </c>
      <c r="AO520">
        <v>0</v>
      </c>
      <c r="AP520" s="2">
        <v>210</v>
      </c>
      <c r="AT520" t="str">
        <f>T("9788997946006")</f>
        <v>9788997946006</v>
      </c>
      <c r="AV520" t="str">
        <f t="shared" ref="AV520:AV579" si="70">T("판타지 웹소설 &gt; 현대 판타지")</f>
        <v>판타지 웹소설 &gt; 현대 판타지</v>
      </c>
    </row>
    <row r="521" spans="1:49" x14ac:dyDescent="0.4">
      <c r="A521">
        <v>1525004030</v>
      </c>
      <c r="B521">
        <v>1525004259</v>
      </c>
      <c r="C521" t="str">
        <f>T("회귀의 전설 230화")</f>
        <v>회귀의 전설 230화</v>
      </c>
      <c r="D521" t="str">
        <f>T("230")</f>
        <v>230</v>
      </c>
      <c r="E521" t="str">
        <f t="shared" si="67"/>
        <v>김광수</v>
      </c>
      <c r="H521" t="str">
        <f t="shared" si="68"/>
        <v>스토리위즈</v>
      </c>
      <c r="I521" t="str">
        <f t="shared" si="69"/>
        <v>회귀의 전설</v>
      </c>
      <c r="J521">
        <v>100</v>
      </c>
      <c r="K521">
        <v>300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300</v>
      </c>
      <c r="AH521">
        <v>3</v>
      </c>
      <c r="AI521">
        <v>0</v>
      </c>
      <c r="AJ521">
        <v>0</v>
      </c>
      <c r="AK521">
        <v>300</v>
      </c>
      <c r="AL521">
        <v>0</v>
      </c>
      <c r="AM521">
        <v>0</v>
      </c>
      <c r="AN521">
        <v>0</v>
      </c>
      <c r="AO521">
        <v>0</v>
      </c>
      <c r="AP521" s="2">
        <v>210</v>
      </c>
      <c r="AT521" t="str">
        <f>T("9788997946006")</f>
        <v>9788997946006</v>
      </c>
      <c r="AV521" t="str">
        <f t="shared" si="70"/>
        <v>판타지 웹소설 &gt; 현대 판타지</v>
      </c>
    </row>
    <row r="522" spans="1:49" x14ac:dyDescent="0.4">
      <c r="A522">
        <v>1525004030</v>
      </c>
      <c r="B522">
        <v>1525004219</v>
      </c>
      <c r="C522" t="str">
        <f>T("회귀의 전설 190화")</f>
        <v>회귀의 전설 190화</v>
      </c>
      <c r="D522" t="str">
        <f>T("190")</f>
        <v>190</v>
      </c>
      <c r="E522" t="str">
        <f t="shared" si="67"/>
        <v>김광수</v>
      </c>
      <c r="H522" t="str">
        <f t="shared" si="68"/>
        <v>스토리위즈</v>
      </c>
      <c r="I522" t="str">
        <f t="shared" si="69"/>
        <v>회귀의 전설</v>
      </c>
      <c r="J522">
        <v>100</v>
      </c>
      <c r="K522">
        <v>300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300</v>
      </c>
      <c r="AH522">
        <v>3</v>
      </c>
      <c r="AI522">
        <v>0</v>
      </c>
      <c r="AJ522">
        <v>0</v>
      </c>
      <c r="AK522">
        <v>220</v>
      </c>
      <c r="AL522">
        <v>0</v>
      </c>
      <c r="AM522">
        <v>80</v>
      </c>
      <c r="AN522">
        <v>0</v>
      </c>
      <c r="AO522">
        <v>0</v>
      </c>
      <c r="AP522" s="2">
        <v>210</v>
      </c>
      <c r="AT522" t="str">
        <f>T("9788997946006")</f>
        <v>9788997946006</v>
      </c>
      <c r="AV522" t="str">
        <f t="shared" si="70"/>
        <v>판타지 웹소설 &gt; 현대 판타지</v>
      </c>
    </row>
    <row r="523" spans="1:49" x14ac:dyDescent="0.4">
      <c r="A523">
        <v>1525004030</v>
      </c>
      <c r="B523">
        <v>1525004212</v>
      </c>
      <c r="C523" t="str">
        <f>T("회귀의 전설 183화")</f>
        <v>회귀의 전설 183화</v>
      </c>
      <c r="D523" t="str">
        <f>T("183")</f>
        <v>183</v>
      </c>
      <c r="E523" t="str">
        <f t="shared" si="67"/>
        <v>김광수</v>
      </c>
      <c r="H523" t="str">
        <f t="shared" si="68"/>
        <v>스토리위즈</v>
      </c>
      <c r="I523" t="str">
        <f t="shared" si="69"/>
        <v>회귀의 전설</v>
      </c>
      <c r="J523">
        <v>100</v>
      </c>
      <c r="K523">
        <v>300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300</v>
      </c>
      <c r="AH523">
        <v>3</v>
      </c>
      <c r="AI523">
        <v>0</v>
      </c>
      <c r="AJ523">
        <v>0</v>
      </c>
      <c r="AK523">
        <v>300</v>
      </c>
      <c r="AL523">
        <v>0</v>
      </c>
      <c r="AM523">
        <v>0</v>
      </c>
      <c r="AN523">
        <v>0</v>
      </c>
      <c r="AO523">
        <v>0</v>
      </c>
      <c r="AP523" s="2">
        <v>210</v>
      </c>
      <c r="AT523" t="str">
        <f>T("9788997946006")</f>
        <v>9788997946006</v>
      </c>
      <c r="AV523" t="str">
        <f t="shared" si="70"/>
        <v>판타지 웹소설 &gt; 현대 판타지</v>
      </c>
    </row>
    <row r="524" spans="1:49" x14ac:dyDescent="0.4">
      <c r="A524">
        <v>1525004030</v>
      </c>
      <c r="B524">
        <v>1525006743</v>
      </c>
      <c r="C524" t="str">
        <f>T("회귀의 전설 2부 626화")</f>
        <v>회귀의 전설 2부 626화</v>
      </c>
      <c r="D524" t="str">
        <f>T("626")</f>
        <v>626</v>
      </c>
      <c r="E524" t="str">
        <f t="shared" si="67"/>
        <v>김광수</v>
      </c>
      <c r="H524" t="str">
        <f t="shared" si="68"/>
        <v>스토리위즈</v>
      </c>
      <c r="I524" t="str">
        <f t="shared" si="69"/>
        <v>회귀의 전설</v>
      </c>
      <c r="J524">
        <v>100</v>
      </c>
      <c r="K524">
        <v>300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300</v>
      </c>
      <c r="AH524">
        <v>3</v>
      </c>
      <c r="AI524">
        <v>0</v>
      </c>
      <c r="AJ524">
        <v>0</v>
      </c>
      <c r="AK524">
        <v>300</v>
      </c>
      <c r="AL524">
        <v>0</v>
      </c>
      <c r="AM524">
        <v>0</v>
      </c>
      <c r="AN524">
        <v>0</v>
      </c>
      <c r="AO524">
        <v>0</v>
      </c>
      <c r="AP524" s="2">
        <v>210</v>
      </c>
      <c r="AT524" t="str">
        <f>T("9791191102086")</f>
        <v>9791191102086</v>
      </c>
      <c r="AV524" t="str">
        <f t="shared" si="70"/>
        <v>판타지 웹소설 &gt; 현대 판타지</v>
      </c>
    </row>
    <row r="525" spans="1:49" x14ac:dyDescent="0.4">
      <c r="A525">
        <v>1525004030</v>
      </c>
      <c r="B525">
        <v>1525006775</v>
      </c>
      <c r="C525" t="str">
        <f>T("회귀의 전설 2부 658화")</f>
        <v>회귀의 전설 2부 658화</v>
      </c>
      <c r="D525" t="str">
        <f>T("658")</f>
        <v>658</v>
      </c>
      <c r="E525" t="str">
        <f t="shared" si="67"/>
        <v>김광수</v>
      </c>
      <c r="H525" t="str">
        <f t="shared" si="68"/>
        <v>스토리위즈</v>
      </c>
      <c r="I525" t="str">
        <f t="shared" si="69"/>
        <v>회귀의 전설</v>
      </c>
      <c r="J525">
        <v>100</v>
      </c>
      <c r="K525">
        <v>300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300</v>
      </c>
      <c r="AH525">
        <v>3</v>
      </c>
      <c r="AI525">
        <v>0</v>
      </c>
      <c r="AJ525">
        <v>0</v>
      </c>
      <c r="AK525">
        <v>300</v>
      </c>
      <c r="AL525">
        <v>0</v>
      </c>
      <c r="AM525">
        <v>0</v>
      </c>
      <c r="AN525">
        <v>0</v>
      </c>
      <c r="AO525">
        <v>0</v>
      </c>
      <c r="AP525" s="2">
        <v>210</v>
      </c>
      <c r="AT525" t="str">
        <f>T("9791191102086")</f>
        <v>9791191102086</v>
      </c>
      <c r="AV525" t="str">
        <f t="shared" si="70"/>
        <v>판타지 웹소설 &gt; 현대 판타지</v>
      </c>
    </row>
    <row r="526" spans="1:49" x14ac:dyDescent="0.4">
      <c r="A526">
        <v>1525004030</v>
      </c>
      <c r="B526">
        <v>1525004237</v>
      </c>
      <c r="C526" t="str">
        <f>T("회귀의 전설 208화")</f>
        <v>회귀의 전설 208화</v>
      </c>
      <c r="D526" t="str">
        <f>T("208")</f>
        <v>208</v>
      </c>
      <c r="E526" t="str">
        <f t="shared" si="67"/>
        <v>김광수</v>
      </c>
      <c r="H526" t="str">
        <f t="shared" si="68"/>
        <v>스토리위즈</v>
      </c>
      <c r="I526" t="str">
        <f t="shared" si="69"/>
        <v>회귀의 전설</v>
      </c>
      <c r="J526">
        <v>100</v>
      </c>
      <c r="K526">
        <v>300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300</v>
      </c>
      <c r="AH526">
        <v>3</v>
      </c>
      <c r="AI526">
        <v>0</v>
      </c>
      <c r="AJ526">
        <v>0</v>
      </c>
      <c r="AK526">
        <v>200</v>
      </c>
      <c r="AL526">
        <v>0</v>
      </c>
      <c r="AM526">
        <v>100</v>
      </c>
      <c r="AN526">
        <v>0</v>
      </c>
      <c r="AO526">
        <v>0</v>
      </c>
      <c r="AP526" s="2">
        <v>210</v>
      </c>
      <c r="AT526" t="str">
        <f>T("9788997946006")</f>
        <v>9788997946006</v>
      </c>
      <c r="AV526" t="str">
        <f t="shared" si="70"/>
        <v>판타지 웹소설 &gt; 현대 판타지</v>
      </c>
    </row>
    <row r="527" spans="1:49" x14ac:dyDescent="0.4">
      <c r="A527">
        <v>1525004030</v>
      </c>
      <c r="B527">
        <v>1525006944</v>
      </c>
      <c r="C527" t="str">
        <f>T("회귀의 전설 2부 828화")</f>
        <v>회귀의 전설 2부 828화</v>
      </c>
      <c r="D527" t="str">
        <f>T("828")</f>
        <v>828</v>
      </c>
      <c r="E527" t="str">
        <f t="shared" si="67"/>
        <v>김광수</v>
      </c>
      <c r="H527" t="str">
        <f t="shared" si="68"/>
        <v>스토리위즈</v>
      </c>
      <c r="I527" t="str">
        <f t="shared" si="69"/>
        <v>회귀의 전설</v>
      </c>
      <c r="J527">
        <v>100</v>
      </c>
      <c r="K527">
        <v>300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300</v>
      </c>
      <c r="AH527">
        <v>3</v>
      </c>
      <c r="AI527">
        <v>0</v>
      </c>
      <c r="AJ527">
        <v>0</v>
      </c>
      <c r="AK527">
        <v>300</v>
      </c>
      <c r="AL527">
        <v>0</v>
      </c>
      <c r="AM527">
        <v>0</v>
      </c>
      <c r="AN527">
        <v>0</v>
      </c>
      <c r="AO527">
        <v>0</v>
      </c>
      <c r="AP527" s="2">
        <v>210</v>
      </c>
      <c r="AT527" t="str">
        <f>T("9791191102086")</f>
        <v>9791191102086</v>
      </c>
      <c r="AV527" t="str">
        <f t="shared" si="70"/>
        <v>판타지 웹소설 &gt; 현대 판타지</v>
      </c>
    </row>
    <row r="528" spans="1:49" x14ac:dyDescent="0.4">
      <c r="A528">
        <v>1525004030</v>
      </c>
      <c r="B528">
        <v>1525004205</v>
      </c>
      <c r="C528" t="str">
        <f>T("회귀의 전설 176화")</f>
        <v>회귀의 전설 176화</v>
      </c>
      <c r="D528" t="str">
        <f>T("176")</f>
        <v>176</v>
      </c>
      <c r="E528" t="str">
        <f t="shared" si="67"/>
        <v>김광수</v>
      </c>
      <c r="H528" t="str">
        <f t="shared" si="68"/>
        <v>스토리위즈</v>
      </c>
      <c r="I528" t="str">
        <f t="shared" si="69"/>
        <v>회귀의 전설</v>
      </c>
      <c r="J528">
        <v>100</v>
      </c>
      <c r="K528">
        <v>300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300</v>
      </c>
      <c r="AH528">
        <v>3</v>
      </c>
      <c r="AI528">
        <v>0</v>
      </c>
      <c r="AJ528">
        <v>0</v>
      </c>
      <c r="AK528">
        <v>300</v>
      </c>
      <c r="AL528">
        <v>0</v>
      </c>
      <c r="AM528">
        <v>0</v>
      </c>
      <c r="AN528">
        <v>0</v>
      </c>
      <c r="AO528">
        <v>0</v>
      </c>
      <c r="AP528" s="2">
        <v>210</v>
      </c>
      <c r="AT528" t="str">
        <f>T("9788997946006")</f>
        <v>9788997946006</v>
      </c>
      <c r="AV528" t="str">
        <f t="shared" si="70"/>
        <v>판타지 웹소설 &gt; 현대 판타지</v>
      </c>
    </row>
    <row r="529" spans="1:48" x14ac:dyDescent="0.4">
      <c r="A529">
        <v>1525004030</v>
      </c>
      <c r="B529">
        <v>1525004165</v>
      </c>
      <c r="C529" t="str">
        <f>T("회귀의 전설 136화")</f>
        <v>회귀의 전설 136화</v>
      </c>
      <c r="D529" t="str">
        <f>T("136")</f>
        <v>136</v>
      </c>
      <c r="E529" t="str">
        <f t="shared" si="67"/>
        <v>김광수</v>
      </c>
      <c r="H529" t="str">
        <f t="shared" si="68"/>
        <v>스토리위즈</v>
      </c>
      <c r="I529" t="str">
        <f t="shared" si="69"/>
        <v>회귀의 전설</v>
      </c>
      <c r="J529">
        <v>100</v>
      </c>
      <c r="K529">
        <v>300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300</v>
      </c>
      <c r="AH529">
        <v>3</v>
      </c>
      <c r="AI529">
        <v>0</v>
      </c>
      <c r="AJ529">
        <v>0</v>
      </c>
      <c r="AK529">
        <v>300</v>
      </c>
      <c r="AL529">
        <v>0</v>
      </c>
      <c r="AM529">
        <v>0</v>
      </c>
      <c r="AN529">
        <v>0</v>
      </c>
      <c r="AO529">
        <v>0</v>
      </c>
      <c r="AP529" s="2">
        <v>210</v>
      </c>
      <c r="AT529" t="str">
        <f>T("9788997946006")</f>
        <v>9788997946006</v>
      </c>
      <c r="AV529" t="str">
        <f t="shared" si="70"/>
        <v>판타지 웹소설 &gt; 현대 판타지</v>
      </c>
    </row>
    <row r="530" spans="1:48" x14ac:dyDescent="0.4">
      <c r="A530">
        <v>1525004030</v>
      </c>
      <c r="B530">
        <v>1525004125</v>
      </c>
      <c r="C530" t="str">
        <f>T("회귀의 전설 96화")</f>
        <v>회귀의 전설 96화</v>
      </c>
      <c r="D530" t="str">
        <f>T("96")</f>
        <v>96</v>
      </c>
      <c r="E530" t="str">
        <f t="shared" si="67"/>
        <v>김광수</v>
      </c>
      <c r="H530" t="str">
        <f t="shared" si="68"/>
        <v>스토리위즈</v>
      </c>
      <c r="I530" t="str">
        <f t="shared" si="69"/>
        <v>회귀의 전설</v>
      </c>
      <c r="J530">
        <v>100</v>
      </c>
      <c r="K530">
        <v>300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300</v>
      </c>
      <c r="AH530">
        <v>3</v>
      </c>
      <c r="AI530">
        <v>0</v>
      </c>
      <c r="AJ530">
        <v>0</v>
      </c>
      <c r="AK530">
        <v>300</v>
      </c>
      <c r="AL530">
        <v>0</v>
      </c>
      <c r="AM530">
        <v>0</v>
      </c>
      <c r="AN530">
        <v>0</v>
      </c>
      <c r="AO530">
        <v>0</v>
      </c>
      <c r="AP530" s="2">
        <v>210</v>
      </c>
      <c r="AT530" t="str">
        <f>T("9788997946006")</f>
        <v>9788997946006</v>
      </c>
      <c r="AV530" t="str">
        <f t="shared" si="70"/>
        <v>판타지 웹소설 &gt; 현대 판타지</v>
      </c>
    </row>
    <row r="531" spans="1:48" x14ac:dyDescent="0.4">
      <c r="A531">
        <v>1525004030</v>
      </c>
      <c r="B531">
        <v>1525004086</v>
      </c>
      <c r="C531" t="str">
        <f>T("회귀의 전설 57화")</f>
        <v>회귀의 전설 57화</v>
      </c>
      <c r="D531" t="str">
        <f>T("57")</f>
        <v>57</v>
      </c>
      <c r="E531" t="str">
        <f t="shared" si="67"/>
        <v>김광수</v>
      </c>
      <c r="H531" t="str">
        <f t="shared" si="68"/>
        <v>스토리위즈</v>
      </c>
      <c r="I531" t="str">
        <f t="shared" si="69"/>
        <v>회귀의 전설</v>
      </c>
      <c r="J531">
        <v>100</v>
      </c>
      <c r="K531">
        <v>300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300</v>
      </c>
      <c r="AH531">
        <v>3</v>
      </c>
      <c r="AI531">
        <v>0</v>
      </c>
      <c r="AJ531">
        <v>0</v>
      </c>
      <c r="AK531">
        <v>300</v>
      </c>
      <c r="AL531">
        <v>0</v>
      </c>
      <c r="AM531">
        <v>0</v>
      </c>
      <c r="AN531">
        <v>0</v>
      </c>
      <c r="AO531">
        <v>0</v>
      </c>
      <c r="AP531" s="2">
        <v>210</v>
      </c>
      <c r="AT531" t="str">
        <f>T("9788997946006")</f>
        <v>9788997946006</v>
      </c>
      <c r="AV531" t="str">
        <f t="shared" si="70"/>
        <v>판타지 웹소설 &gt; 현대 판타지</v>
      </c>
    </row>
    <row r="532" spans="1:48" x14ac:dyDescent="0.4">
      <c r="A532">
        <v>1525004030</v>
      </c>
      <c r="B532">
        <v>1525004118</v>
      </c>
      <c r="C532" t="str">
        <f>T("회귀의 전설 89화")</f>
        <v>회귀의 전설 89화</v>
      </c>
      <c r="D532" t="str">
        <f>T("89")</f>
        <v>89</v>
      </c>
      <c r="E532" t="str">
        <f t="shared" si="67"/>
        <v>김광수</v>
      </c>
      <c r="H532" t="str">
        <f t="shared" si="68"/>
        <v>스토리위즈</v>
      </c>
      <c r="I532" t="str">
        <f t="shared" si="69"/>
        <v>회귀의 전설</v>
      </c>
      <c r="J532">
        <v>100</v>
      </c>
      <c r="K532">
        <v>300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300</v>
      </c>
      <c r="AH532">
        <v>3</v>
      </c>
      <c r="AI532">
        <v>0</v>
      </c>
      <c r="AJ532">
        <v>0</v>
      </c>
      <c r="AK532">
        <v>300</v>
      </c>
      <c r="AL532">
        <v>0</v>
      </c>
      <c r="AM532">
        <v>0</v>
      </c>
      <c r="AN532">
        <v>0</v>
      </c>
      <c r="AO532">
        <v>0</v>
      </c>
      <c r="AP532" s="2">
        <v>210</v>
      </c>
      <c r="AT532" t="str">
        <f>T("9788997946006")</f>
        <v>9788997946006</v>
      </c>
      <c r="AV532" t="str">
        <f t="shared" si="70"/>
        <v>판타지 웹소설 &gt; 현대 판타지</v>
      </c>
    </row>
    <row r="533" spans="1:48" x14ac:dyDescent="0.4">
      <c r="A533">
        <v>2313011400</v>
      </c>
      <c r="B533">
        <v>1525007575</v>
      </c>
      <c r="C533" t="str">
        <f>T("최종 보스 18권 1화")</f>
        <v>최종 보스 18권 1화</v>
      </c>
      <c r="D533" t="str">
        <f>T("353")</f>
        <v>353</v>
      </c>
      <c r="E533" t="str">
        <f>T("무장")</f>
        <v>무장</v>
      </c>
      <c r="H533" t="str">
        <f t="shared" si="68"/>
        <v>스토리위즈</v>
      </c>
      <c r="I533" t="str">
        <f>T("최종 보스 : 빛을 향해 달리는 그림자")</f>
        <v>최종 보스 : 빛을 향해 달리는 그림자</v>
      </c>
      <c r="J533">
        <v>100</v>
      </c>
      <c r="K533">
        <v>300</v>
      </c>
      <c r="L533">
        <v>3</v>
      </c>
      <c r="M533">
        <v>0</v>
      </c>
      <c r="N533">
        <v>100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400</v>
      </c>
      <c r="AH533">
        <v>4</v>
      </c>
      <c r="AI533">
        <v>0</v>
      </c>
      <c r="AJ533">
        <v>0</v>
      </c>
      <c r="AK533">
        <v>200</v>
      </c>
      <c r="AL533">
        <v>0</v>
      </c>
      <c r="AM533">
        <v>220.41</v>
      </c>
      <c r="AN533">
        <v>-36.119999999999997</v>
      </c>
      <c r="AO533">
        <v>0</v>
      </c>
      <c r="AP533" s="2">
        <v>269</v>
      </c>
      <c r="AT533" t="str">
        <f>T("9791166067563")</f>
        <v>9791166067563</v>
      </c>
      <c r="AV533" t="str">
        <f t="shared" si="70"/>
        <v>판타지 웹소설 &gt; 현대 판타지</v>
      </c>
    </row>
    <row r="534" spans="1:48" x14ac:dyDescent="0.4">
      <c r="A534">
        <v>1525004030</v>
      </c>
      <c r="B534">
        <v>1525006937</v>
      </c>
      <c r="C534" t="str">
        <f>T("회귀의 전설 2부 820화")</f>
        <v>회귀의 전설 2부 820화</v>
      </c>
      <c r="D534" t="str">
        <f>T("820")</f>
        <v>820</v>
      </c>
      <c r="E534" t="str">
        <f t="shared" ref="E534:E566" si="71">T("김광수")</f>
        <v>김광수</v>
      </c>
      <c r="H534" t="str">
        <f t="shared" si="68"/>
        <v>스토리위즈</v>
      </c>
      <c r="I534" t="str">
        <f t="shared" ref="I534:I566" si="72">T("회귀의 전설")</f>
        <v>회귀의 전설</v>
      </c>
      <c r="J534">
        <v>100</v>
      </c>
      <c r="K534">
        <v>300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300</v>
      </c>
      <c r="AH534">
        <v>3</v>
      </c>
      <c r="AI534">
        <v>0</v>
      </c>
      <c r="AJ534">
        <v>0</v>
      </c>
      <c r="AK534">
        <v>300</v>
      </c>
      <c r="AL534">
        <v>0</v>
      </c>
      <c r="AM534">
        <v>0</v>
      </c>
      <c r="AN534">
        <v>0</v>
      </c>
      <c r="AO534">
        <v>0</v>
      </c>
      <c r="AP534" s="2">
        <v>210</v>
      </c>
      <c r="AT534" t="str">
        <f>T("9791191102086")</f>
        <v>9791191102086</v>
      </c>
      <c r="AV534" t="str">
        <f t="shared" si="70"/>
        <v>판타지 웹소설 &gt; 현대 판타지</v>
      </c>
    </row>
    <row r="535" spans="1:48" x14ac:dyDescent="0.4">
      <c r="A535">
        <v>1525004030</v>
      </c>
      <c r="B535">
        <v>1525004070</v>
      </c>
      <c r="C535" t="str">
        <f>T("회귀의 전설 41화")</f>
        <v>회귀의 전설 41화</v>
      </c>
      <c r="D535" t="str">
        <f>T("41")</f>
        <v>41</v>
      </c>
      <c r="E535" t="str">
        <f t="shared" si="71"/>
        <v>김광수</v>
      </c>
      <c r="H535" t="str">
        <f t="shared" si="68"/>
        <v>스토리위즈</v>
      </c>
      <c r="I535" t="str">
        <f t="shared" si="72"/>
        <v>회귀의 전설</v>
      </c>
      <c r="J535">
        <v>100</v>
      </c>
      <c r="K535">
        <v>300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300</v>
      </c>
      <c r="AH535">
        <v>3</v>
      </c>
      <c r="AI535">
        <v>0</v>
      </c>
      <c r="AJ535">
        <v>0</v>
      </c>
      <c r="AK535">
        <v>300</v>
      </c>
      <c r="AL535">
        <v>0</v>
      </c>
      <c r="AM535">
        <v>0</v>
      </c>
      <c r="AN535">
        <v>0</v>
      </c>
      <c r="AO535">
        <v>0</v>
      </c>
      <c r="AP535" s="2">
        <v>210</v>
      </c>
      <c r="AT535" t="str">
        <f>T("9788997946006")</f>
        <v>9788997946006</v>
      </c>
      <c r="AV535" t="str">
        <f t="shared" si="70"/>
        <v>판타지 웹소설 &gt; 현대 판타지</v>
      </c>
    </row>
    <row r="536" spans="1:48" x14ac:dyDescent="0.4">
      <c r="A536">
        <v>1525004030</v>
      </c>
      <c r="B536">
        <v>1525004223</v>
      </c>
      <c r="C536" t="str">
        <f>T("회귀의 전설 194화")</f>
        <v>회귀의 전설 194화</v>
      </c>
      <c r="D536" t="str">
        <f>T("194")</f>
        <v>194</v>
      </c>
      <c r="E536" t="str">
        <f t="shared" si="71"/>
        <v>김광수</v>
      </c>
      <c r="H536" t="str">
        <f t="shared" si="68"/>
        <v>스토리위즈</v>
      </c>
      <c r="I536" t="str">
        <f t="shared" si="72"/>
        <v>회귀의 전설</v>
      </c>
      <c r="J536">
        <v>100</v>
      </c>
      <c r="K536">
        <v>300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300</v>
      </c>
      <c r="AH536">
        <v>3</v>
      </c>
      <c r="AI536">
        <v>0</v>
      </c>
      <c r="AJ536">
        <v>0</v>
      </c>
      <c r="AK536">
        <v>200</v>
      </c>
      <c r="AL536">
        <v>0</v>
      </c>
      <c r="AM536">
        <v>100</v>
      </c>
      <c r="AN536">
        <v>0</v>
      </c>
      <c r="AO536">
        <v>0</v>
      </c>
      <c r="AP536" s="2">
        <v>210</v>
      </c>
      <c r="AT536" t="str">
        <f>T("9788997946006")</f>
        <v>9788997946006</v>
      </c>
      <c r="AV536" t="str">
        <f t="shared" si="70"/>
        <v>판타지 웹소설 &gt; 현대 판타지</v>
      </c>
    </row>
    <row r="537" spans="1:48" x14ac:dyDescent="0.4">
      <c r="A537">
        <v>1525004030</v>
      </c>
      <c r="B537">
        <v>1525006930</v>
      </c>
      <c r="C537" t="str">
        <f>T("회귀의 전설 2부 813화")</f>
        <v>회귀의 전설 2부 813화</v>
      </c>
      <c r="D537" t="str">
        <f>T("813")</f>
        <v>813</v>
      </c>
      <c r="E537" t="str">
        <f t="shared" si="71"/>
        <v>김광수</v>
      </c>
      <c r="H537" t="str">
        <f t="shared" si="68"/>
        <v>스토리위즈</v>
      </c>
      <c r="I537" t="str">
        <f t="shared" si="72"/>
        <v>회귀의 전설</v>
      </c>
      <c r="J537">
        <v>100</v>
      </c>
      <c r="K537">
        <v>300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300</v>
      </c>
      <c r="AH537">
        <v>3</v>
      </c>
      <c r="AI537">
        <v>0</v>
      </c>
      <c r="AJ537">
        <v>0</v>
      </c>
      <c r="AK537">
        <v>300</v>
      </c>
      <c r="AL537">
        <v>0</v>
      </c>
      <c r="AM537">
        <v>0</v>
      </c>
      <c r="AN537">
        <v>0</v>
      </c>
      <c r="AO537">
        <v>0</v>
      </c>
      <c r="AP537" s="2">
        <v>210</v>
      </c>
      <c r="AT537" t="str">
        <f>T("9791191102086")</f>
        <v>9791191102086</v>
      </c>
      <c r="AV537" t="str">
        <f t="shared" si="70"/>
        <v>판타지 웹소설 &gt; 현대 판타지</v>
      </c>
    </row>
    <row r="538" spans="1:48" x14ac:dyDescent="0.4">
      <c r="A538">
        <v>1525004030</v>
      </c>
      <c r="B538">
        <v>1525004063</v>
      </c>
      <c r="C538" t="str">
        <f>T("회귀의 전설 34화")</f>
        <v>회귀의 전설 34화</v>
      </c>
      <c r="D538" t="str">
        <f>T("34")</f>
        <v>34</v>
      </c>
      <c r="E538" t="str">
        <f t="shared" si="71"/>
        <v>김광수</v>
      </c>
      <c r="H538" t="str">
        <f t="shared" si="68"/>
        <v>스토리위즈</v>
      </c>
      <c r="I538" t="str">
        <f t="shared" si="72"/>
        <v>회귀의 전설</v>
      </c>
      <c r="J538">
        <v>100</v>
      </c>
      <c r="K538">
        <v>300</v>
      </c>
      <c r="L538">
        <v>3</v>
      </c>
      <c r="M538">
        <v>0</v>
      </c>
      <c r="N538">
        <v>100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4</v>
      </c>
      <c r="AI538">
        <v>0</v>
      </c>
      <c r="AJ538">
        <v>0</v>
      </c>
      <c r="AK538">
        <v>400</v>
      </c>
      <c r="AL538">
        <v>0</v>
      </c>
      <c r="AM538">
        <v>0</v>
      </c>
      <c r="AN538">
        <v>0</v>
      </c>
      <c r="AO538">
        <v>0</v>
      </c>
      <c r="AP538" s="2">
        <v>280</v>
      </c>
      <c r="AT538" t="str">
        <f t="shared" ref="AT538:AT543" si="73">T("9788997946006")</f>
        <v>9788997946006</v>
      </c>
      <c r="AV538" t="str">
        <f t="shared" si="70"/>
        <v>판타지 웹소설 &gt; 현대 판타지</v>
      </c>
    </row>
    <row r="539" spans="1:48" x14ac:dyDescent="0.4">
      <c r="A539">
        <v>1525004030</v>
      </c>
      <c r="B539">
        <v>1525004104</v>
      </c>
      <c r="C539" t="str">
        <f>T("회귀의 전설 75화")</f>
        <v>회귀의 전설 75화</v>
      </c>
      <c r="D539" t="str">
        <f>T("75")</f>
        <v>75</v>
      </c>
      <c r="E539" t="str">
        <f t="shared" si="71"/>
        <v>김광수</v>
      </c>
      <c r="H539" t="str">
        <f t="shared" si="68"/>
        <v>스토리위즈</v>
      </c>
      <c r="I539" t="str">
        <f t="shared" si="72"/>
        <v>회귀의 전설</v>
      </c>
      <c r="J539">
        <v>100</v>
      </c>
      <c r="K539">
        <v>300</v>
      </c>
      <c r="L539">
        <v>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300</v>
      </c>
      <c r="AH539">
        <v>3</v>
      </c>
      <c r="AI539">
        <v>0</v>
      </c>
      <c r="AJ539">
        <v>0</v>
      </c>
      <c r="AK539">
        <v>300</v>
      </c>
      <c r="AL539">
        <v>0</v>
      </c>
      <c r="AM539">
        <v>0</v>
      </c>
      <c r="AN539">
        <v>0</v>
      </c>
      <c r="AO539">
        <v>0</v>
      </c>
      <c r="AP539" s="2">
        <v>210</v>
      </c>
      <c r="AT539" t="str">
        <f t="shared" si="73"/>
        <v>9788997946006</v>
      </c>
      <c r="AV539" t="str">
        <f t="shared" si="70"/>
        <v>판타지 웹소설 &gt; 현대 판타지</v>
      </c>
    </row>
    <row r="540" spans="1:48" x14ac:dyDescent="0.4">
      <c r="A540">
        <v>1525004030</v>
      </c>
      <c r="B540">
        <v>1525004256</v>
      </c>
      <c r="C540" t="str">
        <f>T("회귀의 전설 227화")</f>
        <v>회귀의 전설 227화</v>
      </c>
      <c r="D540" t="str">
        <f>T("227")</f>
        <v>227</v>
      </c>
      <c r="E540" t="str">
        <f t="shared" si="71"/>
        <v>김광수</v>
      </c>
      <c r="H540" t="str">
        <f t="shared" si="68"/>
        <v>스토리위즈</v>
      </c>
      <c r="I540" t="str">
        <f t="shared" si="72"/>
        <v>회귀의 전설</v>
      </c>
      <c r="J540">
        <v>100</v>
      </c>
      <c r="K540">
        <v>300</v>
      </c>
      <c r="L540">
        <v>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300</v>
      </c>
      <c r="AH540">
        <v>3</v>
      </c>
      <c r="AI540">
        <v>0</v>
      </c>
      <c r="AJ540">
        <v>0</v>
      </c>
      <c r="AK540">
        <v>300</v>
      </c>
      <c r="AL540">
        <v>0</v>
      </c>
      <c r="AM540">
        <v>0</v>
      </c>
      <c r="AN540">
        <v>0</v>
      </c>
      <c r="AO540">
        <v>0</v>
      </c>
      <c r="AP540" s="2">
        <v>210</v>
      </c>
      <c r="AT540" t="str">
        <f t="shared" si="73"/>
        <v>9788997946006</v>
      </c>
      <c r="AV540" t="str">
        <f t="shared" si="70"/>
        <v>판타지 웹소설 &gt; 현대 판타지</v>
      </c>
    </row>
    <row r="541" spans="1:48" x14ac:dyDescent="0.4">
      <c r="A541">
        <v>1525004030</v>
      </c>
      <c r="B541">
        <v>1525004216</v>
      </c>
      <c r="C541" t="str">
        <f>T("회귀의 전설 187화")</f>
        <v>회귀의 전설 187화</v>
      </c>
      <c r="D541" t="str">
        <f>T("187")</f>
        <v>187</v>
      </c>
      <c r="E541" t="str">
        <f t="shared" si="71"/>
        <v>김광수</v>
      </c>
      <c r="H541" t="str">
        <f t="shared" si="68"/>
        <v>스토리위즈</v>
      </c>
      <c r="I541" t="str">
        <f t="shared" si="72"/>
        <v>회귀의 전설</v>
      </c>
      <c r="J541">
        <v>100</v>
      </c>
      <c r="K541">
        <v>300</v>
      </c>
      <c r="L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300</v>
      </c>
      <c r="AH541">
        <v>3</v>
      </c>
      <c r="AI541">
        <v>0</v>
      </c>
      <c r="AJ541">
        <v>0</v>
      </c>
      <c r="AK541">
        <v>300</v>
      </c>
      <c r="AL541">
        <v>0</v>
      </c>
      <c r="AM541">
        <v>0</v>
      </c>
      <c r="AN541">
        <v>0</v>
      </c>
      <c r="AO541">
        <v>0</v>
      </c>
      <c r="AP541" s="2">
        <v>210</v>
      </c>
      <c r="AT541" t="str">
        <f t="shared" si="73"/>
        <v>9788997946006</v>
      </c>
      <c r="AV541" t="str">
        <f t="shared" si="70"/>
        <v>판타지 웹소설 &gt; 현대 판타지</v>
      </c>
    </row>
    <row r="542" spans="1:48" x14ac:dyDescent="0.4">
      <c r="A542">
        <v>1525004030</v>
      </c>
      <c r="B542">
        <v>1525004056</v>
      </c>
      <c r="C542" t="str">
        <f>T("회귀의 전설 27화")</f>
        <v>회귀의 전설 27화</v>
      </c>
      <c r="D542" t="str">
        <f>T("27")</f>
        <v>27</v>
      </c>
      <c r="E542" t="str">
        <f t="shared" si="71"/>
        <v>김광수</v>
      </c>
      <c r="H542" t="str">
        <f t="shared" si="68"/>
        <v>스토리위즈</v>
      </c>
      <c r="I542" t="str">
        <f t="shared" si="72"/>
        <v>회귀의 전설</v>
      </c>
      <c r="J542">
        <v>100</v>
      </c>
      <c r="K542">
        <v>300</v>
      </c>
      <c r="L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300</v>
      </c>
      <c r="AH542">
        <v>3</v>
      </c>
      <c r="AI542">
        <v>0</v>
      </c>
      <c r="AJ542">
        <v>0</v>
      </c>
      <c r="AK542">
        <v>300</v>
      </c>
      <c r="AL542">
        <v>0</v>
      </c>
      <c r="AM542">
        <v>0</v>
      </c>
      <c r="AN542">
        <v>0</v>
      </c>
      <c r="AO542">
        <v>0</v>
      </c>
      <c r="AP542" s="2">
        <v>210</v>
      </c>
      <c r="AT542" t="str">
        <f t="shared" si="73"/>
        <v>9788997946006</v>
      </c>
      <c r="AV542" t="str">
        <f t="shared" si="70"/>
        <v>판타지 웹소설 &gt; 현대 판타지</v>
      </c>
    </row>
    <row r="543" spans="1:48" x14ac:dyDescent="0.4">
      <c r="A543">
        <v>1525004030</v>
      </c>
      <c r="B543">
        <v>1525004249</v>
      </c>
      <c r="C543" t="str">
        <f>T("회귀의 전설 220화")</f>
        <v>회귀의 전설 220화</v>
      </c>
      <c r="D543" t="str">
        <f>T("220")</f>
        <v>220</v>
      </c>
      <c r="E543" t="str">
        <f t="shared" si="71"/>
        <v>김광수</v>
      </c>
      <c r="H543" t="str">
        <f t="shared" si="68"/>
        <v>스토리위즈</v>
      </c>
      <c r="I543" t="str">
        <f t="shared" si="72"/>
        <v>회귀의 전설</v>
      </c>
      <c r="J543">
        <v>100</v>
      </c>
      <c r="K543">
        <v>300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300</v>
      </c>
      <c r="AH543">
        <v>3</v>
      </c>
      <c r="AI543">
        <v>0</v>
      </c>
      <c r="AJ543">
        <v>0</v>
      </c>
      <c r="AK543">
        <v>300</v>
      </c>
      <c r="AL543">
        <v>0</v>
      </c>
      <c r="AM543">
        <v>0</v>
      </c>
      <c r="AN543">
        <v>0</v>
      </c>
      <c r="AO543">
        <v>0</v>
      </c>
      <c r="AP543" s="2">
        <v>210</v>
      </c>
      <c r="AT543" t="str">
        <f t="shared" si="73"/>
        <v>9788997946006</v>
      </c>
      <c r="AV543" t="str">
        <f t="shared" si="70"/>
        <v>판타지 웹소설 &gt; 현대 판타지</v>
      </c>
    </row>
    <row r="544" spans="1:48" x14ac:dyDescent="0.4">
      <c r="A544">
        <v>1525004030</v>
      </c>
      <c r="B544">
        <v>1525006772</v>
      </c>
      <c r="C544" t="str">
        <f>T("회귀의 전설 2부 655화")</f>
        <v>회귀의 전설 2부 655화</v>
      </c>
      <c r="D544" t="str">
        <f>T("655")</f>
        <v>655</v>
      </c>
      <c r="E544" t="str">
        <f t="shared" si="71"/>
        <v>김광수</v>
      </c>
      <c r="H544" t="str">
        <f t="shared" si="68"/>
        <v>스토리위즈</v>
      </c>
      <c r="I544" t="str">
        <f t="shared" si="72"/>
        <v>회귀의 전설</v>
      </c>
      <c r="J544">
        <v>100</v>
      </c>
      <c r="K544">
        <v>300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300</v>
      </c>
      <c r="AH544">
        <v>3</v>
      </c>
      <c r="AI544">
        <v>0</v>
      </c>
      <c r="AJ544">
        <v>0</v>
      </c>
      <c r="AK544">
        <v>300</v>
      </c>
      <c r="AL544">
        <v>0</v>
      </c>
      <c r="AM544">
        <v>0</v>
      </c>
      <c r="AN544">
        <v>0</v>
      </c>
      <c r="AO544">
        <v>0</v>
      </c>
      <c r="AP544" s="2">
        <v>210</v>
      </c>
      <c r="AT544" t="str">
        <f>T("9791191102086")</f>
        <v>9791191102086</v>
      </c>
      <c r="AV544" t="str">
        <f t="shared" si="70"/>
        <v>판타지 웹소설 &gt; 현대 판타지</v>
      </c>
    </row>
    <row r="545" spans="1:48" x14ac:dyDescent="0.4">
      <c r="A545">
        <v>1525004030</v>
      </c>
      <c r="B545">
        <v>1525006941</v>
      </c>
      <c r="C545" t="str">
        <f>T("회귀의 전설 2부 824화")</f>
        <v>회귀의 전설 2부 824화</v>
      </c>
      <c r="D545" t="str">
        <f>T("824")</f>
        <v>824</v>
      </c>
      <c r="E545" t="str">
        <f t="shared" si="71"/>
        <v>김광수</v>
      </c>
      <c r="H545" t="str">
        <f t="shared" si="68"/>
        <v>스토리위즈</v>
      </c>
      <c r="I545" t="str">
        <f t="shared" si="72"/>
        <v>회귀의 전설</v>
      </c>
      <c r="J545">
        <v>100</v>
      </c>
      <c r="K545">
        <v>300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300</v>
      </c>
      <c r="AH545">
        <v>3</v>
      </c>
      <c r="AI545">
        <v>0</v>
      </c>
      <c r="AJ545">
        <v>0</v>
      </c>
      <c r="AK545">
        <v>300</v>
      </c>
      <c r="AL545">
        <v>0</v>
      </c>
      <c r="AM545">
        <v>0</v>
      </c>
      <c r="AN545">
        <v>0</v>
      </c>
      <c r="AO545">
        <v>0</v>
      </c>
      <c r="AP545" s="2">
        <v>210</v>
      </c>
      <c r="AT545" t="str">
        <f>T("9791191102086")</f>
        <v>9791191102086</v>
      </c>
      <c r="AV545" t="str">
        <f t="shared" si="70"/>
        <v>판타지 웹소설 &gt; 현대 판타지</v>
      </c>
    </row>
    <row r="546" spans="1:48" x14ac:dyDescent="0.4">
      <c r="A546">
        <v>1525004030</v>
      </c>
      <c r="B546">
        <v>1525004074</v>
      </c>
      <c r="C546" t="str">
        <f>T("회귀의 전설 45화")</f>
        <v>회귀의 전설 45화</v>
      </c>
      <c r="D546" t="str">
        <f>T("45")</f>
        <v>45</v>
      </c>
      <c r="E546" t="str">
        <f t="shared" si="71"/>
        <v>김광수</v>
      </c>
      <c r="H546" t="str">
        <f t="shared" si="68"/>
        <v>스토리위즈</v>
      </c>
      <c r="I546" t="str">
        <f t="shared" si="72"/>
        <v>회귀의 전설</v>
      </c>
      <c r="J546">
        <v>100</v>
      </c>
      <c r="K546">
        <v>300</v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300</v>
      </c>
      <c r="AH546">
        <v>3</v>
      </c>
      <c r="AI546">
        <v>0</v>
      </c>
      <c r="AJ546">
        <v>0</v>
      </c>
      <c r="AK546">
        <v>300</v>
      </c>
      <c r="AL546">
        <v>0</v>
      </c>
      <c r="AM546">
        <v>0</v>
      </c>
      <c r="AN546">
        <v>0</v>
      </c>
      <c r="AO546">
        <v>0</v>
      </c>
      <c r="AP546" s="2">
        <v>210</v>
      </c>
      <c r="AT546" t="str">
        <f>T("9788997946006")</f>
        <v>9788997946006</v>
      </c>
      <c r="AV546" t="str">
        <f t="shared" si="70"/>
        <v>판타지 웹소설 &gt; 현대 판타지</v>
      </c>
    </row>
    <row r="547" spans="1:48" x14ac:dyDescent="0.4">
      <c r="A547">
        <v>1525004030</v>
      </c>
      <c r="B547">
        <v>1525004122</v>
      </c>
      <c r="C547" t="str">
        <f>T("회귀의 전설 93화")</f>
        <v>회귀의 전설 93화</v>
      </c>
      <c r="D547" t="str">
        <f>T("93")</f>
        <v>93</v>
      </c>
      <c r="E547" t="str">
        <f t="shared" si="71"/>
        <v>김광수</v>
      </c>
      <c r="H547" t="str">
        <f t="shared" si="68"/>
        <v>스토리위즈</v>
      </c>
      <c r="I547" t="str">
        <f t="shared" si="72"/>
        <v>회귀의 전설</v>
      </c>
      <c r="J547">
        <v>100</v>
      </c>
      <c r="K547">
        <v>300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300</v>
      </c>
      <c r="AH547">
        <v>3</v>
      </c>
      <c r="AI547">
        <v>0</v>
      </c>
      <c r="AJ547">
        <v>0</v>
      </c>
      <c r="AK547">
        <v>300</v>
      </c>
      <c r="AL547">
        <v>0</v>
      </c>
      <c r="AM547">
        <v>0</v>
      </c>
      <c r="AN547">
        <v>0</v>
      </c>
      <c r="AO547">
        <v>0</v>
      </c>
      <c r="AP547" s="2">
        <v>210</v>
      </c>
      <c r="AT547" t="str">
        <f>T("9788997946006")</f>
        <v>9788997946006</v>
      </c>
      <c r="AV547" t="str">
        <f t="shared" si="70"/>
        <v>판타지 웹소설 &gt; 현대 판타지</v>
      </c>
    </row>
    <row r="548" spans="1:48" x14ac:dyDescent="0.4">
      <c r="A548">
        <v>1525004030</v>
      </c>
      <c r="B548">
        <v>1525004234</v>
      </c>
      <c r="C548" t="str">
        <f>T("회귀의 전설 205화")</f>
        <v>회귀의 전설 205화</v>
      </c>
      <c r="D548" t="str">
        <f>T("205")</f>
        <v>205</v>
      </c>
      <c r="E548" t="str">
        <f t="shared" si="71"/>
        <v>김광수</v>
      </c>
      <c r="H548" t="str">
        <f t="shared" si="68"/>
        <v>스토리위즈</v>
      </c>
      <c r="I548" t="str">
        <f t="shared" si="72"/>
        <v>회귀의 전설</v>
      </c>
      <c r="J548">
        <v>100</v>
      </c>
      <c r="K548">
        <v>300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300</v>
      </c>
      <c r="AH548">
        <v>3</v>
      </c>
      <c r="AI548">
        <v>0</v>
      </c>
      <c r="AJ548">
        <v>0</v>
      </c>
      <c r="AK548">
        <v>200</v>
      </c>
      <c r="AL548">
        <v>0</v>
      </c>
      <c r="AM548">
        <v>100</v>
      </c>
      <c r="AN548">
        <v>0</v>
      </c>
      <c r="AO548">
        <v>0</v>
      </c>
      <c r="AP548" s="2">
        <v>210</v>
      </c>
      <c r="AT548" t="str">
        <f>T("9788997946006")</f>
        <v>9788997946006</v>
      </c>
      <c r="AV548" t="str">
        <f t="shared" si="70"/>
        <v>판타지 웹소설 &gt; 현대 판타지</v>
      </c>
    </row>
    <row r="549" spans="1:48" x14ac:dyDescent="0.4">
      <c r="A549">
        <v>1525004030</v>
      </c>
      <c r="B549">
        <v>1525004195</v>
      </c>
      <c r="C549" t="str">
        <f>T("회귀의 전설 166화")</f>
        <v>회귀의 전설 166화</v>
      </c>
      <c r="D549" t="str">
        <f>T("166")</f>
        <v>166</v>
      </c>
      <c r="E549" t="str">
        <f t="shared" si="71"/>
        <v>김광수</v>
      </c>
      <c r="H549" t="str">
        <f t="shared" si="68"/>
        <v>스토리위즈</v>
      </c>
      <c r="I549" t="str">
        <f t="shared" si="72"/>
        <v>회귀의 전설</v>
      </c>
      <c r="J549">
        <v>100</v>
      </c>
      <c r="K549">
        <v>300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300</v>
      </c>
      <c r="AH549">
        <v>3</v>
      </c>
      <c r="AI549">
        <v>0</v>
      </c>
      <c r="AJ549">
        <v>0</v>
      </c>
      <c r="AK549">
        <v>300</v>
      </c>
      <c r="AL549">
        <v>0</v>
      </c>
      <c r="AM549">
        <v>0</v>
      </c>
      <c r="AN549">
        <v>0</v>
      </c>
      <c r="AO549">
        <v>0</v>
      </c>
      <c r="AP549" s="2">
        <v>210</v>
      </c>
      <c r="AT549" t="str">
        <f>T("9788997946006")</f>
        <v>9788997946006</v>
      </c>
      <c r="AV549" t="str">
        <f t="shared" si="70"/>
        <v>판타지 웹소설 &gt; 현대 판타지</v>
      </c>
    </row>
    <row r="550" spans="1:48" x14ac:dyDescent="0.4">
      <c r="A550">
        <v>1525004030</v>
      </c>
      <c r="B550">
        <v>1525006934</v>
      </c>
      <c r="C550" t="str">
        <f>T("회귀의 전설 2부 817화")</f>
        <v>회귀의 전설 2부 817화</v>
      </c>
      <c r="D550" t="str">
        <f>T("817")</f>
        <v>817</v>
      </c>
      <c r="E550" t="str">
        <f t="shared" si="71"/>
        <v>김광수</v>
      </c>
      <c r="H550" t="str">
        <f t="shared" si="68"/>
        <v>스토리위즈</v>
      </c>
      <c r="I550" t="str">
        <f t="shared" si="72"/>
        <v>회귀의 전설</v>
      </c>
      <c r="J550">
        <v>100</v>
      </c>
      <c r="K550">
        <v>300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300</v>
      </c>
      <c r="AH550">
        <v>3</v>
      </c>
      <c r="AI550">
        <v>0</v>
      </c>
      <c r="AJ550">
        <v>0</v>
      </c>
      <c r="AK550">
        <v>300</v>
      </c>
      <c r="AL550">
        <v>0</v>
      </c>
      <c r="AM550">
        <v>0</v>
      </c>
      <c r="AN550">
        <v>0</v>
      </c>
      <c r="AO550">
        <v>0</v>
      </c>
      <c r="AP550" s="2">
        <v>210</v>
      </c>
      <c r="AT550" t="str">
        <f>T("9791191102086")</f>
        <v>9791191102086</v>
      </c>
      <c r="AV550" t="str">
        <f t="shared" si="70"/>
        <v>판타지 웹소설 &gt; 현대 판타지</v>
      </c>
    </row>
    <row r="551" spans="1:48" x14ac:dyDescent="0.4">
      <c r="A551">
        <v>1525004030</v>
      </c>
      <c r="B551">
        <v>1525004067</v>
      </c>
      <c r="C551" t="str">
        <f>T("회귀의 전설 38화")</f>
        <v>회귀의 전설 38화</v>
      </c>
      <c r="D551" t="str">
        <f>T("38")</f>
        <v>38</v>
      </c>
      <c r="E551" t="str">
        <f t="shared" si="71"/>
        <v>김광수</v>
      </c>
      <c r="H551" t="str">
        <f t="shared" si="68"/>
        <v>스토리위즈</v>
      </c>
      <c r="I551" t="str">
        <f t="shared" si="72"/>
        <v>회귀의 전설</v>
      </c>
      <c r="J551">
        <v>100</v>
      </c>
      <c r="K551">
        <v>300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300</v>
      </c>
      <c r="AH551">
        <v>3</v>
      </c>
      <c r="AI551">
        <v>0</v>
      </c>
      <c r="AJ551">
        <v>0</v>
      </c>
      <c r="AK551">
        <v>300</v>
      </c>
      <c r="AL551">
        <v>0</v>
      </c>
      <c r="AM551">
        <v>0</v>
      </c>
      <c r="AN551">
        <v>0</v>
      </c>
      <c r="AO551">
        <v>0</v>
      </c>
      <c r="AP551" s="2">
        <v>210</v>
      </c>
      <c r="AT551" t="str">
        <f>T("9788997946006")</f>
        <v>9788997946006</v>
      </c>
      <c r="AV551" t="str">
        <f t="shared" si="70"/>
        <v>판타지 웹소설 &gt; 현대 판타지</v>
      </c>
    </row>
    <row r="552" spans="1:48" x14ac:dyDescent="0.4">
      <c r="A552">
        <v>1525004030</v>
      </c>
      <c r="B552">
        <v>1525006927</v>
      </c>
      <c r="C552" t="str">
        <f>T("회귀의 전설 2부 810화")</f>
        <v>회귀의 전설 2부 810화</v>
      </c>
      <c r="D552" t="str">
        <f>T("810")</f>
        <v>810</v>
      </c>
      <c r="E552" t="str">
        <f t="shared" si="71"/>
        <v>김광수</v>
      </c>
      <c r="H552" t="str">
        <f t="shared" si="68"/>
        <v>스토리위즈</v>
      </c>
      <c r="I552" t="str">
        <f t="shared" si="72"/>
        <v>회귀의 전설</v>
      </c>
      <c r="J552">
        <v>100</v>
      </c>
      <c r="K552">
        <v>300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300</v>
      </c>
      <c r="AH552">
        <v>3</v>
      </c>
      <c r="AI552">
        <v>0</v>
      </c>
      <c r="AJ552">
        <v>0</v>
      </c>
      <c r="AK552">
        <v>300</v>
      </c>
      <c r="AL552">
        <v>0</v>
      </c>
      <c r="AM552">
        <v>0</v>
      </c>
      <c r="AN552">
        <v>0</v>
      </c>
      <c r="AO552">
        <v>0</v>
      </c>
      <c r="AP552" s="2">
        <v>210</v>
      </c>
      <c r="AT552" t="str">
        <f>T("9791191102086")</f>
        <v>9791191102086</v>
      </c>
      <c r="AV552" t="str">
        <f t="shared" si="70"/>
        <v>판타지 웹소설 &gt; 현대 판타지</v>
      </c>
    </row>
    <row r="553" spans="1:48" x14ac:dyDescent="0.4">
      <c r="A553">
        <v>1525004030</v>
      </c>
      <c r="B553">
        <v>1525004060</v>
      </c>
      <c r="C553" t="str">
        <f>T("회귀의 전설 31화")</f>
        <v>회귀의 전설 31화</v>
      </c>
      <c r="D553" t="str">
        <f>T("31")</f>
        <v>31</v>
      </c>
      <c r="E553" t="str">
        <f t="shared" si="71"/>
        <v>김광수</v>
      </c>
      <c r="H553" t="str">
        <f t="shared" si="68"/>
        <v>스토리위즈</v>
      </c>
      <c r="I553" t="str">
        <f t="shared" si="72"/>
        <v>회귀의 전설</v>
      </c>
      <c r="J553">
        <v>100</v>
      </c>
      <c r="K553">
        <v>300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300</v>
      </c>
      <c r="AH553">
        <v>3</v>
      </c>
      <c r="AI553">
        <v>0</v>
      </c>
      <c r="AJ553">
        <v>0</v>
      </c>
      <c r="AK553">
        <v>300</v>
      </c>
      <c r="AL553">
        <v>0</v>
      </c>
      <c r="AM553">
        <v>0</v>
      </c>
      <c r="AN553">
        <v>0</v>
      </c>
      <c r="AO553">
        <v>0</v>
      </c>
      <c r="AP553" s="2">
        <v>210</v>
      </c>
      <c r="AT553" t="str">
        <f>T("9788997946006")</f>
        <v>9788997946006</v>
      </c>
      <c r="AV553" t="str">
        <f t="shared" si="70"/>
        <v>판타지 웹소설 &gt; 현대 판타지</v>
      </c>
    </row>
    <row r="554" spans="1:48" x14ac:dyDescent="0.4">
      <c r="A554">
        <v>1525004030</v>
      </c>
      <c r="B554">
        <v>1525004076</v>
      </c>
      <c r="C554" t="str">
        <f>T("회귀의 전설 47화")</f>
        <v>회귀의 전설 47화</v>
      </c>
      <c r="D554" t="str">
        <f>T("47")</f>
        <v>47</v>
      </c>
      <c r="E554" t="str">
        <f t="shared" si="71"/>
        <v>김광수</v>
      </c>
      <c r="H554" t="str">
        <f t="shared" si="68"/>
        <v>스토리위즈</v>
      </c>
      <c r="I554" t="str">
        <f t="shared" si="72"/>
        <v>회귀의 전설</v>
      </c>
      <c r="J554">
        <v>100</v>
      </c>
      <c r="K554">
        <v>300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300</v>
      </c>
      <c r="AH554">
        <v>3</v>
      </c>
      <c r="AI554">
        <v>0</v>
      </c>
      <c r="AJ554">
        <v>0</v>
      </c>
      <c r="AK554">
        <v>300</v>
      </c>
      <c r="AL554">
        <v>0</v>
      </c>
      <c r="AM554">
        <v>0</v>
      </c>
      <c r="AN554">
        <v>0</v>
      </c>
      <c r="AO554">
        <v>0</v>
      </c>
      <c r="AP554" s="2">
        <v>210</v>
      </c>
      <c r="AT554" t="str">
        <f>T("9788997946006")</f>
        <v>9788997946006</v>
      </c>
      <c r="AV554" t="str">
        <f t="shared" si="70"/>
        <v>판타지 웹소설 &gt; 현대 판타지</v>
      </c>
    </row>
    <row r="555" spans="1:48" x14ac:dyDescent="0.4">
      <c r="A555">
        <v>1525004030</v>
      </c>
      <c r="B555">
        <v>1525004188</v>
      </c>
      <c r="C555" t="str">
        <f>T("회귀의 전설 159화")</f>
        <v>회귀의 전설 159화</v>
      </c>
      <c r="D555" t="str">
        <f>T("159")</f>
        <v>159</v>
      </c>
      <c r="E555" t="str">
        <f t="shared" si="71"/>
        <v>김광수</v>
      </c>
      <c r="H555" t="str">
        <f t="shared" si="68"/>
        <v>스토리위즈</v>
      </c>
      <c r="I555" t="str">
        <f t="shared" si="72"/>
        <v>회귀의 전설</v>
      </c>
      <c r="J555">
        <v>100</v>
      </c>
      <c r="K555">
        <v>300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300</v>
      </c>
      <c r="AH555">
        <v>3</v>
      </c>
      <c r="AI555">
        <v>0</v>
      </c>
      <c r="AJ555">
        <v>0</v>
      </c>
      <c r="AK555">
        <v>300</v>
      </c>
      <c r="AL555">
        <v>0</v>
      </c>
      <c r="AM555">
        <v>0</v>
      </c>
      <c r="AN555">
        <v>0</v>
      </c>
      <c r="AO555">
        <v>0</v>
      </c>
      <c r="AP555" s="2">
        <v>210</v>
      </c>
      <c r="AT555" t="str">
        <f>T("9788997946006")</f>
        <v>9788997946006</v>
      </c>
      <c r="AV555" t="str">
        <f t="shared" si="70"/>
        <v>판타지 웹소설 &gt; 현대 판타지</v>
      </c>
    </row>
    <row r="556" spans="1:48" x14ac:dyDescent="0.4">
      <c r="A556">
        <v>1525004030</v>
      </c>
      <c r="B556">
        <v>1525006951</v>
      </c>
      <c r="C556" t="str">
        <f>T("회귀의 전설 2부 835화")</f>
        <v>회귀의 전설 2부 835화</v>
      </c>
      <c r="D556" t="str">
        <f>T("835")</f>
        <v>835</v>
      </c>
      <c r="E556" t="str">
        <f t="shared" si="71"/>
        <v>김광수</v>
      </c>
      <c r="H556" t="str">
        <f t="shared" si="68"/>
        <v>스토리위즈</v>
      </c>
      <c r="I556" t="str">
        <f t="shared" si="72"/>
        <v>회귀의 전설</v>
      </c>
      <c r="J556">
        <v>100</v>
      </c>
      <c r="K556">
        <v>300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300</v>
      </c>
      <c r="AH556">
        <v>3</v>
      </c>
      <c r="AI556">
        <v>0</v>
      </c>
      <c r="AJ556">
        <v>0</v>
      </c>
      <c r="AK556">
        <v>300</v>
      </c>
      <c r="AL556">
        <v>0</v>
      </c>
      <c r="AM556">
        <v>0</v>
      </c>
      <c r="AN556">
        <v>0</v>
      </c>
      <c r="AO556">
        <v>0</v>
      </c>
      <c r="AP556" s="2">
        <v>210</v>
      </c>
      <c r="AT556" t="str">
        <f>T("9791191102086")</f>
        <v>9791191102086</v>
      </c>
      <c r="AV556" t="str">
        <f t="shared" si="70"/>
        <v>판타지 웹소설 &gt; 현대 판타지</v>
      </c>
    </row>
    <row r="557" spans="1:48" x14ac:dyDescent="0.4">
      <c r="A557">
        <v>1525004030</v>
      </c>
      <c r="B557">
        <v>1525006776</v>
      </c>
      <c r="C557" t="str">
        <f>T("회귀의 전설 2부 659화")</f>
        <v>회귀의 전설 2부 659화</v>
      </c>
      <c r="D557" t="str">
        <f>T("659")</f>
        <v>659</v>
      </c>
      <c r="E557" t="str">
        <f t="shared" si="71"/>
        <v>김광수</v>
      </c>
      <c r="H557" t="str">
        <f t="shared" si="68"/>
        <v>스토리위즈</v>
      </c>
      <c r="I557" t="str">
        <f t="shared" si="72"/>
        <v>회귀의 전설</v>
      </c>
      <c r="J557">
        <v>100</v>
      </c>
      <c r="K557">
        <v>300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300</v>
      </c>
      <c r="AH557">
        <v>3</v>
      </c>
      <c r="AI557">
        <v>0</v>
      </c>
      <c r="AJ557">
        <v>0</v>
      </c>
      <c r="AK557">
        <v>300</v>
      </c>
      <c r="AL557">
        <v>0</v>
      </c>
      <c r="AM557">
        <v>0</v>
      </c>
      <c r="AN557">
        <v>0</v>
      </c>
      <c r="AO557">
        <v>0</v>
      </c>
      <c r="AP557" s="2">
        <v>210</v>
      </c>
      <c r="AT557" t="str">
        <f>T("9791191102086")</f>
        <v>9791191102086</v>
      </c>
      <c r="AV557" t="str">
        <f t="shared" si="70"/>
        <v>판타지 웹소설 &gt; 현대 판타지</v>
      </c>
    </row>
    <row r="558" spans="1:48" x14ac:dyDescent="0.4">
      <c r="A558">
        <v>1525004030</v>
      </c>
      <c r="B558">
        <v>1525004213</v>
      </c>
      <c r="C558" t="str">
        <f>T("회귀의 전설 184화")</f>
        <v>회귀의 전설 184화</v>
      </c>
      <c r="D558" t="str">
        <f>T("184")</f>
        <v>184</v>
      </c>
      <c r="E558" t="str">
        <f t="shared" si="71"/>
        <v>김광수</v>
      </c>
      <c r="H558" t="str">
        <f t="shared" si="68"/>
        <v>스토리위즈</v>
      </c>
      <c r="I558" t="str">
        <f t="shared" si="72"/>
        <v>회귀의 전설</v>
      </c>
      <c r="J558">
        <v>100</v>
      </c>
      <c r="K558">
        <v>300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300</v>
      </c>
      <c r="AH558">
        <v>3</v>
      </c>
      <c r="AI558">
        <v>0</v>
      </c>
      <c r="AJ558">
        <v>0</v>
      </c>
      <c r="AK558">
        <v>300</v>
      </c>
      <c r="AL558">
        <v>0</v>
      </c>
      <c r="AM558">
        <v>0</v>
      </c>
      <c r="AN558">
        <v>0</v>
      </c>
      <c r="AO558">
        <v>0</v>
      </c>
      <c r="AP558" s="2">
        <v>210</v>
      </c>
      <c r="AT558" t="str">
        <f>T("9788997946006")</f>
        <v>9788997946006</v>
      </c>
      <c r="AV558" t="str">
        <f t="shared" si="70"/>
        <v>판타지 웹소설 &gt; 현대 판타지</v>
      </c>
    </row>
    <row r="559" spans="1:48" x14ac:dyDescent="0.4">
      <c r="A559">
        <v>1525004030</v>
      </c>
      <c r="B559">
        <v>1525004126</v>
      </c>
      <c r="C559" t="str">
        <f>T("회귀의 전설 97화")</f>
        <v>회귀의 전설 97화</v>
      </c>
      <c r="D559" t="str">
        <f>T("97")</f>
        <v>97</v>
      </c>
      <c r="E559" t="str">
        <f t="shared" si="71"/>
        <v>김광수</v>
      </c>
      <c r="H559" t="str">
        <f t="shared" si="68"/>
        <v>스토리위즈</v>
      </c>
      <c r="I559" t="str">
        <f t="shared" si="72"/>
        <v>회귀의 전설</v>
      </c>
      <c r="J559">
        <v>100</v>
      </c>
      <c r="K559">
        <v>300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300</v>
      </c>
      <c r="AH559">
        <v>3</v>
      </c>
      <c r="AI559">
        <v>0</v>
      </c>
      <c r="AJ559">
        <v>0</v>
      </c>
      <c r="AK559">
        <v>300</v>
      </c>
      <c r="AL559">
        <v>0</v>
      </c>
      <c r="AM559">
        <v>0</v>
      </c>
      <c r="AN559">
        <v>0</v>
      </c>
      <c r="AO559">
        <v>0</v>
      </c>
      <c r="AP559" s="2">
        <v>210</v>
      </c>
      <c r="AT559" t="str">
        <f>T("9788997946006")</f>
        <v>9788997946006</v>
      </c>
      <c r="AV559" t="str">
        <f t="shared" si="70"/>
        <v>판타지 웹소설 &gt; 현대 판타지</v>
      </c>
    </row>
    <row r="560" spans="1:48" x14ac:dyDescent="0.4">
      <c r="A560">
        <v>1525004030</v>
      </c>
      <c r="B560">
        <v>1525004238</v>
      </c>
      <c r="C560" t="str">
        <f>T("회귀의 전설 209화")</f>
        <v>회귀의 전설 209화</v>
      </c>
      <c r="D560" t="str">
        <f>T("209")</f>
        <v>209</v>
      </c>
      <c r="E560" t="str">
        <f t="shared" si="71"/>
        <v>김광수</v>
      </c>
      <c r="H560" t="str">
        <f t="shared" si="68"/>
        <v>스토리위즈</v>
      </c>
      <c r="I560" t="str">
        <f t="shared" si="72"/>
        <v>회귀의 전설</v>
      </c>
      <c r="J560">
        <v>100</v>
      </c>
      <c r="K560">
        <v>300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300</v>
      </c>
      <c r="AH560">
        <v>3</v>
      </c>
      <c r="AI560">
        <v>0</v>
      </c>
      <c r="AJ560">
        <v>0</v>
      </c>
      <c r="AK560">
        <v>200</v>
      </c>
      <c r="AL560">
        <v>0</v>
      </c>
      <c r="AM560">
        <v>100</v>
      </c>
      <c r="AN560">
        <v>0</v>
      </c>
      <c r="AO560">
        <v>0</v>
      </c>
      <c r="AP560" s="2">
        <v>210</v>
      </c>
      <c r="AT560" t="str">
        <f>T("9788997946006")</f>
        <v>9788997946006</v>
      </c>
      <c r="AV560" t="str">
        <f t="shared" si="70"/>
        <v>판타지 웹소설 &gt; 현대 판타지</v>
      </c>
    </row>
    <row r="561" spans="1:48" x14ac:dyDescent="0.4">
      <c r="A561">
        <v>1525004030</v>
      </c>
      <c r="B561">
        <v>1525006945</v>
      </c>
      <c r="C561" t="str">
        <f>T("회귀의 전설 2부 829화")</f>
        <v>회귀의 전설 2부 829화</v>
      </c>
      <c r="D561" t="str">
        <f>T("829")</f>
        <v>829</v>
      </c>
      <c r="E561" t="str">
        <f t="shared" si="71"/>
        <v>김광수</v>
      </c>
      <c r="H561" t="str">
        <f t="shared" si="68"/>
        <v>스토리위즈</v>
      </c>
      <c r="I561" t="str">
        <f t="shared" si="72"/>
        <v>회귀의 전설</v>
      </c>
      <c r="J561">
        <v>100</v>
      </c>
      <c r="K561">
        <v>300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300</v>
      </c>
      <c r="AH561">
        <v>3</v>
      </c>
      <c r="AI561">
        <v>0</v>
      </c>
      <c r="AJ561">
        <v>0</v>
      </c>
      <c r="AK561">
        <v>300</v>
      </c>
      <c r="AL561">
        <v>0</v>
      </c>
      <c r="AM561">
        <v>0</v>
      </c>
      <c r="AN561">
        <v>0</v>
      </c>
      <c r="AO561">
        <v>0</v>
      </c>
      <c r="AP561" s="2">
        <v>210</v>
      </c>
      <c r="AT561" t="str">
        <f>T("9791191102086")</f>
        <v>9791191102086</v>
      </c>
      <c r="AV561" t="str">
        <f t="shared" si="70"/>
        <v>판타지 웹소설 &gt; 현대 판타지</v>
      </c>
    </row>
    <row r="562" spans="1:48" x14ac:dyDescent="0.4">
      <c r="A562">
        <v>1525004030</v>
      </c>
      <c r="B562">
        <v>1525004094</v>
      </c>
      <c r="C562" t="str">
        <f>T("회귀의 전설 65화")</f>
        <v>회귀의 전설 65화</v>
      </c>
      <c r="D562" t="str">
        <f>T("65")</f>
        <v>65</v>
      </c>
      <c r="E562" t="str">
        <f t="shared" si="71"/>
        <v>김광수</v>
      </c>
      <c r="H562" t="str">
        <f t="shared" si="68"/>
        <v>스토리위즈</v>
      </c>
      <c r="I562" t="str">
        <f t="shared" si="72"/>
        <v>회귀의 전설</v>
      </c>
      <c r="J562">
        <v>100</v>
      </c>
      <c r="K562">
        <v>300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</v>
      </c>
      <c r="AH562">
        <v>3</v>
      </c>
      <c r="AI562">
        <v>0</v>
      </c>
      <c r="AJ562">
        <v>0</v>
      </c>
      <c r="AK562">
        <v>300</v>
      </c>
      <c r="AL562">
        <v>0</v>
      </c>
      <c r="AM562">
        <v>0</v>
      </c>
      <c r="AN562">
        <v>0</v>
      </c>
      <c r="AO562">
        <v>0</v>
      </c>
      <c r="AP562" s="2">
        <v>210</v>
      </c>
      <c r="AT562" t="str">
        <f>T("9788997946006")</f>
        <v>9788997946006</v>
      </c>
      <c r="AV562" t="str">
        <f t="shared" si="70"/>
        <v>판타지 웹소설 &gt; 현대 판타지</v>
      </c>
    </row>
    <row r="563" spans="1:48" x14ac:dyDescent="0.4">
      <c r="A563">
        <v>1525004030</v>
      </c>
      <c r="B563">
        <v>1525004166</v>
      </c>
      <c r="C563" t="str">
        <f>T("회귀의 전설 137화")</f>
        <v>회귀의 전설 137화</v>
      </c>
      <c r="D563" t="str">
        <f>T("137")</f>
        <v>137</v>
      </c>
      <c r="E563" t="str">
        <f t="shared" si="71"/>
        <v>김광수</v>
      </c>
      <c r="H563" t="str">
        <f t="shared" si="68"/>
        <v>스토리위즈</v>
      </c>
      <c r="I563" t="str">
        <f t="shared" si="72"/>
        <v>회귀의 전설</v>
      </c>
      <c r="J563">
        <v>100</v>
      </c>
      <c r="K563">
        <v>300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300</v>
      </c>
      <c r="AH563">
        <v>3</v>
      </c>
      <c r="AI563">
        <v>0</v>
      </c>
      <c r="AJ563">
        <v>0</v>
      </c>
      <c r="AK563">
        <v>300</v>
      </c>
      <c r="AL563">
        <v>0</v>
      </c>
      <c r="AM563">
        <v>0</v>
      </c>
      <c r="AN563">
        <v>0</v>
      </c>
      <c r="AO563">
        <v>0</v>
      </c>
      <c r="AP563" s="2">
        <v>210</v>
      </c>
      <c r="AT563" t="str">
        <f>T("9788997946006")</f>
        <v>9788997946006</v>
      </c>
      <c r="AV563" t="str">
        <f t="shared" si="70"/>
        <v>판타지 웹소설 &gt; 현대 판타지</v>
      </c>
    </row>
    <row r="564" spans="1:48" x14ac:dyDescent="0.4">
      <c r="A564">
        <v>1525004030</v>
      </c>
      <c r="B564">
        <v>1525004071</v>
      </c>
      <c r="C564" t="str">
        <f>T("회귀의 전설 42화")</f>
        <v>회귀의 전설 42화</v>
      </c>
      <c r="D564" t="str">
        <f>T("42")</f>
        <v>42</v>
      </c>
      <c r="E564" t="str">
        <f t="shared" si="71"/>
        <v>김광수</v>
      </c>
      <c r="H564" t="str">
        <f t="shared" si="68"/>
        <v>스토리위즈</v>
      </c>
      <c r="I564" t="str">
        <f t="shared" si="72"/>
        <v>회귀의 전설</v>
      </c>
      <c r="J564">
        <v>100</v>
      </c>
      <c r="K564">
        <v>300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300</v>
      </c>
      <c r="AH564">
        <v>3</v>
      </c>
      <c r="AI564">
        <v>0</v>
      </c>
      <c r="AJ564">
        <v>0</v>
      </c>
      <c r="AK564">
        <v>300</v>
      </c>
      <c r="AL564">
        <v>0</v>
      </c>
      <c r="AM564">
        <v>0</v>
      </c>
      <c r="AN564">
        <v>0</v>
      </c>
      <c r="AO564">
        <v>0</v>
      </c>
      <c r="AP564" s="2">
        <v>210</v>
      </c>
      <c r="AT564" t="str">
        <f>T("9788997946006")</f>
        <v>9788997946006</v>
      </c>
      <c r="AV564" t="str">
        <f t="shared" si="70"/>
        <v>판타지 웹소설 &gt; 현대 판타지</v>
      </c>
    </row>
    <row r="565" spans="1:48" x14ac:dyDescent="0.4">
      <c r="A565">
        <v>1525004030</v>
      </c>
      <c r="B565">
        <v>1525004199</v>
      </c>
      <c r="C565" t="str">
        <f>T("회귀의 전설 170화")</f>
        <v>회귀의 전설 170화</v>
      </c>
      <c r="D565" t="str">
        <f>T("170")</f>
        <v>170</v>
      </c>
      <c r="E565" t="str">
        <f t="shared" si="71"/>
        <v>김광수</v>
      </c>
      <c r="H565" t="str">
        <f t="shared" si="68"/>
        <v>스토리위즈</v>
      </c>
      <c r="I565" t="str">
        <f t="shared" si="72"/>
        <v>회귀의 전설</v>
      </c>
      <c r="J565">
        <v>100</v>
      </c>
      <c r="K565">
        <v>300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300</v>
      </c>
      <c r="AH565">
        <v>3</v>
      </c>
      <c r="AI565">
        <v>0</v>
      </c>
      <c r="AJ565">
        <v>0</v>
      </c>
      <c r="AK565">
        <v>300</v>
      </c>
      <c r="AL565">
        <v>0</v>
      </c>
      <c r="AM565">
        <v>0</v>
      </c>
      <c r="AN565">
        <v>0</v>
      </c>
      <c r="AO565">
        <v>0</v>
      </c>
      <c r="AP565" s="2">
        <v>210</v>
      </c>
      <c r="AT565" t="str">
        <f>T("9788997946006")</f>
        <v>9788997946006</v>
      </c>
      <c r="AV565" t="str">
        <f t="shared" si="70"/>
        <v>판타지 웹소설 &gt; 현대 판타지</v>
      </c>
    </row>
    <row r="566" spans="1:48" x14ac:dyDescent="0.4">
      <c r="A566">
        <v>1525004030</v>
      </c>
      <c r="B566">
        <v>1525004159</v>
      </c>
      <c r="C566" t="str">
        <f>T("회귀의 전설 130화")</f>
        <v>회귀의 전설 130화</v>
      </c>
      <c r="D566" t="str">
        <f>T("130")</f>
        <v>130</v>
      </c>
      <c r="E566" t="str">
        <f t="shared" si="71"/>
        <v>김광수</v>
      </c>
      <c r="H566" t="str">
        <f t="shared" si="68"/>
        <v>스토리위즈</v>
      </c>
      <c r="I566" t="str">
        <f t="shared" si="72"/>
        <v>회귀의 전설</v>
      </c>
      <c r="J566">
        <v>100</v>
      </c>
      <c r="K566">
        <v>300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300</v>
      </c>
      <c r="AH566">
        <v>3</v>
      </c>
      <c r="AI566">
        <v>0</v>
      </c>
      <c r="AJ566">
        <v>0</v>
      </c>
      <c r="AK566">
        <v>300</v>
      </c>
      <c r="AL566">
        <v>0</v>
      </c>
      <c r="AM566">
        <v>0</v>
      </c>
      <c r="AN566">
        <v>0</v>
      </c>
      <c r="AO566">
        <v>0</v>
      </c>
      <c r="AP566" s="2">
        <v>210</v>
      </c>
      <c r="AT566" t="str">
        <f>T("9788997946006")</f>
        <v>9788997946006</v>
      </c>
      <c r="AV566" t="str">
        <f t="shared" si="70"/>
        <v>판타지 웹소설 &gt; 현대 판타지</v>
      </c>
    </row>
    <row r="567" spans="1:48" x14ac:dyDescent="0.4">
      <c r="A567">
        <v>2313011400</v>
      </c>
      <c r="B567">
        <v>1525007576</v>
      </c>
      <c r="C567" t="str">
        <f>T("최종 보스 18권 2화")</f>
        <v>최종 보스 18권 2화</v>
      </c>
      <c r="D567" t="str">
        <f>T("354")</f>
        <v>354</v>
      </c>
      <c r="E567" t="str">
        <f>T("무장")</f>
        <v>무장</v>
      </c>
      <c r="H567" t="str">
        <f t="shared" si="68"/>
        <v>스토리위즈</v>
      </c>
      <c r="I567" t="str">
        <f>T("최종 보스 : 빛을 향해 달리는 그림자")</f>
        <v>최종 보스 : 빛을 향해 달리는 그림자</v>
      </c>
      <c r="J567">
        <v>100</v>
      </c>
      <c r="K567">
        <v>300</v>
      </c>
      <c r="L567">
        <v>3</v>
      </c>
      <c r="M567">
        <v>0</v>
      </c>
      <c r="N567">
        <v>100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200</v>
      </c>
      <c r="AL567">
        <v>0</v>
      </c>
      <c r="AM567">
        <v>220.41</v>
      </c>
      <c r="AN567">
        <v>-36.119999999999997</v>
      </c>
      <c r="AO567">
        <v>0</v>
      </c>
      <c r="AP567" s="2">
        <v>269</v>
      </c>
      <c r="AT567" t="str">
        <f>T("9791166067563")</f>
        <v>9791166067563</v>
      </c>
      <c r="AV567" t="str">
        <f t="shared" si="70"/>
        <v>판타지 웹소설 &gt; 현대 판타지</v>
      </c>
    </row>
    <row r="568" spans="1:48" x14ac:dyDescent="0.4">
      <c r="A568">
        <v>1525004030</v>
      </c>
      <c r="B568">
        <v>1525004231</v>
      </c>
      <c r="C568" t="str">
        <f>T("회귀의 전설 202화")</f>
        <v>회귀의 전설 202화</v>
      </c>
      <c r="D568" t="str">
        <f>T("202")</f>
        <v>202</v>
      </c>
      <c r="E568" t="str">
        <f t="shared" ref="E568:E579" si="74">T("김광수")</f>
        <v>김광수</v>
      </c>
      <c r="H568" t="str">
        <f t="shared" si="68"/>
        <v>스토리위즈</v>
      </c>
      <c r="I568" t="str">
        <f t="shared" ref="I568:I579" si="75">T("회귀의 전설")</f>
        <v>회귀의 전설</v>
      </c>
      <c r="J568">
        <v>100</v>
      </c>
      <c r="K568">
        <v>300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300</v>
      </c>
      <c r="AH568">
        <v>3</v>
      </c>
      <c r="AI568">
        <v>0</v>
      </c>
      <c r="AJ568">
        <v>0</v>
      </c>
      <c r="AK568">
        <v>200</v>
      </c>
      <c r="AL568">
        <v>0</v>
      </c>
      <c r="AM568">
        <v>100</v>
      </c>
      <c r="AN568">
        <v>0</v>
      </c>
      <c r="AO568">
        <v>0</v>
      </c>
      <c r="AP568" s="2">
        <v>210</v>
      </c>
      <c r="AT568" t="str">
        <f>T("9788997946006")</f>
        <v>9788997946006</v>
      </c>
      <c r="AV568" t="str">
        <f t="shared" si="70"/>
        <v>판타지 웹소설 &gt; 현대 판타지</v>
      </c>
    </row>
    <row r="569" spans="1:48" x14ac:dyDescent="0.4">
      <c r="A569">
        <v>1525004030</v>
      </c>
      <c r="B569">
        <v>1525006938</v>
      </c>
      <c r="C569" t="str">
        <f>T("회귀의 전설 2부 821화")</f>
        <v>회귀의 전설 2부 821화</v>
      </c>
      <c r="D569" t="str">
        <f>T("821")</f>
        <v>821</v>
      </c>
      <c r="E569" t="str">
        <f t="shared" si="74"/>
        <v>김광수</v>
      </c>
      <c r="H569" t="str">
        <f t="shared" si="68"/>
        <v>스토리위즈</v>
      </c>
      <c r="I569" t="str">
        <f t="shared" si="75"/>
        <v>회귀의 전설</v>
      </c>
      <c r="J569">
        <v>100</v>
      </c>
      <c r="K569">
        <v>300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300</v>
      </c>
      <c r="AH569">
        <v>3</v>
      </c>
      <c r="AI569">
        <v>0</v>
      </c>
      <c r="AJ569">
        <v>0</v>
      </c>
      <c r="AK569">
        <v>300</v>
      </c>
      <c r="AL569">
        <v>0</v>
      </c>
      <c r="AM569">
        <v>0</v>
      </c>
      <c r="AN569">
        <v>0</v>
      </c>
      <c r="AO569">
        <v>0</v>
      </c>
      <c r="AP569" s="2">
        <v>210</v>
      </c>
      <c r="AT569" t="str">
        <f>T("9791191102086")</f>
        <v>9791191102086</v>
      </c>
      <c r="AV569" t="str">
        <f t="shared" si="70"/>
        <v>판타지 웹소설 &gt; 현대 판타지</v>
      </c>
    </row>
    <row r="570" spans="1:48" x14ac:dyDescent="0.4">
      <c r="A570">
        <v>1525004030</v>
      </c>
      <c r="B570">
        <v>1525004224</v>
      </c>
      <c r="C570" t="str">
        <f>T("회귀의 전설 195화")</f>
        <v>회귀의 전설 195화</v>
      </c>
      <c r="D570" t="str">
        <f>T("195")</f>
        <v>195</v>
      </c>
      <c r="E570" t="str">
        <f t="shared" si="74"/>
        <v>김광수</v>
      </c>
      <c r="H570" t="str">
        <f t="shared" si="68"/>
        <v>스토리위즈</v>
      </c>
      <c r="I570" t="str">
        <f t="shared" si="75"/>
        <v>회귀의 전설</v>
      </c>
      <c r="J570">
        <v>100</v>
      </c>
      <c r="K570">
        <v>300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300</v>
      </c>
      <c r="AH570">
        <v>3</v>
      </c>
      <c r="AI570">
        <v>0</v>
      </c>
      <c r="AJ570">
        <v>0</v>
      </c>
      <c r="AK570">
        <v>200</v>
      </c>
      <c r="AL570">
        <v>0</v>
      </c>
      <c r="AM570">
        <v>100</v>
      </c>
      <c r="AN570">
        <v>0</v>
      </c>
      <c r="AO570">
        <v>0</v>
      </c>
      <c r="AP570" s="2">
        <v>210</v>
      </c>
      <c r="AT570" t="str">
        <f>T("9788997946006")</f>
        <v>9788997946006</v>
      </c>
      <c r="AV570" t="str">
        <f t="shared" si="70"/>
        <v>판타지 웹소설 &gt; 현대 판타지</v>
      </c>
    </row>
    <row r="571" spans="1:48" x14ac:dyDescent="0.4">
      <c r="A571">
        <v>1525004030</v>
      </c>
      <c r="B571">
        <v>1525006931</v>
      </c>
      <c r="C571" t="str">
        <f>T("회귀의 전설 2부 814화")</f>
        <v>회귀의 전설 2부 814화</v>
      </c>
      <c r="D571" t="str">
        <f>T("814")</f>
        <v>814</v>
      </c>
      <c r="E571" t="str">
        <f t="shared" si="74"/>
        <v>김광수</v>
      </c>
      <c r="H571" t="str">
        <f t="shared" si="68"/>
        <v>스토리위즈</v>
      </c>
      <c r="I571" t="str">
        <f t="shared" si="75"/>
        <v>회귀의 전설</v>
      </c>
      <c r="J571">
        <v>100</v>
      </c>
      <c r="K571">
        <v>300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300</v>
      </c>
      <c r="AH571">
        <v>3</v>
      </c>
      <c r="AI571">
        <v>0</v>
      </c>
      <c r="AJ571">
        <v>0</v>
      </c>
      <c r="AK571">
        <v>300</v>
      </c>
      <c r="AL571">
        <v>0</v>
      </c>
      <c r="AM571">
        <v>0</v>
      </c>
      <c r="AN571">
        <v>0</v>
      </c>
      <c r="AO571">
        <v>0</v>
      </c>
      <c r="AP571" s="2">
        <v>210</v>
      </c>
      <c r="AT571" t="str">
        <f>T("9791191102086")</f>
        <v>9791191102086</v>
      </c>
      <c r="AV571" t="str">
        <f t="shared" si="70"/>
        <v>판타지 웹소설 &gt; 현대 판타지</v>
      </c>
    </row>
    <row r="572" spans="1:48" x14ac:dyDescent="0.4">
      <c r="A572">
        <v>1525004030</v>
      </c>
      <c r="B572">
        <v>1525004064</v>
      </c>
      <c r="C572" t="str">
        <f>T("회귀의 전설 35화")</f>
        <v>회귀의 전설 35화</v>
      </c>
      <c r="D572" t="str">
        <f>T("35")</f>
        <v>35</v>
      </c>
      <c r="E572" t="str">
        <f t="shared" si="74"/>
        <v>김광수</v>
      </c>
      <c r="H572" t="str">
        <f t="shared" si="68"/>
        <v>스토리위즈</v>
      </c>
      <c r="I572" t="str">
        <f t="shared" si="75"/>
        <v>회귀의 전설</v>
      </c>
      <c r="J572">
        <v>100</v>
      </c>
      <c r="K572">
        <v>300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</v>
      </c>
      <c r="AH572">
        <v>3</v>
      </c>
      <c r="AI572">
        <v>0</v>
      </c>
      <c r="AJ572">
        <v>0</v>
      </c>
      <c r="AK572">
        <v>300</v>
      </c>
      <c r="AL572">
        <v>0</v>
      </c>
      <c r="AM572">
        <v>0</v>
      </c>
      <c r="AN572">
        <v>0</v>
      </c>
      <c r="AO572">
        <v>0</v>
      </c>
      <c r="AP572" s="2">
        <v>210</v>
      </c>
      <c r="AT572" t="str">
        <f>T("9788997946006")</f>
        <v>9788997946006</v>
      </c>
      <c r="AV572" t="str">
        <f t="shared" si="70"/>
        <v>판타지 웹소설 &gt; 현대 판타지</v>
      </c>
    </row>
    <row r="573" spans="1:48" x14ac:dyDescent="0.4">
      <c r="A573">
        <v>1525004030</v>
      </c>
      <c r="B573">
        <v>1525004057</v>
      </c>
      <c r="C573" t="str">
        <f>T("회귀의 전설 28화")</f>
        <v>회귀의 전설 28화</v>
      </c>
      <c r="D573" t="str">
        <f>T("28")</f>
        <v>28</v>
      </c>
      <c r="E573" t="str">
        <f t="shared" si="74"/>
        <v>김광수</v>
      </c>
      <c r="H573" t="str">
        <f t="shared" si="68"/>
        <v>스토리위즈</v>
      </c>
      <c r="I573" t="str">
        <f t="shared" si="75"/>
        <v>회귀의 전설</v>
      </c>
      <c r="J573">
        <v>100</v>
      </c>
      <c r="K573">
        <v>300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300</v>
      </c>
      <c r="AH573">
        <v>3</v>
      </c>
      <c r="AI573">
        <v>0</v>
      </c>
      <c r="AJ573">
        <v>0</v>
      </c>
      <c r="AK573">
        <v>300</v>
      </c>
      <c r="AL573">
        <v>0</v>
      </c>
      <c r="AM573">
        <v>0</v>
      </c>
      <c r="AN573">
        <v>0</v>
      </c>
      <c r="AO573">
        <v>0</v>
      </c>
      <c r="AP573" s="2">
        <v>210</v>
      </c>
      <c r="AT573" t="str">
        <f>T("9788997946006")</f>
        <v>9788997946006</v>
      </c>
      <c r="AV573" t="str">
        <f t="shared" si="70"/>
        <v>판타지 웹소설 &gt; 현대 판타지</v>
      </c>
    </row>
    <row r="574" spans="1:48" x14ac:dyDescent="0.4">
      <c r="A574">
        <v>1525004030</v>
      </c>
      <c r="B574">
        <v>1525004217</v>
      </c>
      <c r="C574" t="str">
        <f>T("회귀의 전설 188화")</f>
        <v>회귀의 전설 188화</v>
      </c>
      <c r="D574" t="str">
        <f>T("188")</f>
        <v>188</v>
      </c>
      <c r="E574" t="str">
        <f t="shared" si="74"/>
        <v>김광수</v>
      </c>
      <c r="H574" t="str">
        <f t="shared" si="68"/>
        <v>스토리위즈</v>
      </c>
      <c r="I574" t="str">
        <f t="shared" si="75"/>
        <v>회귀의 전설</v>
      </c>
      <c r="J574">
        <v>100</v>
      </c>
      <c r="K574">
        <v>300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</v>
      </c>
      <c r="AH574">
        <v>3</v>
      </c>
      <c r="AI574">
        <v>0</v>
      </c>
      <c r="AJ574">
        <v>0</v>
      </c>
      <c r="AK574">
        <v>300</v>
      </c>
      <c r="AL574">
        <v>0</v>
      </c>
      <c r="AM574">
        <v>0</v>
      </c>
      <c r="AN574">
        <v>0</v>
      </c>
      <c r="AO574">
        <v>0</v>
      </c>
      <c r="AP574" s="2">
        <v>210</v>
      </c>
      <c r="AT574" t="str">
        <f>T("9788997946006")</f>
        <v>9788997946006</v>
      </c>
      <c r="AV574" t="str">
        <f t="shared" si="70"/>
        <v>판타지 웹소설 &gt; 현대 판타지</v>
      </c>
    </row>
    <row r="575" spans="1:48" x14ac:dyDescent="0.4">
      <c r="A575">
        <v>1525004030</v>
      </c>
      <c r="B575">
        <v>1525004250</v>
      </c>
      <c r="C575" t="str">
        <f>T("회귀의 전설 221화")</f>
        <v>회귀의 전설 221화</v>
      </c>
      <c r="D575" t="str">
        <f>T("221")</f>
        <v>221</v>
      </c>
      <c r="E575" t="str">
        <f t="shared" si="74"/>
        <v>김광수</v>
      </c>
      <c r="H575" t="str">
        <f t="shared" si="68"/>
        <v>스토리위즈</v>
      </c>
      <c r="I575" t="str">
        <f t="shared" si="75"/>
        <v>회귀의 전설</v>
      </c>
      <c r="J575">
        <v>100</v>
      </c>
      <c r="K575">
        <v>300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300</v>
      </c>
      <c r="AH575">
        <v>3</v>
      </c>
      <c r="AI575">
        <v>0</v>
      </c>
      <c r="AJ575">
        <v>0</v>
      </c>
      <c r="AK575">
        <v>300</v>
      </c>
      <c r="AL575">
        <v>0</v>
      </c>
      <c r="AM575">
        <v>0</v>
      </c>
      <c r="AN575">
        <v>0</v>
      </c>
      <c r="AO575">
        <v>0</v>
      </c>
      <c r="AP575" s="2">
        <v>210</v>
      </c>
      <c r="AT575" t="str">
        <f>T("9788997946006")</f>
        <v>9788997946006</v>
      </c>
      <c r="AV575" t="str">
        <f t="shared" si="70"/>
        <v>판타지 웹소설 &gt; 현대 판타지</v>
      </c>
    </row>
    <row r="576" spans="1:48" x14ac:dyDescent="0.4">
      <c r="A576">
        <v>1525004030</v>
      </c>
      <c r="B576">
        <v>1525004210</v>
      </c>
      <c r="C576" t="str">
        <f>T("회귀의 전설 181화")</f>
        <v>회귀의 전설 181화</v>
      </c>
      <c r="D576" t="str">
        <f>T("181")</f>
        <v>181</v>
      </c>
      <c r="E576" t="str">
        <f t="shared" si="74"/>
        <v>김광수</v>
      </c>
      <c r="H576" t="str">
        <f t="shared" si="68"/>
        <v>스토리위즈</v>
      </c>
      <c r="I576" t="str">
        <f t="shared" si="75"/>
        <v>회귀의 전설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3</v>
      </c>
      <c r="AI576">
        <v>0</v>
      </c>
      <c r="AJ576">
        <v>0</v>
      </c>
      <c r="AK576">
        <v>300</v>
      </c>
      <c r="AL576">
        <v>0</v>
      </c>
      <c r="AM576">
        <v>0</v>
      </c>
      <c r="AN576">
        <v>0</v>
      </c>
      <c r="AO576">
        <v>0</v>
      </c>
      <c r="AP576" s="2">
        <v>210</v>
      </c>
      <c r="AT576" t="str">
        <f>T("9788997946006")</f>
        <v>9788997946006</v>
      </c>
      <c r="AV576" t="str">
        <f t="shared" si="70"/>
        <v>판타지 웹소설 &gt; 현대 판타지</v>
      </c>
    </row>
    <row r="577" spans="1:48" x14ac:dyDescent="0.4">
      <c r="A577">
        <v>1525004030</v>
      </c>
      <c r="B577">
        <v>1525006949</v>
      </c>
      <c r="C577" t="str">
        <f>T("회귀의 전설 2부 833화")</f>
        <v>회귀의 전설 2부 833화</v>
      </c>
      <c r="D577" t="str">
        <f>T("833")</f>
        <v>833</v>
      </c>
      <c r="E577" t="str">
        <f t="shared" si="74"/>
        <v>김광수</v>
      </c>
      <c r="H577" t="str">
        <f t="shared" si="68"/>
        <v>스토리위즈</v>
      </c>
      <c r="I577" t="str">
        <f t="shared" si="75"/>
        <v>회귀의 전설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300</v>
      </c>
      <c r="AL577">
        <v>0</v>
      </c>
      <c r="AM577">
        <v>0</v>
      </c>
      <c r="AN577">
        <v>0</v>
      </c>
      <c r="AO577">
        <v>0</v>
      </c>
      <c r="AP577" s="2">
        <v>210</v>
      </c>
      <c r="AT577" t="str">
        <f>T("9791191102086")</f>
        <v>9791191102086</v>
      </c>
      <c r="AV577" t="str">
        <f t="shared" si="70"/>
        <v>판타지 웹소설 &gt; 현대 판타지</v>
      </c>
    </row>
    <row r="578" spans="1:48" x14ac:dyDescent="0.4">
      <c r="A578">
        <v>1525004030</v>
      </c>
      <c r="B578">
        <v>1525006773</v>
      </c>
      <c r="C578" t="str">
        <f>T("회귀의 전설 2부 656화")</f>
        <v>회귀의 전설 2부 656화</v>
      </c>
      <c r="D578" t="str">
        <f>T("656")</f>
        <v>656</v>
      </c>
      <c r="E578" t="str">
        <f t="shared" si="74"/>
        <v>김광수</v>
      </c>
      <c r="H578" t="str">
        <f t="shared" si="68"/>
        <v>스토리위즈</v>
      </c>
      <c r="I578" t="str">
        <f t="shared" si="75"/>
        <v>회귀의 전설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300</v>
      </c>
      <c r="AH578">
        <v>3</v>
      </c>
      <c r="AI578">
        <v>0</v>
      </c>
      <c r="AJ578">
        <v>0</v>
      </c>
      <c r="AK578">
        <v>300</v>
      </c>
      <c r="AL578">
        <v>0</v>
      </c>
      <c r="AM578">
        <v>0</v>
      </c>
      <c r="AN578">
        <v>0</v>
      </c>
      <c r="AO578">
        <v>0</v>
      </c>
      <c r="AP578" s="2">
        <v>210</v>
      </c>
      <c r="AT578" t="str">
        <f>T("9791191102086")</f>
        <v>9791191102086</v>
      </c>
      <c r="AV578" t="str">
        <f t="shared" si="70"/>
        <v>판타지 웹소설 &gt; 현대 판타지</v>
      </c>
    </row>
    <row r="579" spans="1:48" x14ac:dyDescent="0.4">
      <c r="A579">
        <v>1525004030</v>
      </c>
      <c r="B579">
        <v>1525006942</v>
      </c>
      <c r="C579" t="str">
        <f>T("회귀의 전설 2부 825화")</f>
        <v>회귀의 전설 2부 825화</v>
      </c>
      <c r="D579" t="str">
        <f>T("825")</f>
        <v>825</v>
      </c>
      <c r="E579" t="str">
        <f t="shared" si="74"/>
        <v>김광수</v>
      </c>
      <c r="H579" t="str">
        <f t="shared" si="68"/>
        <v>스토리위즈</v>
      </c>
      <c r="I579" t="str">
        <f t="shared" si="75"/>
        <v>회귀의 전설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300</v>
      </c>
      <c r="AH579">
        <v>3</v>
      </c>
      <c r="AI579">
        <v>0</v>
      </c>
      <c r="AJ579">
        <v>0</v>
      </c>
      <c r="AK579">
        <v>300</v>
      </c>
      <c r="AL579">
        <v>0</v>
      </c>
      <c r="AM579">
        <v>0</v>
      </c>
      <c r="AN579">
        <v>0</v>
      </c>
      <c r="AO579">
        <v>0</v>
      </c>
      <c r="AP579" s="2">
        <v>210</v>
      </c>
      <c r="AT579" t="str">
        <f>T("9791191102086")</f>
        <v>9791191102086</v>
      </c>
      <c r="AV579" t="str">
        <f t="shared" si="70"/>
        <v>판타지 웹소설 &gt; 현대 판타지</v>
      </c>
    </row>
    <row r="580" spans="1:48" x14ac:dyDescent="0.4">
      <c r="A580">
        <v>1525008107</v>
      </c>
      <c r="B580">
        <v>1525008106</v>
      </c>
      <c r="C580" t="str">
        <f>T("[e북]사냥꾼 (외전)")</f>
        <v>[e북]사냥꾼 (외전)</v>
      </c>
      <c r="D580" t="str">
        <f>T("3")</f>
        <v>3</v>
      </c>
      <c r="E580" t="str">
        <f>T("라돌체")</f>
        <v>라돌체</v>
      </c>
      <c r="H580" t="str">
        <f>T("비엘스토리")</f>
        <v>비엘스토리</v>
      </c>
      <c r="I580" t="str">
        <f>T("[e북]사냥꾼")</f>
        <v>[e북]사냥꾼</v>
      </c>
      <c r="J580">
        <v>300</v>
      </c>
      <c r="K580">
        <v>300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300</v>
      </c>
      <c r="AH580">
        <v>1</v>
      </c>
      <c r="AI580">
        <v>0</v>
      </c>
      <c r="AJ580">
        <v>0</v>
      </c>
      <c r="AK580">
        <v>300</v>
      </c>
      <c r="AL580">
        <v>0</v>
      </c>
      <c r="AM580">
        <v>0</v>
      </c>
      <c r="AN580">
        <v>0</v>
      </c>
      <c r="AO580">
        <v>0</v>
      </c>
      <c r="AP580" s="2">
        <v>210</v>
      </c>
      <c r="AR580" t="str">
        <f>T("0000000000000")</f>
        <v>0000000000000</v>
      </c>
      <c r="AT580" t="str">
        <f>T("9791164895557")</f>
        <v>9791164895557</v>
      </c>
      <c r="AV580" t="str">
        <f>T("BL 소설 e북 &gt; 현대물")</f>
        <v>BL 소설 e북 &gt; 현대물</v>
      </c>
    </row>
    <row r="581" spans="1:48" x14ac:dyDescent="0.4">
      <c r="A581">
        <v>1525004030</v>
      </c>
      <c r="B581">
        <v>1525004075</v>
      </c>
      <c r="C581" t="str">
        <f>T("회귀의 전설 46화")</f>
        <v>회귀의 전설 46화</v>
      </c>
      <c r="D581" t="str">
        <f>T("46")</f>
        <v>46</v>
      </c>
      <c r="E581" t="str">
        <f t="shared" ref="E581:E637" si="76">T("김광수")</f>
        <v>김광수</v>
      </c>
      <c r="H581" t="str">
        <f t="shared" ref="H581:H637" si="77">T("스토리위즈")</f>
        <v>스토리위즈</v>
      </c>
      <c r="I581" t="str">
        <f t="shared" ref="I581:I637" si="78">T("회귀의 전설")</f>
        <v>회귀의 전설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300</v>
      </c>
      <c r="AH581">
        <v>3</v>
      </c>
      <c r="AI581">
        <v>0</v>
      </c>
      <c r="AJ581">
        <v>0</v>
      </c>
      <c r="AK581">
        <v>300</v>
      </c>
      <c r="AL581">
        <v>0</v>
      </c>
      <c r="AM581">
        <v>0</v>
      </c>
      <c r="AN581">
        <v>0</v>
      </c>
      <c r="AO581">
        <v>0</v>
      </c>
      <c r="AP581" s="2">
        <v>210</v>
      </c>
      <c r="AT581" t="str">
        <f>T("9788997946006")</f>
        <v>9788997946006</v>
      </c>
      <c r="AV581" t="str">
        <f t="shared" ref="AV581:AV637" si="79">T("판타지 웹소설 &gt; 현대 판타지")</f>
        <v>판타지 웹소설 &gt; 현대 판타지</v>
      </c>
    </row>
    <row r="582" spans="1:48" x14ac:dyDescent="0.4">
      <c r="A582">
        <v>1525004030</v>
      </c>
      <c r="B582">
        <v>1525004203</v>
      </c>
      <c r="C582" t="str">
        <f>T("회귀의 전설 174화")</f>
        <v>회귀의 전설 174화</v>
      </c>
      <c r="D582" t="str">
        <f>T("174")</f>
        <v>174</v>
      </c>
      <c r="E582" t="str">
        <f t="shared" si="76"/>
        <v>김광수</v>
      </c>
      <c r="H582" t="str">
        <f t="shared" si="77"/>
        <v>스토리위즈</v>
      </c>
      <c r="I582" t="str">
        <f t="shared" si="78"/>
        <v>회귀의 전설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300</v>
      </c>
      <c r="AL582">
        <v>0</v>
      </c>
      <c r="AM582">
        <v>0</v>
      </c>
      <c r="AN582">
        <v>0</v>
      </c>
      <c r="AO582">
        <v>0</v>
      </c>
      <c r="AP582" s="2">
        <v>210</v>
      </c>
      <c r="AT582" t="str">
        <f>T("9788997946006")</f>
        <v>9788997946006</v>
      </c>
      <c r="AV582" t="str">
        <f t="shared" si="79"/>
        <v>판타지 웹소설 &gt; 현대 판타지</v>
      </c>
    </row>
    <row r="583" spans="1:48" x14ac:dyDescent="0.4">
      <c r="A583">
        <v>1525004030</v>
      </c>
      <c r="B583">
        <v>1525004123</v>
      </c>
      <c r="C583" t="str">
        <f>T("회귀의 전설 94화")</f>
        <v>회귀의 전설 94화</v>
      </c>
      <c r="D583" t="str">
        <f>T("94")</f>
        <v>94</v>
      </c>
      <c r="E583" t="str">
        <f t="shared" si="76"/>
        <v>김광수</v>
      </c>
      <c r="H583" t="str">
        <f t="shared" si="77"/>
        <v>스토리위즈</v>
      </c>
      <c r="I583" t="str">
        <f t="shared" si="78"/>
        <v>회귀의 전설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3</v>
      </c>
      <c r="AI583">
        <v>0</v>
      </c>
      <c r="AJ583">
        <v>0</v>
      </c>
      <c r="AK583">
        <v>300</v>
      </c>
      <c r="AL583">
        <v>0</v>
      </c>
      <c r="AM583">
        <v>0</v>
      </c>
      <c r="AN583">
        <v>0</v>
      </c>
      <c r="AO583">
        <v>0</v>
      </c>
      <c r="AP583" s="2">
        <v>210</v>
      </c>
      <c r="AT583" t="str">
        <f>T("9788997946006")</f>
        <v>9788997946006</v>
      </c>
      <c r="AV583" t="str">
        <f t="shared" si="79"/>
        <v>판타지 웹소설 &gt; 현대 판타지</v>
      </c>
    </row>
    <row r="584" spans="1:48" x14ac:dyDescent="0.4">
      <c r="A584">
        <v>1525004030</v>
      </c>
      <c r="B584">
        <v>1525004235</v>
      </c>
      <c r="C584" t="str">
        <f>T("회귀의 전설 206화")</f>
        <v>회귀의 전설 206화</v>
      </c>
      <c r="D584" t="str">
        <f>T("206")</f>
        <v>206</v>
      </c>
      <c r="E584" t="str">
        <f t="shared" si="76"/>
        <v>김광수</v>
      </c>
      <c r="H584" t="str">
        <f t="shared" si="77"/>
        <v>스토리위즈</v>
      </c>
      <c r="I584" t="str">
        <f t="shared" si="78"/>
        <v>회귀의 전설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300</v>
      </c>
      <c r="AH584">
        <v>3</v>
      </c>
      <c r="AI584">
        <v>0</v>
      </c>
      <c r="AJ584">
        <v>0</v>
      </c>
      <c r="AK584">
        <v>200</v>
      </c>
      <c r="AL584">
        <v>0</v>
      </c>
      <c r="AM584">
        <v>100</v>
      </c>
      <c r="AN584">
        <v>0</v>
      </c>
      <c r="AO584">
        <v>0</v>
      </c>
      <c r="AP584" s="2">
        <v>210</v>
      </c>
      <c r="AT584" t="str">
        <f>T("9788997946006")</f>
        <v>9788997946006</v>
      </c>
      <c r="AV584" t="str">
        <f t="shared" si="79"/>
        <v>판타지 웹소설 &gt; 현대 판타지</v>
      </c>
    </row>
    <row r="585" spans="1:48" x14ac:dyDescent="0.4">
      <c r="A585">
        <v>1525004030</v>
      </c>
      <c r="B585">
        <v>1525004084</v>
      </c>
      <c r="C585" t="str">
        <f>T("회귀의 전설 55화")</f>
        <v>회귀의 전설 55화</v>
      </c>
      <c r="D585" t="str">
        <f>T("55")</f>
        <v>55</v>
      </c>
      <c r="E585" t="str">
        <f t="shared" si="76"/>
        <v>김광수</v>
      </c>
      <c r="H585" t="str">
        <f t="shared" si="77"/>
        <v>스토리위즈</v>
      </c>
      <c r="I585" t="str">
        <f t="shared" si="78"/>
        <v>회귀의 전설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3</v>
      </c>
      <c r="AI585">
        <v>0</v>
      </c>
      <c r="AJ585">
        <v>0</v>
      </c>
      <c r="AK585">
        <v>300</v>
      </c>
      <c r="AL585">
        <v>0</v>
      </c>
      <c r="AM585">
        <v>0</v>
      </c>
      <c r="AN585">
        <v>0</v>
      </c>
      <c r="AO585">
        <v>0</v>
      </c>
      <c r="AP585" s="2">
        <v>210</v>
      </c>
      <c r="AT585" t="str">
        <f>T("9788997946006")</f>
        <v>9788997946006</v>
      </c>
      <c r="AV585" t="str">
        <f t="shared" si="79"/>
        <v>판타지 웹소설 &gt; 현대 판타지</v>
      </c>
    </row>
    <row r="586" spans="1:48" x14ac:dyDescent="0.4">
      <c r="A586">
        <v>1525004030</v>
      </c>
      <c r="B586">
        <v>1525006935</v>
      </c>
      <c r="C586" t="str">
        <f>T("회귀의 전설 2부 818화")</f>
        <v>회귀의 전설 2부 818화</v>
      </c>
      <c r="D586" t="str">
        <f>T("818")</f>
        <v>818</v>
      </c>
      <c r="E586" t="str">
        <f t="shared" si="76"/>
        <v>김광수</v>
      </c>
      <c r="H586" t="str">
        <f t="shared" si="77"/>
        <v>스토리위즈</v>
      </c>
      <c r="I586" t="str">
        <f t="shared" si="78"/>
        <v>회귀의 전설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300</v>
      </c>
      <c r="AH586">
        <v>3</v>
      </c>
      <c r="AI586">
        <v>0</v>
      </c>
      <c r="AJ586">
        <v>0</v>
      </c>
      <c r="AK586">
        <v>300</v>
      </c>
      <c r="AL586">
        <v>0</v>
      </c>
      <c r="AM586">
        <v>0</v>
      </c>
      <c r="AN586">
        <v>0</v>
      </c>
      <c r="AO586">
        <v>0</v>
      </c>
      <c r="AP586" s="2">
        <v>210</v>
      </c>
      <c r="AT586" t="str">
        <f>T("9791191102086")</f>
        <v>9791191102086</v>
      </c>
      <c r="AV586" t="str">
        <f t="shared" si="79"/>
        <v>판타지 웹소설 &gt; 현대 판타지</v>
      </c>
    </row>
    <row r="587" spans="1:48" x14ac:dyDescent="0.4">
      <c r="A587">
        <v>1525004030</v>
      </c>
      <c r="B587">
        <v>1525004068</v>
      </c>
      <c r="C587" t="str">
        <f>T("회귀의 전설 39화")</f>
        <v>회귀의 전설 39화</v>
      </c>
      <c r="D587" t="str">
        <f>T("39")</f>
        <v>39</v>
      </c>
      <c r="E587" t="str">
        <f t="shared" si="76"/>
        <v>김광수</v>
      </c>
      <c r="H587" t="str">
        <f t="shared" si="77"/>
        <v>스토리위즈</v>
      </c>
      <c r="I587" t="str">
        <f t="shared" si="78"/>
        <v>회귀의 전설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300</v>
      </c>
      <c r="AH587">
        <v>3</v>
      </c>
      <c r="AI587">
        <v>0</v>
      </c>
      <c r="AJ587">
        <v>0</v>
      </c>
      <c r="AK587">
        <v>300</v>
      </c>
      <c r="AL587">
        <v>0</v>
      </c>
      <c r="AM587">
        <v>0</v>
      </c>
      <c r="AN587">
        <v>0</v>
      </c>
      <c r="AO587">
        <v>0</v>
      </c>
      <c r="AP587" s="2">
        <v>210</v>
      </c>
      <c r="AT587" t="str">
        <f>T("9788997946006")</f>
        <v>9788997946006</v>
      </c>
      <c r="AV587" t="str">
        <f t="shared" si="79"/>
        <v>판타지 웹소설 &gt; 현대 판타지</v>
      </c>
    </row>
    <row r="588" spans="1:48" x14ac:dyDescent="0.4">
      <c r="A588">
        <v>1525004030</v>
      </c>
      <c r="B588">
        <v>1525006928</v>
      </c>
      <c r="C588" t="str">
        <f>T("회귀의 전설 2부 811화")</f>
        <v>회귀의 전설 2부 811화</v>
      </c>
      <c r="D588" t="str">
        <f>T("811")</f>
        <v>811</v>
      </c>
      <c r="E588" t="str">
        <f t="shared" si="76"/>
        <v>김광수</v>
      </c>
      <c r="H588" t="str">
        <f t="shared" si="77"/>
        <v>스토리위즈</v>
      </c>
      <c r="I588" t="str">
        <f t="shared" si="78"/>
        <v>회귀의 전설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300</v>
      </c>
      <c r="AH588">
        <v>3</v>
      </c>
      <c r="AI588">
        <v>0</v>
      </c>
      <c r="AJ588">
        <v>0</v>
      </c>
      <c r="AK588">
        <v>300</v>
      </c>
      <c r="AL588">
        <v>0</v>
      </c>
      <c r="AM588">
        <v>0</v>
      </c>
      <c r="AN588">
        <v>0</v>
      </c>
      <c r="AO588">
        <v>0</v>
      </c>
      <c r="AP588" s="2">
        <v>210</v>
      </c>
      <c r="AT588" t="str">
        <f>T("9791191102086")</f>
        <v>9791191102086</v>
      </c>
      <c r="AV588" t="str">
        <f t="shared" si="79"/>
        <v>판타지 웹소설 &gt; 현대 판타지</v>
      </c>
    </row>
    <row r="589" spans="1:48" x14ac:dyDescent="0.4">
      <c r="A589">
        <v>1525004030</v>
      </c>
      <c r="B589">
        <v>1525004061</v>
      </c>
      <c r="C589" t="str">
        <f>T("회귀의 전설 32화")</f>
        <v>회귀의 전설 32화</v>
      </c>
      <c r="D589" t="str">
        <f>T("32")</f>
        <v>32</v>
      </c>
      <c r="E589" t="str">
        <f t="shared" si="76"/>
        <v>김광수</v>
      </c>
      <c r="H589" t="str">
        <f t="shared" si="77"/>
        <v>스토리위즈</v>
      </c>
      <c r="I589" t="str">
        <f t="shared" si="78"/>
        <v>회귀의 전설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300</v>
      </c>
      <c r="AH589">
        <v>3</v>
      </c>
      <c r="AI589">
        <v>0</v>
      </c>
      <c r="AJ589">
        <v>0</v>
      </c>
      <c r="AK589">
        <v>300</v>
      </c>
      <c r="AL589">
        <v>0</v>
      </c>
      <c r="AM589">
        <v>0</v>
      </c>
      <c r="AN589">
        <v>0</v>
      </c>
      <c r="AO589">
        <v>0</v>
      </c>
      <c r="AP589" s="2">
        <v>210</v>
      </c>
      <c r="AT589" t="str">
        <f>T("9788997946006")</f>
        <v>9788997946006</v>
      </c>
      <c r="AV589" t="str">
        <f t="shared" si="79"/>
        <v>판타지 웹소설 &gt; 현대 판타지</v>
      </c>
    </row>
    <row r="590" spans="1:48" x14ac:dyDescent="0.4">
      <c r="A590">
        <v>1525004030</v>
      </c>
      <c r="B590">
        <v>1525004077</v>
      </c>
      <c r="C590" t="str">
        <f>T("회귀의 전설 48화")</f>
        <v>회귀의 전설 48화</v>
      </c>
      <c r="D590" t="str">
        <f>T("48")</f>
        <v>48</v>
      </c>
      <c r="E590" t="str">
        <f t="shared" si="76"/>
        <v>김광수</v>
      </c>
      <c r="H590" t="str">
        <f t="shared" si="77"/>
        <v>스토리위즈</v>
      </c>
      <c r="I590" t="str">
        <f t="shared" si="78"/>
        <v>회귀의 전설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300</v>
      </c>
      <c r="AH590">
        <v>3</v>
      </c>
      <c r="AI590">
        <v>0</v>
      </c>
      <c r="AJ590">
        <v>0</v>
      </c>
      <c r="AK590">
        <v>300</v>
      </c>
      <c r="AL590">
        <v>0</v>
      </c>
      <c r="AM590">
        <v>0</v>
      </c>
      <c r="AN590">
        <v>0</v>
      </c>
      <c r="AO590">
        <v>0</v>
      </c>
      <c r="AP590" s="2">
        <v>210</v>
      </c>
      <c r="AT590" t="str">
        <f>T("9788997946006")</f>
        <v>9788997946006</v>
      </c>
      <c r="AV590" t="str">
        <f t="shared" si="79"/>
        <v>판타지 웹소설 &gt; 현대 판타지</v>
      </c>
    </row>
    <row r="591" spans="1:48" x14ac:dyDescent="0.4">
      <c r="A591">
        <v>1525004030</v>
      </c>
      <c r="B591">
        <v>1525004189</v>
      </c>
      <c r="C591" t="str">
        <f>T("회귀의 전설 160화")</f>
        <v>회귀의 전설 160화</v>
      </c>
      <c r="D591" t="str">
        <f>T("160")</f>
        <v>160</v>
      </c>
      <c r="E591" t="str">
        <f t="shared" si="76"/>
        <v>김광수</v>
      </c>
      <c r="H591" t="str">
        <f t="shared" si="77"/>
        <v>스토리위즈</v>
      </c>
      <c r="I591" t="str">
        <f t="shared" si="78"/>
        <v>회귀의 전설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300</v>
      </c>
      <c r="AH591">
        <v>3</v>
      </c>
      <c r="AI591">
        <v>0</v>
      </c>
      <c r="AJ591">
        <v>0</v>
      </c>
      <c r="AK591">
        <v>300</v>
      </c>
      <c r="AL591">
        <v>0</v>
      </c>
      <c r="AM591">
        <v>0</v>
      </c>
      <c r="AN591">
        <v>0</v>
      </c>
      <c r="AO591">
        <v>0</v>
      </c>
      <c r="AP591" s="2">
        <v>210</v>
      </c>
      <c r="AT591" t="str">
        <f>T("9788997946006")</f>
        <v>9788997946006</v>
      </c>
      <c r="AV591" t="str">
        <f t="shared" si="79"/>
        <v>판타지 웹소설 &gt; 현대 판타지</v>
      </c>
    </row>
    <row r="592" spans="1:48" x14ac:dyDescent="0.4">
      <c r="A592">
        <v>1525004030</v>
      </c>
      <c r="B592">
        <v>1525006952</v>
      </c>
      <c r="C592" t="str">
        <f>T("회귀의 전설 2부 836화")</f>
        <v>회귀의 전설 2부 836화</v>
      </c>
      <c r="D592" t="str">
        <f>T("836")</f>
        <v>836</v>
      </c>
      <c r="E592" t="str">
        <f t="shared" si="76"/>
        <v>김광수</v>
      </c>
      <c r="H592" t="str">
        <f t="shared" si="77"/>
        <v>스토리위즈</v>
      </c>
      <c r="I592" t="str">
        <f t="shared" si="78"/>
        <v>회귀의 전설</v>
      </c>
      <c r="J592">
        <v>100</v>
      </c>
      <c r="K592">
        <v>300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300</v>
      </c>
      <c r="AH592">
        <v>3</v>
      </c>
      <c r="AI592">
        <v>0</v>
      </c>
      <c r="AJ592">
        <v>0</v>
      </c>
      <c r="AK592">
        <v>300</v>
      </c>
      <c r="AL592">
        <v>0</v>
      </c>
      <c r="AM592">
        <v>0</v>
      </c>
      <c r="AN592">
        <v>0</v>
      </c>
      <c r="AO592">
        <v>0</v>
      </c>
      <c r="AP592" s="2">
        <v>210</v>
      </c>
      <c r="AT592" t="str">
        <f>T("9791191102086")</f>
        <v>9791191102086</v>
      </c>
      <c r="AV592" t="str">
        <f t="shared" si="79"/>
        <v>판타지 웹소설 &gt; 현대 판타지</v>
      </c>
    </row>
    <row r="593" spans="1:48" x14ac:dyDescent="0.4">
      <c r="A593">
        <v>1525004030</v>
      </c>
      <c r="B593">
        <v>1525006777</v>
      </c>
      <c r="C593" t="str">
        <f>T("회귀의 전설 2부 660화")</f>
        <v>회귀의 전설 2부 660화</v>
      </c>
      <c r="D593" t="str">
        <f>T("660")</f>
        <v>660</v>
      </c>
      <c r="E593" t="str">
        <f t="shared" si="76"/>
        <v>김광수</v>
      </c>
      <c r="H593" t="str">
        <f t="shared" si="77"/>
        <v>스토리위즈</v>
      </c>
      <c r="I593" t="str">
        <f t="shared" si="78"/>
        <v>회귀의 전설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300</v>
      </c>
      <c r="AH593">
        <v>3</v>
      </c>
      <c r="AI593">
        <v>0</v>
      </c>
      <c r="AJ593">
        <v>0</v>
      </c>
      <c r="AK593">
        <v>300</v>
      </c>
      <c r="AL593">
        <v>0</v>
      </c>
      <c r="AM593">
        <v>0</v>
      </c>
      <c r="AN593">
        <v>0</v>
      </c>
      <c r="AO593">
        <v>0</v>
      </c>
      <c r="AP593" s="2">
        <v>210</v>
      </c>
      <c r="AT593" t="str">
        <f>T("9791191102086")</f>
        <v>9791191102086</v>
      </c>
      <c r="AV593" t="str">
        <f t="shared" si="79"/>
        <v>판타지 웹소설 &gt; 현대 판타지</v>
      </c>
    </row>
    <row r="594" spans="1:48" x14ac:dyDescent="0.4">
      <c r="A594">
        <v>1525004030</v>
      </c>
      <c r="B594">
        <v>1525004102</v>
      </c>
      <c r="C594" t="str">
        <f>T("회귀의 전설 73화")</f>
        <v>회귀의 전설 73화</v>
      </c>
      <c r="D594" t="str">
        <f>T("73")</f>
        <v>73</v>
      </c>
      <c r="E594" t="str">
        <f t="shared" si="76"/>
        <v>김광수</v>
      </c>
      <c r="H594" t="str">
        <f t="shared" si="77"/>
        <v>스토리위즈</v>
      </c>
      <c r="I594" t="str">
        <f t="shared" si="78"/>
        <v>회귀의 전설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300</v>
      </c>
      <c r="AH594">
        <v>3</v>
      </c>
      <c r="AI594">
        <v>0</v>
      </c>
      <c r="AJ594">
        <v>0</v>
      </c>
      <c r="AK594">
        <v>300</v>
      </c>
      <c r="AL594">
        <v>0</v>
      </c>
      <c r="AM594">
        <v>0</v>
      </c>
      <c r="AN594">
        <v>0</v>
      </c>
      <c r="AO594">
        <v>0</v>
      </c>
      <c r="AP594" s="2">
        <v>210</v>
      </c>
      <c r="AT594" t="str">
        <f>T("9788997946006")</f>
        <v>9788997946006</v>
      </c>
      <c r="AV594" t="str">
        <f t="shared" si="79"/>
        <v>판타지 웹소설 &gt; 현대 판타지</v>
      </c>
    </row>
    <row r="595" spans="1:48" x14ac:dyDescent="0.4">
      <c r="A595">
        <v>1525004030</v>
      </c>
      <c r="B595">
        <v>1525004214</v>
      </c>
      <c r="C595" t="str">
        <f>T("회귀의 전설 185화")</f>
        <v>회귀의 전설 185화</v>
      </c>
      <c r="D595" t="str">
        <f>T("185")</f>
        <v>185</v>
      </c>
      <c r="E595" t="str">
        <f t="shared" si="76"/>
        <v>김광수</v>
      </c>
      <c r="H595" t="str">
        <f t="shared" si="77"/>
        <v>스토리위즈</v>
      </c>
      <c r="I595" t="str">
        <f t="shared" si="78"/>
        <v>회귀의 전설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300</v>
      </c>
      <c r="AH595">
        <v>3</v>
      </c>
      <c r="AI595">
        <v>0</v>
      </c>
      <c r="AJ595">
        <v>0</v>
      </c>
      <c r="AK595">
        <v>300</v>
      </c>
      <c r="AL595">
        <v>0</v>
      </c>
      <c r="AM595">
        <v>0</v>
      </c>
      <c r="AN595">
        <v>0</v>
      </c>
      <c r="AO595">
        <v>0</v>
      </c>
      <c r="AP595" s="2">
        <v>210</v>
      </c>
      <c r="AT595" t="str">
        <f>T("9788997946006")</f>
        <v>9788997946006</v>
      </c>
      <c r="AV595" t="str">
        <f t="shared" si="79"/>
        <v>판타지 웹소설 &gt; 현대 판타지</v>
      </c>
    </row>
    <row r="596" spans="1:48" x14ac:dyDescent="0.4">
      <c r="A596">
        <v>1525004030</v>
      </c>
      <c r="B596">
        <v>1525006946</v>
      </c>
      <c r="C596" t="str">
        <f>T("회귀의 전설 2부 830화")</f>
        <v>회귀의 전설 2부 830화</v>
      </c>
      <c r="D596" t="str">
        <f>T("830")</f>
        <v>830</v>
      </c>
      <c r="E596" t="str">
        <f t="shared" si="76"/>
        <v>김광수</v>
      </c>
      <c r="H596" t="str">
        <f t="shared" si="77"/>
        <v>스토리위즈</v>
      </c>
      <c r="I596" t="str">
        <f t="shared" si="78"/>
        <v>회귀의 전설</v>
      </c>
      <c r="J596">
        <v>100</v>
      </c>
      <c r="K596">
        <v>300</v>
      </c>
      <c r="L596">
        <v>3</v>
      </c>
      <c r="M596">
        <v>0</v>
      </c>
      <c r="N596">
        <v>100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400</v>
      </c>
      <c r="AH596">
        <v>4</v>
      </c>
      <c r="AI596">
        <v>0</v>
      </c>
      <c r="AJ596">
        <v>0</v>
      </c>
      <c r="AK596">
        <v>400</v>
      </c>
      <c r="AL596">
        <v>0</v>
      </c>
      <c r="AM596">
        <v>0</v>
      </c>
      <c r="AN596">
        <v>0</v>
      </c>
      <c r="AO596">
        <v>0</v>
      </c>
      <c r="AP596" s="2">
        <v>280</v>
      </c>
      <c r="AT596" t="str">
        <f>T("9791191102086")</f>
        <v>9791191102086</v>
      </c>
      <c r="AV596" t="str">
        <f t="shared" si="79"/>
        <v>판타지 웹소설 &gt; 현대 판타지</v>
      </c>
    </row>
    <row r="597" spans="1:48" x14ac:dyDescent="0.4">
      <c r="A597">
        <v>1525004030</v>
      </c>
      <c r="B597">
        <v>1525004072</v>
      </c>
      <c r="C597" t="str">
        <f>T("회귀의 전설 43화")</f>
        <v>회귀의 전설 43화</v>
      </c>
      <c r="D597" t="str">
        <f>T("43")</f>
        <v>43</v>
      </c>
      <c r="E597" t="str">
        <f t="shared" si="76"/>
        <v>김광수</v>
      </c>
      <c r="H597" t="str">
        <f t="shared" si="77"/>
        <v>스토리위즈</v>
      </c>
      <c r="I597" t="str">
        <f t="shared" si="78"/>
        <v>회귀의 전설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300</v>
      </c>
      <c r="AH597">
        <v>3</v>
      </c>
      <c r="AI597">
        <v>0</v>
      </c>
      <c r="AJ597">
        <v>0</v>
      </c>
      <c r="AK597">
        <v>300</v>
      </c>
      <c r="AL597">
        <v>0</v>
      </c>
      <c r="AM597">
        <v>0</v>
      </c>
      <c r="AN597">
        <v>0</v>
      </c>
      <c r="AO597">
        <v>0</v>
      </c>
      <c r="AP597" s="2">
        <v>210</v>
      </c>
      <c r="AT597" t="str">
        <f>T("9788997946006")</f>
        <v>9788997946006</v>
      </c>
      <c r="AV597" t="str">
        <f t="shared" si="79"/>
        <v>판타지 웹소설 &gt; 현대 판타지</v>
      </c>
    </row>
    <row r="598" spans="1:48" x14ac:dyDescent="0.4">
      <c r="A598">
        <v>1525004030</v>
      </c>
      <c r="B598">
        <v>1525004200</v>
      </c>
      <c r="C598" t="str">
        <f>T("회귀의 전설 171화")</f>
        <v>회귀의 전설 171화</v>
      </c>
      <c r="D598" t="str">
        <f>T("171")</f>
        <v>171</v>
      </c>
      <c r="E598" t="str">
        <f t="shared" si="76"/>
        <v>김광수</v>
      </c>
      <c r="H598" t="str">
        <f t="shared" si="77"/>
        <v>스토리위즈</v>
      </c>
      <c r="I598" t="str">
        <f t="shared" si="78"/>
        <v>회귀의 전설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300</v>
      </c>
      <c r="AH598">
        <v>3</v>
      </c>
      <c r="AI598">
        <v>0</v>
      </c>
      <c r="AJ598">
        <v>0</v>
      </c>
      <c r="AK598">
        <v>300</v>
      </c>
      <c r="AL598">
        <v>0</v>
      </c>
      <c r="AM598">
        <v>0</v>
      </c>
      <c r="AN598">
        <v>0</v>
      </c>
      <c r="AO598">
        <v>0</v>
      </c>
      <c r="AP598" s="2">
        <v>210</v>
      </c>
      <c r="AT598" t="str">
        <f>T("9788997946006")</f>
        <v>9788997946006</v>
      </c>
      <c r="AV598" t="str">
        <f t="shared" si="79"/>
        <v>판타지 웹소설 &gt; 현대 판타지</v>
      </c>
    </row>
    <row r="599" spans="1:48" x14ac:dyDescent="0.4">
      <c r="A599">
        <v>1525004030</v>
      </c>
      <c r="B599">
        <v>1525004120</v>
      </c>
      <c r="C599" t="str">
        <f>T("회귀의 전설 91화")</f>
        <v>회귀의 전설 91화</v>
      </c>
      <c r="D599" t="str">
        <f>T("91")</f>
        <v>91</v>
      </c>
      <c r="E599" t="str">
        <f t="shared" si="76"/>
        <v>김광수</v>
      </c>
      <c r="H599" t="str">
        <f t="shared" si="77"/>
        <v>스토리위즈</v>
      </c>
      <c r="I599" t="str">
        <f t="shared" si="78"/>
        <v>회귀의 전설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3</v>
      </c>
      <c r="AI599">
        <v>0</v>
      </c>
      <c r="AJ599">
        <v>0</v>
      </c>
      <c r="AK599">
        <v>300</v>
      </c>
      <c r="AL599">
        <v>0</v>
      </c>
      <c r="AM599">
        <v>0</v>
      </c>
      <c r="AN599">
        <v>0</v>
      </c>
      <c r="AO599">
        <v>0</v>
      </c>
      <c r="AP599" s="2">
        <v>210</v>
      </c>
      <c r="AT599" t="str">
        <f>T("9788997946006")</f>
        <v>9788997946006</v>
      </c>
      <c r="AV599" t="str">
        <f t="shared" si="79"/>
        <v>판타지 웹소설 &gt; 현대 판타지</v>
      </c>
    </row>
    <row r="600" spans="1:48" x14ac:dyDescent="0.4">
      <c r="A600">
        <v>1525004030</v>
      </c>
      <c r="B600">
        <v>1525004232</v>
      </c>
      <c r="C600" t="str">
        <f>T("회귀의 전설 203화")</f>
        <v>회귀의 전설 203화</v>
      </c>
      <c r="D600" t="str">
        <f>T("203")</f>
        <v>203</v>
      </c>
      <c r="E600" t="str">
        <f t="shared" si="76"/>
        <v>김광수</v>
      </c>
      <c r="H600" t="str">
        <f t="shared" si="77"/>
        <v>스토리위즈</v>
      </c>
      <c r="I600" t="str">
        <f t="shared" si="78"/>
        <v>회귀의 전설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300</v>
      </c>
      <c r="AH600">
        <v>3</v>
      </c>
      <c r="AI600">
        <v>0</v>
      </c>
      <c r="AJ600">
        <v>0</v>
      </c>
      <c r="AK600">
        <v>200</v>
      </c>
      <c r="AL600">
        <v>0</v>
      </c>
      <c r="AM600">
        <v>100</v>
      </c>
      <c r="AN600">
        <v>0</v>
      </c>
      <c r="AO600">
        <v>0</v>
      </c>
      <c r="AP600" s="2">
        <v>210</v>
      </c>
      <c r="AT600" t="str">
        <f>T("9788997946006")</f>
        <v>9788997946006</v>
      </c>
      <c r="AV600" t="str">
        <f t="shared" si="79"/>
        <v>판타지 웹소설 &gt; 현대 판타지</v>
      </c>
    </row>
    <row r="601" spans="1:48" x14ac:dyDescent="0.4">
      <c r="A601">
        <v>1525004030</v>
      </c>
      <c r="B601">
        <v>1525006939</v>
      </c>
      <c r="C601" t="str">
        <f>T("회귀의 전설 2부 822화")</f>
        <v>회귀의 전설 2부 822화</v>
      </c>
      <c r="D601" t="str">
        <f>T("822")</f>
        <v>822</v>
      </c>
      <c r="E601" t="str">
        <f t="shared" si="76"/>
        <v>김광수</v>
      </c>
      <c r="H601" t="str">
        <f t="shared" si="77"/>
        <v>스토리위즈</v>
      </c>
      <c r="I601" t="str">
        <f t="shared" si="78"/>
        <v>회귀의 전설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300</v>
      </c>
      <c r="AH601">
        <v>3</v>
      </c>
      <c r="AI601">
        <v>0</v>
      </c>
      <c r="AJ601">
        <v>0</v>
      </c>
      <c r="AK601">
        <v>300</v>
      </c>
      <c r="AL601">
        <v>0</v>
      </c>
      <c r="AM601">
        <v>0</v>
      </c>
      <c r="AN601">
        <v>0</v>
      </c>
      <c r="AO601">
        <v>0</v>
      </c>
      <c r="AP601" s="2">
        <v>210</v>
      </c>
      <c r="AT601" t="str">
        <f>T("9791191102086")</f>
        <v>9791191102086</v>
      </c>
      <c r="AV601" t="str">
        <f t="shared" si="79"/>
        <v>판타지 웹소설 &gt; 현대 판타지</v>
      </c>
    </row>
    <row r="602" spans="1:48" x14ac:dyDescent="0.4">
      <c r="A602">
        <v>1525004030</v>
      </c>
      <c r="B602">
        <v>1525004225</v>
      </c>
      <c r="C602" t="str">
        <f>T("회귀의 전설 196화")</f>
        <v>회귀의 전설 196화</v>
      </c>
      <c r="D602" t="str">
        <f>T("196")</f>
        <v>196</v>
      </c>
      <c r="E602" t="str">
        <f t="shared" si="76"/>
        <v>김광수</v>
      </c>
      <c r="H602" t="str">
        <f t="shared" si="77"/>
        <v>스토리위즈</v>
      </c>
      <c r="I602" t="str">
        <f t="shared" si="78"/>
        <v>회귀의 전설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3</v>
      </c>
      <c r="AI602">
        <v>0</v>
      </c>
      <c r="AJ602">
        <v>0</v>
      </c>
      <c r="AK602">
        <v>200</v>
      </c>
      <c r="AL602">
        <v>0</v>
      </c>
      <c r="AM602">
        <v>100</v>
      </c>
      <c r="AN602">
        <v>0</v>
      </c>
      <c r="AO602">
        <v>0</v>
      </c>
      <c r="AP602" s="2">
        <v>210</v>
      </c>
      <c r="AT602" t="str">
        <f>T("9788997946006")</f>
        <v>9788997946006</v>
      </c>
      <c r="AV602" t="str">
        <f t="shared" si="79"/>
        <v>판타지 웹소설 &gt; 현대 판타지</v>
      </c>
    </row>
    <row r="603" spans="1:48" x14ac:dyDescent="0.4">
      <c r="A603">
        <v>1525004030</v>
      </c>
      <c r="B603">
        <v>1525006932</v>
      </c>
      <c r="C603" t="str">
        <f>T("회귀의 전설 2부 815화")</f>
        <v>회귀의 전설 2부 815화</v>
      </c>
      <c r="D603" t="str">
        <f>T("815")</f>
        <v>815</v>
      </c>
      <c r="E603" t="str">
        <f t="shared" si="76"/>
        <v>김광수</v>
      </c>
      <c r="H603" t="str">
        <f t="shared" si="77"/>
        <v>스토리위즈</v>
      </c>
      <c r="I603" t="str">
        <f t="shared" si="78"/>
        <v>회귀의 전설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</v>
      </c>
      <c r="AI603">
        <v>0</v>
      </c>
      <c r="AJ603">
        <v>0</v>
      </c>
      <c r="AK603">
        <v>300</v>
      </c>
      <c r="AL603">
        <v>0</v>
      </c>
      <c r="AM603">
        <v>0</v>
      </c>
      <c r="AN603">
        <v>0</v>
      </c>
      <c r="AO603">
        <v>0</v>
      </c>
      <c r="AP603" s="2">
        <v>210</v>
      </c>
      <c r="AT603" t="str">
        <f>T("9791191102086")</f>
        <v>9791191102086</v>
      </c>
      <c r="AV603" t="str">
        <f t="shared" si="79"/>
        <v>판타지 웹소설 &gt; 현대 판타지</v>
      </c>
    </row>
    <row r="604" spans="1:48" x14ac:dyDescent="0.4">
      <c r="A604">
        <v>1525004030</v>
      </c>
      <c r="B604">
        <v>1525004065</v>
      </c>
      <c r="C604" t="str">
        <f>T("회귀의 전설 36화")</f>
        <v>회귀의 전설 36화</v>
      </c>
      <c r="D604" t="str">
        <f>T("36")</f>
        <v>36</v>
      </c>
      <c r="E604" t="str">
        <f t="shared" si="76"/>
        <v>김광수</v>
      </c>
      <c r="H604" t="str">
        <f t="shared" si="77"/>
        <v>스토리위즈</v>
      </c>
      <c r="I604" t="str">
        <f t="shared" si="78"/>
        <v>회귀의 전설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3</v>
      </c>
      <c r="AI604">
        <v>0</v>
      </c>
      <c r="AJ604">
        <v>0</v>
      </c>
      <c r="AK604">
        <v>300</v>
      </c>
      <c r="AL604">
        <v>0</v>
      </c>
      <c r="AM604">
        <v>0</v>
      </c>
      <c r="AN604">
        <v>0</v>
      </c>
      <c r="AO604">
        <v>0</v>
      </c>
      <c r="AP604" s="2">
        <v>210</v>
      </c>
      <c r="AT604" t="str">
        <f>T("9788997946006")</f>
        <v>9788997946006</v>
      </c>
      <c r="AV604" t="str">
        <f t="shared" si="79"/>
        <v>판타지 웹소설 &gt; 현대 판타지</v>
      </c>
    </row>
    <row r="605" spans="1:48" x14ac:dyDescent="0.4">
      <c r="A605">
        <v>1525004030</v>
      </c>
      <c r="B605">
        <v>1525004193</v>
      </c>
      <c r="C605" t="str">
        <f>T("회귀의 전설 164화")</f>
        <v>회귀의 전설 164화</v>
      </c>
      <c r="D605" t="str">
        <f>T("164")</f>
        <v>164</v>
      </c>
      <c r="E605" t="str">
        <f t="shared" si="76"/>
        <v>김광수</v>
      </c>
      <c r="H605" t="str">
        <f t="shared" si="77"/>
        <v>스토리위즈</v>
      </c>
      <c r="I605" t="str">
        <f t="shared" si="78"/>
        <v>회귀의 전설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300</v>
      </c>
      <c r="AH605">
        <v>3</v>
      </c>
      <c r="AI605">
        <v>0</v>
      </c>
      <c r="AJ605">
        <v>0</v>
      </c>
      <c r="AK605">
        <v>300</v>
      </c>
      <c r="AL605">
        <v>0</v>
      </c>
      <c r="AM605">
        <v>0</v>
      </c>
      <c r="AN605">
        <v>0</v>
      </c>
      <c r="AO605">
        <v>0</v>
      </c>
      <c r="AP605" s="2">
        <v>210</v>
      </c>
      <c r="AT605" t="str">
        <f>T("9788997946006")</f>
        <v>9788997946006</v>
      </c>
      <c r="AV605" t="str">
        <f t="shared" si="79"/>
        <v>판타지 웹소설 &gt; 현대 판타지</v>
      </c>
    </row>
    <row r="606" spans="1:48" x14ac:dyDescent="0.4">
      <c r="A606">
        <v>1525004030</v>
      </c>
      <c r="B606">
        <v>1525004058</v>
      </c>
      <c r="C606" t="str">
        <f>T("회귀의 전설 29화")</f>
        <v>회귀의 전설 29화</v>
      </c>
      <c r="D606" t="str">
        <f>T("29")</f>
        <v>29</v>
      </c>
      <c r="E606" t="str">
        <f t="shared" si="76"/>
        <v>김광수</v>
      </c>
      <c r="H606" t="str">
        <f t="shared" si="77"/>
        <v>스토리위즈</v>
      </c>
      <c r="I606" t="str">
        <f t="shared" si="78"/>
        <v>회귀의 전설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300</v>
      </c>
      <c r="AH606">
        <v>3</v>
      </c>
      <c r="AI606">
        <v>0</v>
      </c>
      <c r="AJ606">
        <v>0</v>
      </c>
      <c r="AK606">
        <v>300</v>
      </c>
      <c r="AL606">
        <v>0</v>
      </c>
      <c r="AM606">
        <v>0</v>
      </c>
      <c r="AN606">
        <v>0</v>
      </c>
      <c r="AO606">
        <v>0</v>
      </c>
      <c r="AP606" s="2">
        <v>210</v>
      </c>
      <c r="AT606" t="str">
        <f>T("9788997946006")</f>
        <v>9788997946006</v>
      </c>
      <c r="AV606" t="str">
        <f t="shared" si="79"/>
        <v>판타지 웹소설 &gt; 현대 판타지</v>
      </c>
    </row>
    <row r="607" spans="1:48" x14ac:dyDescent="0.4">
      <c r="A607">
        <v>1525004030</v>
      </c>
      <c r="B607">
        <v>1525004218</v>
      </c>
      <c r="C607" t="str">
        <f>T("회귀의 전설 189화")</f>
        <v>회귀의 전설 189화</v>
      </c>
      <c r="D607" t="str">
        <f>T("189")</f>
        <v>189</v>
      </c>
      <c r="E607" t="str">
        <f t="shared" si="76"/>
        <v>김광수</v>
      </c>
      <c r="H607" t="str">
        <f t="shared" si="77"/>
        <v>스토리위즈</v>
      </c>
      <c r="I607" t="str">
        <f t="shared" si="78"/>
        <v>회귀의 전설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</v>
      </c>
      <c r="AH607">
        <v>3</v>
      </c>
      <c r="AI607">
        <v>0</v>
      </c>
      <c r="AJ607">
        <v>0</v>
      </c>
      <c r="AK607">
        <v>300</v>
      </c>
      <c r="AL607">
        <v>0</v>
      </c>
      <c r="AM607">
        <v>0</v>
      </c>
      <c r="AN607">
        <v>0</v>
      </c>
      <c r="AO607">
        <v>0</v>
      </c>
      <c r="AP607" s="2">
        <v>210</v>
      </c>
      <c r="AT607" t="str">
        <f>T("9788997946006")</f>
        <v>9788997946006</v>
      </c>
      <c r="AV607" t="str">
        <f t="shared" si="79"/>
        <v>판타지 웹소설 &gt; 현대 판타지</v>
      </c>
    </row>
    <row r="608" spans="1:48" x14ac:dyDescent="0.4">
      <c r="A608">
        <v>1525004030</v>
      </c>
      <c r="B608">
        <v>1525004211</v>
      </c>
      <c r="C608" t="str">
        <f>T("회귀의 전설 182화")</f>
        <v>회귀의 전설 182화</v>
      </c>
      <c r="D608" t="str">
        <f>T("182")</f>
        <v>182</v>
      </c>
      <c r="E608" t="str">
        <f t="shared" si="76"/>
        <v>김광수</v>
      </c>
      <c r="H608" t="str">
        <f t="shared" si="77"/>
        <v>스토리위즈</v>
      </c>
      <c r="I608" t="str">
        <f t="shared" si="78"/>
        <v>회귀의 전설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300</v>
      </c>
      <c r="AH608">
        <v>3</v>
      </c>
      <c r="AI608">
        <v>0</v>
      </c>
      <c r="AJ608">
        <v>0</v>
      </c>
      <c r="AK608">
        <v>300</v>
      </c>
      <c r="AL608">
        <v>0</v>
      </c>
      <c r="AM608">
        <v>0</v>
      </c>
      <c r="AN608">
        <v>0</v>
      </c>
      <c r="AO608">
        <v>0</v>
      </c>
      <c r="AP608" s="2">
        <v>210</v>
      </c>
      <c r="AT608" t="str">
        <f>T("9788997946006")</f>
        <v>9788997946006</v>
      </c>
      <c r="AV608" t="str">
        <f t="shared" si="79"/>
        <v>판타지 웹소설 &gt; 현대 판타지</v>
      </c>
    </row>
    <row r="609" spans="1:48" x14ac:dyDescent="0.4">
      <c r="A609">
        <v>1525004030</v>
      </c>
      <c r="B609">
        <v>1525006950</v>
      </c>
      <c r="C609" t="str">
        <f>T("회귀의 전설 2부 834화")</f>
        <v>회귀의 전설 2부 834화</v>
      </c>
      <c r="D609" t="str">
        <f>T("834")</f>
        <v>834</v>
      </c>
      <c r="E609" t="str">
        <f t="shared" si="76"/>
        <v>김광수</v>
      </c>
      <c r="H609" t="str">
        <f t="shared" si="77"/>
        <v>스토리위즈</v>
      </c>
      <c r="I609" t="str">
        <f t="shared" si="78"/>
        <v>회귀의 전설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300</v>
      </c>
      <c r="AH609">
        <v>3</v>
      </c>
      <c r="AI609">
        <v>0</v>
      </c>
      <c r="AJ609">
        <v>0</v>
      </c>
      <c r="AK609">
        <v>300</v>
      </c>
      <c r="AL609">
        <v>0</v>
      </c>
      <c r="AM609">
        <v>0</v>
      </c>
      <c r="AN609">
        <v>0</v>
      </c>
      <c r="AO609">
        <v>0</v>
      </c>
      <c r="AP609" s="2">
        <v>210</v>
      </c>
      <c r="AT609" t="str">
        <f>T("9791191102086")</f>
        <v>9791191102086</v>
      </c>
      <c r="AV609" t="str">
        <f t="shared" si="79"/>
        <v>판타지 웹소설 &gt; 현대 판타지</v>
      </c>
    </row>
    <row r="610" spans="1:48" x14ac:dyDescent="0.4">
      <c r="A610">
        <v>1525004030</v>
      </c>
      <c r="B610">
        <v>1525006774</v>
      </c>
      <c r="C610" t="str">
        <f>T("회귀의 전설 2부 657화")</f>
        <v>회귀의 전설 2부 657화</v>
      </c>
      <c r="D610" t="str">
        <f>T("657")</f>
        <v>657</v>
      </c>
      <c r="E610" t="str">
        <f t="shared" si="76"/>
        <v>김광수</v>
      </c>
      <c r="H610" t="str">
        <f t="shared" si="77"/>
        <v>스토리위즈</v>
      </c>
      <c r="I610" t="str">
        <f t="shared" si="78"/>
        <v>회귀의 전설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300</v>
      </c>
      <c r="AH610">
        <v>3</v>
      </c>
      <c r="AI610">
        <v>0</v>
      </c>
      <c r="AJ610">
        <v>0</v>
      </c>
      <c r="AK610">
        <v>300</v>
      </c>
      <c r="AL610">
        <v>0</v>
      </c>
      <c r="AM610">
        <v>0</v>
      </c>
      <c r="AN610">
        <v>0</v>
      </c>
      <c r="AO610">
        <v>0</v>
      </c>
      <c r="AP610" s="2">
        <v>210</v>
      </c>
      <c r="AT610" t="str">
        <f>T("9791191102086")</f>
        <v>9791191102086</v>
      </c>
      <c r="AV610" t="str">
        <f t="shared" si="79"/>
        <v>판타지 웹소설 &gt; 현대 판타지</v>
      </c>
    </row>
    <row r="611" spans="1:48" x14ac:dyDescent="0.4">
      <c r="A611">
        <v>1525004030</v>
      </c>
      <c r="B611">
        <v>1525004236</v>
      </c>
      <c r="C611" t="str">
        <f>T("회귀의 전설 207화")</f>
        <v>회귀의 전설 207화</v>
      </c>
      <c r="D611" t="str">
        <f>T("207")</f>
        <v>207</v>
      </c>
      <c r="E611" t="str">
        <f t="shared" si="76"/>
        <v>김광수</v>
      </c>
      <c r="H611" t="str">
        <f t="shared" si="77"/>
        <v>스토리위즈</v>
      </c>
      <c r="I611" t="str">
        <f t="shared" si="78"/>
        <v>회귀의 전설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300</v>
      </c>
      <c r="AH611">
        <v>3</v>
      </c>
      <c r="AI611">
        <v>0</v>
      </c>
      <c r="AJ611">
        <v>0</v>
      </c>
      <c r="AK611">
        <v>200</v>
      </c>
      <c r="AL611">
        <v>0</v>
      </c>
      <c r="AM611">
        <v>100</v>
      </c>
      <c r="AN611">
        <v>0</v>
      </c>
      <c r="AO611">
        <v>0</v>
      </c>
      <c r="AP611" s="2">
        <v>210</v>
      </c>
      <c r="AT611" t="str">
        <f>T("9788997946006")</f>
        <v>9788997946006</v>
      </c>
      <c r="AV611" t="str">
        <f t="shared" si="79"/>
        <v>판타지 웹소설 &gt; 현대 판타지</v>
      </c>
    </row>
    <row r="612" spans="1:48" x14ac:dyDescent="0.4">
      <c r="A612">
        <v>1525004030</v>
      </c>
      <c r="B612">
        <v>1525006943</v>
      </c>
      <c r="C612" t="str">
        <f>T("회귀의 전설 2부 827화")</f>
        <v>회귀의 전설 2부 827화</v>
      </c>
      <c r="D612" t="str">
        <f>T("827")</f>
        <v>827</v>
      </c>
      <c r="E612" t="str">
        <f t="shared" si="76"/>
        <v>김광수</v>
      </c>
      <c r="H612" t="str">
        <f t="shared" si="77"/>
        <v>스토리위즈</v>
      </c>
      <c r="I612" t="str">
        <f t="shared" si="78"/>
        <v>회귀의 전설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300</v>
      </c>
      <c r="AH612">
        <v>3</v>
      </c>
      <c r="AI612">
        <v>0</v>
      </c>
      <c r="AJ612">
        <v>0</v>
      </c>
      <c r="AK612">
        <v>300</v>
      </c>
      <c r="AL612">
        <v>0</v>
      </c>
      <c r="AM612">
        <v>0</v>
      </c>
      <c r="AN612">
        <v>0</v>
      </c>
      <c r="AO612">
        <v>0</v>
      </c>
      <c r="AP612" s="2">
        <v>210</v>
      </c>
      <c r="AT612" t="str">
        <f>T("9791191102086")</f>
        <v>9791191102086</v>
      </c>
      <c r="AV612" t="str">
        <f t="shared" si="79"/>
        <v>판타지 웹소설 &gt; 현대 판타지</v>
      </c>
    </row>
    <row r="613" spans="1:48" x14ac:dyDescent="0.4">
      <c r="A613">
        <v>1525004030</v>
      </c>
      <c r="B613">
        <v>1525004204</v>
      </c>
      <c r="C613" t="str">
        <f>T("회귀의 전설 175화")</f>
        <v>회귀의 전설 175화</v>
      </c>
      <c r="D613" t="str">
        <f>T("175")</f>
        <v>175</v>
      </c>
      <c r="E613" t="str">
        <f t="shared" si="76"/>
        <v>김광수</v>
      </c>
      <c r="H613" t="str">
        <f t="shared" si="77"/>
        <v>스토리위즈</v>
      </c>
      <c r="I613" t="str">
        <f t="shared" si="78"/>
        <v>회귀의 전설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300</v>
      </c>
      <c r="AH613">
        <v>3</v>
      </c>
      <c r="AI613">
        <v>0</v>
      </c>
      <c r="AJ613">
        <v>0</v>
      </c>
      <c r="AK613">
        <v>300</v>
      </c>
      <c r="AL613">
        <v>0</v>
      </c>
      <c r="AM613">
        <v>0</v>
      </c>
      <c r="AN613">
        <v>0</v>
      </c>
      <c r="AO613">
        <v>0</v>
      </c>
      <c r="AP613" s="2">
        <v>210</v>
      </c>
      <c r="AT613" t="str">
        <f>T("9788997946006")</f>
        <v>9788997946006</v>
      </c>
      <c r="AV613" t="str">
        <f t="shared" si="79"/>
        <v>판타지 웹소설 &gt; 현대 판타지</v>
      </c>
    </row>
    <row r="614" spans="1:48" x14ac:dyDescent="0.4">
      <c r="A614">
        <v>1525004030</v>
      </c>
      <c r="B614">
        <v>1525004117</v>
      </c>
      <c r="C614" t="str">
        <f>T("회귀의 전설 88화")</f>
        <v>회귀의 전설 88화</v>
      </c>
      <c r="D614" t="str">
        <f>T("88")</f>
        <v>88</v>
      </c>
      <c r="E614" t="str">
        <f t="shared" si="76"/>
        <v>김광수</v>
      </c>
      <c r="H614" t="str">
        <f t="shared" si="77"/>
        <v>스토리위즈</v>
      </c>
      <c r="I614" t="str">
        <f t="shared" si="78"/>
        <v>회귀의 전설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</v>
      </c>
      <c r="AH614">
        <v>3</v>
      </c>
      <c r="AI614">
        <v>0</v>
      </c>
      <c r="AJ614">
        <v>0</v>
      </c>
      <c r="AK614">
        <v>300</v>
      </c>
      <c r="AL614">
        <v>0</v>
      </c>
      <c r="AM614">
        <v>0</v>
      </c>
      <c r="AN614">
        <v>0</v>
      </c>
      <c r="AO614">
        <v>0</v>
      </c>
      <c r="AP614" s="2">
        <v>210</v>
      </c>
      <c r="AT614" t="str">
        <f>T("9788997946006")</f>
        <v>9788997946006</v>
      </c>
      <c r="AV614" t="str">
        <f t="shared" si="79"/>
        <v>판타지 웹소설 &gt; 현대 판타지</v>
      </c>
    </row>
    <row r="615" spans="1:48" x14ac:dyDescent="0.4">
      <c r="A615">
        <v>1525004030</v>
      </c>
      <c r="B615">
        <v>1525004229</v>
      </c>
      <c r="C615" t="str">
        <f>T("회귀의 전설 200화")</f>
        <v>회귀의 전설 200화</v>
      </c>
      <c r="D615" t="str">
        <f>T("200")</f>
        <v>200</v>
      </c>
      <c r="E615" t="str">
        <f t="shared" si="76"/>
        <v>김광수</v>
      </c>
      <c r="H615" t="str">
        <f t="shared" si="77"/>
        <v>스토리위즈</v>
      </c>
      <c r="I615" t="str">
        <f t="shared" si="78"/>
        <v>회귀의 전설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3</v>
      </c>
      <c r="AI615">
        <v>0</v>
      </c>
      <c r="AJ615">
        <v>0</v>
      </c>
      <c r="AK615">
        <v>200</v>
      </c>
      <c r="AL615">
        <v>0</v>
      </c>
      <c r="AM615">
        <v>100</v>
      </c>
      <c r="AN615">
        <v>0</v>
      </c>
      <c r="AO615">
        <v>0</v>
      </c>
      <c r="AP615" s="2">
        <v>210</v>
      </c>
      <c r="AT615" t="str">
        <f>T("9788997946006")</f>
        <v>9788997946006</v>
      </c>
      <c r="AV615" t="str">
        <f t="shared" si="79"/>
        <v>판타지 웹소설 &gt; 현대 판타지</v>
      </c>
    </row>
    <row r="616" spans="1:48" x14ac:dyDescent="0.4">
      <c r="A616">
        <v>1525004030</v>
      </c>
      <c r="B616">
        <v>1525006936</v>
      </c>
      <c r="C616" t="str">
        <f>T("회귀의 전설 2부 819화")</f>
        <v>회귀의 전설 2부 819화</v>
      </c>
      <c r="D616" t="str">
        <f>T("819")</f>
        <v>819</v>
      </c>
      <c r="E616" t="str">
        <f t="shared" si="76"/>
        <v>김광수</v>
      </c>
      <c r="H616" t="str">
        <f t="shared" si="77"/>
        <v>스토리위즈</v>
      </c>
      <c r="I616" t="str">
        <f t="shared" si="78"/>
        <v>회귀의 전설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</v>
      </c>
      <c r="AH616">
        <v>3</v>
      </c>
      <c r="AI616">
        <v>0</v>
      </c>
      <c r="AJ616">
        <v>0</v>
      </c>
      <c r="AK616">
        <v>300</v>
      </c>
      <c r="AL616">
        <v>0</v>
      </c>
      <c r="AM616">
        <v>0</v>
      </c>
      <c r="AN616">
        <v>0</v>
      </c>
      <c r="AO616">
        <v>0</v>
      </c>
      <c r="AP616" s="2">
        <v>210</v>
      </c>
      <c r="AT616" t="str">
        <f>T("9791191102086")</f>
        <v>9791191102086</v>
      </c>
      <c r="AV616" t="str">
        <f t="shared" si="79"/>
        <v>판타지 웹소설 &gt; 현대 판타지</v>
      </c>
    </row>
    <row r="617" spans="1:48" x14ac:dyDescent="0.4">
      <c r="A617">
        <v>1525004030</v>
      </c>
      <c r="B617">
        <v>1525004069</v>
      </c>
      <c r="C617" t="str">
        <f>T("회귀의 전설 40화")</f>
        <v>회귀의 전설 40화</v>
      </c>
      <c r="D617" t="str">
        <f>T("40")</f>
        <v>40</v>
      </c>
      <c r="E617" t="str">
        <f t="shared" si="76"/>
        <v>김광수</v>
      </c>
      <c r="H617" t="str">
        <f t="shared" si="77"/>
        <v>스토리위즈</v>
      </c>
      <c r="I617" t="str">
        <f t="shared" si="78"/>
        <v>회귀의 전설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300</v>
      </c>
      <c r="AH617">
        <v>3</v>
      </c>
      <c r="AI617">
        <v>0</v>
      </c>
      <c r="AJ617">
        <v>0</v>
      </c>
      <c r="AK617">
        <v>300</v>
      </c>
      <c r="AL617">
        <v>0</v>
      </c>
      <c r="AM617">
        <v>0</v>
      </c>
      <c r="AN617">
        <v>0</v>
      </c>
      <c r="AO617">
        <v>0</v>
      </c>
      <c r="AP617" s="2">
        <v>210</v>
      </c>
      <c r="AT617" t="str">
        <f>T("9788997946006")</f>
        <v>9788997946006</v>
      </c>
      <c r="AV617" t="str">
        <f t="shared" si="79"/>
        <v>판타지 웹소설 &gt; 현대 판타지</v>
      </c>
    </row>
    <row r="618" spans="1:48" x14ac:dyDescent="0.4">
      <c r="A618">
        <v>1525004030</v>
      </c>
      <c r="B618">
        <v>1525004222</v>
      </c>
      <c r="C618" t="str">
        <f>T("회귀의 전설 193화")</f>
        <v>회귀의 전설 193화</v>
      </c>
      <c r="D618" t="str">
        <f>T("193")</f>
        <v>193</v>
      </c>
      <c r="E618" t="str">
        <f t="shared" si="76"/>
        <v>김광수</v>
      </c>
      <c r="H618" t="str">
        <f t="shared" si="77"/>
        <v>스토리위즈</v>
      </c>
      <c r="I618" t="str">
        <f t="shared" si="78"/>
        <v>회귀의 전설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200</v>
      </c>
      <c r="AL618">
        <v>0</v>
      </c>
      <c r="AM618">
        <v>100</v>
      </c>
      <c r="AN618">
        <v>0</v>
      </c>
      <c r="AO618">
        <v>0</v>
      </c>
      <c r="AP618" s="2">
        <v>210</v>
      </c>
      <c r="AT618" t="str">
        <f>T("9788997946006")</f>
        <v>9788997946006</v>
      </c>
      <c r="AV618" t="str">
        <f t="shared" si="79"/>
        <v>판타지 웹소설 &gt; 현대 판타지</v>
      </c>
    </row>
    <row r="619" spans="1:48" x14ac:dyDescent="0.4">
      <c r="A619">
        <v>1525004030</v>
      </c>
      <c r="B619">
        <v>1525006929</v>
      </c>
      <c r="C619" t="str">
        <f>T("회귀의 전설 2부 812화")</f>
        <v>회귀의 전설 2부 812화</v>
      </c>
      <c r="D619" t="str">
        <f>T("812")</f>
        <v>812</v>
      </c>
      <c r="E619" t="str">
        <f t="shared" si="76"/>
        <v>김광수</v>
      </c>
      <c r="H619" t="str">
        <f t="shared" si="77"/>
        <v>스토리위즈</v>
      </c>
      <c r="I619" t="str">
        <f t="shared" si="78"/>
        <v>회귀의 전설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3</v>
      </c>
      <c r="AI619">
        <v>0</v>
      </c>
      <c r="AJ619">
        <v>0</v>
      </c>
      <c r="AK619">
        <v>300</v>
      </c>
      <c r="AL619">
        <v>0</v>
      </c>
      <c r="AM619">
        <v>0</v>
      </c>
      <c r="AN619">
        <v>0</v>
      </c>
      <c r="AO619">
        <v>0</v>
      </c>
      <c r="AP619" s="2">
        <v>210</v>
      </c>
      <c r="AT619" t="str">
        <f>T("9791191102086")</f>
        <v>9791191102086</v>
      </c>
      <c r="AV619" t="str">
        <f t="shared" si="79"/>
        <v>판타지 웹소설 &gt; 현대 판타지</v>
      </c>
    </row>
    <row r="620" spans="1:48" x14ac:dyDescent="0.4">
      <c r="A620">
        <v>1525004030</v>
      </c>
      <c r="B620">
        <v>1525004062</v>
      </c>
      <c r="C620" t="str">
        <f>T("회귀의 전설 33화")</f>
        <v>회귀의 전설 33화</v>
      </c>
      <c r="D620" t="str">
        <f>T("33")</f>
        <v>33</v>
      </c>
      <c r="E620" t="str">
        <f t="shared" si="76"/>
        <v>김광수</v>
      </c>
      <c r="H620" t="str">
        <f t="shared" si="77"/>
        <v>스토리위즈</v>
      </c>
      <c r="I620" t="str">
        <f t="shared" si="78"/>
        <v>회귀의 전설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300</v>
      </c>
      <c r="AH620">
        <v>3</v>
      </c>
      <c r="AI620">
        <v>0</v>
      </c>
      <c r="AJ620">
        <v>0</v>
      </c>
      <c r="AK620">
        <v>300</v>
      </c>
      <c r="AL620">
        <v>0</v>
      </c>
      <c r="AM620">
        <v>0</v>
      </c>
      <c r="AN620">
        <v>0</v>
      </c>
      <c r="AO620">
        <v>0</v>
      </c>
      <c r="AP620" s="2">
        <v>210</v>
      </c>
      <c r="AT620" t="str">
        <f>T("9788997946006")</f>
        <v>9788997946006</v>
      </c>
      <c r="AV620" t="str">
        <f t="shared" si="79"/>
        <v>판타지 웹소설 &gt; 현대 판타지</v>
      </c>
    </row>
    <row r="621" spans="1:48" x14ac:dyDescent="0.4">
      <c r="A621">
        <v>1525004030</v>
      </c>
      <c r="B621">
        <v>1525004078</v>
      </c>
      <c r="C621" t="str">
        <f>T("회귀의 전설 49화")</f>
        <v>회귀의 전설 49화</v>
      </c>
      <c r="D621" t="str">
        <f>T("49")</f>
        <v>49</v>
      </c>
      <c r="E621" t="str">
        <f t="shared" si="76"/>
        <v>김광수</v>
      </c>
      <c r="H621" t="str">
        <f t="shared" si="77"/>
        <v>스토리위즈</v>
      </c>
      <c r="I621" t="str">
        <f t="shared" si="78"/>
        <v>회귀의 전설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300</v>
      </c>
      <c r="AH621">
        <v>3</v>
      </c>
      <c r="AI621">
        <v>0</v>
      </c>
      <c r="AJ621">
        <v>0</v>
      </c>
      <c r="AK621">
        <v>300</v>
      </c>
      <c r="AL621">
        <v>0</v>
      </c>
      <c r="AM621">
        <v>0</v>
      </c>
      <c r="AN621">
        <v>0</v>
      </c>
      <c r="AO621">
        <v>0</v>
      </c>
      <c r="AP621" s="2">
        <v>210</v>
      </c>
      <c r="AT621" t="str">
        <f>T("9788997946006")</f>
        <v>9788997946006</v>
      </c>
      <c r="AV621" t="str">
        <f t="shared" si="79"/>
        <v>판타지 웹소설 &gt; 현대 판타지</v>
      </c>
    </row>
    <row r="622" spans="1:48" x14ac:dyDescent="0.4">
      <c r="A622">
        <v>1525004030</v>
      </c>
      <c r="B622">
        <v>1525007141</v>
      </c>
      <c r="C622" t="str">
        <f>T("회귀의 전설 2부 826화")</f>
        <v>회귀의 전설 2부 826화</v>
      </c>
      <c r="D622" t="str">
        <f>T("826")</f>
        <v>826</v>
      </c>
      <c r="E622" t="str">
        <f t="shared" si="76"/>
        <v>김광수</v>
      </c>
      <c r="H622" t="str">
        <f t="shared" si="77"/>
        <v>스토리위즈</v>
      </c>
      <c r="I622" t="str">
        <f t="shared" si="78"/>
        <v>회귀의 전설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300</v>
      </c>
      <c r="AH622">
        <v>3</v>
      </c>
      <c r="AI622">
        <v>0</v>
      </c>
      <c r="AJ622">
        <v>0</v>
      </c>
      <c r="AK622">
        <v>300</v>
      </c>
      <c r="AL622">
        <v>0</v>
      </c>
      <c r="AM622">
        <v>0</v>
      </c>
      <c r="AN622">
        <v>0</v>
      </c>
      <c r="AO622">
        <v>0</v>
      </c>
      <c r="AP622" s="2">
        <v>210</v>
      </c>
      <c r="AT622" t="str">
        <f>T("9791191102086")</f>
        <v>9791191102086</v>
      </c>
      <c r="AV622" t="str">
        <f t="shared" si="79"/>
        <v>판타지 웹소설 &gt; 현대 판타지</v>
      </c>
    </row>
    <row r="623" spans="1:48" x14ac:dyDescent="0.4">
      <c r="A623">
        <v>1525004030</v>
      </c>
      <c r="B623">
        <v>1525004110</v>
      </c>
      <c r="C623" t="str">
        <f>T("회귀의 전설 81화")</f>
        <v>회귀의 전설 81화</v>
      </c>
      <c r="D623" t="str">
        <f>T("81")</f>
        <v>81</v>
      </c>
      <c r="E623" t="str">
        <f t="shared" si="76"/>
        <v>김광수</v>
      </c>
      <c r="H623" t="str">
        <f t="shared" si="77"/>
        <v>스토리위즈</v>
      </c>
      <c r="I623" t="str">
        <f t="shared" si="78"/>
        <v>회귀의 전설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300</v>
      </c>
      <c r="AH623">
        <v>3</v>
      </c>
      <c r="AI623">
        <v>0</v>
      </c>
      <c r="AJ623">
        <v>0</v>
      </c>
      <c r="AK623">
        <v>300</v>
      </c>
      <c r="AL623">
        <v>0</v>
      </c>
      <c r="AM623">
        <v>0</v>
      </c>
      <c r="AN623">
        <v>0</v>
      </c>
      <c r="AO623">
        <v>0</v>
      </c>
      <c r="AP623" s="2">
        <v>210</v>
      </c>
      <c r="AT623" t="str">
        <f>T("9788997946006")</f>
        <v>9788997946006</v>
      </c>
      <c r="AV623" t="str">
        <f t="shared" si="79"/>
        <v>판타지 웹소설 &gt; 현대 판타지</v>
      </c>
    </row>
    <row r="624" spans="1:48" x14ac:dyDescent="0.4">
      <c r="A624">
        <v>1525004030</v>
      </c>
      <c r="B624">
        <v>1525006778</v>
      </c>
      <c r="C624" t="str">
        <f>T("회귀의 전설 2부 661화")</f>
        <v>회귀의 전설 2부 661화</v>
      </c>
      <c r="D624" t="str">
        <f>T("661")</f>
        <v>661</v>
      </c>
      <c r="E624" t="str">
        <f t="shared" si="76"/>
        <v>김광수</v>
      </c>
      <c r="H624" t="str">
        <f t="shared" si="77"/>
        <v>스토리위즈</v>
      </c>
      <c r="I624" t="str">
        <f t="shared" si="78"/>
        <v>회귀의 전설</v>
      </c>
      <c r="J624">
        <v>100</v>
      </c>
      <c r="K624">
        <v>300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300</v>
      </c>
      <c r="AH624">
        <v>3</v>
      </c>
      <c r="AI624">
        <v>0</v>
      </c>
      <c r="AJ624">
        <v>0</v>
      </c>
      <c r="AK624">
        <v>300</v>
      </c>
      <c r="AL624">
        <v>0</v>
      </c>
      <c r="AM624">
        <v>0</v>
      </c>
      <c r="AN624">
        <v>0</v>
      </c>
      <c r="AO624">
        <v>0</v>
      </c>
      <c r="AP624" s="2">
        <v>210</v>
      </c>
      <c r="AT624" t="str">
        <f>T("9791191102086")</f>
        <v>9791191102086</v>
      </c>
      <c r="AV624" t="str">
        <f t="shared" si="79"/>
        <v>판타지 웹소설 &gt; 현대 판타지</v>
      </c>
    </row>
    <row r="625" spans="1:48" x14ac:dyDescent="0.4">
      <c r="A625">
        <v>1525004030</v>
      </c>
      <c r="B625">
        <v>1525004215</v>
      </c>
      <c r="C625" t="str">
        <f>T("회귀의 전설 186화")</f>
        <v>회귀의 전설 186화</v>
      </c>
      <c r="D625" t="str">
        <f>T("186")</f>
        <v>186</v>
      </c>
      <c r="E625" t="str">
        <f t="shared" si="76"/>
        <v>김광수</v>
      </c>
      <c r="H625" t="str">
        <f t="shared" si="77"/>
        <v>스토리위즈</v>
      </c>
      <c r="I625" t="str">
        <f t="shared" si="78"/>
        <v>회귀의 전설</v>
      </c>
      <c r="J625">
        <v>100</v>
      </c>
      <c r="K625">
        <v>300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300</v>
      </c>
      <c r="AH625">
        <v>3</v>
      </c>
      <c r="AI625">
        <v>0</v>
      </c>
      <c r="AJ625">
        <v>0</v>
      </c>
      <c r="AK625">
        <v>300</v>
      </c>
      <c r="AL625">
        <v>0</v>
      </c>
      <c r="AM625">
        <v>0</v>
      </c>
      <c r="AN625">
        <v>0</v>
      </c>
      <c r="AO625">
        <v>0</v>
      </c>
      <c r="AP625" s="2">
        <v>210</v>
      </c>
      <c r="AT625" t="str">
        <f>T("9788997946006")</f>
        <v>9788997946006</v>
      </c>
      <c r="AV625" t="str">
        <f t="shared" si="79"/>
        <v>판타지 웹소설 &gt; 현대 판타지</v>
      </c>
    </row>
    <row r="626" spans="1:48" x14ac:dyDescent="0.4">
      <c r="A626">
        <v>1525004030</v>
      </c>
      <c r="B626">
        <v>1525006947</v>
      </c>
      <c r="C626" t="str">
        <f>T("회귀의 전설 2부 831화")</f>
        <v>회귀의 전설 2부 831화</v>
      </c>
      <c r="D626" t="str">
        <f>T("831")</f>
        <v>831</v>
      </c>
      <c r="E626" t="str">
        <f t="shared" si="76"/>
        <v>김광수</v>
      </c>
      <c r="H626" t="str">
        <f t="shared" si="77"/>
        <v>스토리위즈</v>
      </c>
      <c r="I626" t="str">
        <f t="shared" si="78"/>
        <v>회귀의 전설</v>
      </c>
      <c r="J626">
        <v>100</v>
      </c>
      <c r="K626">
        <v>300</v>
      </c>
      <c r="L626">
        <v>3</v>
      </c>
      <c r="M626">
        <v>0</v>
      </c>
      <c r="N626">
        <v>100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400</v>
      </c>
      <c r="AH626">
        <v>4</v>
      </c>
      <c r="AI626">
        <v>0</v>
      </c>
      <c r="AJ626">
        <v>0</v>
      </c>
      <c r="AK626">
        <v>400</v>
      </c>
      <c r="AL626">
        <v>0</v>
      </c>
      <c r="AM626">
        <v>0</v>
      </c>
      <c r="AN626">
        <v>0</v>
      </c>
      <c r="AO626">
        <v>0</v>
      </c>
      <c r="AP626" s="2">
        <v>280</v>
      </c>
      <c r="AT626" t="str">
        <f>T("9791191102086")</f>
        <v>9791191102086</v>
      </c>
      <c r="AV626" t="str">
        <f t="shared" si="79"/>
        <v>판타지 웹소설 &gt; 현대 판타지</v>
      </c>
    </row>
    <row r="627" spans="1:48" x14ac:dyDescent="0.4">
      <c r="A627">
        <v>1525004030</v>
      </c>
      <c r="B627">
        <v>1525004073</v>
      </c>
      <c r="C627" t="str">
        <f>T("회귀의 전설 44화")</f>
        <v>회귀의 전설 44화</v>
      </c>
      <c r="D627" t="str">
        <f>T("44")</f>
        <v>44</v>
      </c>
      <c r="E627" t="str">
        <f t="shared" si="76"/>
        <v>김광수</v>
      </c>
      <c r="H627" t="str">
        <f t="shared" si="77"/>
        <v>스토리위즈</v>
      </c>
      <c r="I627" t="str">
        <f t="shared" si="78"/>
        <v>회귀의 전설</v>
      </c>
      <c r="J627">
        <v>100</v>
      </c>
      <c r="K627">
        <v>300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300</v>
      </c>
      <c r="AH627">
        <v>3</v>
      </c>
      <c r="AI627">
        <v>0</v>
      </c>
      <c r="AJ627">
        <v>0</v>
      </c>
      <c r="AK627">
        <v>300</v>
      </c>
      <c r="AL627">
        <v>0</v>
      </c>
      <c r="AM627">
        <v>0</v>
      </c>
      <c r="AN627">
        <v>0</v>
      </c>
      <c r="AO627">
        <v>0</v>
      </c>
      <c r="AP627" s="2">
        <v>210</v>
      </c>
      <c r="AT627" t="str">
        <f>T("9788997946006")</f>
        <v>9788997946006</v>
      </c>
      <c r="AV627" t="str">
        <f t="shared" si="79"/>
        <v>판타지 웹소설 &gt; 현대 판타지</v>
      </c>
    </row>
    <row r="628" spans="1:48" x14ac:dyDescent="0.4">
      <c r="A628">
        <v>1525004030</v>
      </c>
      <c r="B628">
        <v>1525004089</v>
      </c>
      <c r="C628" t="str">
        <f>T("회귀의 전설 60화")</f>
        <v>회귀의 전설 60화</v>
      </c>
      <c r="D628" t="str">
        <f>T("60")</f>
        <v>60</v>
      </c>
      <c r="E628" t="str">
        <f t="shared" si="76"/>
        <v>김광수</v>
      </c>
      <c r="H628" t="str">
        <f t="shared" si="77"/>
        <v>스토리위즈</v>
      </c>
      <c r="I628" t="str">
        <f t="shared" si="78"/>
        <v>회귀의 전설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300</v>
      </c>
      <c r="AH628">
        <v>3</v>
      </c>
      <c r="AI628">
        <v>0</v>
      </c>
      <c r="AJ628">
        <v>0</v>
      </c>
      <c r="AK628">
        <v>300</v>
      </c>
      <c r="AL628">
        <v>0</v>
      </c>
      <c r="AM628">
        <v>0</v>
      </c>
      <c r="AN628">
        <v>0</v>
      </c>
      <c r="AO628">
        <v>0</v>
      </c>
      <c r="AP628" s="2">
        <v>210</v>
      </c>
      <c r="AT628" t="str">
        <f>T("9788997946006")</f>
        <v>9788997946006</v>
      </c>
      <c r="AV628" t="str">
        <f t="shared" si="79"/>
        <v>판타지 웹소설 &gt; 현대 판타지</v>
      </c>
    </row>
    <row r="629" spans="1:48" x14ac:dyDescent="0.4">
      <c r="A629">
        <v>1525004030</v>
      </c>
      <c r="B629">
        <v>1525004201</v>
      </c>
      <c r="C629" t="str">
        <f>T("회귀의 전설 172화")</f>
        <v>회귀의 전설 172화</v>
      </c>
      <c r="D629" t="str">
        <f>T("172")</f>
        <v>172</v>
      </c>
      <c r="E629" t="str">
        <f t="shared" si="76"/>
        <v>김광수</v>
      </c>
      <c r="H629" t="str">
        <f t="shared" si="77"/>
        <v>스토리위즈</v>
      </c>
      <c r="I629" t="str">
        <f t="shared" si="78"/>
        <v>회귀의 전설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3</v>
      </c>
      <c r="AI629">
        <v>0</v>
      </c>
      <c r="AJ629">
        <v>0</v>
      </c>
      <c r="AK629">
        <v>300</v>
      </c>
      <c r="AL629">
        <v>0</v>
      </c>
      <c r="AM629">
        <v>0</v>
      </c>
      <c r="AN629">
        <v>0</v>
      </c>
      <c r="AO629">
        <v>0</v>
      </c>
      <c r="AP629" s="2">
        <v>210</v>
      </c>
      <c r="AT629" t="str">
        <f>T("9788997946006")</f>
        <v>9788997946006</v>
      </c>
      <c r="AV629" t="str">
        <f t="shared" si="79"/>
        <v>판타지 웹소설 &gt; 현대 판타지</v>
      </c>
    </row>
    <row r="630" spans="1:48" x14ac:dyDescent="0.4">
      <c r="A630">
        <v>1525004030</v>
      </c>
      <c r="B630">
        <v>1525004121</v>
      </c>
      <c r="C630" t="str">
        <f>T("회귀의 전설 92화")</f>
        <v>회귀의 전설 92화</v>
      </c>
      <c r="D630" t="str">
        <f>T("92")</f>
        <v>92</v>
      </c>
      <c r="E630" t="str">
        <f t="shared" si="76"/>
        <v>김광수</v>
      </c>
      <c r="H630" t="str">
        <f t="shared" si="77"/>
        <v>스토리위즈</v>
      </c>
      <c r="I630" t="str">
        <f t="shared" si="78"/>
        <v>회귀의 전설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300</v>
      </c>
      <c r="AH630">
        <v>3</v>
      </c>
      <c r="AI630">
        <v>0</v>
      </c>
      <c r="AJ630">
        <v>0</v>
      </c>
      <c r="AK630">
        <v>300</v>
      </c>
      <c r="AL630">
        <v>0</v>
      </c>
      <c r="AM630">
        <v>0</v>
      </c>
      <c r="AN630">
        <v>0</v>
      </c>
      <c r="AO630">
        <v>0</v>
      </c>
      <c r="AP630" s="2">
        <v>210</v>
      </c>
      <c r="AT630" t="str">
        <f>T("9788997946006")</f>
        <v>9788997946006</v>
      </c>
      <c r="AV630" t="str">
        <f t="shared" si="79"/>
        <v>판타지 웹소설 &gt; 현대 판타지</v>
      </c>
    </row>
    <row r="631" spans="1:48" x14ac:dyDescent="0.4">
      <c r="A631">
        <v>1525004030</v>
      </c>
      <c r="B631">
        <v>1525004233</v>
      </c>
      <c r="C631" t="str">
        <f>T("회귀의 전설 204화")</f>
        <v>회귀의 전설 204화</v>
      </c>
      <c r="D631" t="str">
        <f>T("204")</f>
        <v>204</v>
      </c>
      <c r="E631" t="str">
        <f t="shared" si="76"/>
        <v>김광수</v>
      </c>
      <c r="H631" t="str">
        <f t="shared" si="77"/>
        <v>스토리위즈</v>
      </c>
      <c r="I631" t="str">
        <f t="shared" si="78"/>
        <v>회귀의 전설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3</v>
      </c>
      <c r="AI631">
        <v>0</v>
      </c>
      <c r="AJ631">
        <v>0</v>
      </c>
      <c r="AK631">
        <v>200</v>
      </c>
      <c r="AL631">
        <v>0</v>
      </c>
      <c r="AM631">
        <v>100</v>
      </c>
      <c r="AN631">
        <v>0</v>
      </c>
      <c r="AO631">
        <v>0</v>
      </c>
      <c r="AP631" s="2">
        <v>210</v>
      </c>
      <c r="AT631" t="str">
        <f>T("9788997946006")</f>
        <v>9788997946006</v>
      </c>
      <c r="AV631" t="str">
        <f t="shared" si="79"/>
        <v>판타지 웹소설 &gt; 현대 판타지</v>
      </c>
    </row>
    <row r="632" spans="1:48" x14ac:dyDescent="0.4">
      <c r="A632">
        <v>1525004030</v>
      </c>
      <c r="B632">
        <v>1525006940</v>
      </c>
      <c r="C632" t="str">
        <f>T("회귀의 전설 2부 823화")</f>
        <v>회귀의 전설 2부 823화</v>
      </c>
      <c r="D632" t="str">
        <f>T("823")</f>
        <v>823</v>
      </c>
      <c r="E632" t="str">
        <f t="shared" si="76"/>
        <v>김광수</v>
      </c>
      <c r="H632" t="str">
        <f t="shared" si="77"/>
        <v>스토리위즈</v>
      </c>
      <c r="I632" t="str">
        <f t="shared" si="78"/>
        <v>회귀의 전설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3</v>
      </c>
      <c r="AI632">
        <v>0</v>
      </c>
      <c r="AJ632">
        <v>0</v>
      </c>
      <c r="AK632">
        <v>300</v>
      </c>
      <c r="AL632">
        <v>0</v>
      </c>
      <c r="AM632">
        <v>0</v>
      </c>
      <c r="AN632">
        <v>0</v>
      </c>
      <c r="AO632">
        <v>0</v>
      </c>
      <c r="AP632" s="2">
        <v>210</v>
      </c>
      <c r="AT632" t="str">
        <f>T("9791191102086")</f>
        <v>9791191102086</v>
      </c>
      <c r="AV632" t="str">
        <f t="shared" si="79"/>
        <v>판타지 웹소설 &gt; 현대 판타지</v>
      </c>
    </row>
    <row r="633" spans="1:48" x14ac:dyDescent="0.4">
      <c r="A633">
        <v>1525004030</v>
      </c>
      <c r="B633">
        <v>1525004194</v>
      </c>
      <c r="C633" t="str">
        <f>T("회귀의 전설 165화")</f>
        <v>회귀의 전설 165화</v>
      </c>
      <c r="D633" t="str">
        <f>T("165")</f>
        <v>165</v>
      </c>
      <c r="E633" t="str">
        <f t="shared" si="76"/>
        <v>김광수</v>
      </c>
      <c r="H633" t="str">
        <f t="shared" si="77"/>
        <v>스토리위즈</v>
      </c>
      <c r="I633" t="str">
        <f t="shared" si="78"/>
        <v>회귀의 전설</v>
      </c>
      <c r="J633">
        <v>100</v>
      </c>
      <c r="K633">
        <v>300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</v>
      </c>
      <c r="AH633">
        <v>3</v>
      </c>
      <c r="AI633">
        <v>0</v>
      </c>
      <c r="AJ633">
        <v>0</v>
      </c>
      <c r="AK633">
        <v>300</v>
      </c>
      <c r="AL633">
        <v>0</v>
      </c>
      <c r="AM633">
        <v>0</v>
      </c>
      <c r="AN633">
        <v>0</v>
      </c>
      <c r="AO633">
        <v>0</v>
      </c>
      <c r="AP633" s="2">
        <v>210</v>
      </c>
      <c r="AT633" t="str">
        <f>T("9788997946006")</f>
        <v>9788997946006</v>
      </c>
      <c r="AV633" t="str">
        <f t="shared" si="79"/>
        <v>판타지 웹소설 &gt; 현대 판타지</v>
      </c>
    </row>
    <row r="634" spans="1:48" x14ac:dyDescent="0.4">
      <c r="A634">
        <v>1525004030</v>
      </c>
      <c r="B634">
        <v>1525004226</v>
      </c>
      <c r="C634" t="str">
        <f>T("회귀의 전설 197화")</f>
        <v>회귀의 전설 197화</v>
      </c>
      <c r="D634" t="str">
        <f>T("197")</f>
        <v>197</v>
      </c>
      <c r="E634" t="str">
        <f t="shared" si="76"/>
        <v>김광수</v>
      </c>
      <c r="H634" t="str">
        <f t="shared" si="77"/>
        <v>스토리위즈</v>
      </c>
      <c r="I634" t="str">
        <f t="shared" si="78"/>
        <v>회귀의 전설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300</v>
      </c>
      <c r="AH634">
        <v>3</v>
      </c>
      <c r="AI634">
        <v>0</v>
      </c>
      <c r="AJ634">
        <v>0</v>
      </c>
      <c r="AK634">
        <v>200</v>
      </c>
      <c r="AL634">
        <v>0</v>
      </c>
      <c r="AM634">
        <v>100</v>
      </c>
      <c r="AN634">
        <v>0</v>
      </c>
      <c r="AO634">
        <v>0</v>
      </c>
      <c r="AP634" s="2">
        <v>210</v>
      </c>
      <c r="AT634" t="str">
        <f>T("9788997946006")</f>
        <v>9788997946006</v>
      </c>
      <c r="AV634" t="str">
        <f t="shared" si="79"/>
        <v>판타지 웹소설 &gt; 현대 판타지</v>
      </c>
    </row>
    <row r="635" spans="1:48" x14ac:dyDescent="0.4">
      <c r="A635">
        <v>1525004030</v>
      </c>
      <c r="B635">
        <v>1525006933</v>
      </c>
      <c r="C635" t="str">
        <f>T("회귀의 전설 2부 816화")</f>
        <v>회귀의 전설 2부 816화</v>
      </c>
      <c r="D635" t="str">
        <f>T("816")</f>
        <v>816</v>
      </c>
      <c r="E635" t="str">
        <f t="shared" si="76"/>
        <v>김광수</v>
      </c>
      <c r="H635" t="str">
        <f t="shared" si="77"/>
        <v>스토리위즈</v>
      </c>
      <c r="I635" t="str">
        <f t="shared" si="78"/>
        <v>회귀의 전설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</v>
      </c>
      <c r="AH635">
        <v>3</v>
      </c>
      <c r="AI635">
        <v>0</v>
      </c>
      <c r="AJ635">
        <v>0</v>
      </c>
      <c r="AK635">
        <v>300</v>
      </c>
      <c r="AL635">
        <v>0</v>
      </c>
      <c r="AM635">
        <v>0</v>
      </c>
      <c r="AN635">
        <v>0</v>
      </c>
      <c r="AO635">
        <v>0</v>
      </c>
      <c r="AP635" s="2">
        <v>210</v>
      </c>
      <c r="AT635" t="str">
        <f>T("9791191102086")</f>
        <v>9791191102086</v>
      </c>
      <c r="AV635" t="str">
        <f t="shared" si="79"/>
        <v>판타지 웹소설 &gt; 현대 판타지</v>
      </c>
    </row>
    <row r="636" spans="1:48" x14ac:dyDescent="0.4">
      <c r="A636">
        <v>1525004030</v>
      </c>
      <c r="B636">
        <v>1525004066</v>
      </c>
      <c r="C636" t="str">
        <f>T("회귀의 전설 37화")</f>
        <v>회귀의 전설 37화</v>
      </c>
      <c r="D636" t="str">
        <f>T("37")</f>
        <v>37</v>
      </c>
      <c r="E636" t="str">
        <f t="shared" si="76"/>
        <v>김광수</v>
      </c>
      <c r="H636" t="str">
        <f t="shared" si="77"/>
        <v>스토리위즈</v>
      </c>
      <c r="I636" t="str">
        <f t="shared" si="78"/>
        <v>회귀의 전설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300</v>
      </c>
      <c r="AH636">
        <v>3</v>
      </c>
      <c r="AI636">
        <v>0</v>
      </c>
      <c r="AJ636">
        <v>0</v>
      </c>
      <c r="AK636">
        <v>300</v>
      </c>
      <c r="AL636">
        <v>0</v>
      </c>
      <c r="AM636">
        <v>0</v>
      </c>
      <c r="AN636">
        <v>0</v>
      </c>
      <c r="AO636">
        <v>0</v>
      </c>
      <c r="AP636" s="2">
        <v>210</v>
      </c>
      <c r="AT636" t="str">
        <f>T("9788997946006")</f>
        <v>9788997946006</v>
      </c>
      <c r="AV636" t="str">
        <f t="shared" si="79"/>
        <v>판타지 웹소설 &gt; 현대 판타지</v>
      </c>
    </row>
    <row r="637" spans="1:48" x14ac:dyDescent="0.4">
      <c r="A637">
        <v>1525004030</v>
      </c>
      <c r="B637">
        <v>1525004082</v>
      </c>
      <c r="C637" t="str">
        <f>T("회귀의 전설 53화")</f>
        <v>회귀의 전설 53화</v>
      </c>
      <c r="D637" t="str">
        <f>T("53")</f>
        <v>53</v>
      </c>
      <c r="E637" t="str">
        <f t="shared" si="76"/>
        <v>김광수</v>
      </c>
      <c r="H637" t="str">
        <f t="shared" si="77"/>
        <v>스토리위즈</v>
      </c>
      <c r="I637" t="str">
        <f t="shared" si="78"/>
        <v>회귀의 전설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</v>
      </c>
      <c r="AH637">
        <v>3</v>
      </c>
      <c r="AI637">
        <v>0</v>
      </c>
      <c r="AJ637">
        <v>0</v>
      </c>
      <c r="AK637">
        <v>300</v>
      </c>
      <c r="AL637">
        <v>0</v>
      </c>
      <c r="AM637">
        <v>0</v>
      </c>
      <c r="AN637">
        <v>0</v>
      </c>
      <c r="AO637">
        <v>0</v>
      </c>
      <c r="AP637" s="2">
        <v>210</v>
      </c>
      <c r="AT637" t="str">
        <f>T("9788997946006")</f>
        <v>9788997946006</v>
      </c>
      <c r="AV637" t="str">
        <f t="shared" si="79"/>
        <v>판타지 웹소설 &gt; 현대 판타지</v>
      </c>
    </row>
    <row r="638" spans="1:48" x14ac:dyDescent="0.4">
      <c r="A638">
        <v>1525008132</v>
      </c>
      <c r="B638">
        <v>1525008131</v>
      </c>
      <c r="C638" t="str">
        <f>T("[e북]여름의 시작은 키스를 부른다 (외전)")</f>
        <v>[e북]여름의 시작은 키스를 부른다 (외전)</v>
      </c>
      <c r="D638" t="str">
        <f>T("4")</f>
        <v>4</v>
      </c>
      <c r="E638" t="str">
        <f>T("키도")</f>
        <v>키도</v>
      </c>
      <c r="H638" t="str">
        <f>T("블러쉬")</f>
        <v>블러쉬</v>
      </c>
      <c r="I638" t="str">
        <f>T("[e북]여름의 시작은 키스를 부른다")</f>
        <v>[e북]여름의 시작은 키스를 부른다</v>
      </c>
      <c r="J638">
        <v>300</v>
      </c>
      <c r="K638">
        <v>270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270</v>
      </c>
      <c r="AH638">
        <v>1</v>
      </c>
      <c r="AI638">
        <v>0</v>
      </c>
      <c r="AJ638">
        <v>0</v>
      </c>
      <c r="AK638">
        <v>270</v>
      </c>
      <c r="AL638">
        <v>0</v>
      </c>
      <c r="AM638">
        <v>0</v>
      </c>
      <c r="AN638">
        <v>0</v>
      </c>
      <c r="AO638">
        <v>0</v>
      </c>
      <c r="AP638" s="2">
        <v>189</v>
      </c>
      <c r="AR638" t="str">
        <f>T("0000000000000")</f>
        <v>0000000000000</v>
      </c>
      <c r="AT638" t="str">
        <f>T("9791164899821")</f>
        <v>9791164899821</v>
      </c>
      <c r="AV638" t="str">
        <f>T("BL 소설 e북 &gt; 현대물")</f>
        <v>BL 소설 e북 &gt; 현대물</v>
      </c>
    </row>
    <row r="639" spans="1:48" x14ac:dyDescent="0.4">
      <c r="A639">
        <v>1525011523</v>
      </c>
      <c r="B639">
        <v>1525011501</v>
      </c>
      <c r="C639" t="str">
        <f>T("남창목가 23화")</f>
        <v>남창목가 23화</v>
      </c>
      <c r="D639" t="str">
        <f>T("23")</f>
        <v>23</v>
      </c>
      <c r="E639" t="str">
        <f>T("최재봉")</f>
        <v>최재봉</v>
      </c>
      <c r="H639" t="str">
        <f>T("에필로그")</f>
        <v>에필로그</v>
      </c>
      <c r="I639" t="str">
        <f>T("남창목가")</f>
        <v>남창목가</v>
      </c>
      <c r="J639">
        <v>100</v>
      </c>
      <c r="K639">
        <v>200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200</v>
      </c>
      <c r="AH639">
        <v>2</v>
      </c>
      <c r="AI639">
        <v>0</v>
      </c>
      <c r="AJ639">
        <v>0</v>
      </c>
      <c r="AK639">
        <v>200</v>
      </c>
      <c r="AL639">
        <v>0</v>
      </c>
      <c r="AM639">
        <v>0</v>
      </c>
      <c r="AN639">
        <v>0</v>
      </c>
      <c r="AO639">
        <v>0</v>
      </c>
      <c r="AP639" s="2">
        <v>140</v>
      </c>
      <c r="AT639" t="str">
        <f>T("9791164482849")</f>
        <v>9791164482849</v>
      </c>
      <c r="AV639" t="str">
        <f>T("판타지 웹소설 &gt; 무협 소설")</f>
        <v>판타지 웹소설 &gt; 무협 소설</v>
      </c>
    </row>
    <row r="640" spans="1:48" x14ac:dyDescent="0.4">
      <c r="A640">
        <v>1525004030</v>
      </c>
      <c r="B640">
        <v>1525006806</v>
      </c>
      <c r="C640" t="str">
        <f>T("회귀의 전설 2부 689화")</f>
        <v>회귀의 전설 2부 689화</v>
      </c>
      <c r="D640" t="str">
        <f>T("689")</f>
        <v>689</v>
      </c>
      <c r="E640" t="str">
        <f>T("김광수")</f>
        <v>김광수</v>
      </c>
      <c r="H640" t="str">
        <f t="shared" ref="H640:H670" si="80">T("스토리위즈")</f>
        <v>스토리위즈</v>
      </c>
      <c r="I640" t="str">
        <f>T("회귀의 전설")</f>
        <v>회귀의 전설</v>
      </c>
      <c r="J640">
        <v>100</v>
      </c>
      <c r="K640">
        <v>200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200</v>
      </c>
      <c r="AH640">
        <v>2</v>
      </c>
      <c r="AI640">
        <v>0</v>
      </c>
      <c r="AJ640">
        <v>0</v>
      </c>
      <c r="AK640">
        <v>200</v>
      </c>
      <c r="AL640">
        <v>0</v>
      </c>
      <c r="AM640">
        <v>0</v>
      </c>
      <c r="AN640">
        <v>0</v>
      </c>
      <c r="AO640">
        <v>0</v>
      </c>
      <c r="AP640" s="2">
        <v>140</v>
      </c>
      <c r="AT640" t="str">
        <f>T("9791191102086")</f>
        <v>9791191102086</v>
      </c>
      <c r="AV640" t="str">
        <f t="shared" ref="AV640:AV670" si="81">T("판타지 웹소설 &gt; 현대 판타지")</f>
        <v>판타지 웹소설 &gt; 현대 판타지</v>
      </c>
    </row>
    <row r="641" spans="1:48" x14ac:dyDescent="0.4">
      <c r="A641">
        <v>2313011400</v>
      </c>
      <c r="B641">
        <v>1525007708</v>
      </c>
      <c r="C641" t="str">
        <f>T("최종 보스 24권 13화")</f>
        <v>최종 보스 24권 13화</v>
      </c>
      <c r="D641" t="str">
        <f>T("486")</f>
        <v>486</v>
      </c>
      <c r="E641" t="str">
        <f>T("무장")</f>
        <v>무장</v>
      </c>
      <c r="H641" t="str">
        <f t="shared" si="80"/>
        <v>스토리위즈</v>
      </c>
      <c r="I641" t="str">
        <f>T("최종 보스 : 빛을 향해 달리는 그림자")</f>
        <v>최종 보스 : 빛을 향해 달리는 그림자</v>
      </c>
      <c r="J641">
        <v>100</v>
      </c>
      <c r="K641">
        <v>200</v>
      </c>
      <c r="L641">
        <v>2</v>
      </c>
      <c r="M641">
        <v>0</v>
      </c>
      <c r="N641">
        <v>100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</v>
      </c>
      <c r="AH641">
        <v>3</v>
      </c>
      <c r="AI641">
        <v>0</v>
      </c>
      <c r="AJ641">
        <v>0</v>
      </c>
      <c r="AK641">
        <v>300</v>
      </c>
      <c r="AL641">
        <v>0</v>
      </c>
      <c r="AM641">
        <v>0</v>
      </c>
      <c r="AN641">
        <v>0</v>
      </c>
      <c r="AO641">
        <v>0</v>
      </c>
      <c r="AP641" s="2">
        <v>210</v>
      </c>
      <c r="AT641" t="str">
        <f>T("9791166067563")</f>
        <v>9791166067563</v>
      </c>
      <c r="AV641" t="str">
        <f t="shared" si="81"/>
        <v>판타지 웹소설 &gt; 현대 판타지</v>
      </c>
    </row>
    <row r="642" spans="1:48" x14ac:dyDescent="0.4">
      <c r="A642">
        <v>1525004030</v>
      </c>
      <c r="B642">
        <v>1525006670</v>
      </c>
      <c r="C642" t="str">
        <f>T("회귀의 전설 2부 553화")</f>
        <v>회귀의 전설 2부 553화</v>
      </c>
      <c r="D642" t="str">
        <f>T("553")</f>
        <v>553</v>
      </c>
      <c r="E642" t="str">
        <f t="shared" ref="E642:E650" si="82">T("김광수")</f>
        <v>김광수</v>
      </c>
      <c r="H642" t="str">
        <f t="shared" si="80"/>
        <v>스토리위즈</v>
      </c>
      <c r="I642" t="str">
        <f t="shared" ref="I642:I650" si="83">T("회귀의 전설")</f>
        <v>회귀의 전설</v>
      </c>
      <c r="J642">
        <v>100</v>
      </c>
      <c r="K642">
        <v>200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200</v>
      </c>
      <c r="AH642">
        <v>2</v>
      </c>
      <c r="AI642">
        <v>0</v>
      </c>
      <c r="AJ642">
        <v>0</v>
      </c>
      <c r="AK642">
        <v>200</v>
      </c>
      <c r="AL642">
        <v>0</v>
      </c>
      <c r="AM642">
        <v>0</v>
      </c>
      <c r="AN642">
        <v>0</v>
      </c>
      <c r="AO642">
        <v>0</v>
      </c>
      <c r="AP642" s="2">
        <v>140</v>
      </c>
      <c r="AT642" t="str">
        <f t="shared" ref="AT642:AT647" si="84">T("9791191102086")</f>
        <v>9791191102086</v>
      </c>
      <c r="AV642" t="str">
        <f t="shared" si="81"/>
        <v>판타지 웹소설 &gt; 현대 판타지</v>
      </c>
    </row>
    <row r="643" spans="1:48" x14ac:dyDescent="0.4">
      <c r="A643">
        <v>1525004030</v>
      </c>
      <c r="B643">
        <v>1525006862</v>
      </c>
      <c r="C643" t="str">
        <f>T("회귀의 전설 2부 745화")</f>
        <v>회귀의 전설 2부 745화</v>
      </c>
      <c r="D643" t="str">
        <f>T("745")</f>
        <v>745</v>
      </c>
      <c r="E643" t="str">
        <f t="shared" si="82"/>
        <v>김광수</v>
      </c>
      <c r="H643" t="str">
        <f t="shared" si="80"/>
        <v>스토리위즈</v>
      </c>
      <c r="I643" t="str">
        <f t="shared" si="83"/>
        <v>회귀의 전설</v>
      </c>
      <c r="J643">
        <v>100</v>
      </c>
      <c r="K643">
        <v>200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200</v>
      </c>
      <c r="AH643">
        <v>2</v>
      </c>
      <c r="AI643">
        <v>0</v>
      </c>
      <c r="AJ643">
        <v>0</v>
      </c>
      <c r="AK643">
        <v>200</v>
      </c>
      <c r="AL643">
        <v>0</v>
      </c>
      <c r="AM643">
        <v>0</v>
      </c>
      <c r="AN643">
        <v>0</v>
      </c>
      <c r="AO643">
        <v>0</v>
      </c>
      <c r="AP643" s="2">
        <v>140</v>
      </c>
      <c r="AT643" t="str">
        <f t="shared" si="84"/>
        <v>9791191102086</v>
      </c>
      <c r="AV643" t="str">
        <f t="shared" si="81"/>
        <v>판타지 웹소설 &gt; 현대 판타지</v>
      </c>
    </row>
    <row r="644" spans="1:48" x14ac:dyDescent="0.4">
      <c r="A644">
        <v>1525004030</v>
      </c>
      <c r="B644">
        <v>1525006782</v>
      </c>
      <c r="C644" t="str">
        <f>T("회귀의 전설 2부 665화")</f>
        <v>회귀의 전설 2부 665화</v>
      </c>
      <c r="D644" t="str">
        <f>T("665")</f>
        <v>665</v>
      </c>
      <c r="E644" t="str">
        <f t="shared" si="82"/>
        <v>김광수</v>
      </c>
      <c r="H644" t="str">
        <f t="shared" si="80"/>
        <v>스토리위즈</v>
      </c>
      <c r="I644" t="str">
        <f t="shared" si="83"/>
        <v>회귀의 전설</v>
      </c>
      <c r="J644">
        <v>100</v>
      </c>
      <c r="K644">
        <v>200</v>
      </c>
      <c r="L644">
        <v>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200</v>
      </c>
      <c r="AH644">
        <v>2</v>
      </c>
      <c r="AI644">
        <v>0</v>
      </c>
      <c r="AJ644">
        <v>0</v>
      </c>
      <c r="AK644">
        <v>200</v>
      </c>
      <c r="AL644">
        <v>0</v>
      </c>
      <c r="AM644">
        <v>0</v>
      </c>
      <c r="AN644">
        <v>0</v>
      </c>
      <c r="AO644">
        <v>0</v>
      </c>
      <c r="AP644" s="2">
        <v>140</v>
      </c>
      <c r="AT644" t="str">
        <f t="shared" si="84"/>
        <v>9791191102086</v>
      </c>
      <c r="AV644" t="str">
        <f t="shared" si="81"/>
        <v>판타지 웹소설 &gt; 현대 판타지</v>
      </c>
    </row>
    <row r="645" spans="1:48" x14ac:dyDescent="0.4">
      <c r="A645">
        <v>1525004030</v>
      </c>
      <c r="B645">
        <v>1525006838</v>
      </c>
      <c r="C645" t="str">
        <f>T("회귀의 전설 2부 721화")</f>
        <v>회귀의 전설 2부 721화</v>
      </c>
      <c r="D645" t="str">
        <f>T("721")</f>
        <v>721</v>
      </c>
      <c r="E645" t="str">
        <f t="shared" si="82"/>
        <v>김광수</v>
      </c>
      <c r="H645" t="str">
        <f t="shared" si="80"/>
        <v>스토리위즈</v>
      </c>
      <c r="I645" t="str">
        <f t="shared" si="83"/>
        <v>회귀의 전설</v>
      </c>
      <c r="J645">
        <v>100</v>
      </c>
      <c r="K645">
        <v>200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200</v>
      </c>
      <c r="AH645">
        <v>2</v>
      </c>
      <c r="AI645">
        <v>0</v>
      </c>
      <c r="AJ645">
        <v>0</v>
      </c>
      <c r="AK645">
        <v>200</v>
      </c>
      <c r="AL645">
        <v>0</v>
      </c>
      <c r="AM645">
        <v>0</v>
      </c>
      <c r="AN645">
        <v>0</v>
      </c>
      <c r="AO645">
        <v>0</v>
      </c>
      <c r="AP645" s="2">
        <v>140</v>
      </c>
      <c r="AT645" t="str">
        <f t="shared" si="84"/>
        <v>9791191102086</v>
      </c>
      <c r="AV645" t="str">
        <f t="shared" si="81"/>
        <v>판타지 웹소설 &gt; 현대 판타지</v>
      </c>
    </row>
    <row r="646" spans="1:48" x14ac:dyDescent="0.4">
      <c r="A646">
        <v>1525004030</v>
      </c>
      <c r="B646">
        <v>1525006894</v>
      </c>
      <c r="C646" t="str">
        <f>T("회귀의 전설 2부 777화")</f>
        <v>회귀의 전설 2부 777화</v>
      </c>
      <c r="D646" t="str">
        <f>T("777")</f>
        <v>777</v>
      </c>
      <c r="E646" t="str">
        <f t="shared" si="82"/>
        <v>김광수</v>
      </c>
      <c r="H646" t="str">
        <f t="shared" si="80"/>
        <v>스토리위즈</v>
      </c>
      <c r="I646" t="str">
        <f t="shared" si="83"/>
        <v>회귀의 전설</v>
      </c>
      <c r="J646">
        <v>100</v>
      </c>
      <c r="K646">
        <v>200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200</v>
      </c>
      <c r="AH646">
        <v>2</v>
      </c>
      <c r="AI646">
        <v>0</v>
      </c>
      <c r="AJ646">
        <v>0</v>
      </c>
      <c r="AK646">
        <v>200</v>
      </c>
      <c r="AL646">
        <v>0</v>
      </c>
      <c r="AM646">
        <v>0</v>
      </c>
      <c r="AN646">
        <v>0</v>
      </c>
      <c r="AO646">
        <v>0</v>
      </c>
      <c r="AP646" s="2">
        <v>140</v>
      </c>
      <c r="AT646" t="str">
        <f t="shared" si="84"/>
        <v>9791191102086</v>
      </c>
      <c r="AV646" t="str">
        <f t="shared" si="81"/>
        <v>판타지 웹소설 &gt; 현대 판타지</v>
      </c>
    </row>
    <row r="647" spans="1:48" x14ac:dyDescent="0.4">
      <c r="A647">
        <v>1525004030</v>
      </c>
      <c r="B647">
        <v>1525006702</v>
      </c>
      <c r="C647" t="str">
        <f>T("회귀의 전설 2부 585화")</f>
        <v>회귀의 전설 2부 585화</v>
      </c>
      <c r="D647" t="str">
        <f>T("585")</f>
        <v>585</v>
      </c>
      <c r="E647" t="str">
        <f t="shared" si="82"/>
        <v>김광수</v>
      </c>
      <c r="H647" t="str">
        <f t="shared" si="80"/>
        <v>스토리위즈</v>
      </c>
      <c r="I647" t="str">
        <f t="shared" si="83"/>
        <v>회귀의 전설</v>
      </c>
      <c r="J647">
        <v>100</v>
      </c>
      <c r="K647">
        <v>200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</v>
      </c>
      <c r="AH647">
        <v>2</v>
      </c>
      <c r="AI647">
        <v>0</v>
      </c>
      <c r="AJ647">
        <v>0</v>
      </c>
      <c r="AK647">
        <v>200</v>
      </c>
      <c r="AL647">
        <v>0</v>
      </c>
      <c r="AM647">
        <v>0</v>
      </c>
      <c r="AN647">
        <v>0</v>
      </c>
      <c r="AO647">
        <v>0</v>
      </c>
      <c r="AP647" s="2">
        <v>140</v>
      </c>
      <c r="AT647" t="str">
        <f t="shared" si="84"/>
        <v>9791191102086</v>
      </c>
      <c r="AV647" t="str">
        <f t="shared" si="81"/>
        <v>판타지 웹소설 &gt; 현대 판타지</v>
      </c>
    </row>
    <row r="648" spans="1:48" x14ac:dyDescent="0.4">
      <c r="A648">
        <v>1525004030</v>
      </c>
      <c r="B648">
        <v>1525004385</v>
      </c>
      <c r="C648" t="str">
        <f>T("회귀의 전설 357화")</f>
        <v>회귀의 전설 357화</v>
      </c>
      <c r="D648" t="str">
        <f>T("357")</f>
        <v>357</v>
      </c>
      <c r="E648" t="str">
        <f t="shared" si="82"/>
        <v>김광수</v>
      </c>
      <c r="H648" t="str">
        <f t="shared" si="80"/>
        <v>스토리위즈</v>
      </c>
      <c r="I648" t="str">
        <f t="shared" si="83"/>
        <v>회귀의 전설</v>
      </c>
      <c r="J648">
        <v>100</v>
      </c>
      <c r="K648">
        <v>200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200</v>
      </c>
      <c r="AH648">
        <v>2</v>
      </c>
      <c r="AI648">
        <v>0</v>
      </c>
      <c r="AJ648">
        <v>0</v>
      </c>
      <c r="AK648">
        <v>200</v>
      </c>
      <c r="AL648">
        <v>0</v>
      </c>
      <c r="AM648">
        <v>0</v>
      </c>
      <c r="AN648">
        <v>0</v>
      </c>
      <c r="AO648">
        <v>0</v>
      </c>
      <c r="AP648" s="2">
        <v>140</v>
      </c>
      <c r="AT648" t="str">
        <f>T("9788997946006")</f>
        <v>9788997946006</v>
      </c>
      <c r="AV648" t="str">
        <f t="shared" si="81"/>
        <v>판타지 웹소설 &gt; 현대 판타지</v>
      </c>
    </row>
    <row r="649" spans="1:48" x14ac:dyDescent="0.4">
      <c r="A649">
        <v>1525004030</v>
      </c>
      <c r="B649">
        <v>1525006926</v>
      </c>
      <c r="C649" t="str">
        <f>T("회귀의 전설 2부 809화")</f>
        <v>회귀의 전설 2부 809화</v>
      </c>
      <c r="D649" t="str">
        <f>T("809")</f>
        <v>809</v>
      </c>
      <c r="E649" t="str">
        <f t="shared" si="82"/>
        <v>김광수</v>
      </c>
      <c r="H649" t="str">
        <f t="shared" si="80"/>
        <v>스토리위즈</v>
      </c>
      <c r="I649" t="str">
        <f t="shared" si="83"/>
        <v>회귀의 전설</v>
      </c>
      <c r="J649">
        <v>100</v>
      </c>
      <c r="K649">
        <v>200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200</v>
      </c>
      <c r="AH649">
        <v>2</v>
      </c>
      <c r="AI649">
        <v>0</v>
      </c>
      <c r="AJ649">
        <v>0</v>
      </c>
      <c r="AK649">
        <v>200</v>
      </c>
      <c r="AL649">
        <v>0</v>
      </c>
      <c r="AM649">
        <v>0</v>
      </c>
      <c r="AN649">
        <v>0</v>
      </c>
      <c r="AO649">
        <v>0</v>
      </c>
      <c r="AP649" s="2">
        <v>140</v>
      </c>
      <c r="AT649" t="str">
        <f>T("9791191102086")</f>
        <v>9791191102086</v>
      </c>
      <c r="AV649" t="str">
        <f t="shared" si="81"/>
        <v>판타지 웹소설 &gt; 현대 판타지</v>
      </c>
    </row>
    <row r="650" spans="1:48" x14ac:dyDescent="0.4">
      <c r="A650">
        <v>1525004030</v>
      </c>
      <c r="B650">
        <v>1525006831</v>
      </c>
      <c r="C650" t="str">
        <f>T("회귀의 전설 2부 714화")</f>
        <v>회귀의 전설 2부 714화</v>
      </c>
      <c r="D650" t="str">
        <f>T("714")</f>
        <v>714</v>
      </c>
      <c r="E650" t="str">
        <f t="shared" si="82"/>
        <v>김광수</v>
      </c>
      <c r="H650" t="str">
        <f t="shared" si="80"/>
        <v>스토리위즈</v>
      </c>
      <c r="I650" t="str">
        <f t="shared" si="83"/>
        <v>회귀의 전설</v>
      </c>
      <c r="J650">
        <v>100</v>
      </c>
      <c r="K650">
        <v>200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</v>
      </c>
      <c r="AH650">
        <v>2</v>
      </c>
      <c r="AI650">
        <v>0</v>
      </c>
      <c r="AJ650">
        <v>0</v>
      </c>
      <c r="AK650">
        <v>200</v>
      </c>
      <c r="AL650">
        <v>0</v>
      </c>
      <c r="AM650">
        <v>0</v>
      </c>
      <c r="AN650">
        <v>0</v>
      </c>
      <c r="AO650">
        <v>0</v>
      </c>
      <c r="AP650" s="2">
        <v>140</v>
      </c>
      <c r="AT650" t="str">
        <f>T("9791191102086")</f>
        <v>9791191102086</v>
      </c>
      <c r="AV650" t="str">
        <f t="shared" si="81"/>
        <v>판타지 웹소설 &gt; 현대 판타지</v>
      </c>
    </row>
    <row r="651" spans="1:48" x14ac:dyDescent="0.4">
      <c r="A651">
        <v>2313011400</v>
      </c>
      <c r="B651">
        <v>1525007733</v>
      </c>
      <c r="C651" t="str">
        <f>T("최종 보스 25권 18화")</f>
        <v>최종 보스 25권 18화</v>
      </c>
      <c r="D651" t="str">
        <f>T("511")</f>
        <v>511</v>
      </c>
      <c r="E651" t="str">
        <f>T("무장")</f>
        <v>무장</v>
      </c>
      <c r="H651" t="str">
        <f t="shared" si="80"/>
        <v>스토리위즈</v>
      </c>
      <c r="I651" t="str">
        <f>T("최종 보스 : 빛을 향해 달리는 그림자")</f>
        <v>최종 보스 : 빛을 향해 달리는 그림자</v>
      </c>
      <c r="J651">
        <v>100</v>
      </c>
      <c r="K651">
        <v>200</v>
      </c>
      <c r="L651">
        <v>2</v>
      </c>
      <c r="M651">
        <v>0</v>
      </c>
      <c r="N651">
        <v>100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</v>
      </c>
      <c r="AH651">
        <v>3</v>
      </c>
      <c r="AI651">
        <v>0</v>
      </c>
      <c r="AJ651">
        <v>0</v>
      </c>
      <c r="AK651">
        <v>300</v>
      </c>
      <c r="AL651">
        <v>0</v>
      </c>
      <c r="AM651">
        <v>0</v>
      </c>
      <c r="AN651">
        <v>0</v>
      </c>
      <c r="AO651">
        <v>0</v>
      </c>
      <c r="AP651" s="2">
        <v>210</v>
      </c>
      <c r="AT651" t="str">
        <f>T("9791166067563")</f>
        <v>9791166067563</v>
      </c>
      <c r="AV651" t="str">
        <f t="shared" si="81"/>
        <v>판타지 웹소설 &gt; 현대 판타지</v>
      </c>
    </row>
    <row r="652" spans="1:48" x14ac:dyDescent="0.4">
      <c r="A652">
        <v>1525004030</v>
      </c>
      <c r="B652">
        <v>1525006887</v>
      </c>
      <c r="C652" t="str">
        <f>T("회귀의 전설 2부 770화")</f>
        <v>회귀의 전설 2부 770화</v>
      </c>
      <c r="D652" t="str">
        <f>T("770")</f>
        <v>770</v>
      </c>
      <c r="E652" t="str">
        <f t="shared" ref="E652:E662" si="85">T("김광수")</f>
        <v>김광수</v>
      </c>
      <c r="H652" t="str">
        <f t="shared" si="80"/>
        <v>스토리위즈</v>
      </c>
      <c r="I652" t="str">
        <f t="shared" ref="I652:I662" si="86">T("회귀의 전설")</f>
        <v>회귀의 전설</v>
      </c>
      <c r="J652">
        <v>100</v>
      </c>
      <c r="K652">
        <v>200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200</v>
      </c>
      <c r="AH652">
        <v>2</v>
      </c>
      <c r="AI652">
        <v>0</v>
      </c>
      <c r="AJ652">
        <v>0</v>
      </c>
      <c r="AK652">
        <v>200</v>
      </c>
      <c r="AL652">
        <v>0</v>
      </c>
      <c r="AM652">
        <v>0</v>
      </c>
      <c r="AN652">
        <v>0</v>
      </c>
      <c r="AO652">
        <v>0</v>
      </c>
      <c r="AP652" s="2">
        <v>140</v>
      </c>
      <c r="AT652" t="str">
        <f>T("9791191102086")</f>
        <v>9791191102086</v>
      </c>
      <c r="AV652" t="str">
        <f t="shared" si="81"/>
        <v>판타지 웹소설 &gt; 현대 판타지</v>
      </c>
    </row>
    <row r="653" spans="1:48" x14ac:dyDescent="0.4">
      <c r="A653">
        <v>1525004030</v>
      </c>
      <c r="B653">
        <v>1525006695</v>
      </c>
      <c r="C653" t="str">
        <f>T("회귀의 전설 2부 578화")</f>
        <v>회귀의 전설 2부 578화</v>
      </c>
      <c r="D653" t="str">
        <f>T("578")</f>
        <v>578</v>
      </c>
      <c r="E653" t="str">
        <f t="shared" si="85"/>
        <v>김광수</v>
      </c>
      <c r="H653" t="str">
        <f t="shared" si="80"/>
        <v>스토리위즈</v>
      </c>
      <c r="I653" t="str">
        <f t="shared" si="86"/>
        <v>회귀의 전설</v>
      </c>
      <c r="J653">
        <v>100</v>
      </c>
      <c r="K653">
        <v>200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200</v>
      </c>
      <c r="AH653">
        <v>2</v>
      </c>
      <c r="AI653">
        <v>0</v>
      </c>
      <c r="AJ653">
        <v>0</v>
      </c>
      <c r="AK653">
        <v>200</v>
      </c>
      <c r="AL653">
        <v>0</v>
      </c>
      <c r="AM653">
        <v>0</v>
      </c>
      <c r="AN653">
        <v>0</v>
      </c>
      <c r="AO653">
        <v>0</v>
      </c>
      <c r="AP653" s="2">
        <v>140</v>
      </c>
      <c r="AT653" t="str">
        <f>T("9791191102086")</f>
        <v>9791191102086</v>
      </c>
      <c r="AV653" t="str">
        <f t="shared" si="81"/>
        <v>판타지 웹소설 &gt; 현대 판타지</v>
      </c>
    </row>
    <row r="654" spans="1:48" x14ac:dyDescent="0.4">
      <c r="A654">
        <v>1525004030</v>
      </c>
      <c r="B654">
        <v>1525004100</v>
      </c>
      <c r="C654" t="str">
        <f>T("회귀의 전설 71화")</f>
        <v>회귀의 전설 71화</v>
      </c>
      <c r="D654" t="str">
        <f>T("71")</f>
        <v>71</v>
      </c>
      <c r="E654" t="str">
        <f t="shared" si="85"/>
        <v>김광수</v>
      </c>
      <c r="H654" t="str">
        <f t="shared" si="80"/>
        <v>스토리위즈</v>
      </c>
      <c r="I654" t="str">
        <f t="shared" si="86"/>
        <v>회귀의 전설</v>
      </c>
      <c r="J654">
        <v>100</v>
      </c>
      <c r="K654">
        <v>200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200</v>
      </c>
      <c r="AH654">
        <v>2</v>
      </c>
      <c r="AI654">
        <v>0</v>
      </c>
      <c r="AJ654">
        <v>0</v>
      </c>
      <c r="AK654">
        <v>200</v>
      </c>
      <c r="AL654">
        <v>0</v>
      </c>
      <c r="AM654">
        <v>0</v>
      </c>
      <c r="AN654">
        <v>0</v>
      </c>
      <c r="AO654">
        <v>0</v>
      </c>
      <c r="AP654" s="2">
        <v>140</v>
      </c>
      <c r="AT654" t="str">
        <f>T("9788997946006")</f>
        <v>9788997946006</v>
      </c>
      <c r="AV654" t="str">
        <f t="shared" si="81"/>
        <v>판타지 웹소설 &gt; 현대 판타지</v>
      </c>
    </row>
    <row r="655" spans="1:48" x14ac:dyDescent="0.4">
      <c r="A655">
        <v>1525004030</v>
      </c>
      <c r="B655">
        <v>1525004252</v>
      </c>
      <c r="C655" t="str">
        <f>T("회귀의 전설 223화")</f>
        <v>회귀의 전설 223화</v>
      </c>
      <c r="D655" t="str">
        <f>T("223")</f>
        <v>223</v>
      </c>
      <c r="E655" t="str">
        <f t="shared" si="85"/>
        <v>김광수</v>
      </c>
      <c r="H655" t="str">
        <f t="shared" si="80"/>
        <v>스토리위즈</v>
      </c>
      <c r="I655" t="str">
        <f t="shared" si="86"/>
        <v>회귀의 전설</v>
      </c>
      <c r="J655">
        <v>100</v>
      </c>
      <c r="K655">
        <v>200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200</v>
      </c>
      <c r="AH655">
        <v>2</v>
      </c>
      <c r="AI655">
        <v>0</v>
      </c>
      <c r="AJ655">
        <v>0</v>
      </c>
      <c r="AK655">
        <v>200</v>
      </c>
      <c r="AL655">
        <v>0</v>
      </c>
      <c r="AM655">
        <v>0</v>
      </c>
      <c r="AN655">
        <v>0</v>
      </c>
      <c r="AO655">
        <v>0</v>
      </c>
      <c r="AP655" s="2">
        <v>140</v>
      </c>
      <c r="AT655" t="str">
        <f>T("9788997946006")</f>
        <v>9788997946006</v>
      </c>
      <c r="AV655" t="str">
        <f t="shared" si="81"/>
        <v>판타지 웹소설 &gt; 현대 판타지</v>
      </c>
    </row>
    <row r="656" spans="1:48" x14ac:dyDescent="0.4">
      <c r="A656">
        <v>1525004030</v>
      </c>
      <c r="B656">
        <v>1525006919</v>
      </c>
      <c r="C656" t="str">
        <f>T("회귀의 전설 2부 802화")</f>
        <v>회귀의 전설 2부 802화</v>
      </c>
      <c r="D656" t="str">
        <f>T("802")</f>
        <v>802</v>
      </c>
      <c r="E656" t="str">
        <f t="shared" si="85"/>
        <v>김광수</v>
      </c>
      <c r="H656" t="str">
        <f t="shared" si="80"/>
        <v>스토리위즈</v>
      </c>
      <c r="I656" t="str">
        <f t="shared" si="86"/>
        <v>회귀의 전설</v>
      </c>
      <c r="J656">
        <v>100</v>
      </c>
      <c r="K656">
        <v>200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200</v>
      </c>
      <c r="AH656">
        <v>2</v>
      </c>
      <c r="AI656">
        <v>0</v>
      </c>
      <c r="AJ656">
        <v>0</v>
      </c>
      <c r="AK656">
        <v>200</v>
      </c>
      <c r="AL656">
        <v>0</v>
      </c>
      <c r="AM656">
        <v>0</v>
      </c>
      <c r="AN656">
        <v>0</v>
      </c>
      <c r="AO656">
        <v>0</v>
      </c>
      <c r="AP656" s="2">
        <v>140</v>
      </c>
      <c r="AT656" t="str">
        <f t="shared" ref="AT656:AT662" si="87">T("9791191102086")</f>
        <v>9791191102086</v>
      </c>
      <c r="AV656" t="str">
        <f t="shared" si="81"/>
        <v>판타지 웹소설 &gt; 현대 판타지</v>
      </c>
    </row>
    <row r="657" spans="1:49" x14ac:dyDescent="0.4">
      <c r="A657">
        <v>1525004030</v>
      </c>
      <c r="B657">
        <v>1525006799</v>
      </c>
      <c r="C657" t="str">
        <f>T("회귀의 전설 2부 682화")</f>
        <v>회귀의 전설 2부 682화</v>
      </c>
      <c r="D657" t="str">
        <f>T("682")</f>
        <v>682</v>
      </c>
      <c r="E657" t="str">
        <f t="shared" si="85"/>
        <v>김광수</v>
      </c>
      <c r="H657" t="str">
        <f t="shared" si="80"/>
        <v>스토리위즈</v>
      </c>
      <c r="I657" t="str">
        <f t="shared" si="86"/>
        <v>회귀의 전설</v>
      </c>
      <c r="J657">
        <v>100</v>
      </c>
      <c r="K657">
        <v>200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</v>
      </c>
      <c r="AH657">
        <v>2</v>
      </c>
      <c r="AI657">
        <v>0</v>
      </c>
      <c r="AJ657">
        <v>0</v>
      </c>
      <c r="AK657">
        <v>200</v>
      </c>
      <c r="AL657">
        <v>0</v>
      </c>
      <c r="AM657">
        <v>0</v>
      </c>
      <c r="AN657">
        <v>0</v>
      </c>
      <c r="AO657">
        <v>0</v>
      </c>
      <c r="AP657" s="2">
        <v>140</v>
      </c>
      <c r="AT657" t="str">
        <f t="shared" si="87"/>
        <v>9791191102086</v>
      </c>
      <c r="AV657" t="str">
        <f t="shared" si="81"/>
        <v>판타지 웹소설 &gt; 현대 판타지</v>
      </c>
    </row>
    <row r="658" spans="1:49" x14ac:dyDescent="0.4">
      <c r="A658">
        <v>1525004030</v>
      </c>
      <c r="B658">
        <v>1525006663</v>
      </c>
      <c r="C658" t="str">
        <f>T("회귀의 전설 2부 546화")</f>
        <v>회귀의 전설 2부 546화</v>
      </c>
      <c r="D658" t="str">
        <f>T("546")</f>
        <v>546</v>
      </c>
      <c r="E658" t="str">
        <f t="shared" si="85"/>
        <v>김광수</v>
      </c>
      <c r="H658" t="str">
        <f t="shared" si="80"/>
        <v>스토리위즈</v>
      </c>
      <c r="I658" t="str">
        <f t="shared" si="86"/>
        <v>회귀의 전설</v>
      </c>
      <c r="J658">
        <v>100</v>
      </c>
      <c r="K658">
        <v>200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</v>
      </c>
      <c r="AH658">
        <v>2</v>
      </c>
      <c r="AI658">
        <v>0</v>
      </c>
      <c r="AJ658">
        <v>0</v>
      </c>
      <c r="AK658">
        <v>200</v>
      </c>
      <c r="AL658">
        <v>0</v>
      </c>
      <c r="AM658">
        <v>0</v>
      </c>
      <c r="AN658">
        <v>0</v>
      </c>
      <c r="AO658">
        <v>0</v>
      </c>
      <c r="AP658" s="2">
        <v>140</v>
      </c>
      <c r="AT658" t="str">
        <f t="shared" si="87"/>
        <v>9791191102086</v>
      </c>
      <c r="AV658" t="str">
        <f t="shared" si="81"/>
        <v>판타지 웹소설 &gt; 현대 판타지</v>
      </c>
    </row>
    <row r="659" spans="1:49" x14ac:dyDescent="0.4">
      <c r="A659">
        <v>1525004030</v>
      </c>
      <c r="B659">
        <v>1525006855</v>
      </c>
      <c r="C659" t="str">
        <f>T("회귀의 전설 2부 738화")</f>
        <v>회귀의 전설 2부 738화</v>
      </c>
      <c r="D659" t="str">
        <f>T("738")</f>
        <v>738</v>
      </c>
      <c r="E659" t="str">
        <f t="shared" si="85"/>
        <v>김광수</v>
      </c>
      <c r="H659" t="str">
        <f t="shared" si="80"/>
        <v>스토리위즈</v>
      </c>
      <c r="I659" t="str">
        <f t="shared" si="86"/>
        <v>회귀의 전설</v>
      </c>
      <c r="J659">
        <v>100</v>
      </c>
      <c r="K659">
        <v>200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</v>
      </c>
      <c r="AH659">
        <v>2</v>
      </c>
      <c r="AI659">
        <v>0</v>
      </c>
      <c r="AJ659">
        <v>0</v>
      </c>
      <c r="AK659">
        <v>200</v>
      </c>
      <c r="AL659">
        <v>0</v>
      </c>
      <c r="AM659">
        <v>0</v>
      </c>
      <c r="AN659">
        <v>0</v>
      </c>
      <c r="AO659">
        <v>0</v>
      </c>
      <c r="AP659" s="2">
        <v>140</v>
      </c>
      <c r="AT659" t="str">
        <f t="shared" si="87"/>
        <v>9791191102086</v>
      </c>
      <c r="AV659" t="str">
        <f t="shared" si="81"/>
        <v>판타지 웹소설 &gt; 현대 판타지</v>
      </c>
    </row>
    <row r="660" spans="1:49" x14ac:dyDescent="0.4">
      <c r="A660">
        <v>1525004030</v>
      </c>
      <c r="B660">
        <v>1525006792</v>
      </c>
      <c r="C660" t="str">
        <f>T("회귀의 전설 2부 675화")</f>
        <v>회귀의 전설 2부 675화</v>
      </c>
      <c r="D660" t="str">
        <f>T("675")</f>
        <v>675</v>
      </c>
      <c r="E660" t="str">
        <f t="shared" si="85"/>
        <v>김광수</v>
      </c>
      <c r="H660" t="str">
        <f t="shared" si="80"/>
        <v>스토리위즈</v>
      </c>
      <c r="I660" t="str">
        <f t="shared" si="86"/>
        <v>회귀의 전설</v>
      </c>
      <c r="J660">
        <v>100</v>
      </c>
      <c r="K660">
        <v>200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200</v>
      </c>
      <c r="AH660">
        <v>2</v>
      </c>
      <c r="AI660">
        <v>0</v>
      </c>
      <c r="AJ660">
        <v>0</v>
      </c>
      <c r="AK660">
        <v>200</v>
      </c>
      <c r="AL660">
        <v>0</v>
      </c>
      <c r="AM660">
        <v>0</v>
      </c>
      <c r="AN660">
        <v>0</v>
      </c>
      <c r="AO660">
        <v>0</v>
      </c>
      <c r="AP660" s="2">
        <v>140</v>
      </c>
      <c r="AT660" t="str">
        <f t="shared" si="87"/>
        <v>9791191102086</v>
      </c>
      <c r="AV660" t="str">
        <f t="shared" si="81"/>
        <v>판타지 웹소설 &gt; 현대 판타지</v>
      </c>
    </row>
    <row r="661" spans="1:49" x14ac:dyDescent="0.4">
      <c r="A661">
        <v>1525004030</v>
      </c>
      <c r="B661">
        <v>1525006656</v>
      </c>
      <c r="C661" t="str">
        <f>T("회귀의 전설 2부 539화")</f>
        <v>회귀의 전설 2부 539화</v>
      </c>
      <c r="D661" t="str">
        <f>T("539")</f>
        <v>539</v>
      </c>
      <c r="E661" t="str">
        <f t="shared" si="85"/>
        <v>김광수</v>
      </c>
      <c r="H661" t="str">
        <f t="shared" si="80"/>
        <v>스토리위즈</v>
      </c>
      <c r="I661" t="str">
        <f t="shared" si="86"/>
        <v>회귀의 전설</v>
      </c>
      <c r="J661">
        <v>100</v>
      </c>
      <c r="K661">
        <v>200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200</v>
      </c>
      <c r="AH661">
        <v>2</v>
      </c>
      <c r="AI661">
        <v>0</v>
      </c>
      <c r="AJ661">
        <v>0</v>
      </c>
      <c r="AK661">
        <v>200</v>
      </c>
      <c r="AL661">
        <v>0</v>
      </c>
      <c r="AM661">
        <v>0</v>
      </c>
      <c r="AN661">
        <v>0</v>
      </c>
      <c r="AO661">
        <v>0</v>
      </c>
      <c r="AP661" s="2">
        <v>140</v>
      </c>
      <c r="AT661" t="str">
        <f t="shared" si="87"/>
        <v>9791191102086</v>
      </c>
      <c r="AV661" t="str">
        <f t="shared" si="81"/>
        <v>판타지 웹소설 &gt; 현대 판타지</v>
      </c>
    </row>
    <row r="662" spans="1:49" x14ac:dyDescent="0.4">
      <c r="A662">
        <v>1525004030</v>
      </c>
      <c r="B662">
        <v>1525006848</v>
      </c>
      <c r="C662" t="str">
        <f>T("회귀의 전설 2부 731화")</f>
        <v>회귀의 전설 2부 731화</v>
      </c>
      <c r="D662" t="str">
        <f>T("731")</f>
        <v>731</v>
      </c>
      <c r="E662" t="str">
        <f t="shared" si="85"/>
        <v>김광수</v>
      </c>
      <c r="H662" t="str">
        <f t="shared" si="80"/>
        <v>스토리위즈</v>
      </c>
      <c r="I662" t="str">
        <f t="shared" si="86"/>
        <v>회귀의 전설</v>
      </c>
      <c r="J662">
        <v>100</v>
      </c>
      <c r="K662">
        <v>200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200</v>
      </c>
      <c r="AH662">
        <v>2</v>
      </c>
      <c r="AI662">
        <v>0</v>
      </c>
      <c r="AJ662">
        <v>0</v>
      </c>
      <c r="AK662">
        <v>200</v>
      </c>
      <c r="AL662">
        <v>0</v>
      </c>
      <c r="AM662">
        <v>0</v>
      </c>
      <c r="AN662">
        <v>0</v>
      </c>
      <c r="AO662">
        <v>0</v>
      </c>
      <c r="AP662" s="2">
        <v>140</v>
      </c>
      <c r="AT662" t="str">
        <f t="shared" si="87"/>
        <v>9791191102086</v>
      </c>
      <c r="AV662" t="str">
        <f t="shared" si="81"/>
        <v>판타지 웹소설 &gt; 현대 판타지</v>
      </c>
    </row>
    <row r="663" spans="1:49" x14ac:dyDescent="0.4">
      <c r="A663">
        <v>2313011400</v>
      </c>
      <c r="B663">
        <v>1525007598</v>
      </c>
      <c r="C663" t="str">
        <f>T("최종 보스 19권 4화")</f>
        <v>최종 보스 19권 4화</v>
      </c>
      <c r="D663" t="str">
        <f>T("376")</f>
        <v>376</v>
      </c>
      <c r="E663" t="str">
        <f>T("무장")</f>
        <v>무장</v>
      </c>
      <c r="H663" t="str">
        <f t="shared" si="80"/>
        <v>스토리위즈</v>
      </c>
      <c r="I663" t="str">
        <f>T("최종 보스 : 빛을 향해 달리는 그림자")</f>
        <v>최종 보스 : 빛을 향해 달리는 그림자</v>
      </c>
      <c r="J663">
        <v>100</v>
      </c>
      <c r="K663">
        <v>200</v>
      </c>
      <c r="L663">
        <v>2</v>
      </c>
      <c r="M663">
        <v>0</v>
      </c>
      <c r="N663">
        <v>100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300</v>
      </c>
      <c r="AH663">
        <v>3</v>
      </c>
      <c r="AI663">
        <v>0</v>
      </c>
      <c r="AJ663">
        <v>0</v>
      </c>
      <c r="AK663">
        <v>200</v>
      </c>
      <c r="AL663">
        <v>0</v>
      </c>
      <c r="AM663">
        <v>120.41</v>
      </c>
      <c r="AN663">
        <v>-36.119999999999997</v>
      </c>
      <c r="AO663">
        <v>0</v>
      </c>
      <c r="AP663" s="2">
        <v>199</v>
      </c>
      <c r="AT663" t="str">
        <f>T("9791166067563")</f>
        <v>9791166067563</v>
      </c>
      <c r="AV663" t="str">
        <f t="shared" si="81"/>
        <v>판타지 웹소설 &gt; 현대 판타지</v>
      </c>
    </row>
    <row r="664" spans="1:49" x14ac:dyDescent="0.4">
      <c r="A664">
        <v>1525004030</v>
      </c>
      <c r="B664">
        <v>1525006768</v>
      </c>
      <c r="C664" t="str">
        <f>T("회귀의 전설 2부 651화")</f>
        <v>회귀의 전설 2부 651화</v>
      </c>
      <c r="D664" t="str">
        <f>T("651")</f>
        <v>651</v>
      </c>
      <c r="E664" t="str">
        <f>T("김광수")</f>
        <v>김광수</v>
      </c>
      <c r="H664" t="str">
        <f t="shared" si="80"/>
        <v>스토리위즈</v>
      </c>
      <c r="I664" t="str">
        <f>T("회귀의 전설")</f>
        <v>회귀의 전설</v>
      </c>
      <c r="J664">
        <v>100</v>
      </c>
      <c r="K664">
        <v>200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200</v>
      </c>
      <c r="AH664">
        <v>2</v>
      </c>
      <c r="AI664">
        <v>0</v>
      </c>
      <c r="AJ664">
        <v>0</v>
      </c>
      <c r="AK664">
        <v>200</v>
      </c>
      <c r="AL664">
        <v>0</v>
      </c>
      <c r="AM664">
        <v>0</v>
      </c>
      <c r="AN664">
        <v>0</v>
      </c>
      <c r="AO664">
        <v>0</v>
      </c>
      <c r="AP664" s="2">
        <v>140</v>
      </c>
      <c r="AT664" t="str">
        <f>T("9791191102086")</f>
        <v>9791191102086</v>
      </c>
      <c r="AV664" t="str">
        <f t="shared" si="81"/>
        <v>판타지 웹소설 &gt; 현대 판타지</v>
      </c>
    </row>
    <row r="665" spans="1:49" x14ac:dyDescent="0.4">
      <c r="A665">
        <v>1525004030</v>
      </c>
      <c r="B665">
        <v>1525006824</v>
      </c>
      <c r="C665" t="str">
        <f>T("회귀의 전설 2부 707화")</f>
        <v>회귀의 전설 2부 707화</v>
      </c>
      <c r="D665" t="str">
        <f>T("707")</f>
        <v>707</v>
      </c>
      <c r="E665" t="str">
        <f>T("김광수")</f>
        <v>김광수</v>
      </c>
      <c r="H665" t="str">
        <f t="shared" si="80"/>
        <v>스토리위즈</v>
      </c>
      <c r="I665" t="str">
        <f>T("회귀의 전설")</f>
        <v>회귀의 전설</v>
      </c>
      <c r="J665">
        <v>100</v>
      </c>
      <c r="K665">
        <v>200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200</v>
      </c>
      <c r="AH665">
        <v>2</v>
      </c>
      <c r="AI665">
        <v>0</v>
      </c>
      <c r="AJ665">
        <v>0</v>
      </c>
      <c r="AK665">
        <v>200</v>
      </c>
      <c r="AL665">
        <v>0</v>
      </c>
      <c r="AM665">
        <v>0</v>
      </c>
      <c r="AN665">
        <v>0</v>
      </c>
      <c r="AO665">
        <v>0</v>
      </c>
      <c r="AP665" s="2">
        <v>140</v>
      </c>
      <c r="AT665" t="str">
        <f>T("9791191102086")</f>
        <v>9791191102086</v>
      </c>
      <c r="AV665" t="str">
        <f t="shared" si="81"/>
        <v>판타지 웹소설 &gt; 현대 판타지</v>
      </c>
    </row>
    <row r="666" spans="1:49" x14ac:dyDescent="0.4">
      <c r="A666">
        <v>2313011400</v>
      </c>
      <c r="B666">
        <v>1525007726</v>
      </c>
      <c r="C666" t="str">
        <f>T("최종 보스 25권 11화")</f>
        <v>최종 보스 25권 11화</v>
      </c>
      <c r="D666" t="str">
        <f>T("504")</f>
        <v>504</v>
      </c>
      <c r="E666" t="str">
        <f>T("무장")</f>
        <v>무장</v>
      </c>
      <c r="H666" t="str">
        <f t="shared" si="80"/>
        <v>스토리위즈</v>
      </c>
      <c r="I666" t="str">
        <f>T("최종 보스 : 빛을 향해 달리는 그림자")</f>
        <v>최종 보스 : 빛을 향해 달리는 그림자</v>
      </c>
      <c r="J666">
        <v>100</v>
      </c>
      <c r="K666">
        <v>200</v>
      </c>
      <c r="L666">
        <v>2</v>
      </c>
      <c r="M666">
        <v>0</v>
      </c>
      <c r="N666">
        <v>100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300</v>
      </c>
      <c r="AH666">
        <v>3</v>
      </c>
      <c r="AI666">
        <v>0</v>
      </c>
      <c r="AJ666">
        <v>0</v>
      </c>
      <c r="AK666">
        <v>300</v>
      </c>
      <c r="AL666">
        <v>0</v>
      </c>
      <c r="AM666">
        <v>0</v>
      </c>
      <c r="AN666">
        <v>0</v>
      </c>
      <c r="AO666">
        <v>0</v>
      </c>
      <c r="AP666" s="2">
        <v>210</v>
      </c>
      <c r="AT666" t="str">
        <f>T("9791166067563")</f>
        <v>9791166067563</v>
      </c>
      <c r="AV666" t="str">
        <f t="shared" si="81"/>
        <v>판타지 웹소설 &gt; 현대 판타지</v>
      </c>
    </row>
    <row r="667" spans="1:49" x14ac:dyDescent="0.4">
      <c r="A667">
        <v>1525004030</v>
      </c>
      <c r="B667">
        <v>1525006880</v>
      </c>
      <c r="C667" t="str">
        <f>T("회귀의 전설 2부 763화")</f>
        <v>회귀의 전설 2부 763화</v>
      </c>
      <c r="D667" t="str">
        <f>T("763")</f>
        <v>763</v>
      </c>
      <c r="E667" t="str">
        <f>T("김광수")</f>
        <v>김광수</v>
      </c>
      <c r="H667" t="str">
        <f t="shared" si="80"/>
        <v>스토리위즈</v>
      </c>
      <c r="I667" t="str">
        <f>T("회귀의 전설")</f>
        <v>회귀의 전설</v>
      </c>
      <c r="J667">
        <v>100</v>
      </c>
      <c r="K667">
        <v>200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200</v>
      </c>
      <c r="AH667">
        <v>2</v>
      </c>
      <c r="AI667">
        <v>0</v>
      </c>
      <c r="AJ667">
        <v>0</v>
      </c>
      <c r="AK667">
        <v>200</v>
      </c>
      <c r="AL667">
        <v>0</v>
      </c>
      <c r="AM667">
        <v>0</v>
      </c>
      <c r="AN667">
        <v>0</v>
      </c>
      <c r="AO667">
        <v>0</v>
      </c>
      <c r="AP667" s="2">
        <v>140</v>
      </c>
      <c r="AT667" t="str">
        <f>T("9791191102086")</f>
        <v>9791191102086</v>
      </c>
      <c r="AV667" t="str">
        <f t="shared" si="81"/>
        <v>판타지 웹소설 &gt; 현대 판타지</v>
      </c>
    </row>
    <row r="668" spans="1:49" x14ac:dyDescent="0.4">
      <c r="A668">
        <v>1525004030</v>
      </c>
      <c r="B668">
        <v>1525006688</v>
      </c>
      <c r="C668" t="str">
        <f>T("회귀의 전설 2부 571화")</f>
        <v>회귀의 전설 2부 571화</v>
      </c>
      <c r="D668" t="str">
        <f>T("571")</f>
        <v>571</v>
      </c>
      <c r="E668" t="str">
        <f>T("김광수")</f>
        <v>김광수</v>
      </c>
      <c r="H668" t="str">
        <f t="shared" si="80"/>
        <v>스토리위즈</v>
      </c>
      <c r="I668" t="str">
        <f>T("회귀의 전설")</f>
        <v>회귀의 전설</v>
      </c>
      <c r="J668">
        <v>100</v>
      </c>
      <c r="K668">
        <v>200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200</v>
      </c>
      <c r="AH668">
        <v>2</v>
      </c>
      <c r="AI668">
        <v>0</v>
      </c>
      <c r="AJ668">
        <v>0</v>
      </c>
      <c r="AK668">
        <v>200</v>
      </c>
      <c r="AL668">
        <v>0</v>
      </c>
      <c r="AM668">
        <v>0</v>
      </c>
      <c r="AN668">
        <v>0</v>
      </c>
      <c r="AO668">
        <v>0</v>
      </c>
      <c r="AP668" s="2">
        <v>140</v>
      </c>
      <c r="AT668" t="str">
        <f>T("9791191102086")</f>
        <v>9791191102086</v>
      </c>
      <c r="AV668" t="str">
        <f t="shared" si="81"/>
        <v>판타지 웹소설 &gt; 현대 판타지</v>
      </c>
    </row>
    <row r="669" spans="1:49" x14ac:dyDescent="0.4">
      <c r="A669">
        <v>1525004030</v>
      </c>
      <c r="B669">
        <v>1525004093</v>
      </c>
      <c r="C669" t="str">
        <f>T("회귀의 전설 64화")</f>
        <v>회귀의 전설 64화</v>
      </c>
      <c r="D669" t="str">
        <f>T("64")</f>
        <v>64</v>
      </c>
      <c r="E669" t="str">
        <f>T("김광수")</f>
        <v>김광수</v>
      </c>
      <c r="H669" t="str">
        <f t="shared" si="80"/>
        <v>스토리위즈</v>
      </c>
      <c r="I669" t="str">
        <f>T("회귀의 전설")</f>
        <v>회귀의 전설</v>
      </c>
      <c r="J669">
        <v>100</v>
      </c>
      <c r="K669">
        <v>200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200</v>
      </c>
      <c r="AH669">
        <v>2</v>
      </c>
      <c r="AI669">
        <v>0</v>
      </c>
      <c r="AJ669">
        <v>0</v>
      </c>
      <c r="AK669">
        <v>200</v>
      </c>
      <c r="AL669">
        <v>0</v>
      </c>
      <c r="AM669">
        <v>0</v>
      </c>
      <c r="AN669">
        <v>0</v>
      </c>
      <c r="AO669">
        <v>0</v>
      </c>
      <c r="AP669" s="2">
        <v>140</v>
      </c>
      <c r="AT669" t="str">
        <f>T("9788997946006")</f>
        <v>9788997946006</v>
      </c>
      <c r="AV669" t="str">
        <f t="shared" si="81"/>
        <v>판타지 웹소설 &gt; 현대 판타지</v>
      </c>
    </row>
    <row r="670" spans="1:49" x14ac:dyDescent="0.4">
      <c r="A670">
        <v>1525004030</v>
      </c>
      <c r="B670">
        <v>1525004245</v>
      </c>
      <c r="C670" t="str">
        <f>T("회귀의 전설 216화")</f>
        <v>회귀의 전설 216화</v>
      </c>
      <c r="D670" t="str">
        <f>T("216")</f>
        <v>216</v>
      </c>
      <c r="E670" t="str">
        <f>T("김광수")</f>
        <v>김광수</v>
      </c>
      <c r="H670" t="str">
        <f t="shared" si="80"/>
        <v>스토리위즈</v>
      </c>
      <c r="I670" t="str">
        <f>T("회귀의 전설")</f>
        <v>회귀의 전설</v>
      </c>
      <c r="J670">
        <v>100</v>
      </c>
      <c r="K670">
        <v>200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200</v>
      </c>
      <c r="AH670">
        <v>2</v>
      </c>
      <c r="AI670">
        <v>0</v>
      </c>
      <c r="AJ670">
        <v>0</v>
      </c>
      <c r="AK670">
        <v>200</v>
      </c>
      <c r="AL670">
        <v>0</v>
      </c>
      <c r="AM670">
        <v>0</v>
      </c>
      <c r="AN670">
        <v>0</v>
      </c>
      <c r="AO670">
        <v>0</v>
      </c>
      <c r="AP670" s="2">
        <v>140</v>
      </c>
      <c r="AT670" t="str">
        <f>T("9788997946006")</f>
        <v>9788997946006</v>
      </c>
      <c r="AV670" t="str">
        <f t="shared" si="81"/>
        <v>판타지 웹소설 &gt; 현대 판타지</v>
      </c>
    </row>
    <row r="671" spans="1:49" x14ac:dyDescent="0.4">
      <c r="A671">
        <v>1525007825</v>
      </c>
      <c r="B671">
        <v>1525007826</v>
      </c>
      <c r="C671" t="str">
        <f>T("[e북]완벽한 이상형 (외전)")</f>
        <v>[e북]완벽한 이상형 (외전)</v>
      </c>
      <c r="D671" t="str">
        <f>T("2")</f>
        <v>2</v>
      </c>
      <c r="E671" t="str">
        <f>T("지니")</f>
        <v>지니</v>
      </c>
      <c r="H671" t="str">
        <f>T("쉬라즈")</f>
        <v>쉬라즈</v>
      </c>
      <c r="I671" t="str">
        <f>T("[e북]완벽한 이상형")</f>
        <v>[e북]완벽한 이상형</v>
      </c>
      <c r="J671">
        <v>200</v>
      </c>
      <c r="K671">
        <v>200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</v>
      </c>
      <c r="AH671">
        <v>1</v>
      </c>
      <c r="AI671">
        <v>0</v>
      </c>
      <c r="AJ671">
        <v>0</v>
      </c>
      <c r="AK671">
        <v>200</v>
      </c>
      <c r="AL671">
        <v>0</v>
      </c>
      <c r="AM671">
        <v>0</v>
      </c>
      <c r="AN671">
        <v>0</v>
      </c>
      <c r="AO671">
        <v>0</v>
      </c>
      <c r="AP671" s="2">
        <v>140</v>
      </c>
      <c r="AR671" t="str">
        <f>T("0000000000000")</f>
        <v>0000000000000</v>
      </c>
      <c r="AT671" t="str">
        <f>T("9791164897735")</f>
        <v>9791164897735</v>
      </c>
      <c r="AV671" t="str">
        <f>T("로맨스 e북 &gt; 현대물")</f>
        <v>로맨스 e북 &gt; 현대물</v>
      </c>
      <c r="AW671" t="str">
        <f>T("로맨스 e북 &gt; 19+")</f>
        <v>로맨스 e북 &gt; 19+</v>
      </c>
    </row>
    <row r="672" spans="1:49" x14ac:dyDescent="0.4">
      <c r="A672">
        <v>1525004030</v>
      </c>
      <c r="B672">
        <v>1525006912</v>
      </c>
      <c r="C672" t="str">
        <f>T("회귀의 전설 2부 795화")</f>
        <v>회귀의 전설 2부 795화</v>
      </c>
      <c r="D672" t="str">
        <f>T("795")</f>
        <v>795</v>
      </c>
      <c r="E672" t="str">
        <f>T("김광수")</f>
        <v>김광수</v>
      </c>
      <c r="H672" t="str">
        <f t="shared" ref="H672:H735" si="88">T("스토리위즈")</f>
        <v>스토리위즈</v>
      </c>
      <c r="I672" t="str">
        <f>T("회귀의 전설")</f>
        <v>회귀의 전설</v>
      </c>
      <c r="J672">
        <v>100</v>
      </c>
      <c r="K672">
        <v>200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200</v>
      </c>
      <c r="AH672">
        <v>2</v>
      </c>
      <c r="AI672">
        <v>0</v>
      </c>
      <c r="AJ672">
        <v>0</v>
      </c>
      <c r="AK672">
        <v>200</v>
      </c>
      <c r="AL672">
        <v>0</v>
      </c>
      <c r="AM672">
        <v>0</v>
      </c>
      <c r="AN672">
        <v>0</v>
      </c>
      <c r="AO672">
        <v>0</v>
      </c>
      <c r="AP672" s="2">
        <v>140</v>
      </c>
      <c r="AT672" t="str">
        <f>T("9791191102086")</f>
        <v>9791191102086</v>
      </c>
      <c r="AV672" t="str">
        <f t="shared" ref="AV672:AV698" si="89">T("판타지 웹소설 &gt; 현대 판타지")</f>
        <v>판타지 웹소설 &gt; 현대 판타지</v>
      </c>
    </row>
    <row r="673" spans="1:48" x14ac:dyDescent="0.4">
      <c r="A673">
        <v>1525004030</v>
      </c>
      <c r="B673">
        <v>1525006817</v>
      </c>
      <c r="C673" t="str">
        <f>T("회귀의 전설 2부 700화")</f>
        <v>회귀의 전설 2부 700화</v>
      </c>
      <c r="D673" t="str">
        <f>T("700")</f>
        <v>700</v>
      </c>
      <c r="E673" t="str">
        <f>T("김광수")</f>
        <v>김광수</v>
      </c>
      <c r="H673" t="str">
        <f t="shared" si="88"/>
        <v>스토리위즈</v>
      </c>
      <c r="I673" t="str">
        <f>T("회귀의 전설")</f>
        <v>회귀의 전설</v>
      </c>
      <c r="J673">
        <v>100</v>
      </c>
      <c r="K673">
        <v>200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200</v>
      </c>
      <c r="AH673">
        <v>2</v>
      </c>
      <c r="AI673">
        <v>0</v>
      </c>
      <c r="AJ673">
        <v>0</v>
      </c>
      <c r="AK673">
        <v>200</v>
      </c>
      <c r="AL673">
        <v>0</v>
      </c>
      <c r="AM673">
        <v>0</v>
      </c>
      <c r="AN673">
        <v>0</v>
      </c>
      <c r="AO673">
        <v>0</v>
      </c>
      <c r="AP673" s="2">
        <v>140</v>
      </c>
      <c r="AT673" t="str">
        <f>T("9791191102086")</f>
        <v>9791191102086</v>
      </c>
      <c r="AV673" t="str">
        <f t="shared" si="89"/>
        <v>판타지 웹소설 &gt; 현대 판타지</v>
      </c>
    </row>
    <row r="674" spans="1:48" x14ac:dyDescent="0.4">
      <c r="A674">
        <v>2313011400</v>
      </c>
      <c r="B674">
        <v>1525007719</v>
      </c>
      <c r="C674" t="str">
        <f>T("최종 보스 25권 4화")</f>
        <v>최종 보스 25권 4화</v>
      </c>
      <c r="D674" t="str">
        <f>T("497")</f>
        <v>497</v>
      </c>
      <c r="E674" t="str">
        <f>T("무장")</f>
        <v>무장</v>
      </c>
      <c r="H674" t="str">
        <f t="shared" si="88"/>
        <v>스토리위즈</v>
      </c>
      <c r="I674" t="str">
        <f>T("최종 보스 : 빛을 향해 달리는 그림자")</f>
        <v>최종 보스 : 빛을 향해 달리는 그림자</v>
      </c>
      <c r="J674">
        <v>100</v>
      </c>
      <c r="K674">
        <v>200</v>
      </c>
      <c r="L674">
        <v>2</v>
      </c>
      <c r="M674">
        <v>0</v>
      </c>
      <c r="N674">
        <v>100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300</v>
      </c>
      <c r="AH674">
        <v>3</v>
      </c>
      <c r="AI674">
        <v>0</v>
      </c>
      <c r="AJ674">
        <v>0</v>
      </c>
      <c r="AK674">
        <v>300</v>
      </c>
      <c r="AL674">
        <v>0</v>
      </c>
      <c r="AM674">
        <v>0</v>
      </c>
      <c r="AN674">
        <v>0</v>
      </c>
      <c r="AO674">
        <v>0</v>
      </c>
      <c r="AP674" s="2">
        <v>210</v>
      </c>
      <c r="AT674" t="str">
        <f>T("9791166067563")</f>
        <v>9791166067563</v>
      </c>
      <c r="AV674" t="str">
        <f t="shared" si="89"/>
        <v>판타지 웹소설 &gt; 현대 판타지</v>
      </c>
    </row>
    <row r="675" spans="1:48" x14ac:dyDescent="0.4">
      <c r="A675">
        <v>1525004030</v>
      </c>
      <c r="B675">
        <v>1525006873</v>
      </c>
      <c r="C675" t="str">
        <f>T("회귀의 전설 2부 756화")</f>
        <v>회귀의 전설 2부 756화</v>
      </c>
      <c r="D675" t="str">
        <f>T("756")</f>
        <v>756</v>
      </c>
      <c r="E675" t="str">
        <f t="shared" ref="E675:E681" si="90">T("김광수")</f>
        <v>김광수</v>
      </c>
      <c r="H675" t="str">
        <f t="shared" si="88"/>
        <v>스토리위즈</v>
      </c>
      <c r="I675" t="str">
        <f t="shared" ref="I675:I681" si="91">T("회귀의 전설")</f>
        <v>회귀의 전설</v>
      </c>
      <c r="J675">
        <v>100</v>
      </c>
      <c r="K675">
        <v>200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200</v>
      </c>
      <c r="AH675">
        <v>2</v>
      </c>
      <c r="AI675">
        <v>0</v>
      </c>
      <c r="AJ675">
        <v>0</v>
      </c>
      <c r="AK675">
        <v>200</v>
      </c>
      <c r="AL675">
        <v>0</v>
      </c>
      <c r="AM675">
        <v>0</v>
      </c>
      <c r="AN675">
        <v>0</v>
      </c>
      <c r="AO675">
        <v>0</v>
      </c>
      <c r="AP675" s="2">
        <v>140</v>
      </c>
      <c r="AT675" t="str">
        <f>T("9791191102086")</f>
        <v>9791191102086</v>
      </c>
      <c r="AV675" t="str">
        <f t="shared" si="89"/>
        <v>판타지 웹소설 &gt; 현대 판타지</v>
      </c>
    </row>
    <row r="676" spans="1:48" x14ac:dyDescent="0.4">
      <c r="A676">
        <v>1525004030</v>
      </c>
      <c r="B676">
        <v>1525006681</v>
      </c>
      <c r="C676" t="str">
        <f>T("회귀의 전설 2부 564화")</f>
        <v>회귀의 전설 2부 564화</v>
      </c>
      <c r="D676" t="str">
        <f>T("564")</f>
        <v>564</v>
      </c>
      <c r="E676" t="str">
        <f t="shared" si="90"/>
        <v>김광수</v>
      </c>
      <c r="H676" t="str">
        <f t="shared" si="88"/>
        <v>스토리위즈</v>
      </c>
      <c r="I676" t="str">
        <f t="shared" si="91"/>
        <v>회귀의 전설</v>
      </c>
      <c r="J676">
        <v>100</v>
      </c>
      <c r="K676">
        <v>200</v>
      </c>
      <c r="L676">
        <v>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200</v>
      </c>
      <c r="AH676">
        <v>2</v>
      </c>
      <c r="AI676">
        <v>0</v>
      </c>
      <c r="AJ676">
        <v>0</v>
      </c>
      <c r="AK676">
        <v>200</v>
      </c>
      <c r="AL676">
        <v>0</v>
      </c>
      <c r="AM676">
        <v>0</v>
      </c>
      <c r="AN676">
        <v>0</v>
      </c>
      <c r="AO676">
        <v>0</v>
      </c>
      <c r="AP676" s="2">
        <v>140</v>
      </c>
      <c r="AT676" t="str">
        <f>T("9791191102086")</f>
        <v>9791191102086</v>
      </c>
      <c r="AV676" t="str">
        <f t="shared" si="89"/>
        <v>판타지 웹소설 &gt; 현대 판타지</v>
      </c>
    </row>
    <row r="677" spans="1:48" x14ac:dyDescent="0.4">
      <c r="A677">
        <v>1525004030</v>
      </c>
      <c r="B677">
        <v>1525006905</v>
      </c>
      <c r="C677" t="str">
        <f>T("회귀의 전설 2부 788화")</f>
        <v>회귀의 전설 2부 788화</v>
      </c>
      <c r="D677" t="str">
        <f>T("788")</f>
        <v>788</v>
      </c>
      <c r="E677" t="str">
        <f t="shared" si="90"/>
        <v>김광수</v>
      </c>
      <c r="H677" t="str">
        <f t="shared" si="88"/>
        <v>스토리위즈</v>
      </c>
      <c r="I677" t="str">
        <f t="shared" si="91"/>
        <v>회귀의 전설</v>
      </c>
      <c r="J677">
        <v>100</v>
      </c>
      <c r="K677">
        <v>200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200</v>
      </c>
      <c r="AH677">
        <v>2</v>
      </c>
      <c r="AI677">
        <v>0</v>
      </c>
      <c r="AJ677">
        <v>0</v>
      </c>
      <c r="AK677">
        <v>200</v>
      </c>
      <c r="AL677">
        <v>0</v>
      </c>
      <c r="AM677">
        <v>0</v>
      </c>
      <c r="AN677">
        <v>0</v>
      </c>
      <c r="AO677">
        <v>0</v>
      </c>
      <c r="AP677" s="2">
        <v>140</v>
      </c>
      <c r="AT677" t="str">
        <f>T("9791191102086")</f>
        <v>9791191102086</v>
      </c>
      <c r="AV677" t="str">
        <f t="shared" si="89"/>
        <v>판타지 웹소설 &gt; 현대 판타지</v>
      </c>
    </row>
    <row r="678" spans="1:48" x14ac:dyDescent="0.4">
      <c r="A678">
        <v>1525004030</v>
      </c>
      <c r="B678">
        <v>1525006961</v>
      </c>
      <c r="C678" t="str">
        <f>T("회귀의 전설 2부 845화")</f>
        <v>회귀의 전설 2부 845화</v>
      </c>
      <c r="D678" t="str">
        <f>T("845")</f>
        <v>845</v>
      </c>
      <c r="E678" t="str">
        <f t="shared" si="90"/>
        <v>김광수</v>
      </c>
      <c r="H678" t="str">
        <f t="shared" si="88"/>
        <v>스토리위즈</v>
      </c>
      <c r="I678" t="str">
        <f t="shared" si="91"/>
        <v>회귀의 전설</v>
      </c>
      <c r="J678">
        <v>100</v>
      </c>
      <c r="K678">
        <v>200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200</v>
      </c>
      <c r="AH678">
        <v>2</v>
      </c>
      <c r="AI678">
        <v>0</v>
      </c>
      <c r="AJ678">
        <v>0</v>
      </c>
      <c r="AK678">
        <v>200</v>
      </c>
      <c r="AL678">
        <v>0</v>
      </c>
      <c r="AM678">
        <v>0</v>
      </c>
      <c r="AN678">
        <v>0</v>
      </c>
      <c r="AO678">
        <v>0</v>
      </c>
      <c r="AP678" s="2">
        <v>140</v>
      </c>
      <c r="AT678" t="str">
        <f>T("9791191102086")</f>
        <v>9791191102086</v>
      </c>
      <c r="AV678" t="str">
        <f t="shared" si="89"/>
        <v>판타지 웹소설 &gt; 현대 판타지</v>
      </c>
    </row>
    <row r="679" spans="1:48" x14ac:dyDescent="0.4">
      <c r="A679">
        <v>1525004030</v>
      </c>
      <c r="B679">
        <v>1525004230</v>
      </c>
      <c r="C679" t="str">
        <f>T("회귀의 전설 201화")</f>
        <v>회귀의 전설 201화</v>
      </c>
      <c r="D679" t="str">
        <f>T("201")</f>
        <v>201</v>
      </c>
      <c r="E679" t="str">
        <f t="shared" si="90"/>
        <v>김광수</v>
      </c>
      <c r="H679" t="str">
        <f t="shared" si="88"/>
        <v>스토리위즈</v>
      </c>
      <c r="I679" t="str">
        <f t="shared" si="91"/>
        <v>회귀의 전설</v>
      </c>
      <c r="J679">
        <v>100</v>
      </c>
      <c r="K679">
        <v>200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200</v>
      </c>
      <c r="AH679">
        <v>2</v>
      </c>
      <c r="AI679">
        <v>0</v>
      </c>
      <c r="AJ679">
        <v>0</v>
      </c>
      <c r="AK679">
        <v>100</v>
      </c>
      <c r="AL679">
        <v>0</v>
      </c>
      <c r="AM679">
        <v>100</v>
      </c>
      <c r="AN679">
        <v>0</v>
      </c>
      <c r="AO679">
        <v>0</v>
      </c>
      <c r="AP679" s="2">
        <v>140</v>
      </c>
      <c r="AT679" t="str">
        <f>T("9788997946006")</f>
        <v>9788997946006</v>
      </c>
      <c r="AV679" t="str">
        <f t="shared" si="89"/>
        <v>판타지 웹소설 &gt; 현대 판타지</v>
      </c>
    </row>
    <row r="680" spans="1:48" x14ac:dyDescent="0.4">
      <c r="A680">
        <v>1525004030</v>
      </c>
      <c r="B680">
        <v>1525006785</v>
      </c>
      <c r="C680" t="str">
        <f>T("회귀의 전설 2부 668화")</f>
        <v>회귀의 전설 2부 668화</v>
      </c>
      <c r="D680" t="str">
        <f>T("668")</f>
        <v>668</v>
      </c>
      <c r="E680" t="str">
        <f t="shared" si="90"/>
        <v>김광수</v>
      </c>
      <c r="H680" t="str">
        <f t="shared" si="88"/>
        <v>스토리위즈</v>
      </c>
      <c r="I680" t="str">
        <f t="shared" si="91"/>
        <v>회귀의 전설</v>
      </c>
      <c r="J680">
        <v>100</v>
      </c>
      <c r="K680">
        <v>200</v>
      </c>
      <c r="L680">
        <v>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200</v>
      </c>
      <c r="AH680">
        <v>2</v>
      </c>
      <c r="AI680">
        <v>0</v>
      </c>
      <c r="AJ680">
        <v>0</v>
      </c>
      <c r="AK680">
        <v>200</v>
      </c>
      <c r="AL680">
        <v>0</v>
      </c>
      <c r="AM680">
        <v>0</v>
      </c>
      <c r="AN680">
        <v>0</v>
      </c>
      <c r="AO680">
        <v>0</v>
      </c>
      <c r="AP680" s="2">
        <v>140</v>
      </c>
      <c r="AT680" t="str">
        <f>T("9791191102086")</f>
        <v>9791191102086</v>
      </c>
      <c r="AV680" t="str">
        <f t="shared" si="89"/>
        <v>판타지 웹소설 &gt; 현대 판타지</v>
      </c>
    </row>
    <row r="681" spans="1:48" x14ac:dyDescent="0.4">
      <c r="A681">
        <v>1525004030</v>
      </c>
      <c r="B681">
        <v>1525006841</v>
      </c>
      <c r="C681" t="str">
        <f>T("회귀의 전설 2부 724화")</f>
        <v>회귀의 전설 2부 724화</v>
      </c>
      <c r="D681" t="str">
        <f>T("724")</f>
        <v>724</v>
      </c>
      <c r="E681" t="str">
        <f t="shared" si="90"/>
        <v>김광수</v>
      </c>
      <c r="H681" t="str">
        <f t="shared" si="88"/>
        <v>스토리위즈</v>
      </c>
      <c r="I681" t="str">
        <f t="shared" si="91"/>
        <v>회귀의 전설</v>
      </c>
      <c r="J681">
        <v>100</v>
      </c>
      <c r="K681">
        <v>200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200</v>
      </c>
      <c r="AH681">
        <v>2</v>
      </c>
      <c r="AI681">
        <v>0</v>
      </c>
      <c r="AJ681">
        <v>0</v>
      </c>
      <c r="AK681">
        <v>200</v>
      </c>
      <c r="AL681">
        <v>0</v>
      </c>
      <c r="AM681">
        <v>0</v>
      </c>
      <c r="AN681">
        <v>0</v>
      </c>
      <c r="AO681">
        <v>0</v>
      </c>
      <c r="AP681" s="2">
        <v>140</v>
      </c>
      <c r="AT681" t="str">
        <f>T("9791191102086")</f>
        <v>9791191102086</v>
      </c>
      <c r="AV681" t="str">
        <f t="shared" si="89"/>
        <v>판타지 웹소설 &gt; 현대 판타지</v>
      </c>
    </row>
    <row r="682" spans="1:48" x14ac:dyDescent="0.4">
      <c r="A682">
        <v>2313011400</v>
      </c>
      <c r="B682">
        <v>1525007591</v>
      </c>
      <c r="C682" t="str">
        <f>T("최종 보스 18권 17화")</f>
        <v>최종 보스 18권 17화</v>
      </c>
      <c r="D682" t="str">
        <f>T("369")</f>
        <v>369</v>
      </c>
      <c r="E682" t="str">
        <f>T("무장")</f>
        <v>무장</v>
      </c>
      <c r="H682" t="str">
        <f t="shared" si="88"/>
        <v>스토리위즈</v>
      </c>
      <c r="I682" t="str">
        <f>T("최종 보스 : 빛을 향해 달리는 그림자")</f>
        <v>최종 보스 : 빛을 향해 달리는 그림자</v>
      </c>
      <c r="J682">
        <v>100</v>
      </c>
      <c r="K682">
        <v>200</v>
      </c>
      <c r="L682">
        <v>2</v>
      </c>
      <c r="M682">
        <v>0</v>
      </c>
      <c r="N682">
        <v>100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300</v>
      </c>
      <c r="AH682">
        <v>3</v>
      </c>
      <c r="AI682">
        <v>0</v>
      </c>
      <c r="AJ682">
        <v>0</v>
      </c>
      <c r="AK682">
        <v>200</v>
      </c>
      <c r="AL682">
        <v>0</v>
      </c>
      <c r="AM682">
        <v>120.41</v>
      </c>
      <c r="AN682">
        <v>-36.119999999999997</v>
      </c>
      <c r="AO682">
        <v>0</v>
      </c>
      <c r="AP682" s="2">
        <v>199</v>
      </c>
      <c r="AT682" t="str">
        <f>T("9791166067563")</f>
        <v>9791166067563</v>
      </c>
      <c r="AV682" t="str">
        <f t="shared" si="89"/>
        <v>판타지 웹소설 &gt; 현대 판타지</v>
      </c>
    </row>
    <row r="683" spans="1:48" x14ac:dyDescent="0.4">
      <c r="A683">
        <v>1525004030</v>
      </c>
      <c r="B683">
        <v>1525006761</v>
      </c>
      <c r="C683" t="str">
        <f>T("회귀의 전설 2부 644화")</f>
        <v>회귀의 전설 2부 644화</v>
      </c>
      <c r="D683" t="str">
        <f>T("644")</f>
        <v>644</v>
      </c>
      <c r="E683" t="str">
        <f>T("김광수")</f>
        <v>김광수</v>
      </c>
      <c r="H683" t="str">
        <f t="shared" si="88"/>
        <v>스토리위즈</v>
      </c>
      <c r="I683" t="str">
        <f>T("회귀의 전설")</f>
        <v>회귀의 전설</v>
      </c>
      <c r="J683">
        <v>100</v>
      </c>
      <c r="K683">
        <v>200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200</v>
      </c>
      <c r="AH683">
        <v>2</v>
      </c>
      <c r="AI683">
        <v>0</v>
      </c>
      <c r="AJ683">
        <v>0</v>
      </c>
      <c r="AK683">
        <v>200</v>
      </c>
      <c r="AL683">
        <v>0</v>
      </c>
      <c r="AM683">
        <v>0</v>
      </c>
      <c r="AN683">
        <v>0</v>
      </c>
      <c r="AO683">
        <v>0</v>
      </c>
      <c r="AP683" s="2">
        <v>140</v>
      </c>
      <c r="AT683" t="str">
        <f>T("9791191102086")</f>
        <v>9791191102086</v>
      </c>
      <c r="AV683" t="str">
        <f t="shared" si="89"/>
        <v>판타지 웹소설 &gt; 현대 판타지</v>
      </c>
    </row>
    <row r="684" spans="1:48" x14ac:dyDescent="0.4">
      <c r="A684">
        <v>1525004030</v>
      </c>
      <c r="B684">
        <v>1525004389</v>
      </c>
      <c r="C684" t="str">
        <f>T("회귀의 전설 361화")</f>
        <v>회귀의 전설 361화</v>
      </c>
      <c r="D684" t="str">
        <f>T("361")</f>
        <v>361</v>
      </c>
      <c r="E684" t="str">
        <f>T("김광수")</f>
        <v>김광수</v>
      </c>
      <c r="H684" t="str">
        <f t="shared" si="88"/>
        <v>스토리위즈</v>
      </c>
      <c r="I684" t="str">
        <f>T("회귀의 전설")</f>
        <v>회귀의 전설</v>
      </c>
      <c r="J684">
        <v>100</v>
      </c>
      <c r="K684">
        <v>200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200</v>
      </c>
      <c r="AH684">
        <v>2</v>
      </c>
      <c r="AI684">
        <v>0</v>
      </c>
      <c r="AJ684">
        <v>0</v>
      </c>
      <c r="AK684">
        <v>200</v>
      </c>
      <c r="AL684">
        <v>0</v>
      </c>
      <c r="AM684">
        <v>0</v>
      </c>
      <c r="AN684">
        <v>0</v>
      </c>
      <c r="AO684">
        <v>0</v>
      </c>
      <c r="AP684" s="2">
        <v>140</v>
      </c>
      <c r="AT684" t="str">
        <f>T("9788997946006")</f>
        <v>9788997946006</v>
      </c>
      <c r="AV684" t="str">
        <f t="shared" si="89"/>
        <v>판타지 웹소설 &gt; 현대 판타지</v>
      </c>
    </row>
    <row r="685" spans="1:48" x14ac:dyDescent="0.4">
      <c r="A685">
        <v>1525004030</v>
      </c>
      <c r="B685">
        <v>1525006810</v>
      </c>
      <c r="C685" t="str">
        <f>T("회귀의 전설 2부 693화")</f>
        <v>회귀의 전설 2부 693화</v>
      </c>
      <c r="D685" t="str">
        <f>T("693")</f>
        <v>693</v>
      </c>
      <c r="E685" t="str">
        <f>T("김광수")</f>
        <v>김광수</v>
      </c>
      <c r="H685" t="str">
        <f t="shared" si="88"/>
        <v>스토리위즈</v>
      </c>
      <c r="I685" t="str">
        <f>T("회귀의 전설")</f>
        <v>회귀의 전설</v>
      </c>
      <c r="J685">
        <v>100</v>
      </c>
      <c r="K685">
        <v>200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200</v>
      </c>
      <c r="AH685">
        <v>2</v>
      </c>
      <c r="AI685">
        <v>0</v>
      </c>
      <c r="AJ685">
        <v>0</v>
      </c>
      <c r="AK685">
        <v>200</v>
      </c>
      <c r="AL685">
        <v>0</v>
      </c>
      <c r="AM685">
        <v>0</v>
      </c>
      <c r="AN685">
        <v>0</v>
      </c>
      <c r="AO685">
        <v>0</v>
      </c>
      <c r="AP685" s="2">
        <v>140</v>
      </c>
      <c r="AT685" t="str">
        <f>T("9791191102086")</f>
        <v>9791191102086</v>
      </c>
      <c r="AV685" t="str">
        <f t="shared" si="89"/>
        <v>판타지 웹소설 &gt; 현대 판타지</v>
      </c>
    </row>
    <row r="686" spans="1:48" x14ac:dyDescent="0.4">
      <c r="A686">
        <v>2313011400</v>
      </c>
      <c r="B686">
        <v>1525007712</v>
      </c>
      <c r="C686" t="str">
        <f>T("최종 보스 24권 17화")</f>
        <v>최종 보스 24권 17화</v>
      </c>
      <c r="D686" t="str">
        <f>T("490")</f>
        <v>490</v>
      </c>
      <c r="E686" t="str">
        <f>T("무장")</f>
        <v>무장</v>
      </c>
      <c r="H686" t="str">
        <f t="shared" si="88"/>
        <v>스토리위즈</v>
      </c>
      <c r="I686" t="str">
        <f>T("최종 보스 : 빛을 향해 달리는 그림자")</f>
        <v>최종 보스 : 빛을 향해 달리는 그림자</v>
      </c>
      <c r="J686">
        <v>100</v>
      </c>
      <c r="K686">
        <v>200</v>
      </c>
      <c r="L686">
        <v>2</v>
      </c>
      <c r="M686">
        <v>0</v>
      </c>
      <c r="N686">
        <v>100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300</v>
      </c>
      <c r="AH686">
        <v>3</v>
      </c>
      <c r="AI686">
        <v>0</v>
      </c>
      <c r="AJ686">
        <v>0</v>
      </c>
      <c r="AK686">
        <v>300</v>
      </c>
      <c r="AL686">
        <v>0</v>
      </c>
      <c r="AM686">
        <v>0</v>
      </c>
      <c r="AN686">
        <v>0</v>
      </c>
      <c r="AO686">
        <v>0</v>
      </c>
      <c r="AP686" s="2">
        <v>210</v>
      </c>
      <c r="AT686" t="str">
        <f>T("9791166067563")</f>
        <v>9791166067563</v>
      </c>
      <c r="AV686" t="str">
        <f t="shared" si="89"/>
        <v>판타지 웹소설 &gt; 현대 판타지</v>
      </c>
    </row>
    <row r="687" spans="1:48" x14ac:dyDescent="0.4">
      <c r="A687">
        <v>1525004030</v>
      </c>
      <c r="B687">
        <v>1525006866</v>
      </c>
      <c r="C687" t="str">
        <f>T("회귀의 전설 2부 749화")</f>
        <v>회귀의 전설 2부 749화</v>
      </c>
      <c r="D687" t="str">
        <f>T("749")</f>
        <v>749</v>
      </c>
      <c r="E687" t="str">
        <f t="shared" ref="E687:E693" si="92">T("김광수")</f>
        <v>김광수</v>
      </c>
      <c r="H687" t="str">
        <f t="shared" si="88"/>
        <v>스토리위즈</v>
      </c>
      <c r="I687" t="str">
        <f t="shared" ref="I687:I693" si="93">T("회귀의 전설")</f>
        <v>회귀의 전설</v>
      </c>
      <c r="J687">
        <v>100</v>
      </c>
      <c r="K687">
        <v>200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200</v>
      </c>
      <c r="AH687">
        <v>2</v>
      </c>
      <c r="AI687">
        <v>0</v>
      </c>
      <c r="AJ687">
        <v>0</v>
      </c>
      <c r="AK687">
        <v>200</v>
      </c>
      <c r="AL687">
        <v>0</v>
      </c>
      <c r="AM687">
        <v>0</v>
      </c>
      <c r="AN687">
        <v>0</v>
      </c>
      <c r="AO687">
        <v>0</v>
      </c>
      <c r="AP687" s="2">
        <v>140</v>
      </c>
      <c r="AT687" t="str">
        <f>T("9791191102086")</f>
        <v>9791191102086</v>
      </c>
      <c r="AV687" t="str">
        <f t="shared" si="89"/>
        <v>판타지 웹소설 &gt; 현대 판타지</v>
      </c>
    </row>
    <row r="688" spans="1:48" x14ac:dyDescent="0.4">
      <c r="A688">
        <v>1525004030</v>
      </c>
      <c r="B688">
        <v>1525006674</v>
      </c>
      <c r="C688" t="str">
        <f>T("회귀의 전설 2부 557화")</f>
        <v>회귀의 전설 2부 557화</v>
      </c>
      <c r="D688" t="str">
        <f>T("557")</f>
        <v>557</v>
      </c>
      <c r="E688" t="str">
        <f t="shared" si="92"/>
        <v>김광수</v>
      </c>
      <c r="H688" t="str">
        <f t="shared" si="88"/>
        <v>스토리위즈</v>
      </c>
      <c r="I688" t="str">
        <f t="shared" si="93"/>
        <v>회귀의 전설</v>
      </c>
      <c r="J688">
        <v>100</v>
      </c>
      <c r="K688">
        <v>200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2</v>
      </c>
      <c r="AI688">
        <v>0</v>
      </c>
      <c r="AJ688">
        <v>0</v>
      </c>
      <c r="AK688">
        <v>200</v>
      </c>
      <c r="AL688">
        <v>0</v>
      </c>
      <c r="AM688">
        <v>0</v>
      </c>
      <c r="AN688">
        <v>0</v>
      </c>
      <c r="AO688">
        <v>0</v>
      </c>
      <c r="AP688" s="2">
        <v>140</v>
      </c>
      <c r="AT688" t="str">
        <f>T("9791191102086")</f>
        <v>9791191102086</v>
      </c>
      <c r="AV688" t="str">
        <f t="shared" si="89"/>
        <v>판타지 웹소설 &gt; 현대 판타지</v>
      </c>
    </row>
    <row r="689" spans="1:48" x14ac:dyDescent="0.4">
      <c r="A689">
        <v>1525004030</v>
      </c>
      <c r="B689">
        <v>1525004191</v>
      </c>
      <c r="C689" t="str">
        <f>T("회귀의 전설 162화")</f>
        <v>회귀의 전설 162화</v>
      </c>
      <c r="D689" t="str">
        <f>T("162")</f>
        <v>162</v>
      </c>
      <c r="E689" t="str">
        <f t="shared" si="92"/>
        <v>김광수</v>
      </c>
      <c r="H689" t="str">
        <f t="shared" si="88"/>
        <v>스토리위즈</v>
      </c>
      <c r="I689" t="str">
        <f t="shared" si="93"/>
        <v>회귀의 전설</v>
      </c>
      <c r="J689">
        <v>100</v>
      </c>
      <c r="K689">
        <v>200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200</v>
      </c>
      <c r="AH689">
        <v>2</v>
      </c>
      <c r="AI689">
        <v>0</v>
      </c>
      <c r="AJ689">
        <v>0</v>
      </c>
      <c r="AK689">
        <v>200</v>
      </c>
      <c r="AL689">
        <v>0</v>
      </c>
      <c r="AM689">
        <v>0</v>
      </c>
      <c r="AN689">
        <v>0</v>
      </c>
      <c r="AO689">
        <v>0</v>
      </c>
      <c r="AP689" s="2">
        <v>140</v>
      </c>
      <c r="AT689" t="str">
        <f>T("9788997946006")</f>
        <v>9788997946006</v>
      </c>
      <c r="AV689" t="str">
        <f t="shared" si="89"/>
        <v>판타지 웹소설 &gt; 현대 판타지</v>
      </c>
    </row>
    <row r="690" spans="1:48" x14ac:dyDescent="0.4">
      <c r="A690">
        <v>1525004030</v>
      </c>
      <c r="B690">
        <v>1525006898</v>
      </c>
      <c r="C690" t="str">
        <f>T("회귀의 전설 2부 781화")</f>
        <v>회귀의 전설 2부 781화</v>
      </c>
      <c r="D690" t="str">
        <f>T("781")</f>
        <v>781</v>
      </c>
      <c r="E690" t="str">
        <f t="shared" si="92"/>
        <v>김광수</v>
      </c>
      <c r="H690" t="str">
        <f t="shared" si="88"/>
        <v>스토리위즈</v>
      </c>
      <c r="I690" t="str">
        <f t="shared" si="93"/>
        <v>회귀의 전설</v>
      </c>
      <c r="J690">
        <v>100</v>
      </c>
      <c r="K690">
        <v>200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200</v>
      </c>
      <c r="AH690">
        <v>2</v>
      </c>
      <c r="AI690">
        <v>0</v>
      </c>
      <c r="AJ690">
        <v>0</v>
      </c>
      <c r="AK690">
        <v>200</v>
      </c>
      <c r="AL690">
        <v>0</v>
      </c>
      <c r="AM690">
        <v>0</v>
      </c>
      <c r="AN690">
        <v>0</v>
      </c>
      <c r="AO690">
        <v>0</v>
      </c>
      <c r="AP690" s="2">
        <v>140</v>
      </c>
      <c r="AT690" t="str">
        <f>T("9791191102086")</f>
        <v>9791191102086</v>
      </c>
      <c r="AV690" t="str">
        <f t="shared" si="89"/>
        <v>판타지 웹소설 &gt; 현대 판타지</v>
      </c>
    </row>
    <row r="691" spans="1:48" x14ac:dyDescent="0.4">
      <c r="A691">
        <v>1525004030</v>
      </c>
      <c r="B691">
        <v>1525004111</v>
      </c>
      <c r="C691" t="str">
        <f>T("회귀의 전설 82화")</f>
        <v>회귀의 전설 82화</v>
      </c>
      <c r="D691" t="str">
        <f>T("82")</f>
        <v>82</v>
      </c>
      <c r="E691" t="str">
        <f t="shared" si="92"/>
        <v>김광수</v>
      </c>
      <c r="H691" t="str">
        <f t="shared" si="88"/>
        <v>스토리위즈</v>
      </c>
      <c r="I691" t="str">
        <f t="shared" si="93"/>
        <v>회귀의 전설</v>
      </c>
      <c r="J691">
        <v>100</v>
      </c>
      <c r="K691">
        <v>200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200</v>
      </c>
      <c r="AH691">
        <v>2</v>
      </c>
      <c r="AI691">
        <v>0</v>
      </c>
      <c r="AJ691">
        <v>0</v>
      </c>
      <c r="AK691">
        <v>200</v>
      </c>
      <c r="AL691">
        <v>0</v>
      </c>
      <c r="AM691">
        <v>0</v>
      </c>
      <c r="AN691">
        <v>0</v>
      </c>
      <c r="AO691">
        <v>0</v>
      </c>
      <c r="AP691" s="2">
        <v>140</v>
      </c>
      <c r="AT691" t="str">
        <f>T("9788997946006")</f>
        <v>9788997946006</v>
      </c>
      <c r="AV691" t="str">
        <f t="shared" si="89"/>
        <v>판타지 웹소설 &gt; 현대 판타지</v>
      </c>
    </row>
    <row r="692" spans="1:48" x14ac:dyDescent="0.4">
      <c r="A692">
        <v>1525004030</v>
      </c>
      <c r="B692">
        <v>1525006954</v>
      </c>
      <c r="C692" t="str">
        <f>T("회귀의 전설 2부 838화")</f>
        <v>회귀의 전설 2부 838화</v>
      </c>
      <c r="D692" t="str">
        <f>T("838")</f>
        <v>838</v>
      </c>
      <c r="E692" t="str">
        <f t="shared" si="92"/>
        <v>김광수</v>
      </c>
      <c r="H692" t="str">
        <f t="shared" si="88"/>
        <v>스토리위즈</v>
      </c>
      <c r="I692" t="str">
        <f t="shared" si="93"/>
        <v>회귀의 전설</v>
      </c>
      <c r="J692">
        <v>100</v>
      </c>
      <c r="K692">
        <v>200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200</v>
      </c>
      <c r="AH692">
        <v>2</v>
      </c>
      <c r="AI692">
        <v>0</v>
      </c>
      <c r="AJ692">
        <v>0</v>
      </c>
      <c r="AK692">
        <v>200</v>
      </c>
      <c r="AL692">
        <v>0</v>
      </c>
      <c r="AM692">
        <v>0</v>
      </c>
      <c r="AN692">
        <v>0</v>
      </c>
      <c r="AO692">
        <v>0</v>
      </c>
      <c r="AP692" s="2">
        <v>140</v>
      </c>
      <c r="AT692" t="str">
        <f>T("9791191102086")</f>
        <v>9791191102086</v>
      </c>
      <c r="AV692" t="str">
        <f t="shared" si="89"/>
        <v>판타지 웹소설 &gt; 현대 판타지</v>
      </c>
    </row>
    <row r="693" spans="1:48" x14ac:dyDescent="0.4">
      <c r="A693">
        <v>1525004030</v>
      </c>
      <c r="B693">
        <v>1525006803</v>
      </c>
      <c r="C693" t="str">
        <f>T("회귀의 전설 2부 686화")</f>
        <v>회귀의 전설 2부 686화</v>
      </c>
      <c r="D693" t="str">
        <f>T("686")</f>
        <v>686</v>
      </c>
      <c r="E693" t="str">
        <f t="shared" si="92"/>
        <v>김광수</v>
      </c>
      <c r="H693" t="str">
        <f t="shared" si="88"/>
        <v>스토리위즈</v>
      </c>
      <c r="I693" t="str">
        <f t="shared" si="93"/>
        <v>회귀의 전설</v>
      </c>
      <c r="J693">
        <v>100</v>
      </c>
      <c r="K693">
        <v>200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2</v>
      </c>
      <c r="AI693">
        <v>0</v>
      </c>
      <c r="AJ693">
        <v>0</v>
      </c>
      <c r="AK693">
        <v>200</v>
      </c>
      <c r="AL693">
        <v>0</v>
      </c>
      <c r="AM693">
        <v>0</v>
      </c>
      <c r="AN693">
        <v>0</v>
      </c>
      <c r="AO693">
        <v>0</v>
      </c>
      <c r="AP693" s="2">
        <v>140</v>
      </c>
      <c r="AT693" t="str">
        <f>T("9791191102086")</f>
        <v>9791191102086</v>
      </c>
      <c r="AV693" t="str">
        <f t="shared" si="89"/>
        <v>판타지 웹소설 &gt; 현대 판타지</v>
      </c>
    </row>
    <row r="694" spans="1:48" x14ac:dyDescent="0.4">
      <c r="A694">
        <v>2313011400</v>
      </c>
      <c r="B694">
        <v>1525007705</v>
      </c>
      <c r="C694" t="str">
        <f>T("최종 보스 24권 10화")</f>
        <v>최종 보스 24권 10화</v>
      </c>
      <c r="D694" t="str">
        <f>T("483")</f>
        <v>483</v>
      </c>
      <c r="E694" t="str">
        <f>T("무장")</f>
        <v>무장</v>
      </c>
      <c r="H694" t="str">
        <f t="shared" si="88"/>
        <v>스토리위즈</v>
      </c>
      <c r="I694" t="str">
        <f>T("최종 보스 : 빛을 향해 달리는 그림자")</f>
        <v>최종 보스 : 빛을 향해 달리는 그림자</v>
      </c>
      <c r="J694">
        <v>100</v>
      </c>
      <c r="K694">
        <v>200</v>
      </c>
      <c r="L694">
        <v>2</v>
      </c>
      <c r="M694">
        <v>0</v>
      </c>
      <c r="N694">
        <v>100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300</v>
      </c>
      <c r="AH694">
        <v>3</v>
      </c>
      <c r="AI694">
        <v>0</v>
      </c>
      <c r="AJ694">
        <v>0</v>
      </c>
      <c r="AK694">
        <v>300</v>
      </c>
      <c r="AL694">
        <v>0</v>
      </c>
      <c r="AM694">
        <v>0</v>
      </c>
      <c r="AN694">
        <v>0</v>
      </c>
      <c r="AO694">
        <v>0</v>
      </c>
      <c r="AP694" s="2">
        <v>210</v>
      </c>
      <c r="AT694" t="str">
        <f>T("9791166067563")</f>
        <v>9791166067563</v>
      </c>
      <c r="AV694" t="str">
        <f t="shared" si="89"/>
        <v>판타지 웹소설 &gt; 현대 판타지</v>
      </c>
    </row>
    <row r="695" spans="1:48" x14ac:dyDescent="0.4">
      <c r="A695">
        <v>1525004030</v>
      </c>
      <c r="B695">
        <v>1525006667</v>
      </c>
      <c r="C695" t="str">
        <f>T("회귀의 전설 2부 550화")</f>
        <v>회귀의 전설 2부 550화</v>
      </c>
      <c r="D695" t="str">
        <f>T("550")</f>
        <v>550</v>
      </c>
      <c r="E695" t="str">
        <f>T("김광수")</f>
        <v>김광수</v>
      </c>
      <c r="H695" t="str">
        <f t="shared" si="88"/>
        <v>스토리위즈</v>
      </c>
      <c r="I695" t="str">
        <f>T("회귀의 전설")</f>
        <v>회귀의 전설</v>
      </c>
      <c r="J695">
        <v>100</v>
      </c>
      <c r="K695">
        <v>200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200</v>
      </c>
      <c r="AH695">
        <v>2</v>
      </c>
      <c r="AI695">
        <v>0</v>
      </c>
      <c r="AJ695">
        <v>0</v>
      </c>
      <c r="AK695">
        <v>200</v>
      </c>
      <c r="AL695">
        <v>0</v>
      </c>
      <c r="AM695">
        <v>0</v>
      </c>
      <c r="AN695">
        <v>0</v>
      </c>
      <c r="AO695">
        <v>0</v>
      </c>
      <c r="AP695" s="2">
        <v>140</v>
      </c>
      <c r="AT695" t="str">
        <f>T("9791191102086")</f>
        <v>9791191102086</v>
      </c>
      <c r="AV695" t="str">
        <f t="shared" si="89"/>
        <v>판타지 웹소설 &gt; 현대 판타지</v>
      </c>
    </row>
    <row r="696" spans="1:48" x14ac:dyDescent="0.4">
      <c r="A696">
        <v>1525004030</v>
      </c>
      <c r="B696">
        <v>1525006859</v>
      </c>
      <c r="C696" t="str">
        <f>T("회귀의 전설 2부 742화")</f>
        <v>회귀의 전설 2부 742화</v>
      </c>
      <c r="D696" t="str">
        <f>T("742")</f>
        <v>742</v>
      </c>
      <c r="E696" t="str">
        <f>T("김광수")</f>
        <v>김광수</v>
      </c>
      <c r="H696" t="str">
        <f t="shared" si="88"/>
        <v>스토리위즈</v>
      </c>
      <c r="I696" t="str">
        <f>T("회귀의 전설")</f>
        <v>회귀의 전설</v>
      </c>
      <c r="J696">
        <v>100</v>
      </c>
      <c r="K696">
        <v>200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2</v>
      </c>
      <c r="AI696">
        <v>0</v>
      </c>
      <c r="AJ696">
        <v>0</v>
      </c>
      <c r="AK696">
        <v>200</v>
      </c>
      <c r="AL696">
        <v>0</v>
      </c>
      <c r="AM696">
        <v>0</v>
      </c>
      <c r="AN696">
        <v>0</v>
      </c>
      <c r="AO696">
        <v>0</v>
      </c>
      <c r="AP696" s="2">
        <v>140</v>
      </c>
      <c r="AT696" t="str">
        <f>T("9791191102086")</f>
        <v>9791191102086</v>
      </c>
      <c r="AV696" t="str">
        <f t="shared" si="89"/>
        <v>판타지 웹소설 &gt; 현대 판타지</v>
      </c>
    </row>
    <row r="697" spans="1:48" x14ac:dyDescent="0.4">
      <c r="A697">
        <v>1525004030</v>
      </c>
      <c r="B697">
        <v>1525006779</v>
      </c>
      <c r="C697" t="str">
        <f>T("회귀의 전설 2부 662화")</f>
        <v>회귀의 전설 2부 662화</v>
      </c>
      <c r="D697" t="str">
        <f>T("662")</f>
        <v>662</v>
      </c>
      <c r="E697" t="str">
        <f>T("김광수")</f>
        <v>김광수</v>
      </c>
      <c r="H697" t="str">
        <f t="shared" si="88"/>
        <v>스토리위즈</v>
      </c>
      <c r="I697" t="str">
        <f>T("회귀의 전설")</f>
        <v>회귀의 전설</v>
      </c>
      <c r="J697">
        <v>100</v>
      </c>
      <c r="K697">
        <v>200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200</v>
      </c>
      <c r="AH697">
        <v>2</v>
      </c>
      <c r="AI697">
        <v>0</v>
      </c>
      <c r="AJ697">
        <v>0</v>
      </c>
      <c r="AK697">
        <v>200</v>
      </c>
      <c r="AL697">
        <v>0</v>
      </c>
      <c r="AM697">
        <v>0</v>
      </c>
      <c r="AN697">
        <v>0</v>
      </c>
      <c r="AO697">
        <v>0</v>
      </c>
      <c r="AP697" s="2">
        <v>140</v>
      </c>
      <c r="AT697" t="str">
        <f>T("9791191102086")</f>
        <v>9791191102086</v>
      </c>
      <c r="AV697" t="str">
        <f t="shared" si="89"/>
        <v>판타지 웹소설 &gt; 현대 판타지</v>
      </c>
    </row>
    <row r="698" spans="1:48" x14ac:dyDescent="0.4">
      <c r="A698">
        <v>1525004030</v>
      </c>
      <c r="B698">
        <v>1525006835</v>
      </c>
      <c r="C698" t="str">
        <f>T("회귀의 전설 2부 718화")</f>
        <v>회귀의 전설 2부 718화</v>
      </c>
      <c r="D698" t="str">
        <f>T("718")</f>
        <v>718</v>
      </c>
      <c r="E698" t="str">
        <f>T("김광수")</f>
        <v>김광수</v>
      </c>
      <c r="H698" t="str">
        <f t="shared" si="88"/>
        <v>스토리위즈</v>
      </c>
      <c r="I698" t="str">
        <f>T("회귀의 전설")</f>
        <v>회귀의 전설</v>
      </c>
      <c r="J698">
        <v>100</v>
      </c>
      <c r="K698">
        <v>200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200</v>
      </c>
      <c r="AH698">
        <v>2</v>
      </c>
      <c r="AI698">
        <v>0</v>
      </c>
      <c r="AJ698">
        <v>0</v>
      </c>
      <c r="AK698">
        <v>200</v>
      </c>
      <c r="AL698">
        <v>0</v>
      </c>
      <c r="AM698">
        <v>0</v>
      </c>
      <c r="AN698">
        <v>0</v>
      </c>
      <c r="AO698">
        <v>0</v>
      </c>
      <c r="AP698" s="2">
        <v>140</v>
      </c>
      <c r="AT698" t="str">
        <f>T("9791191102086")</f>
        <v>9791191102086</v>
      </c>
      <c r="AV698" t="str">
        <f t="shared" si="89"/>
        <v>판타지 웹소설 &gt; 현대 판타지</v>
      </c>
    </row>
    <row r="699" spans="1:48" x14ac:dyDescent="0.4">
      <c r="A699">
        <v>1525002864</v>
      </c>
      <c r="B699">
        <v>1525002888</v>
      </c>
      <c r="C699" t="str">
        <f>T("소드마스터의 환생 25화")</f>
        <v>소드마스터의 환생 25화</v>
      </c>
      <c r="D699" t="str">
        <f>T("25")</f>
        <v>25</v>
      </c>
      <c r="E699" t="str">
        <f>T("파란영")</f>
        <v>파란영</v>
      </c>
      <c r="H699" t="str">
        <f t="shared" si="88"/>
        <v>스토리위즈</v>
      </c>
      <c r="I699" t="str">
        <f>T("소드마스터의 환생")</f>
        <v>소드마스터의 환생</v>
      </c>
      <c r="J699">
        <v>100</v>
      </c>
      <c r="K699">
        <v>200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200</v>
      </c>
      <c r="AH699">
        <v>2</v>
      </c>
      <c r="AI699">
        <v>0</v>
      </c>
      <c r="AJ699">
        <v>0</v>
      </c>
      <c r="AK699">
        <v>200</v>
      </c>
      <c r="AL699">
        <v>0</v>
      </c>
      <c r="AM699">
        <v>0</v>
      </c>
      <c r="AN699">
        <v>0</v>
      </c>
      <c r="AO699">
        <v>0</v>
      </c>
      <c r="AP699" s="2">
        <v>140</v>
      </c>
      <c r="AT699" t="str">
        <f>T("9791159287527")</f>
        <v>9791159287527</v>
      </c>
      <c r="AV699" t="str">
        <f>T("판타지 웹소설 &gt; 정통 판타지")</f>
        <v>판타지 웹소설 &gt; 정통 판타지</v>
      </c>
    </row>
    <row r="700" spans="1:48" x14ac:dyDescent="0.4">
      <c r="A700">
        <v>1525004030</v>
      </c>
      <c r="B700">
        <v>1525006891</v>
      </c>
      <c r="C700" t="str">
        <f>T("회귀의 전설 2부 774화")</f>
        <v>회귀의 전설 2부 774화</v>
      </c>
      <c r="D700" t="str">
        <f>T("774")</f>
        <v>774</v>
      </c>
      <c r="E700" t="str">
        <f t="shared" ref="E700:E710" si="94">T("김광수")</f>
        <v>김광수</v>
      </c>
      <c r="H700" t="str">
        <f t="shared" si="88"/>
        <v>스토리위즈</v>
      </c>
      <c r="I700" t="str">
        <f t="shared" ref="I700:I710" si="95">T("회귀의 전설")</f>
        <v>회귀의 전설</v>
      </c>
      <c r="J700">
        <v>100</v>
      </c>
      <c r="K700">
        <v>200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200</v>
      </c>
      <c r="AH700">
        <v>2</v>
      </c>
      <c r="AI700">
        <v>0</v>
      </c>
      <c r="AJ700">
        <v>0</v>
      </c>
      <c r="AK700">
        <v>200</v>
      </c>
      <c r="AL700">
        <v>0</v>
      </c>
      <c r="AM700">
        <v>0</v>
      </c>
      <c r="AN700">
        <v>0</v>
      </c>
      <c r="AO700">
        <v>0</v>
      </c>
      <c r="AP700" s="2">
        <v>140</v>
      </c>
      <c r="AT700" t="str">
        <f>T("9791191102086")</f>
        <v>9791191102086</v>
      </c>
      <c r="AV700" t="str">
        <f t="shared" ref="AV700:AV738" si="96">T("판타지 웹소설 &gt; 현대 판타지")</f>
        <v>판타지 웹소설 &gt; 현대 판타지</v>
      </c>
    </row>
    <row r="701" spans="1:48" x14ac:dyDescent="0.4">
      <c r="A701">
        <v>1525004030</v>
      </c>
      <c r="B701">
        <v>1525006699</v>
      </c>
      <c r="C701" t="str">
        <f>T("회귀의 전설 2부 582화")</f>
        <v>회귀의 전설 2부 582화</v>
      </c>
      <c r="D701" t="str">
        <f>T("582")</f>
        <v>582</v>
      </c>
      <c r="E701" t="str">
        <f t="shared" si="94"/>
        <v>김광수</v>
      </c>
      <c r="H701" t="str">
        <f t="shared" si="88"/>
        <v>스토리위즈</v>
      </c>
      <c r="I701" t="str">
        <f t="shared" si="95"/>
        <v>회귀의 전설</v>
      </c>
      <c r="J701">
        <v>100</v>
      </c>
      <c r="K701">
        <v>200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200</v>
      </c>
      <c r="AH701">
        <v>2</v>
      </c>
      <c r="AI701">
        <v>0</v>
      </c>
      <c r="AJ701">
        <v>0</v>
      </c>
      <c r="AK701">
        <v>200</v>
      </c>
      <c r="AL701">
        <v>0</v>
      </c>
      <c r="AM701">
        <v>0</v>
      </c>
      <c r="AN701">
        <v>0</v>
      </c>
      <c r="AO701">
        <v>0</v>
      </c>
      <c r="AP701" s="2">
        <v>140</v>
      </c>
      <c r="AT701" t="str">
        <f>T("9791191102086")</f>
        <v>9791191102086</v>
      </c>
      <c r="AV701" t="str">
        <f t="shared" si="96"/>
        <v>판타지 웹소설 &gt; 현대 판타지</v>
      </c>
    </row>
    <row r="702" spans="1:48" x14ac:dyDescent="0.4">
      <c r="A702">
        <v>1525004030</v>
      </c>
      <c r="B702">
        <v>1525004382</v>
      </c>
      <c r="C702" t="str">
        <f>T("회귀의 전설 354화")</f>
        <v>회귀의 전설 354화</v>
      </c>
      <c r="D702" t="str">
        <f>T("354")</f>
        <v>354</v>
      </c>
      <c r="E702" t="str">
        <f t="shared" si="94"/>
        <v>김광수</v>
      </c>
      <c r="H702" t="str">
        <f t="shared" si="88"/>
        <v>스토리위즈</v>
      </c>
      <c r="I702" t="str">
        <f t="shared" si="95"/>
        <v>회귀의 전설</v>
      </c>
      <c r="J702">
        <v>100</v>
      </c>
      <c r="K702">
        <v>200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200</v>
      </c>
      <c r="AH702">
        <v>2</v>
      </c>
      <c r="AI702">
        <v>0</v>
      </c>
      <c r="AJ702">
        <v>0</v>
      </c>
      <c r="AK702">
        <v>200</v>
      </c>
      <c r="AL702">
        <v>0</v>
      </c>
      <c r="AM702">
        <v>0</v>
      </c>
      <c r="AN702">
        <v>0</v>
      </c>
      <c r="AO702">
        <v>0</v>
      </c>
      <c r="AP702" s="2">
        <v>140</v>
      </c>
      <c r="AT702" t="str">
        <f>T("9788997946006")</f>
        <v>9788997946006</v>
      </c>
      <c r="AV702" t="str">
        <f t="shared" si="96"/>
        <v>판타지 웹소설 &gt; 현대 판타지</v>
      </c>
    </row>
    <row r="703" spans="1:48" x14ac:dyDescent="0.4">
      <c r="A703">
        <v>1525004030</v>
      </c>
      <c r="B703">
        <v>1525006923</v>
      </c>
      <c r="C703" t="str">
        <f>T("회귀의 전설 2부 806화")</f>
        <v>회귀의 전설 2부 806화</v>
      </c>
      <c r="D703" t="str">
        <f>T("806")</f>
        <v>806</v>
      </c>
      <c r="E703" t="str">
        <f t="shared" si="94"/>
        <v>김광수</v>
      </c>
      <c r="H703" t="str">
        <f t="shared" si="88"/>
        <v>스토리위즈</v>
      </c>
      <c r="I703" t="str">
        <f t="shared" si="95"/>
        <v>회귀의 전설</v>
      </c>
      <c r="J703">
        <v>100</v>
      </c>
      <c r="K703">
        <v>200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200</v>
      </c>
      <c r="AH703">
        <v>2</v>
      </c>
      <c r="AI703">
        <v>0</v>
      </c>
      <c r="AJ703">
        <v>0</v>
      </c>
      <c r="AK703">
        <v>200</v>
      </c>
      <c r="AL703">
        <v>0</v>
      </c>
      <c r="AM703">
        <v>0</v>
      </c>
      <c r="AN703">
        <v>0</v>
      </c>
      <c r="AO703">
        <v>0</v>
      </c>
      <c r="AP703" s="2">
        <v>140</v>
      </c>
      <c r="AT703" t="str">
        <f>T("9791191102086")</f>
        <v>9791191102086</v>
      </c>
      <c r="AV703" t="str">
        <f t="shared" si="96"/>
        <v>판타지 웹소설 &gt; 현대 판타지</v>
      </c>
    </row>
    <row r="704" spans="1:48" x14ac:dyDescent="0.4">
      <c r="A704">
        <v>1525004030</v>
      </c>
      <c r="B704">
        <v>1525006747</v>
      </c>
      <c r="C704" t="str">
        <f>T("회귀의 전설 2부 630화")</f>
        <v>회귀의 전설 2부 630화</v>
      </c>
      <c r="D704" t="str">
        <f>T("630")</f>
        <v>630</v>
      </c>
      <c r="E704" t="str">
        <f t="shared" si="94"/>
        <v>김광수</v>
      </c>
      <c r="H704" t="str">
        <f t="shared" si="88"/>
        <v>스토리위즈</v>
      </c>
      <c r="I704" t="str">
        <f t="shared" si="95"/>
        <v>회귀의 전설</v>
      </c>
      <c r="J704">
        <v>100</v>
      </c>
      <c r="K704">
        <v>200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200</v>
      </c>
      <c r="AH704">
        <v>2</v>
      </c>
      <c r="AI704">
        <v>0</v>
      </c>
      <c r="AJ704">
        <v>0</v>
      </c>
      <c r="AK704">
        <v>200</v>
      </c>
      <c r="AL704">
        <v>0</v>
      </c>
      <c r="AM704">
        <v>0</v>
      </c>
      <c r="AN704">
        <v>0</v>
      </c>
      <c r="AO704">
        <v>0</v>
      </c>
      <c r="AP704" s="2">
        <v>140</v>
      </c>
      <c r="AT704" t="str">
        <f>T("9791191102086")</f>
        <v>9791191102086</v>
      </c>
      <c r="AV704" t="str">
        <f t="shared" si="96"/>
        <v>판타지 웹소설 &gt; 현대 판타지</v>
      </c>
    </row>
    <row r="705" spans="1:48" x14ac:dyDescent="0.4">
      <c r="A705">
        <v>1525004030</v>
      </c>
      <c r="B705">
        <v>1525006916</v>
      </c>
      <c r="C705" t="str">
        <f>T("회귀의 전설 2부 799화")</f>
        <v>회귀의 전설 2부 799화</v>
      </c>
      <c r="D705" t="str">
        <f>T("799")</f>
        <v>799</v>
      </c>
      <c r="E705" t="str">
        <f t="shared" si="94"/>
        <v>김광수</v>
      </c>
      <c r="H705" t="str">
        <f t="shared" si="88"/>
        <v>스토리위즈</v>
      </c>
      <c r="I705" t="str">
        <f t="shared" si="95"/>
        <v>회귀의 전설</v>
      </c>
      <c r="J705">
        <v>100</v>
      </c>
      <c r="K705">
        <v>200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200</v>
      </c>
      <c r="AH705">
        <v>2</v>
      </c>
      <c r="AI705">
        <v>0</v>
      </c>
      <c r="AJ705">
        <v>0</v>
      </c>
      <c r="AK705">
        <v>200</v>
      </c>
      <c r="AL705">
        <v>0</v>
      </c>
      <c r="AM705">
        <v>0</v>
      </c>
      <c r="AN705">
        <v>0</v>
      </c>
      <c r="AO705">
        <v>0</v>
      </c>
      <c r="AP705" s="2">
        <v>140</v>
      </c>
      <c r="AT705" t="str">
        <f>T("9791191102086")</f>
        <v>9791191102086</v>
      </c>
      <c r="AV705" t="str">
        <f t="shared" si="96"/>
        <v>판타지 웹소설 &gt; 현대 판타지</v>
      </c>
    </row>
    <row r="706" spans="1:48" x14ac:dyDescent="0.4">
      <c r="A706">
        <v>1525004030</v>
      </c>
      <c r="B706">
        <v>1525004241</v>
      </c>
      <c r="C706" t="str">
        <f>T("회귀의 전설 212화")</f>
        <v>회귀의 전설 212화</v>
      </c>
      <c r="D706" t="str">
        <f>T("212")</f>
        <v>212</v>
      </c>
      <c r="E706" t="str">
        <f t="shared" si="94"/>
        <v>김광수</v>
      </c>
      <c r="H706" t="str">
        <f t="shared" si="88"/>
        <v>스토리위즈</v>
      </c>
      <c r="I706" t="str">
        <f t="shared" si="95"/>
        <v>회귀의 전설</v>
      </c>
      <c r="J706">
        <v>100</v>
      </c>
      <c r="K706">
        <v>200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200</v>
      </c>
      <c r="AH706">
        <v>2</v>
      </c>
      <c r="AI706">
        <v>0</v>
      </c>
      <c r="AJ706">
        <v>0</v>
      </c>
      <c r="AK706">
        <v>200</v>
      </c>
      <c r="AL706">
        <v>0</v>
      </c>
      <c r="AM706">
        <v>0</v>
      </c>
      <c r="AN706">
        <v>0</v>
      </c>
      <c r="AO706">
        <v>0</v>
      </c>
      <c r="AP706" s="2">
        <v>140</v>
      </c>
      <c r="AT706" t="str">
        <f>T("9788997946006")</f>
        <v>9788997946006</v>
      </c>
      <c r="AV706" t="str">
        <f t="shared" si="96"/>
        <v>판타지 웹소설 &gt; 현대 판타지</v>
      </c>
    </row>
    <row r="707" spans="1:48" x14ac:dyDescent="0.4">
      <c r="A707">
        <v>1525004030</v>
      </c>
      <c r="B707">
        <v>1525006740</v>
      </c>
      <c r="C707" t="str">
        <f>T("회귀의 전설 2부 623화")</f>
        <v>회귀의 전설 2부 623화</v>
      </c>
      <c r="D707" t="str">
        <f>T("623")</f>
        <v>623</v>
      </c>
      <c r="E707" t="str">
        <f t="shared" si="94"/>
        <v>김광수</v>
      </c>
      <c r="H707" t="str">
        <f t="shared" si="88"/>
        <v>스토리위즈</v>
      </c>
      <c r="I707" t="str">
        <f t="shared" si="95"/>
        <v>회귀의 전설</v>
      </c>
      <c r="J707">
        <v>100</v>
      </c>
      <c r="K707">
        <v>200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200</v>
      </c>
      <c r="AH707">
        <v>2</v>
      </c>
      <c r="AI707">
        <v>0</v>
      </c>
      <c r="AJ707">
        <v>0</v>
      </c>
      <c r="AK707">
        <v>200</v>
      </c>
      <c r="AL707">
        <v>0</v>
      </c>
      <c r="AM707">
        <v>0</v>
      </c>
      <c r="AN707">
        <v>0</v>
      </c>
      <c r="AO707">
        <v>0</v>
      </c>
      <c r="AP707" s="2">
        <v>140</v>
      </c>
      <c r="AT707" t="str">
        <f>T("9791191102086")</f>
        <v>9791191102086</v>
      </c>
      <c r="AV707" t="str">
        <f t="shared" si="96"/>
        <v>판타지 웹소설 &gt; 현대 판타지</v>
      </c>
    </row>
    <row r="708" spans="1:48" x14ac:dyDescent="0.4">
      <c r="A708">
        <v>1525004030</v>
      </c>
      <c r="B708">
        <v>1525006796</v>
      </c>
      <c r="C708" t="str">
        <f>T("회귀의 전설 2부 679화")</f>
        <v>회귀의 전설 2부 679화</v>
      </c>
      <c r="D708" t="str">
        <f>T("679")</f>
        <v>679</v>
      </c>
      <c r="E708" t="str">
        <f t="shared" si="94"/>
        <v>김광수</v>
      </c>
      <c r="H708" t="str">
        <f t="shared" si="88"/>
        <v>스토리위즈</v>
      </c>
      <c r="I708" t="str">
        <f t="shared" si="95"/>
        <v>회귀의 전설</v>
      </c>
      <c r="J708">
        <v>100</v>
      </c>
      <c r="K708">
        <v>200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200</v>
      </c>
      <c r="AH708">
        <v>2</v>
      </c>
      <c r="AI708">
        <v>0</v>
      </c>
      <c r="AJ708">
        <v>0</v>
      </c>
      <c r="AK708">
        <v>200</v>
      </c>
      <c r="AL708">
        <v>0</v>
      </c>
      <c r="AM708">
        <v>0</v>
      </c>
      <c r="AN708">
        <v>0</v>
      </c>
      <c r="AO708">
        <v>0</v>
      </c>
      <c r="AP708" s="2">
        <v>140</v>
      </c>
      <c r="AT708" t="str">
        <f>T("9791191102086")</f>
        <v>9791191102086</v>
      </c>
      <c r="AV708" t="str">
        <f t="shared" si="96"/>
        <v>판타지 웹소설 &gt; 현대 판타지</v>
      </c>
    </row>
    <row r="709" spans="1:48" x14ac:dyDescent="0.4">
      <c r="A709">
        <v>1525004030</v>
      </c>
      <c r="B709">
        <v>1525006660</v>
      </c>
      <c r="C709" t="str">
        <f>T("회귀의 전설 2부 543화")</f>
        <v>회귀의 전설 2부 543화</v>
      </c>
      <c r="D709" t="str">
        <f>T("543")</f>
        <v>543</v>
      </c>
      <c r="E709" t="str">
        <f t="shared" si="94"/>
        <v>김광수</v>
      </c>
      <c r="H709" t="str">
        <f t="shared" si="88"/>
        <v>스토리위즈</v>
      </c>
      <c r="I709" t="str">
        <f t="shared" si="95"/>
        <v>회귀의 전설</v>
      </c>
      <c r="J709">
        <v>100</v>
      </c>
      <c r="K709">
        <v>200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200</v>
      </c>
      <c r="AH709">
        <v>2</v>
      </c>
      <c r="AI709">
        <v>0</v>
      </c>
      <c r="AJ709">
        <v>0</v>
      </c>
      <c r="AK709">
        <v>200</v>
      </c>
      <c r="AL709">
        <v>0</v>
      </c>
      <c r="AM709">
        <v>0</v>
      </c>
      <c r="AN709">
        <v>0</v>
      </c>
      <c r="AO709">
        <v>0</v>
      </c>
      <c r="AP709" s="2">
        <v>140</v>
      </c>
      <c r="AT709" t="str">
        <f>T("9791191102086")</f>
        <v>9791191102086</v>
      </c>
      <c r="AV709" t="str">
        <f t="shared" si="96"/>
        <v>판타지 웹소설 &gt; 현대 판타지</v>
      </c>
    </row>
    <row r="710" spans="1:48" x14ac:dyDescent="0.4">
      <c r="A710">
        <v>1525004030</v>
      </c>
      <c r="B710">
        <v>1525006852</v>
      </c>
      <c r="C710" t="str">
        <f>T("회귀의 전설 2부 735화")</f>
        <v>회귀의 전설 2부 735화</v>
      </c>
      <c r="D710" t="str">
        <f>T("735")</f>
        <v>735</v>
      </c>
      <c r="E710" t="str">
        <f t="shared" si="94"/>
        <v>김광수</v>
      </c>
      <c r="H710" t="str">
        <f t="shared" si="88"/>
        <v>스토리위즈</v>
      </c>
      <c r="I710" t="str">
        <f t="shared" si="95"/>
        <v>회귀의 전설</v>
      </c>
      <c r="J710">
        <v>100</v>
      </c>
      <c r="K710">
        <v>200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200</v>
      </c>
      <c r="AH710">
        <v>2</v>
      </c>
      <c r="AI710">
        <v>0</v>
      </c>
      <c r="AJ710">
        <v>0</v>
      </c>
      <c r="AK710">
        <v>200</v>
      </c>
      <c r="AL710">
        <v>0</v>
      </c>
      <c r="AM710">
        <v>0</v>
      </c>
      <c r="AN710">
        <v>0</v>
      </c>
      <c r="AO710">
        <v>0</v>
      </c>
      <c r="AP710" s="2">
        <v>140</v>
      </c>
      <c r="AT710" t="str">
        <f>T("9791191102086")</f>
        <v>9791191102086</v>
      </c>
      <c r="AV710" t="str">
        <f t="shared" si="96"/>
        <v>판타지 웹소설 &gt; 현대 판타지</v>
      </c>
    </row>
    <row r="711" spans="1:48" x14ac:dyDescent="0.4">
      <c r="A711">
        <v>2313011400</v>
      </c>
      <c r="B711">
        <v>1525007602</v>
      </c>
      <c r="C711" t="str">
        <f>T("최종 보스 19권 8화")</f>
        <v>최종 보스 19권 8화</v>
      </c>
      <c r="D711" t="str">
        <f>T("380")</f>
        <v>380</v>
      </c>
      <c r="E711" t="str">
        <f>T("무장")</f>
        <v>무장</v>
      </c>
      <c r="H711" t="str">
        <f t="shared" si="88"/>
        <v>스토리위즈</v>
      </c>
      <c r="I711" t="str">
        <f>T("최종 보스 : 빛을 향해 달리는 그림자")</f>
        <v>최종 보스 : 빛을 향해 달리는 그림자</v>
      </c>
      <c r="J711">
        <v>100</v>
      </c>
      <c r="K711">
        <v>200</v>
      </c>
      <c r="L711">
        <v>2</v>
      </c>
      <c r="M711">
        <v>0</v>
      </c>
      <c r="N711">
        <v>100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300</v>
      </c>
      <c r="AH711">
        <v>3</v>
      </c>
      <c r="AI711">
        <v>0</v>
      </c>
      <c r="AJ711">
        <v>0</v>
      </c>
      <c r="AK711">
        <v>200</v>
      </c>
      <c r="AL711">
        <v>0</v>
      </c>
      <c r="AM711">
        <v>120.41</v>
      </c>
      <c r="AN711">
        <v>-36.119999999999997</v>
      </c>
      <c r="AO711">
        <v>0</v>
      </c>
      <c r="AP711" s="2">
        <v>199</v>
      </c>
      <c r="AT711" t="str">
        <f>T("9791166067563")</f>
        <v>9791166067563</v>
      </c>
      <c r="AV711" t="str">
        <f t="shared" si="96"/>
        <v>판타지 웹소설 &gt; 현대 판타지</v>
      </c>
    </row>
    <row r="712" spans="1:48" x14ac:dyDescent="0.4">
      <c r="A712">
        <v>1525004030</v>
      </c>
      <c r="B712">
        <v>1525006828</v>
      </c>
      <c r="C712" t="str">
        <f>T("회귀의 전설 2부 711화")</f>
        <v>회귀의 전설 2부 711화</v>
      </c>
      <c r="D712" t="str">
        <f>T("711")</f>
        <v>711</v>
      </c>
      <c r="E712" t="str">
        <f>T("김광수")</f>
        <v>김광수</v>
      </c>
      <c r="H712" t="str">
        <f t="shared" si="88"/>
        <v>스토리위즈</v>
      </c>
      <c r="I712" t="str">
        <f>T("회귀의 전설")</f>
        <v>회귀의 전설</v>
      </c>
      <c r="J712">
        <v>100</v>
      </c>
      <c r="K712">
        <v>200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200</v>
      </c>
      <c r="AH712">
        <v>2</v>
      </c>
      <c r="AI712">
        <v>0</v>
      </c>
      <c r="AJ712">
        <v>0</v>
      </c>
      <c r="AK712">
        <v>200</v>
      </c>
      <c r="AL712">
        <v>0</v>
      </c>
      <c r="AM712">
        <v>0</v>
      </c>
      <c r="AN712">
        <v>0</v>
      </c>
      <c r="AO712">
        <v>0</v>
      </c>
      <c r="AP712" s="2">
        <v>140</v>
      </c>
      <c r="AT712" t="str">
        <f>T("9791191102086")</f>
        <v>9791191102086</v>
      </c>
      <c r="AV712" t="str">
        <f t="shared" si="96"/>
        <v>판타지 웹소설 &gt; 현대 판타지</v>
      </c>
    </row>
    <row r="713" spans="1:48" x14ac:dyDescent="0.4">
      <c r="A713">
        <v>2313011400</v>
      </c>
      <c r="B713">
        <v>1525007730</v>
      </c>
      <c r="C713" t="str">
        <f>T("최종 보스 25권 15화")</f>
        <v>최종 보스 25권 15화</v>
      </c>
      <c r="D713" t="str">
        <f>T("508")</f>
        <v>508</v>
      </c>
      <c r="E713" t="str">
        <f>T("무장")</f>
        <v>무장</v>
      </c>
      <c r="H713" t="str">
        <f t="shared" si="88"/>
        <v>스토리위즈</v>
      </c>
      <c r="I713" t="str">
        <f>T("최종 보스 : 빛을 향해 달리는 그림자")</f>
        <v>최종 보스 : 빛을 향해 달리는 그림자</v>
      </c>
      <c r="J713">
        <v>100</v>
      </c>
      <c r="K713">
        <v>200</v>
      </c>
      <c r="L713">
        <v>2</v>
      </c>
      <c r="M713">
        <v>0</v>
      </c>
      <c r="N713">
        <v>100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300</v>
      </c>
      <c r="AH713">
        <v>3</v>
      </c>
      <c r="AI713">
        <v>0</v>
      </c>
      <c r="AJ713">
        <v>0</v>
      </c>
      <c r="AK713">
        <v>300</v>
      </c>
      <c r="AL713">
        <v>0</v>
      </c>
      <c r="AM713">
        <v>0</v>
      </c>
      <c r="AN713">
        <v>0</v>
      </c>
      <c r="AO713">
        <v>0</v>
      </c>
      <c r="AP713" s="2">
        <v>210</v>
      </c>
      <c r="AT713" t="str">
        <f>T("9791166067563")</f>
        <v>9791166067563</v>
      </c>
      <c r="AV713" t="str">
        <f t="shared" si="96"/>
        <v>판타지 웹소설 &gt; 현대 판타지</v>
      </c>
    </row>
    <row r="714" spans="1:48" x14ac:dyDescent="0.4">
      <c r="A714">
        <v>1525004030</v>
      </c>
      <c r="B714">
        <v>1525006884</v>
      </c>
      <c r="C714" t="str">
        <f>T("회귀의 전설 2부 767화")</f>
        <v>회귀의 전설 2부 767화</v>
      </c>
      <c r="D714" t="str">
        <f>T("767")</f>
        <v>767</v>
      </c>
      <c r="E714" t="str">
        <f t="shared" ref="E714:E719" si="97">T("김광수")</f>
        <v>김광수</v>
      </c>
      <c r="H714" t="str">
        <f t="shared" si="88"/>
        <v>스토리위즈</v>
      </c>
      <c r="I714" t="str">
        <f t="shared" ref="I714:I719" si="98">T("회귀의 전설")</f>
        <v>회귀의 전설</v>
      </c>
      <c r="J714">
        <v>100</v>
      </c>
      <c r="K714">
        <v>200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200</v>
      </c>
      <c r="AH714">
        <v>2</v>
      </c>
      <c r="AI714">
        <v>0</v>
      </c>
      <c r="AJ714">
        <v>0</v>
      </c>
      <c r="AK714">
        <v>200</v>
      </c>
      <c r="AL714">
        <v>0</v>
      </c>
      <c r="AM714">
        <v>0</v>
      </c>
      <c r="AN714">
        <v>0</v>
      </c>
      <c r="AO714">
        <v>0</v>
      </c>
      <c r="AP714" s="2">
        <v>140</v>
      </c>
      <c r="AT714" t="str">
        <f>T("9791191102086")</f>
        <v>9791191102086</v>
      </c>
      <c r="AV714" t="str">
        <f t="shared" si="96"/>
        <v>판타지 웹소설 &gt; 현대 판타지</v>
      </c>
    </row>
    <row r="715" spans="1:48" x14ac:dyDescent="0.4">
      <c r="A715">
        <v>1525004030</v>
      </c>
      <c r="B715">
        <v>1525006692</v>
      </c>
      <c r="C715" t="str">
        <f>T("회귀의 전설 2부 575화")</f>
        <v>회귀의 전설 2부 575화</v>
      </c>
      <c r="D715" t="str">
        <f>T("575")</f>
        <v>575</v>
      </c>
      <c r="E715" t="str">
        <f t="shared" si="97"/>
        <v>김광수</v>
      </c>
      <c r="H715" t="str">
        <f t="shared" si="88"/>
        <v>스토리위즈</v>
      </c>
      <c r="I715" t="str">
        <f t="shared" si="98"/>
        <v>회귀의 전설</v>
      </c>
      <c r="J715">
        <v>100</v>
      </c>
      <c r="K715">
        <v>200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200</v>
      </c>
      <c r="AH715">
        <v>2</v>
      </c>
      <c r="AI715">
        <v>0</v>
      </c>
      <c r="AJ715">
        <v>0</v>
      </c>
      <c r="AK715">
        <v>200</v>
      </c>
      <c r="AL715">
        <v>0</v>
      </c>
      <c r="AM715">
        <v>0</v>
      </c>
      <c r="AN715">
        <v>0</v>
      </c>
      <c r="AO715">
        <v>0</v>
      </c>
      <c r="AP715" s="2">
        <v>140</v>
      </c>
      <c r="AT715" t="str">
        <f>T("9791191102086")</f>
        <v>9791191102086</v>
      </c>
      <c r="AV715" t="str">
        <f t="shared" si="96"/>
        <v>판타지 웹소설 &gt; 현대 판타지</v>
      </c>
    </row>
    <row r="716" spans="1:48" x14ac:dyDescent="0.4">
      <c r="A716">
        <v>1525004030</v>
      </c>
      <c r="B716">
        <v>1525004097</v>
      </c>
      <c r="C716" t="str">
        <f>T("회귀의 전설 68화")</f>
        <v>회귀의 전설 68화</v>
      </c>
      <c r="D716" t="str">
        <f>T("68")</f>
        <v>68</v>
      </c>
      <c r="E716" t="str">
        <f t="shared" si="97"/>
        <v>김광수</v>
      </c>
      <c r="H716" t="str">
        <f t="shared" si="88"/>
        <v>스토리위즈</v>
      </c>
      <c r="I716" t="str">
        <f t="shared" si="98"/>
        <v>회귀의 전설</v>
      </c>
      <c r="J716">
        <v>100</v>
      </c>
      <c r="K716">
        <v>200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200</v>
      </c>
      <c r="AH716">
        <v>2</v>
      </c>
      <c r="AI716">
        <v>0</v>
      </c>
      <c r="AJ716">
        <v>0</v>
      </c>
      <c r="AK716">
        <v>200</v>
      </c>
      <c r="AL716">
        <v>0</v>
      </c>
      <c r="AM716">
        <v>0</v>
      </c>
      <c r="AN716">
        <v>0</v>
      </c>
      <c r="AO716">
        <v>0</v>
      </c>
      <c r="AP716" s="2">
        <v>140</v>
      </c>
      <c r="AT716" t="str">
        <f>T("9788997946006")</f>
        <v>9788997946006</v>
      </c>
      <c r="AV716" t="str">
        <f t="shared" si="96"/>
        <v>판타지 웹소설 &gt; 현대 판타지</v>
      </c>
    </row>
    <row r="717" spans="1:48" x14ac:dyDescent="0.4">
      <c r="A717">
        <v>1525004030</v>
      </c>
      <c r="B717">
        <v>1525006789</v>
      </c>
      <c r="C717" t="str">
        <f>T("회귀의 전설 2부 672화")</f>
        <v>회귀의 전설 2부 672화</v>
      </c>
      <c r="D717" t="str">
        <f>T("672")</f>
        <v>672</v>
      </c>
      <c r="E717" t="str">
        <f t="shared" si="97"/>
        <v>김광수</v>
      </c>
      <c r="H717" t="str">
        <f t="shared" si="88"/>
        <v>스토리위즈</v>
      </c>
      <c r="I717" t="str">
        <f t="shared" si="98"/>
        <v>회귀의 전설</v>
      </c>
      <c r="J717">
        <v>100</v>
      </c>
      <c r="K717">
        <v>200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200</v>
      </c>
      <c r="AH717">
        <v>2</v>
      </c>
      <c r="AI717">
        <v>0</v>
      </c>
      <c r="AJ717">
        <v>0</v>
      </c>
      <c r="AK717">
        <v>200</v>
      </c>
      <c r="AL717">
        <v>0</v>
      </c>
      <c r="AM717">
        <v>0</v>
      </c>
      <c r="AN717">
        <v>0</v>
      </c>
      <c r="AO717">
        <v>0</v>
      </c>
      <c r="AP717" s="2">
        <v>140</v>
      </c>
      <c r="AT717" t="str">
        <f>T("9791191102086")</f>
        <v>9791191102086</v>
      </c>
      <c r="AV717" t="str">
        <f t="shared" si="96"/>
        <v>판타지 웹소설 &gt; 현대 판타지</v>
      </c>
    </row>
    <row r="718" spans="1:48" x14ac:dyDescent="0.4">
      <c r="A718">
        <v>1525004030</v>
      </c>
      <c r="B718">
        <v>1525006653</v>
      </c>
      <c r="C718" t="str">
        <f>T("회귀의 전설 2부 536화")</f>
        <v>회귀의 전설 2부 536화</v>
      </c>
      <c r="D718" t="str">
        <f>T("536")</f>
        <v>536</v>
      </c>
      <c r="E718" t="str">
        <f t="shared" si="97"/>
        <v>김광수</v>
      </c>
      <c r="H718" t="str">
        <f t="shared" si="88"/>
        <v>스토리위즈</v>
      </c>
      <c r="I718" t="str">
        <f t="shared" si="98"/>
        <v>회귀의 전설</v>
      </c>
      <c r="J718">
        <v>100</v>
      </c>
      <c r="K718">
        <v>200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200</v>
      </c>
      <c r="AH718">
        <v>2</v>
      </c>
      <c r="AI718">
        <v>0</v>
      </c>
      <c r="AJ718">
        <v>0</v>
      </c>
      <c r="AK718">
        <v>200</v>
      </c>
      <c r="AL718">
        <v>0</v>
      </c>
      <c r="AM718">
        <v>0</v>
      </c>
      <c r="AN718">
        <v>0</v>
      </c>
      <c r="AO718">
        <v>0</v>
      </c>
      <c r="AP718" s="2">
        <v>140</v>
      </c>
      <c r="AT718" t="str">
        <f>T("9791191102086")</f>
        <v>9791191102086</v>
      </c>
      <c r="AV718" t="str">
        <f t="shared" si="96"/>
        <v>판타지 웹소설 &gt; 현대 판타지</v>
      </c>
    </row>
    <row r="719" spans="1:48" x14ac:dyDescent="0.4">
      <c r="A719">
        <v>1525004030</v>
      </c>
      <c r="B719">
        <v>1525006845</v>
      </c>
      <c r="C719" t="str">
        <f>T("회귀의 전설 2부 728화")</f>
        <v>회귀의 전설 2부 728화</v>
      </c>
      <c r="D719" t="str">
        <f>T("728")</f>
        <v>728</v>
      </c>
      <c r="E719" t="str">
        <f t="shared" si="97"/>
        <v>김광수</v>
      </c>
      <c r="H719" t="str">
        <f t="shared" si="88"/>
        <v>스토리위즈</v>
      </c>
      <c r="I719" t="str">
        <f t="shared" si="98"/>
        <v>회귀의 전설</v>
      </c>
      <c r="J719">
        <v>100</v>
      </c>
      <c r="K719">
        <v>200</v>
      </c>
      <c r="L719">
        <v>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200</v>
      </c>
      <c r="AH719">
        <v>2</v>
      </c>
      <c r="AI719">
        <v>0</v>
      </c>
      <c r="AJ719">
        <v>0</v>
      </c>
      <c r="AK719">
        <v>200</v>
      </c>
      <c r="AL719">
        <v>0</v>
      </c>
      <c r="AM719">
        <v>0</v>
      </c>
      <c r="AN719">
        <v>0</v>
      </c>
      <c r="AO719">
        <v>0</v>
      </c>
      <c r="AP719" s="2">
        <v>140</v>
      </c>
      <c r="AT719" t="str">
        <f>T("9791191102086")</f>
        <v>9791191102086</v>
      </c>
      <c r="AV719" t="str">
        <f t="shared" si="96"/>
        <v>판타지 웹소설 &gt; 현대 판타지</v>
      </c>
    </row>
    <row r="720" spans="1:48" x14ac:dyDescent="0.4">
      <c r="A720">
        <v>2313011400</v>
      </c>
      <c r="B720">
        <v>1525007595</v>
      </c>
      <c r="C720" t="str">
        <f>T("최종 보스 19권 1화")</f>
        <v>최종 보스 19권 1화</v>
      </c>
      <c r="D720" t="str">
        <f>T("373")</f>
        <v>373</v>
      </c>
      <c r="E720" t="str">
        <f>T("무장")</f>
        <v>무장</v>
      </c>
      <c r="H720" t="str">
        <f t="shared" si="88"/>
        <v>스토리위즈</v>
      </c>
      <c r="I720" t="str">
        <f>T("최종 보스 : 빛을 향해 달리는 그림자")</f>
        <v>최종 보스 : 빛을 향해 달리는 그림자</v>
      </c>
      <c r="J720">
        <v>100</v>
      </c>
      <c r="K720">
        <v>200</v>
      </c>
      <c r="L720">
        <v>2</v>
      </c>
      <c r="M720">
        <v>0</v>
      </c>
      <c r="N720">
        <v>100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300</v>
      </c>
      <c r="AH720">
        <v>3</v>
      </c>
      <c r="AI720">
        <v>0</v>
      </c>
      <c r="AJ720">
        <v>0</v>
      </c>
      <c r="AK720">
        <v>200</v>
      </c>
      <c r="AL720">
        <v>0</v>
      </c>
      <c r="AM720">
        <v>120.41</v>
      </c>
      <c r="AN720">
        <v>-36.119999999999997</v>
      </c>
      <c r="AO720">
        <v>0</v>
      </c>
      <c r="AP720" s="2">
        <v>199</v>
      </c>
      <c r="AT720" t="str">
        <f>T("9791166067563")</f>
        <v>9791166067563</v>
      </c>
      <c r="AV720" t="str">
        <f t="shared" si="96"/>
        <v>판타지 웹소설 &gt; 현대 판타지</v>
      </c>
    </row>
    <row r="721" spans="1:48" x14ac:dyDescent="0.4">
      <c r="A721">
        <v>1525004030</v>
      </c>
      <c r="B721">
        <v>1525006765</v>
      </c>
      <c r="C721" t="str">
        <f>T("회귀의 전설 2부 648화")</f>
        <v>회귀의 전설 2부 648화</v>
      </c>
      <c r="D721" t="str">
        <f>T("648")</f>
        <v>648</v>
      </c>
      <c r="E721" t="str">
        <f t="shared" ref="E721:E733" si="99">T("김광수")</f>
        <v>김광수</v>
      </c>
      <c r="H721" t="str">
        <f t="shared" si="88"/>
        <v>스토리위즈</v>
      </c>
      <c r="I721" t="str">
        <f t="shared" ref="I721:I733" si="100">T("회귀의 전설")</f>
        <v>회귀의 전설</v>
      </c>
      <c r="J721">
        <v>100</v>
      </c>
      <c r="K721">
        <v>200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200</v>
      </c>
      <c r="AH721">
        <v>2</v>
      </c>
      <c r="AI721">
        <v>0</v>
      </c>
      <c r="AJ721">
        <v>0</v>
      </c>
      <c r="AK721">
        <v>200</v>
      </c>
      <c r="AL721">
        <v>0</v>
      </c>
      <c r="AM721">
        <v>0</v>
      </c>
      <c r="AN721">
        <v>0</v>
      </c>
      <c r="AO721">
        <v>0</v>
      </c>
      <c r="AP721" s="2">
        <v>140</v>
      </c>
      <c r="AT721" t="str">
        <f>T("9791191102086")</f>
        <v>9791191102086</v>
      </c>
      <c r="AV721" t="str">
        <f t="shared" si="96"/>
        <v>판타지 웹소설 &gt; 현대 판타지</v>
      </c>
    </row>
    <row r="722" spans="1:48" x14ac:dyDescent="0.4">
      <c r="A722">
        <v>1525004030</v>
      </c>
      <c r="B722">
        <v>1525006821</v>
      </c>
      <c r="C722" t="str">
        <f>T("회귀의 전설 2부 704화")</f>
        <v>회귀의 전설 2부 704화</v>
      </c>
      <c r="D722" t="str">
        <f>T("704")</f>
        <v>704</v>
      </c>
      <c r="E722" t="str">
        <f t="shared" si="99"/>
        <v>김광수</v>
      </c>
      <c r="H722" t="str">
        <f t="shared" si="88"/>
        <v>스토리위즈</v>
      </c>
      <c r="I722" t="str">
        <f t="shared" si="100"/>
        <v>회귀의 전설</v>
      </c>
      <c r="J722">
        <v>100</v>
      </c>
      <c r="K722">
        <v>200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200</v>
      </c>
      <c r="AH722">
        <v>2</v>
      </c>
      <c r="AI722">
        <v>0</v>
      </c>
      <c r="AJ722">
        <v>0</v>
      </c>
      <c r="AK722">
        <v>200</v>
      </c>
      <c r="AL722">
        <v>0</v>
      </c>
      <c r="AM722">
        <v>0</v>
      </c>
      <c r="AN722">
        <v>0</v>
      </c>
      <c r="AO722">
        <v>0</v>
      </c>
      <c r="AP722" s="2">
        <v>140</v>
      </c>
      <c r="AT722" t="str">
        <f>T("9791191102086")</f>
        <v>9791191102086</v>
      </c>
      <c r="AV722" t="str">
        <f t="shared" si="96"/>
        <v>판타지 웹소설 &gt; 현대 판타지</v>
      </c>
    </row>
    <row r="723" spans="1:48" x14ac:dyDescent="0.4">
      <c r="A723">
        <v>1525004030</v>
      </c>
      <c r="B723">
        <v>1525006877</v>
      </c>
      <c r="C723" t="str">
        <f>T("회귀의 전설 2부 760화")</f>
        <v>회귀의 전설 2부 760화</v>
      </c>
      <c r="D723" t="str">
        <f>T("760")</f>
        <v>760</v>
      </c>
      <c r="E723" t="str">
        <f t="shared" si="99"/>
        <v>김광수</v>
      </c>
      <c r="H723" t="str">
        <f t="shared" si="88"/>
        <v>스토리위즈</v>
      </c>
      <c r="I723" t="str">
        <f t="shared" si="100"/>
        <v>회귀의 전설</v>
      </c>
      <c r="J723">
        <v>100</v>
      </c>
      <c r="K723">
        <v>200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200</v>
      </c>
      <c r="AH723">
        <v>2</v>
      </c>
      <c r="AI723">
        <v>0</v>
      </c>
      <c r="AJ723">
        <v>0</v>
      </c>
      <c r="AK723">
        <v>200</v>
      </c>
      <c r="AL723">
        <v>0</v>
      </c>
      <c r="AM723">
        <v>0</v>
      </c>
      <c r="AN723">
        <v>0</v>
      </c>
      <c r="AO723">
        <v>0</v>
      </c>
      <c r="AP723" s="2">
        <v>140</v>
      </c>
      <c r="AT723" t="str">
        <f>T("9791191102086")</f>
        <v>9791191102086</v>
      </c>
      <c r="AV723" t="str">
        <f t="shared" si="96"/>
        <v>판타지 웹소설 &gt; 현대 판타지</v>
      </c>
    </row>
    <row r="724" spans="1:48" x14ac:dyDescent="0.4">
      <c r="A724">
        <v>1525004030</v>
      </c>
      <c r="B724">
        <v>1525006685</v>
      </c>
      <c r="C724" t="str">
        <f>T("회귀의 전설 2부 568화")</f>
        <v>회귀의 전설 2부 568화</v>
      </c>
      <c r="D724" t="str">
        <f>T("568")</f>
        <v>568</v>
      </c>
      <c r="E724" t="str">
        <f t="shared" si="99"/>
        <v>김광수</v>
      </c>
      <c r="H724" t="str">
        <f t="shared" si="88"/>
        <v>스토리위즈</v>
      </c>
      <c r="I724" t="str">
        <f t="shared" si="100"/>
        <v>회귀의 전설</v>
      </c>
      <c r="J724">
        <v>100</v>
      </c>
      <c r="K724">
        <v>200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200</v>
      </c>
      <c r="AH724">
        <v>2</v>
      </c>
      <c r="AI724">
        <v>0</v>
      </c>
      <c r="AJ724">
        <v>0</v>
      </c>
      <c r="AK724">
        <v>200</v>
      </c>
      <c r="AL724">
        <v>0</v>
      </c>
      <c r="AM724">
        <v>0</v>
      </c>
      <c r="AN724">
        <v>0</v>
      </c>
      <c r="AO724">
        <v>0</v>
      </c>
      <c r="AP724" s="2">
        <v>140</v>
      </c>
      <c r="AT724" t="str">
        <f>T("9791191102086")</f>
        <v>9791191102086</v>
      </c>
      <c r="AV724" t="str">
        <f t="shared" si="96"/>
        <v>판타지 웹소설 &gt; 현대 판타지</v>
      </c>
    </row>
    <row r="725" spans="1:48" x14ac:dyDescent="0.4">
      <c r="A725">
        <v>1525004030</v>
      </c>
      <c r="B725">
        <v>1525004090</v>
      </c>
      <c r="C725" t="str">
        <f>T("회귀의 전설 61화")</f>
        <v>회귀의 전설 61화</v>
      </c>
      <c r="D725" t="str">
        <f>T("61")</f>
        <v>61</v>
      </c>
      <c r="E725" t="str">
        <f t="shared" si="99"/>
        <v>김광수</v>
      </c>
      <c r="H725" t="str">
        <f t="shared" si="88"/>
        <v>스토리위즈</v>
      </c>
      <c r="I725" t="str">
        <f t="shared" si="100"/>
        <v>회귀의 전설</v>
      </c>
      <c r="J725">
        <v>100</v>
      </c>
      <c r="K725">
        <v>200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200</v>
      </c>
      <c r="AH725">
        <v>2</v>
      </c>
      <c r="AI725">
        <v>0</v>
      </c>
      <c r="AJ725">
        <v>0</v>
      </c>
      <c r="AK725">
        <v>200</v>
      </c>
      <c r="AL725">
        <v>0</v>
      </c>
      <c r="AM725">
        <v>0</v>
      </c>
      <c r="AN725">
        <v>0</v>
      </c>
      <c r="AO725">
        <v>0</v>
      </c>
      <c r="AP725" s="2">
        <v>140</v>
      </c>
      <c r="AT725" t="str">
        <f>T("9788997946006")</f>
        <v>9788997946006</v>
      </c>
      <c r="AV725" t="str">
        <f t="shared" si="96"/>
        <v>판타지 웹소설 &gt; 현대 판타지</v>
      </c>
    </row>
    <row r="726" spans="1:48" x14ac:dyDescent="0.4">
      <c r="A726">
        <v>1525004030</v>
      </c>
      <c r="B726">
        <v>1525006909</v>
      </c>
      <c r="C726" t="str">
        <f>T("회귀의 전설 2부 792화")</f>
        <v>회귀의 전설 2부 792화</v>
      </c>
      <c r="D726" t="str">
        <f>T("792")</f>
        <v>792</v>
      </c>
      <c r="E726" t="str">
        <f t="shared" si="99"/>
        <v>김광수</v>
      </c>
      <c r="H726" t="str">
        <f t="shared" si="88"/>
        <v>스토리위즈</v>
      </c>
      <c r="I726" t="str">
        <f t="shared" si="100"/>
        <v>회귀의 전설</v>
      </c>
      <c r="J726">
        <v>100</v>
      </c>
      <c r="K726">
        <v>200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200</v>
      </c>
      <c r="AH726">
        <v>2</v>
      </c>
      <c r="AI726">
        <v>0</v>
      </c>
      <c r="AJ726">
        <v>0</v>
      </c>
      <c r="AK726">
        <v>200</v>
      </c>
      <c r="AL726">
        <v>0</v>
      </c>
      <c r="AM726">
        <v>0</v>
      </c>
      <c r="AN726">
        <v>0</v>
      </c>
      <c r="AO726">
        <v>0</v>
      </c>
      <c r="AP726" s="2">
        <v>140</v>
      </c>
      <c r="AT726" t="str">
        <f>T("9791191102086")</f>
        <v>9791191102086</v>
      </c>
      <c r="AV726" t="str">
        <f t="shared" si="96"/>
        <v>판타지 웹소설 &gt; 현대 판타지</v>
      </c>
    </row>
    <row r="727" spans="1:48" x14ac:dyDescent="0.4">
      <c r="A727">
        <v>1525004030</v>
      </c>
      <c r="B727">
        <v>1525006902</v>
      </c>
      <c r="C727" t="str">
        <f>T("회귀의 전설 2부 785화")</f>
        <v>회귀의 전설 2부 785화</v>
      </c>
      <c r="D727" t="str">
        <f>T("785")</f>
        <v>785</v>
      </c>
      <c r="E727" t="str">
        <f t="shared" si="99"/>
        <v>김광수</v>
      </c>
      <c r="H727" t="str">
        <f t="shared" si="88"/>
        <v>스토리위즈</v>
      </c>
      <c r="I727" t="str">
        <f t="shared" si="100"/>
        <v>회귀의 전설</v>
      </c>
      <c r="J727">
        <v>100</v>
      </c>
      <c r="K727">
        <v>200</v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200</v>
      </c>
      <c r="AH727">
        <v>2</v>
      </c>
      <c r="AI727">
        <v>0</v>
      </c>
      <c r="AJ727">
        <v>0</v>
      </c>
      <c r="AK727">
        <v>200</v>
      </c>
      <c r="AL727">
        <v>0</v>
      </c>
      <c r="AM727">
        <v>0</v>
      </c>
      <c r="AN727">
        <v>0</v>
      </c>
      <c r="AO727">
        <v>0</v>
      </c>
      <c r="AP727" s="2">
        <v>140</v>
      </c>
      <c r="AT727" t="str">
        <f>T("9791191102086")</f>
        <v>9791191102086</v>
      </c>
      <c r="AV727" t="str">
        <f t="shared" si="96"/>
        <v>판타지 웹소설 &gt; 현대 판타지</v>
      </c>
    </row>
    <row r="728" spans="1:48" x14ac:dyDescent="0.4">
      <c r="A728">
        <v>1525004030</v>
      </c>
      <c r="B728">
        <v>1525004115</v>
      </c>
      <c r="C728" t="str">
        <f>T("회귀의 전설 86화")</f>
        <v>회귀의 전설 86화</v>
      </c>
      <c r="D728" t="str">
        <f>T("86")</f>
        <v>86</v>
      </c>
      <c r="E728" t="str">
        <f t="shared" si="99"/>
        <v>김광수</v>
      </c>
      <c r="H728" t="str">
        <f t="shared" si="88"/>
        <v>스토리위즈</v>
      </c>
      <c r="I728" t="str">
        <f t="shared" si="100"/>
        <v>회귀의 전설</v>
      </c>
      <c r="J728">
        <v>100</v>
      </c>
      <c r="K728">
        <v>200</v>
      </c>
      <c r="L728">
        <v>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200</v>
      </c>
      <c r="AH728">
        <v>2</v>
      </c>
      <c r="AI728">
        <v>0</v>
      </c>
      <c r="AJ728">
        <v>0</v>
      </c>
      <c r="AK728">
        <v>200</v>
      </c>
      <c r="AL728">
        <v>0</v>
      </c>
      <c r="AM728">
        <v>0</v>
      </c>
      <c r="AN728">
        <v>0</v>
      </c>
      <c r="AO728">
        <v>0</v>
      </c>
      <c r="AP728" s="2">
        <v>140</v>
      </c>
      <c r="AT728" t="str">
        <f>T("9788997946006")</f>
        <v>9788997946006</v>
      </c>
      <c r="AV728" t="str">
        <f t="shared" si="96"/>
        <v>판타지 웹소설 &gt; 현대 판타지</v>
      </c>
    </row>
    <row r="729" spans="1:48" x14ac:dyDescent="0.4">
      <c r="A729">
        <v>1525004030</v>
      </c>
      <c r="B729">
        <v>1525006958</v>
      </c>
      <c r="C729" t="str">
        <f>T("회귀의 전설 2부 842화")</f>
        <v>회귀의 전설 2부 842화</v>
      </c>
      <c r="D729" t="str">
        <f>T("842")</f>
        <v>842</v>
      </c>
      <c r="E729" t="str">
        <f t="shared" si="99"/>
        <v>김광수</v>
      </c>
      <c r="H729" t="str">
        <f t="shared" si="88"/>
        <v>스토리위즈</v>
      </c>
      <c r="I729" t="str">
        <f t="shared" si="100"/>
        <v>회귀의 전설</v>
      </c>
      <c r="J729">
        <v>100</v>
      </c>
      <c r="K729">
        <v>200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200</v>
      </c>
      <c r="AH729">
        <v>2</v>
      </c>
      <c r="AI729">
        <v>0</v>
      </c>
      <c r="AJ729">
        <v>0</v>
      </c>
      <c r="AK729">
        <v>200</v>
      </c>
      <c r="AL729">
        <v>0</v>
      </c>
      <c r="AM729">
        <v>0</v>
      </c>
      <c r="AN729">
        <v>0</v>
      </c>
      <c r="AO729">
        <v>0</v>
      </c>
      <c r="AP729" s="2">
        <v>140</v>
      </c>
      <c r="AT729" t="str">
        <f>T("9791191102086")</f>
        <v>9791191102086</v>
      </c>
      <c r="AV729" t="str">
        <f t="shared" si="96"/>
        <v>판타지 웹소설 &gt; 현대 판타지</v>
      </c>
    </row>
    <row r="730" spans="1:48" x14ac:dyDescent="0.4">
      <c r="A730">
        <v>1525004030</v>
      </c>
      <c r="B730">
        <v>1525004227</v>
      </c>
      <c r="C730" t="str">
        <f>T("회귀의 전설 198화")</f>
        <v>회귀의 전설 198화</v>
      </c>
      <c r="D730" t="str">
        <f>T("198")</f>
        <v>198</v>
      </c>
      <c r="E730" t="str">
        <f t="shared" si="99"/>
        <v>김광수</v>
      </c>
      <c r="H730" t="str">
        <f t="shared" si="88"/>
        <v>스토리위즈</v>
      </c>
      <c r="I730" t="str">
        <f t="shared" si="100"/>
        <v>회귀의 전설</v>
      </c>
      <c r="J730">
        <v>100</v>
      </c>
      <c r="K730">
        <v>200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200</v>
      </c>
      <c r="AH730">
        <v>2</v>
      </c>
      <c r="AI730">
        <v>0</v>
      </c>
      <c r="AJ730">
        <v>0</v>
      </c>
      <c r="AK730">
        <v>100</v>
      </c>
      <c r="AL730">
        <v>0</v>
      </c>
      <c r="AM730">
        <v>100</v>
      </c>
      <c r="AN730">
        <v>0</v>
      </c>
      <c r="AO730">
        <v>0</v>
      </c>
      <c r="AP730" s="2">
        <v>140</v>
      </c>
      <c r="AT730" t="str">
        <f>T("9788997946006")</f>
        <v>9788997946006</v>
      </c>
      <c r="AV730" t="str">
        <f t="shared" si="96"/>
        <v>판타지 웹소설 &gt; 현대 판타지</v>
      </c>
    </row>
    <row r="731" spans="1:48" x14ac:dyDescent="0.4">
      <c r="A731">
        <v>1525004030</v>
      </c>
      <c r="B731">
        <v>1525004393</v>
      </c>
      <c r="C731" t="str">
        <f>T("회귀의 전설 365화")</f>
        <v>회귀의 전설 365화</v>
      </c>
      <c r="D731" t="str">
        <f>T("365")</f>
        <v>365</v>
      </c>
      <c r="E731" t="str">
        <f t="shared" si="99"/>
        <v>김광수</v>
      </c>
      <c r="H731" t="str">
        <f t="shared" si="88"/>
        <v>스토리위즈</v>
      </c>
      <c r="I731" t="str">
        <f t="shared" si="100"/>
        <v>회귀의 전설</v>
      </c>
      <c r="J731">
        <v>100</v>
      </c>
      <c r="K731">
        <v>200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200</v>
      </c>
      <c r="AH731">
        <v>2</v>
      </c>
      <c r="AI731">
        <v>0</v>
      </c>
      <c r="AJ731">
        <v>0</v>
      </c>
      <c r="AK731">
        <v>200</v>
      </c>
      <c r="AL731">
        <v>0</v>
      </c>
      <c r="AM731">
        <v>0</v>
      </c>
      <c r="AN731">
        <v>0</v>
      </c>
      <c r="AO731">
        <v>0</v>
      </c>
      <c r="AP731" s="2">
        <v>140</v>
      </c>
      <c r="AT731" t="str">
        <f>T("9788997946006")</f>
        <v>9788997946006</v>
      </c>
      <c r="AV731" t="str">
        <f t="shared" si="96"/>
        <v>판타지 웹소설 &gt; 현대 판타지</v>
      </c>
    </row>
    <row r="732" spans="1:48" x14ac:dyDescent="0.4">
      <c r="A732">
        <v>1525004030</v>
      </c>
      <c r="B732">
        <v>1525004313</v>
      </c>
      <c r="C732" t="str">
        <f>T("회귀의 전설 284화")</f>
        <v>회귀의 전설 284화</v>
      </c>
      <c r="D732" t="str">
        <f>T("284")</f>
        <v>284</v>
      </c>
      <c r="E732" t="str">
        <f t="shared" si="99"/>
        <v>김광수</v>
      </c>
      <c r="H732" t="str">
        <f t="shared" si="88"/>
        <v>스토리위즈</v>
      </c>
      <c r="I732" t="str">
        <f t="shared" si="100"/>
        <v>회귀의 전설</v>
      </c>
      <c r="J732">
        <v>100</v>
      </c>
      <c r="K732">
        <v>200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200</v>
      </c>
      <c r="AH732">
        <v>2</v>
      </c>
      <c r="AI732">
        <v>0</v>
      </c>
      <c r="AJ732">
        <v>0</v>
      </c>
      <c r="AK732">
        <v>200</v>
      </c>
      <c r="AL732">
        <v>0</v>
      </c>
      <c r="AM732">
        <v>0</v>
      </c>
      <c r="AN732">
        <v>0</v>
      </c>
      <c r="AO732">
        <v>0</v>
      </c>
      <c r="AP732" s="2">
        <v>140</v>
      </c>
      <c r="AT732" t="str">
        <f>T("9788997946006")</f>
        <v>9788997946006</v>
      </c>
      <c r="AV732" t="str">
        <f t="shared" si="96"/>
        <v>판타지 웹소설 &gt; 현대 판타지</v>
      </c>
    </row>
    <row r="733" spans="1:48" x14ac:dyDescent="0.4">
      <c r="A733">
        <v>1525004030</v>
      </c>
      <c r="B733">
        <v>1525006814</v>
      </c>
      <c r="C733" t="str">
        <f>T("회귀의 전설 2부 697화")</f>
        <v>회귀의 전설 2부 697화</v>
      </c>
      <c r="D733" t="str">
        <f>T("697")</f>
        <v>697</v>
      </c>
      <c r="E733" t="str">
        <f t="shared" si="99"/>
        <v>김광수</v>
      </c>
      <c r="H733" t="str">
        <f t="shared" si="88"/>
        <v>스토리위즈</v>
      </c>
      <c r="I733" t="str">
        <f t="shared" si="100"/>
        <v>회귀의 전설</v>
      </c>
      <c r="J733">
        <v>100</v>
      </c>
      <c r="K733">
        <v>200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200</v>
      </c>
      <c r="AH733">
        <v>2</v>
      </c>
      <c r="AI733">
        <v>0</v>
      </c>
      <c r="AJ733">
        <v>0</v>
      </c>
      <c r="AK733">
        <v>200</v>
      </c>
      <c r="AL733">
        <v>0</v>
      </c>
      <c r="AM733">
        <v>0</v>
      </c>
      <c r="AN733">
        <v>0</v>
      </c>
      <c r="AO733">
        <v>0</v>
      </c>
      <c r="AP733" s="2">
        <v>140</v>
      </c>
      <c r="AT733" t="str">
        <f>T("9791191102086")</f>
        <v>9791191102086</v>
      </c>
      <c r="AV733" t="str">
        <f t="shared" si="96"/>
        <v>판타지 웹소설 &gt; 현대 판타지</v>
      </c>
    </row>
    <row r="734" spans="1:48" x14ac:dyDescent="0.4">
      <c r="A734">
        <v>2313011400</v>
      </c>
      <c r="B734">
        <v>1525007716</v>
      </c>
      <c r="C734" t="str">
        <f>T("최종 보스 25권 1화")</f>
        <v>최종 보스 25권 1화</v>
      </c>
      <c r="D734" t="str">
        <f>T("494")</f>
        <v>494</v>
      </c>
      <c r="E734" t="str">
        <f>T("무장")</f>
        <v>무장</v>
      </c>
      <c r="H734" t="str">
        <f t="shared" si="88"/>
        <v>스토리위즈</v>
      </c>
      <c r="I734" t="str">
        <f>T("최종 보스 : 빛을 향해 달리는 그림자")</f>
        <v>최종 보스 : 빛을 향해 달리는 그림자</v>
      </c>
      <c r="J734">
        <v>100</v>
      </c>
      <c r="K734">
        <v>200</v>
      </c>
      <c r="L734">
        <v>2</v>
      </c>
      <c r="M734">
        <v>0</v>
      </c>
      <c r="N734">
        <v>100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300</v>
      </c>
      <c r="AH734">
        <v>3</v>
      </c>
      <c r="AI734">
        <v>0</v>
      </c>
      <c r="AJ734">
        <v>0</v>
      </c>
      <c r="AK734">
        <v>300</v>
      </c>
      <c r="AL734">
        <v>0</v>
      </c>
      <c r="AM734">
        <v>0</v>
      </c>
      <c r="AN734">
        <v>0</v>
      </c>
      <c r="AO734">
        <v>0</v>
      </c>
      <c r="AP734" s="2">
        <v>210</v>
      </c>
      <c r="AT734" t="str">
        <f>T("9791166067563")</f>
        <v>9791166067563</v>
      </c>
      <c r="AV734" t="str">
        <f t="shared" si="96"/>
        <v>판타지 웹소설 &gt; 현대 판타지</v>
      </c>
    </row>
    <row r="735" spans="1:48" x14ac:dyDescent="0.4">
      <c r="A735">
        <v>1525004030</v>
      </c>
      <c r="B735">
        <v>1525006870</v>
      </c>
      <c r="C735" t="str">
        <f>T("회귀의 전설 2부 753화")</f>
        <v>회귀의 전설 2부 753화</v>
      </c>
      <c r="D735" t="str">
        <f>T("753")</f>
        <v>753</v>
      </c>
      <c r="E735" t="str">
        <f>T("김광수")</f>
        <v>김광수</v>
      </c>
      <c r="H735" t="str">
        <f t="shared" si="88"/>
        <v>스토리위즈</v>
      </c>
      <c r="I735" t="str">
        <f>T("회귀의 전설")</f>
        <v>회귀의 전설</v>
      </c>
      <c r="J735">
        <v>100</v>
      </c>
      <c r="K735">
        <v>200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200</v>
      </c>
      <c r="AH735">
        <v>2</v>
      </c>
      <c r="AI735">
        <v>0</v>
      </c>
      <c r="AJ735">
        <v>0</v>
      </c>
      <c r="AK735">
        <v>200</v>
      </c>
      <c r="AL735">
        <v>0</v>
      </c>
      <c r="AM735">
        <v>0</v>
      </c>
      <c r="AN735">
        <v>0</v>
      </c>
      <c r="AO735">
        <v>0</v>
      </c>
      <c r="AP735" s="2">
        <v>140</v>
      </c>
      <c r="AT735" t="str">
        <f>T("9791191102086")</f>
        <v>9791191102086</v>
      </c>
      <c r="AV735" t="str">
        <f t="shared" si="96"/>
        <v>판타지 웹소설 &gt; 현대 판타지</v>
      </c>
    </row>
    <row r="736" spans="1:48" x14ac:dyDescent="0.4">
      <c r="A736">
        <v>1525004030</v>
      </c>
      <c r="B736">
        <v>1525006678</v>
      </c>
      <c r="C736" t="str">
        <f>T("회귀의 전설 2부 561화")</f>
        <v>회귀의 전설 2부 561화</v>
      </c>
      <c r="D736" t="str">
        <f>T("561")</f>
        <v>561</v>
      </c>
      <c r="E736" t="str">
        <f>T("김광수")</f>
        <v>김광수</v>
      </c>
      <c r="H736" t="str">
        <f t="shared" ref="H736:H770" si="101">T("스토리위즈")</f>
        <v>스토리위즈</v>
      </c>
      <c r="I736" t="str">
        <f>T("회귀의 전설")</f>
        <v>회귀의 전설</v>
      </c>
      <c r="J736">
        <v>100</v>
      </c>
      <c r="K736">
        <v>200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200</v>
      </c>
      <c r="AH736">
        <v>2</v>
      </c>
      <c r="AI736">
        <v>0</v>
      </c>
      <c r="AJ736">
        <v>0</v>
      </c>
      <c r="AK736">
        <v>200</v>
      </c>
      <c r="AL736">
        <v>0</v>
      </c>
      <c r="AM736">
        <v>0</v>
      </c>
      <c r="AN736">
        <v>0</v>
      </c>
      <c r="AO736">
        <v>0</v>
      </c>
      <c r="AP736" s="2">
        <v>140</v>
      </c>
      <c r="AT736" t="str">
        <f>T("9791191102086")</f>
        <v>9791191102086</v>
      </c>
      <c r="AV736" t="str">
        <f t="shared" si="96"/>
        <v>판타지 웹소설 &gt; 현대 판타지</v>
      </c>
    </row>
    <row r="737" spans="1:48" x14ac:dyDescent="0.4">
      <c r="A737">
        <v>1525004030</v>
      </c>
      <c r="B737">
        <v>1525004083</v>
      </c>
      <c r="C737" t="str">
        <f>T("회귀의 전설 54화")</f>
        <v>회귀의 전설 54화</v>
      </c>
      <c r="D737" t="str">
        <f>T("54")</f>
        <v>54</v>
      </c>
      <c r="E737" t="str">
        <f>T("김광수")</f>
        <v>김광수</v>
      </c>
      <c r="H737" t="str">
        <f t="shared" si="101"/>
        <v>스토리위즈</v>
      </c>
      <c r="I737" t="str">
        <f>T("회귀의 전설")</f>
        <v>회귀의 전설</v>
      </c>
      <c r="J737">
        <v>100</v>
      </c>
      <c r="K737">
        <v>200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200</v>
      </c>
      <c r="AH737">
        <v>2</v>
      </c>
      <c r="AI737">
        <v>0</v>
      </c>
      <c r="AJ737">
        <v>0</v>
      </c>
      <c r="AK737">
        <v>200</v>
      </c>
      <c r="AL737">
        <v>0</v>
      </c>
      <c r="AM737">
        <v>0</v>
      </c>
      <c r="AN737">
        <v>0</v>
      </c>
      <c r="AO737">
        <v>0</v>
      </c>
      <c r="AP737" s="2">
        <v>140</v>
      </c>
      <c r="AT737" t="str">
        <f>T("9788997946006")</f>
        <v>9788997946006</v>
      </c>
      <c r="AV737" t="str">
        <f t="shared" si="96"/>
        <v>판타지 웹소설 &gt; 현대 판타지</v>
      </c>
    </row>
    <row r="738" spans="1:48" x14ac:dyDescent="0.4">
      <c r="A738">
        <v>2313011400</v>
      </c>
      <c r="B738">
        <v>1525007581</v>
      </c>
      <c r="C738" t="str">
        <f>T("최종 보스 18권 7화")</f>
        <v>최종 보스 18권 7화</v>
      </c>
      <c r="D738" t="str">
        <f>T("359")</f>
        <v>359</v>
      </c>
      <c r="E738" t="str">
        <f>T("무장")</f>
        <v>무장</v>
      </c>
      <c r="H738" t="str">
        <f t="shared" si="101"/>
        <v>스토리위즈</v>
      </c>
      <c r="I738" t="str">
        <f>T("최종 보스 : 빛을 향해 달리는 그림자")</f>
        <v>최종 보스 : 빛을 향해 달리는 그림자</v>
      </c>
      <c r="J738">
        <v>100</v>
      </c>
      <c r="K738">
        <v>200</v>
      </c>
      <c r="L738">
        <v>2</v>
      </c>
      <c r="M738">
        <v>0</v>
      </c>
      <c r="N738">
        <v>100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300</v>
      </c>
      <c r="AH738">
        <v>3</v>
      </c>
      <c r="AI738">
        <v>0</v>
      </c>
      <c r="AJ738">
        <v>0</v>
      </c>
      <c r="AK738">
        <v>200</v>
      </c>
      <c r="AL738">
        <v>0</v>
      </c>
      <c r="AM738">
        <v>120.41</v>
      </c>
      <c r="AN738">
        <v>-36.119999999999997</v>
      </c>
      <c r="AO738">
        <v>0</v>
      </c>
      <c r="AP738" s="2">
        <v>199</v>
      </c>
      <c r="AT738" t="str">
        <f>T("9791166067563")</f>
        <v>9791166067563</v>
      </c>
      <c r="AV738" t="str">
        <f t="shared" si="96"/>
        <v>판타지 웹소설 &gt; 현대 판타지</v>
      </c>
    </row>
    <row r="739" spans="1:48" x14ac:dyDescent="0.4">
      <c r="A739">
        <v>1525011523</v>
      </c>
      <c r="B739">
        <v>1525011502</v>
      </c>
      <c r="C739" t="str">
        <f>T("남창목가 22화")</f>
        <v>남창목가 22화</v>
      </c>
      <c r="D739" t="str">
        <f>T("22")</f>
        <v>22</v>
      </c>
      <c r="E739" t="str">
        <f>T("최재봉")</f>
        <v>최재봉</v>
      </c>
      <c r="H739" t="str">
        <f>T("에필로그")</f>
        <v>에필로그</v>
      </c>
      <c r="I739" t="str">
        <f>T("남창목가")</f>
        <v>남창목가</v>
      </c>
      <c r="J739">
        <v>100</v>
      </c>
      <c r="K739">
        <v>200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200</v>
      </c>
      <c r="AH739">
        <v>2</v>
      </c>
      <c r="AI739">
        <v>0</v>
      </c>
      <c r="AJ739">
        <v>0</v>
      </c>
      <c r="AK739">
        <v>200</v>
      </c>
      <c r="AL739">
        <v>0</v>
      </c>
      <c r="AM739">
        <v>0</v>
      </c>
      <c r="AN739">
        <v>0</v>
      </c>
      <c r="AO739">
        <v>0</v>
      </c>
      <c r="AP739" s="2">
        <v>140</v>
      </c>
      <c r="AT739" t="str">
        <f>T("9791164482849")</f>
        <v>9791164482849</v>
      </c>
      <c r="AV739" t="str">
        <f>T("판타지 웹소설 &gt; 무협 소설")</f>
        <v>판타지 웹소설 &gt; 무협 소설</v>
      </c>
    </row>
    <row r="740" spans="1:48" x14ac:dyDescent="0.4">
      <c r="A740">
        <v>1525004030</v>
      </c>
      <c r="B740">
        <v>1525006807</v>
      </c>
      <c r="C740" t="str">
        <f>T("회귀의 전설 2부 690화")</f>
        <v>회귀의 전설 2부 690화</v>
      </c>
      <c r="D740" t="str">
        <f>T("690")</f>
        <v>690</v>
      </c>
      <c r="E740" t="str">
        <f>T("김광수")</f>
        <v>김광수</v>
      </c>
      <c r="H740" t="str">
        <f t="shared" ref="H740:H794" si="102">T("스토리위즈")</f>
        <v>스토리위즈</v>
      </c>
      <c r="I740" t="str">
        <f>T("회귀의 전설")</f>
        <v>회귀의 전설</v>
      </c>
      <c r="J740">
        <v>100</v>
      </c>
      <c r="K740">
        <v>200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200</v>
      </c>
      <c r="AH740">
        <v>2</v>
      </c>
      <c r="AI740">
        <v>0</v>
      </c>
      <c r="AJ740">
        <v>0</v>
      </c>
      <c r="AK740">
        <v>200</v>
      </c>
      <c r="AL740">
        <v>0</v>
      </c>
      <c r="AM740">
        <v>0</v>
      </c>
      <c r="AN740">
        <v>0</v>
      </c>
      <c r="AO740">
        <v>0</v>
      </c>
      <c r="AP740" s="2">
        <v>140</v>
      </c>
      <c r="AT740" t="str">
        <f>T("9791191102086")</f>
        <v>9791191102086</v>
      </c>
      <c r="AV740" t="str">
        <f t="shared" ref="AV740:AV794" si="103">T("판타지 웹소설 &gt; 현대 판타지")</f>
        <v>판타지 웹소설 &gt; 현대 판타지</v>
      </c>
    </row>
    <row r="741" spans="1:48" x14ac:dyDescent="0.4">
      <c r="A741">
        <v>2313011400</v>
      </c>
      <c r="B741">
        <v>1525007709</v>
      </c>
      <c r="C741" t="str">
        <f>T("최종 보스 24권 14화")</f>
        <v>최종 보스 24권 14화</v>
      </c>
      <c r="D741" t="str">
        <f>T("487")</f>
        <v>487</v>
      </c>
      <c r="E741" t="str">
        <f>T("무장")</f>
        <v>무장</v>
      </c>
      <c r="H741" t="str">
        <f t="shared" si="102"/>
        <v>스토리위즈</v>
      </c>
      <c r="I741" t="str">
        <f>T("최종 보스 : 빛을 향해 달리는 그림자")</f>
        <v>최종 보스 : 빛을 향해 달리는 그림자</v>
      </c>
      <c r="J741">
        <v>100</v>
      </c>
      <c r="K741">
        <v>200</v>
      </c>
      <c r="L741">
        <v>2</v>
      </c>
      <c r="M741">
        <v>0</v>
      </c>
      <c r="N741">
        <v>100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300</v>
      </c>
      <c r="AH741">
        <v>3</v>
      </c>
      <c r="AI741">
        <v>0</v>
      </c>
      <c r="AJ741">
        <v>0</v>
      </c>
      <c r="AK741">
        <v>300</v>
      </c>
      <c r="AL741">
        <v>0</v>
      </c>
      <c r="AM741">
        <v>0</v>
      </c>
      <c r="AN741">
        <v>0</v>
      </c>
      <c r="AO741">
        <v>0</v>
      </c>
      <c r="AP741" s="2">
        <v>210</v>
      </c>
      <c r="AT741" t="str">
        <f>T("9791166067563")</f>
        <v>9791166067563</v>
      </c>
      <c r="AV741" t="str">
        <f t="shared" si="103"/>
        <v>판타지 웹소설 &gt; 현대 판타지</v>
      </c>
    </row>
    <row r="742" spans="1:48" x14ac:dyDescent="0.4">
      <c r="A742">
        <v>1525004030</v>
      </c>
      <c r="B742">
        <v>1525006863</v>
      </c>
      <c r="C742" t="str">
        <f>T("회귀의 전설 2부 746화")</f>
        <v>회귀의 전설 2부 746화</v>
      </c>
      <c r="D742" t="str">
        <f>T("746")</f>
        <v>746</v>
      </c>
      <c r="E742" t="str">
        <f t="shared" ref="E742:E749" si="104">T("김광수")</f>
        <v>김광수</v>
      </c>
      <c r="H742" t="str">
        <f t="shared" si="102"/>
        <v>스토리위즈</v>
      </c>
      <c r="I742" t="str">
        <f t="shared" ref="I742:I749" si="105">T("회귀의 전설")</f>
        <v>회귀의 전설</v>
      </c>
      <c r="J742">
        <v>100</v>
      </c>
      <c r="K742">
        <v>200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200</v>
      </c>
      <c r="AH742">
        <v>2</v>
      </c>
      <c r="AI742">
        <v>0</v>
      </c>
      <c r="AJ742">
        <v>0</v>
      </c>
      <c r="AK742">
        <v>200</v>
      </c>
      <c r="AL742">
        <v>0</v>
      </c>
      <c r="AM742">
        <v>0</v>
      </c>
      <c r="AN742">
        <v>0</v>
      </c>
      <c r="AO742">
        <v>0</v>
      </c>
      <c r="AP742" s="2">
        <v>140</v>
      </c>
      <c r="AT742" t="str">
        <f>T("9791191102086")</f>
        <v>9791191102086</v>
      </c>
      <c r="AV742" t="str">
        <f t="shared" si="103"/>
        <v>판타지 웹소설 &gt; 현대 판타지</v>
      </c>
    </row>
    <row r="743" spans="1:48" x14ac:dyDescent="0.4">
      <c r="A743">
        <v>1525004030</v>
      </c>
      <c r="B743">
        <v>1525006671</v>
      </c>
      <c r="C743" t="str">
        <f>T("회귀의 전설 2부 554화")</f>
        <v>회귀의 전설 2부 554화</v>
      </c>
      <c r="D743" t="str">
        <f>T("554")</f>
        <v>554</v>
      </c>
      <c r="E743" t="str">
        <f t="shared" si="104"/>
        <v>김광수</v>
      </c>
      <c r="H743" t="str">
        <f t="shared" si="102"/>
        <v>스토리위즈</v>
      </c>
      <c r="I743" t="str">
        <f t="shared" si="105"/>
        <v>회귀의 전설</v>
      </c>
      <c r="J743">
        <v>100</v>
      </c>
      <c r="K743">
        <v>200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2</v>
      </c>
      <c r="AI743">
        <v>0</v>
      </c>
      <c r="AJ743">
        <v>0</v>
      </c>
      <c r="AK743">
        <v>200</v>
      </c>
      <c r="AL743">
        <v>0</v>
      </c>
      <c r="AM743">
        <v>0</v>
      </c>
      <c r="AN743">
        <v>0</v>
      </c>
      <c r="AO743">
        <v>0</v>
      </c>
      <c r="AP743" s="2">
        <v>140</v>
      </c>
      <c r="AT743" t="str">
        <f>T("9791191102086")</f>
        <v>9791191102086</v>
      </c>
      <c r="AV743" t="str">
        <f t="shared" si="103"/>
        <v>판타지 웹소설 &gt; 현대 판타지</v>
      </c>
    </row>
    <row r="744" spans="1:48" x14ac:dyDescent="0.4">
      <c r="A744">
        <v>1525004030</v>
      </c>
      <c r="B744">
        <v>1525006703</v>
      </c>
      <c r="C744" t="str">
        <f>T("회귀의 전설 2부 586화")</f>
        <v>회귀의 전설 2부 586화</v>
      </c>
      <c r="D744" t="str">
        <f>T("586")</f>
        <v>586</v>
      </c>
      <c r="E744" t="str">
        <f t="shared" si="104"/>
        <v>김광수</v>
      </c>
      <c r="H744" t="str">
        <f t="shared" si="102"/>
        <v>스토리위즈</v>
      </c>
      <c r="I744" t="str">
        <f t="shared" si="105"/>
        <v>회귀의 전설</v>
      </c>
      <c r="J744">
        <v>100</v>
      </c>
      <c r="K744">
        <v>200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200</v>
      </c>
      <c r="AH744">
        <v>2</v>
      </c>
      <c r="AI744">
        <v>0</v>
      </c>
      <c r="AJ744">
        <v>0</v>
      </c>
      <c r="AK744">
        <v>200</v>
      </c>
      <c r="AL744">
        <v>0</v>
      </c>
      <c r="AM744">
        <v>0</v>
      </c>
      <c r="AN744">
        <v>0</v>
      </c>
      <c r="AO744">
        <v>0</v>
      </c>
      <c r="AP744" s="2">
        <v>140</v>
      </c>
      <c r="AT744" t="str">
        <f>T("9791191102086")</f>
        <v>9791191102086</v>
      </c>
      <c r="AV744" t="str">
        <f t="shared" si="103"/>
        <v>판타지 웹소설 &gt; 현대 판타지</v>
      </c>
    </row>
    <row r="745" spans="1:48" x14ac:dyDescent="0.4">
      <c r="A745">
        <v>1525004030</v>
      </c>
      <c r="B745">
        <v>1525006895</v>
      </c>
      <c r="C745" t="str">
        <f>T("회귀의 전설 2부 778화")</f>
        <v>회귀의 전설 2부 778화</v>
      </c>
      <c r="D745" t="str">
        <f>T("778")</f>
        <v>778</v>
      </c>
      <c r="E745" t="str">
        <f t="shared" si="104"/>
        <v>김광수</v>
      </c>
      <c r="H745" t="str">
        <f t="shared" si="102"/>
        <v>스토리위즈</v>
      </c>
      <c r="I745" t="str">
        <f t="shared" si="105"/>
        <v>회귀의 전설</v>
      </c>
      <c r="J745">
        <v>100</v>
      </c>
      <c r="K745">
        <v>200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200</v>
      </c>
      <c r="AH745">
        <v>2</v>
      </c>
      <c r="AI745">
        <v>0</v>
      </c>
      <c r="AJ745">
        <v>0</v>
      </c>
      <c r="AK745">
        <v>200</v>
      </c>
      <c r="AL745">
        <v>0</v>
      </c>
      <c r="AM745">
        <v>0</v>
      </c>
      <c r="AN745">
        <v>0</v>
      </c>
      <c r="AO745">
        <v>0</v>
      </c>
      <c r="AP745" s="2">
        <v>140</v>
      </c>
      <c r="AT745" t="str">
        <f>T("9791191102086")</f>
        <v>9791191102086</v>
      </c>
      <c r="AV745" t="str">
        <f t="shared" si="103"/>
        <v>판타지 웹소설 &gt; 현대 판타지</v>
      </c>
    </row>
    <row r="746" spans="1:48" x14ac:dyDescent="0.4">
      <c r="A746">
        <v>1525004030</v>
      </c>
      <c r="B746">
        <v>1525004108</v>
      </c>
      <c r="C746" t="str">
        <f>T("회귀의 전설 79화")</f>
        <v>회귀의 전설 79화</v>
      </c>
      <c r="D746" t="str">
        <f>T("79")</f>
        <v>79</v>
      </c>
      <c r="E746" t="str">
        <f t="shared" si="104"/>
        <v>김광수</v>
      </c>
      <c r="H746" t="str">
        <f t="shared" si="102"/>
        <v>스토리위즈</v>
      </c>
      <c r="I746" t="str">
        <f t="shared" si="105"/>
        <v>회귀의 전설</v>
      </c>
      <c r="J746">
        <v>100</v>
      </c>
      <c r="K746">
        <v>200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200</v>
      </c>
      <c r="AH746">
        <v>2</v>
      </c>
      <c r="AI746">
        <v>0</v>
      </c>
      <c r="AJ746">
        <v>0</v>
      </c>
      <c r="AK746">
        <v>200</v>
      </c>
      <c r="AL746">
        <v>0</v>
      </c>
      <c r="AM746">
        <v>0</v>
      </c>
      <c r="AN746">
        <v>0</v>
      </c>
      <c r="AO746">
        <v>0</v>
      </c>
      <c r="AP746" s="2">
        <v>140</v>
      </c>
      <c r="AT746" t="str">
        <f>T("9788997946006")</f>
        <v>9788997946006</v>
      </c>
      <c r="AV746" t="str">
        <f t="shared" si="103"/>
        <v>판타지 웹소설 &gt; 현대 판타지</v>
      </c>
    </row>
    <row r="747" spans="1:48" x14ac:dyDescent="0.4">
      <c r="A747">
        <v>1525004030</v>
      </c>
      <c r="B747">
        <v>1525004220</v>
      </c>
      <c r="C747" t="str">
        <f>T("회귀의 전설 191화")</f>
        <v>회귀의 전설 191화</v>
      </c>
      <c r="D747" t="str">
        <f>T("191")</f>
        <v>191</v>
      </c>
      <c r="E747" t="str">
        <f t="shared" si="104"/>
        <v>김광수</v>
      </c>
      <c r="H747" t="str">
        <f t="shared" si="102"/>
        <v>스토리위즈</v>
      </c>
      <c r="I747" t="str">
        <f t="shared" si="105"/>
        <v>회귀의 전설</v>
      </c>
      <c r="J747">
        <v>100</v>
      </c>
      <c r="K747">
        <v>200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200</v>
      </c>
      <c r="AH747">
        <v>2</v>
      </c>
      <c r="AI747">
        <v>0</v>
      </c>
      <c r="AJ747">
        <v>0</v>
      </c>
      <c r="AK747">
        <v>100</v>
      </c>
      <c r="AL747">
        <v>0</v>
      </c>
      <c r="AM747">
        <v>100</v>
      </c>
      <c r="AN747">
        <v>0</v>
      </c>
      <c r="AO747">
        <v>0</v>
      </c>
      <c r="AP747" s="2">
        <v>140</v>
      </c>
      <c r="AT747" t="str">
        <f>T("9788997946006")</f>
        <v>9788997946006</v>
      </c>
      <c r="AV747" t="str">
        <f t="shared" si="103"/>
        <v>판타지 웹소설 &gt; 현대 판타지</v>
      </c>
    </row>
    <row r="748" spans="1:48" x14ac:dyDescent="0.4">
      <c r="A748">
        <v>1525004030</v>
      </c>
      <c r="B748">
        <v>1525004386</v>
      </c>
      <c r="C748" t="str">
        <f>T("회귀의 전설 358화")</f>
        <v>회귀의 전설 358화</v>
      </c>
      <c r="D748" t="str">
        <f>T("358")</f>
        <v>358</v>
      </c>
      <c r="E748" t="str">
        <f t="shared" si="104"/>
        <v>김광수</v>
      </c>
      <c r="H748" t="str">
        <f t="shared" si="102"/>
        <v>스토리위즈</v>
      </c>
      <c r="I748" t="str">
        <f t="shared" si="105"/>
        <v>회귀의 전설</v>
      </c>
      <c r="J748">
        <v>100</v>
      </c>
      <c r="K748">
        <v>200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200</v>
      </c>
      <c r="AH748">
        <v>2</v>
      </c>
      <c r="AI748">
        <v>0</v>
      </c>
      <c r="AJ748">
        <v>0</v>
      </c>
      <c r="AK748">
        <v>200</v>
      </c>
      <c r="AL748">
        <v>0</v>
      </c>
      <c r="AM748">
        <v>0</v>
      </c>
      <c r="AN748">
        <v>0</v>
      </c>
      <c r="AO748">
        <v>0</v>
      </c>
      <c r="AP748" s="2">
        <v>140</v>
      </c>
      <c r="AT748" t="str">
        <f>T("9788997946006")</f>
        <v>9788997946006</v>
      </c>
      <c r="AV748" t="str">
        <f t="shared" si="103"/>
        <v>판타지 웹소설 &gt; 현대 판타지</v>
      </c>
    </row>
    <row r="749" spans="1:48" x14ac:dyDescent="0.4">
      <c r="A749">
        <v>1525004030</v>
      </c>
      <c r="B749">
        <v>1525006832</v>
      </c>
      <c r="C749" t="str">
        <f>T("회귀의 전설 2부 715화")</f>
        <v>회귀의 전설 2부 715화</v>
      </c>
      <c r="D749" t="str">
        <f>T("715")</f>
        <v>715</v>
      </c>
      <c r="E749" t="str">
        <f t="shared" si="104"/>
        <v>김광수</v>
      </c>
      <c r="H749" t="str">
        <f t="shared" si="102"/>
        <v>스토리위즈</v>
      </c>
      <c r="I749" t="str">
        <f t="shared" si="105"/>
        <v>회귀의 전설</v>
      </c>
      <c r="J749">
        <v>100</v>
      </c>
      <c r="K749">
        <v>200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200</v>
      </c>
      <c r="AH749">
        <v>2</v>
      </c>
      <c r="AI749">
        <v>0</v>
      </c>
      <c r="AJ749">
        <v>0</v>
      </c>
      <c r="AK749">
        <v>200</v>
      </c>
      <c r="AL749">
        <v>0</v>
      </c>
      <c r="AM749">
        <v>0</v>
      </c>
      <c r="AN749">
        <v>0</v>
      </c>
      <c r="AO749">
        <v>0</v>
      </c>
      <c r="AP749" s="2">
        <v>140</v>
      </c>
      <c r="AT749" t="str">
        <f>T("9791191102086")</f>
        <v>9791191102086</v>
      </c>
      <c r="AV749" t="str">
        <f t="shared" si="103"/>
        <v>판타지 웹소설 &gt; 현대 판타지</v>
      </c>
    </row>
    <row r="750" spans="1:48" x14ac:dyDescent="0.4">
      <c r="A750">
        <v>2313011400</v>
      </c>
      <c r="B750">
        <v>1525007734</v>
      </c>
      <c r="C750" t="str">
        <f>T("최종 보스 25권 19화")</f>
        <v>최종 보스 25권 19화</v>
      </c>
      <c r="D750" t="str">
        <f>T("512")</f>
        <v>512</v>
      </c>
      <c r="E750" t="str">
        <f>T("무장")</f>
        <v>무장</v>
      </c>
      <c r="H750" t="str">
        <f t="shared" si="102"/>
        <v>스토리위즈</v>
      </c>
      <c r="I750" t="str">
        <f>T("최종 보스 : 빛을 향해 달리는 그림자")</f>
        <v>최종 보스 : 빛을 향해 달리는 그림자</v>
      </c>
      <c r="J750">
        <v>100</v>
      </c>
      <c r="K750">
        <v>200</v>
      </c>
      <c r="L750">
        <v>2</v>
      </c>
      <c r="M750">
        <v>0</v>
      </c>
      <c r="N750">
        <v>100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300</v>
      </c>
      <c r="AH750">
        <v>3</v>
      </c>
      <c r="AI750">
        <v>0</v>
      </c>
      <c r="AJ750">
        <v>0</v>
      </c>
      <c r="AK750">
        <v>300</v>
      </c>
      <c r="AL750">
        <v>0</v>
      </c>
      <c r="AM750">
        <v>0</v>
      </c>
      <c r="AN750">
        <v>0</v>
      </c>
      <c r="AO750">
        <v>0</v>
      </c>
      <c r="AP750" s="2">
        <v>210</v>
      </c>
      <c r="AT750" t="str">
        <f>T("9791166067563")</f>
        <v>9791166067563</v>
      </c>
      <c r="AV750" t="str">
        <f t="shared" si="103"/>
        <v>판타지 웹소설 &gt; 현대 판타지</v>
      </c>
    </row>
    <row r="751" spans="1:48" x14ac:dyDescent="0.4">
      <c r="A751">
        <v>1525004030</v>
      </c>
      <c r="B751">
        <v>1525006888</v>
      </c>
      <c r="C751" t="str">
        <f>T("회귀의 전설 2부 771화")</f>
        <v>회귀의 전설 2부 771화</v>
      </c>
      <c r="D751" t="str">
        <f>T("771")</f>
        <v>771</v>
      </c>
      <c r="E751" t="str">
        <f t="shared" ref="E751:E765" si="106">T("김광수")</f>
        <v>김광수</v>
      </c>
      <c r="H751" t="str">
        <f t="shared" si="102"/>
        <v>스토리위즈</v>
      </c>
      <c r="I751" t="str">
        <f t="shared" ref="I751:I765" si="107">T("회귀의 전설")</f>
        <v>회귀의 전설</v>
      </c>
      <c r="J751">
        <v>100</v>
      </c>
      <c r="K751">
        <v>200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200</v>
      </c>
      <c r="AH751">
        <v>2</v>
      </c>
      <c r="AI751">
        <v>0</v>
      </c>
      <c r="AJ751">
        <v>0</v>
      </c>
      <c r="AK751">
        <v>200</v>
      </c>
      <c r="AL751">
        <v>0</v>
      </c>
      <c r="AM751">
        <v>0</v>
      </c>
      <c r="AN751">
        <v>0</v>
      </c>
      <c r="AO751">
        <v>0</v>
      </c>
      <c r="AP751" s="2">
        <v>140</v>
      </c>
      <c r="AT751" t="str">
        <f>T("9791191102086")</f>
        <v>9791191102086</v>
      </c>
      <c r="AV751" t="str">
        <f t="shared" si="103"/>
        <v>판타지 웹소설 &gt; 현대 판타지</v>
      </c>
    </row>
    <row r="752" spans="1:48" x14ac:dyDescent="0.4">
      <c r="A752">
        <v>1525004030</v>
      </c>
      <c r="B752">
        <v>1525006696</v>
      </c>
      <c r="C752" t="str">
        <f>T("회귀의 전설 2부 579화")</f>
        <v>회귀의 전설 2부 579화</v>
      </c>
      <c r="D752" t="str">
        <f>T("579")</f>
        <v>579</v>
      </c>
      <c r="E752" t="str">
        <f t="shared" si="106"/>
        <v>김광수</v>
      </c>
      <c r="H752" t="str">
        <f t="shared" si="102"/>
        <v>스토리위즈</v>
      </c>
      <c r="I752" t="str">
        <f t="shared" si="107"/>
        <v>회귀의 전설</v>
      </c>
      <c r="J752">
        <v>100</v>
      </c>
      <c r="K752">
        <v>200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200</v>
      </c>
      <c r="AH752">
        <v>2</v>
      </c>
      <c r="AI752">
        <v>0</v>
      </c>
      <c r="AJ752">
        <v>0</v>
      </c>
      <c r="AK752">
        <v>200</v>
      </c>
      <c r="AL752">
        <v>0</v>
      </c>
      <c r="AM752">
        <v>0</v>
      </c>
      <c r="AN752">
        <v>0</v>
      </c>
      <c r="AO752">
        <v>0</v>
      </c>
      <c r="AP752" s="2">
        <v>140</v>
      </c>
      <c r="AT752" t="str">
        <f>T("9791191102086")</f>
        <v>9791191102086</v>
      </c>
      <c r="AV752" t="str">
        <f t="shared" si="103"/>
        <v>판타지 웹소설 &gt; 현대 판타지</v>
      </c>
    </row>
    <row r="753" spans="1:48" x14ac:dyDescent="0.4">
      <c r="A753">
        <v>1525004030</v>
      </c>
      <c r="B753">
        <v>1525004101</v>
      </c>
      <c r="C753" t="str">
        <f>T("회귀의 전설 72화")</f>
        <v>회귀의 전설 72화</v>
      </c>
      <c r="D753" t="str">
        <f>T("72")</f>
        <v>72</v>
      </c>
      <c r="E753" t="str">
        <f t="shared" si="106"/>
        <v>김광수</v>
      </c>
      <c r="H753" t="str">
        <f t="shared" si="102"/>
        <v>스토리위즈</v>
      </c>
      <c r="I753" t="str">
        <f t="shared" si="107"/>
        <v>회귀의 전설</v>
      </c>
      <c r="J753">
        <v>100</v>
      </c>
      <c r="K753">
        <v>200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200</v>
      </c>
      <c r="AH753">
        <v>2</v>
      </c>
      <c r="AI753">
        <v>0</v>
      </c>
      <c r="AJ753">
        <v>0</v>
      </c>
      <c r="AK753">
        <v>200</v>
      </c>
      <c r="AL753">
        <v>0</v>
      </c>
      <c r="AM753">
        <v>0</v>
      </c>
      <c r="AN753">
        <v>0</v>
      </c>
      <c r="AO753">
        <v>0</v>
      </c>
      <c r="AP753" s="2">
        <v>140</v>
      </c>
      <c r="AT753" t="str">
        <f>T("9788997946006")</f>
        <v>9788997946006</v>
      </c>
      <c r="AV753" t="str">
        <f t="shared" si="103"/>
        <v>판타지 웹소설 &gt; 현대 판타지</v>
      </c>
    </row>
    <row r="754" spans="1:48" x14ac:dyDescent="0.4">
      <c r="A754">
        <v>1525004030</v>
      </c>
      <c r="B754">
        <v>1525006920</v>
      </c>
      <c r="C754" t="str">
        <f>T("회귀의 전설 2부 803화")</f>
        <v>회귀의 전설 2부 803화</v>
      </c>
      <c r="D754" t="str">
        <f>T("803")</f>
        <v>803</v>
      </c>
      <c r="E754" t="str">
        <f t="shared" si="106"/>
        <v>김광수</v>
      </c>
      <c r="H754" t="str">
        <f t="shared" si="102"/>
        <v>스토리위즈</v>
      </c>
      <c r="I754" t="str">
        <f t="shared" si="107"/>
        <v>회귀의 전설</v>
      </c>
      <c r="J754">
        <v>100</v>
      </c>
      <c r="K754">
        <v>200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200</v>
      </c>
      <c r="AH754">
        <v>2</v>
      </c>
      <c r="AI754">
        <v>0</v>
      </c>
      <c r="AJ754">
        <v>0</v>
      </c>
      <c r="AK754">
        <v>200</v>
      </c>
      <c r="AL754">
        <v>0</v>
      </c>
      <c r="AM754">
        <v>0</v>
      </c>
      <c r="AN754">
        <v>0</v>
      </c>
      <c r="AO754">
        <v>0</v>
      </c>
      <c r="AP754" s="2">
        <v>140</v>
      </c>
      <c r="AT754" t="str">
        <f t="shared" ref="AT754:AT765" si="108">T("9791191102086")</f>
        <v>9791191102086</v>
      </c>
      <c r="AV754" t="str">
        <f t="shared" si="103"/>
        <v>판타지 웹소설 &gt; 현대 판타지</v>
      </c>
    </row>
    <row r="755" spans="1:48" x14ac:dyDescent="0.4">
      <c r="A755">
        <v>1525004030</v>
      </c>
      <c r="B755">
        <v>1525006744</v>
      </c>
      <c r="C755" t="str">
        <f>T("회귀의 전설 2부 627화")</f>
        <v>회귀의 전설 2부 627화</v>
      </c>
      <c r="D755" t="str">
        <f>T("627")</f>
        <v>627</v>
      </c>
      <c r="E755" t="str">
        <f t="shared" si="106"/>
        <v>김광수</v>
      </c>
      <c r="H755" t="str">
        <f t="shared" si="102"/>
        <v>스토리위즈</v>
      </c>
      <c r="I755" t="str">
        <f t="shared" si="107"/>
        <v>회귀의 전설</v>
      </c>
      <c r="J755">
        <v>100</v>
      </c>
      <c r="K755">
        <v>200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200</v>
      </c>
      <c r="AH755">
        <v>2</v>
      </c>
      <c r="AI755">
        <v>0</v>
      </c>
      <c r="AJ755">
        <v>0</v>
      </c>
      <c r="AK755">
        <v>200</v>
      </c>
      <c r="AL755">
        <v>0</v>
      </c>
      <c r="AM755">
        <v>0</v>
      </c>
      <c r="AN755">
        <v>0</v>
      </c>
      <c r="AO755">
        <v>0</v>
      </c>
      <c r="AP755" s="2">
        <v>140</v>
      </c>
      <c r="AT755" t="str">
        <f t="shared" si="108"/>
        <v>9791191102086</v>
      </c>
      <c r="AV755" t="str">
        <f t="shared" si="103"/>
        <v>판타지 웹소설 &gt; 현대 판타지</v>
      </c>
    </row>
    <row r="756" spans="1:48" x14ac:dyDescent="0.4">
      <c r="A756">
        <v>1525004030</v>
      </c>
      <c r="B756">
        <v>1525006800</v>
      </c>
      <c r="C756" t="str">
        <f>T("회귀의 전설 2부 683화")</f>
        <v>회귀의 전설 2부 683화</v>
      </c>
      <c r="D756" t="str">
        <f>T("683")</f>
        <v>683</v>
      </c>
      <c r="E756" t="str">
        <f t="shared" si="106"/>
        <v>김광수</v>
      </c>
      <c r="H756" t="str">
        <f t="shared" si="102"/>
        <v>스토리위즈</v>
      </c>
      <c r="I756" t="str">
        <f t="shared" si="107"/>
        <v>회귀의 전설</v>
      </c>
      <c r="J756">
        <v>100</v>
      </c>
      <c r="K756">
        <v>200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200</v>
      </c>
      <c r="AH756">
        <v>2</v>
      </c>
      <c r="AI756">
        <v>0</v>
      </c>
      <c r="AJ756">
        <v>0</v>
      </c>
      <c r="AK756">
        <v>200</v>
      </c>
      <c r="AL756">
        <v>0</v>
      </c>
      <c r="AM756">
        <v>0</v>
      </c>
      <c r="AN756">
        <v>0</v>
      </c>
      <c r="AO756">
        <v>0</v>
      </c>
      <c r="AP756" s="2">
        <v>140</v>
      </c>
      <c r="AT756" t="str">
        <f t="shared" si="108"/>
        <v>9791191102086</v>
      </c>
      <c r="AV756" t="str">
        <f t="shared" si="103"/>
        <v>판타지 웹소설 &gt; 현대 판타지</v>
      </c>
    </row>
    <row r="757" spans="1:48" x14ac:dyDescent="0.4">
      <c r="A757">
        <v>1525004030</v>
      </c>
      <c r="B757">
        <v>1525006664</v>
      </c>
      <c r="C757" t="str">
        <f>T("회귀의 전설 2부 547화")</f>
        <v>회귀의 전설 2부 547화</v>
      </c>
      <c r="D757" t="str">
        <f>T("547")</f>
        <v>547</v>
      </c>
      <c r="E757" t="str">
        <f t="shared" si="106"/>
        <v>김광수</v>
      </c>
      <c r="H757" t="str">
        <f t="shared" si="102"/>
        <v>스토리위즈</v>
      </c>
      <c r="I757" t="str">
        <f t="shared" si="107"/>
        <v>회귀의 전설</v>
      </c>
      <c r="J757">
        <v>100</v>
      </c>
      <c r="K757">
        <v>200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200</v>
      </c>
      <c r="AH757">
        <v>2</v>
      </c>
      <c r="AI757">
        <v>0</v>
      </c>
      <c r="AJ757">
        <v>0</v>
      </c>
      <c r="AK757">
        <v>200</v>
      </c>
      <c r="AL757">
        <v>0</v>
      </c>
      <c r="AM757">
        <v>0</v>
      </c>
      <c r="AN757">
        <v>0</v>
      </c>
      <c r="AO757">
        <v>0</v>
      </c>
      <c r="AP757" s="2">
        <v>140</v>
      </c>
      <c r="AT757" t="str">
        <f t="shared" si="108"/>
        <v>9791191102086</v>
      </c>
      <c r="AV757" t="str">
        <f t="shared" si="103"/>
        <v>판타지 웹소설 &gt; 현대 판타지</v>
      </c>
    </row>
    <row r="758" spans="1:48" x14ac:dyDescent="0.4">
      <c r="A758">
        <v>1525004030</v>
      </c>
      <c r="B758">
        <v>1525006856</v>
      </c>
      <c r="C758" t="str">
        <f>T("회귀의 전설 2부 739화")</f>
        <v>회귀의 전설 2부 739화</v>
      </c>
      <c r="D758" t="str">
        <f>T("739")</f>
        <v>739</v>
      </c>
      <c r="E758" t="str">
        <f t="shared" si="106"/>
        <v>김광수</v>
      </c>
      <c r="H758" t="str">
        <f t="shared" si="102"/>
        <v>스토리위즈</v>
      </c>
      <c r="I758" t="str">
        <f t="shared" si="107"/>
        <v>회귀의 전설</v>
      </c>
      <c r="J758">
        <v>100</v>
      </c>
      <c r="K758">
        <v>200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200</v>
      </c>
      <c r="AH758">
        <v>2</v>
      </c>
      <c r="AI758">
        <v>0</v>
      </c>
      <c r="AJ758">
        <v>0</v>
      </c>
      <c r="AK758">
        <v>200</v>
      </c>
      <c r="AL758">
        <v>0</v>
      </c>
      <c r="AM758">
        <v>0</v>
      </c>
      <c r="AN758">
        <v>0</v>
      </c>
      <c r="AO758">
        <v>0</v>
      </c>
      <c r="AP758" s="2">
        <v>140</v>
      </c>
      <c r="AT758" t="str">
        <f t="shared" si="108"/>
        <v>9791191102086</v>
      </c>
      <c r="AV758" t="str">
        <f t="shared" si="103"/>
        <v>판타지 웹소설 &gt; 현대 판타지</v>
      </c>
    </row>
    <row r="759" spans="1:48" x14ac:dyDescent="0.4">
      <c r="A759">
        <v>1525004030</v>
      </c>
      <c r="B759">
        <v>1525007021</v>
      </c>
      <c r="C759" t="str">
        <f>T("회귀의 전설 2부 905화")</f>
        <v>회귀의 전설 2부 905화</v>
      </c>
      <c r="D759" t="str">
        <f>T("905")</f>
        <v>905</v>
      </c>
      <c r="E759" t="str">
        <f t="shared" si="106"/>
        <v>김광수</v>
      </c>
      <c r="H759" t="str">
        <f t="shared" si="102"/>
        <v>스토리위즈</v>
      </c>
      <c r="I759" t="str">
        <f t="shared" si="107"/>
        <v>회귀의 전설</v>
      </c>
      <c r="J759">
        <v>100</v>
      </c>
      <c r="K759">
        <v>200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200</v>
      </c>
      <c r="AH759">
        <v>2</v>
      </c>
      <c r="AI759">
        <v>0</v>
      </c>
      <c r="AJ759">
        <v>0</v>
      </c>
      <c r="AK759">
        <v>200</v>
      </c>
      <c r="AL759">
        <v>0</v>
      </c>
      <c r="AM759">
        <v>0</v>
      </c>
      <c r="AN759">
        <v>0</v>
      </c>
      <c r="AO759">
        <v>0</v>
      </c>
      <c r="AP759" s="2">
        <v>140</v>
      </c>
      <c r="AT759" t="str">
        <f t="shared" si="108"/>
        <v>9791191102086</v>
      </c>
      <c r="AV759" t="str">
        <f t="shared" si="103"/>
        <v>판타지 웹소설 &gt; 현대 판타지</v>
      </c>
    </row>
    <row r="760" spans="1:48" x14ac:dyDescent="0.4">
      <c r="A760">
        <v>1525004030</v>
      </c>
      <c r="B760">
        <v>1525006913</v>
      </c>
      <c r="C760" t="str">
        <f>T("회귀의 전설 2부 796화")</f>
        <v>회귀의 전설 2부 796화</v>
      </c>
      <c r="D760" t="str">
        <f>T("796")</f>
        <v>796</v>
      </c>
      <c r="E760" t="str">
        <f t="shared" si="106"/>
        <v>김광수</v>
      </c>
      <c r="H760" t="str">
        <f t="shared" si="102"/>
        <v>스토리위즈</v>
      </c>
      <c r="I760" t="str">
        <f t="shared" si="107"/>
        <v>회귀의 전설</v>
      </c>
      <c r="J760">
        <v>100</v>
      </c>
      <c r="K760">
        <v>200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200</v>
      </c>
      <c r="AH760">
        <v>2</v>
      </c>
      <c r="AI760">
        <v>0</v>
      </c>
      <c r="AJ760">
        <v>0</v>
      </c>
      <c r="AK760">
        <v>200</v>
      </c>
      <c r="AL760">
        <v>0</v>
      </c>
      <c r="AM760">
        <v>0</v>
      </c>
      <c r="AN760">
        <v>0</v>
      </c>
      <c r="AO760">
        <v>0</v>
      </c>
      <c r="AP760" s="2">
        <v>140</v>
      </c>
      <c r="AT760" t="str">
        <f t="shared" si="108"/>
        <v>9791191102086</v>
      </c>
      <c r="AV760" t="str">
        <f t="shared" si="103"/>
        <v>판타지 웹소설 &gt; 현대 판타지</v>
      </c>
    </row>
    <row r="761" spans="1:48" x14ac:dyDescent="0.4">
      <c r="A761">
        <v>1525004030</v>
      </c>
      <c r="B761">
        <v>1525006793</v>
      </c>
      <c r="C761" t="str">
        <f>T("회귀의 전설 2부 676화")</f>
        <v>회귀의 전설 2부 676화</v>
      </c>
      <c r="D761" t="str">
        <f>T("676")</f>
        <v>676</v>
      </c>
      <c r="E761" t="str">
        <f t="shared" si="106"/>
        <v>김광수</v>
      </c>
      <c r="H761" t="str">
        <f t="shared" si="102"/>
        <v>스토리위즈</v>
      </c>
      <c r="I761" t="str">
        <f t="shared" si="107"/>
        <v>회귀의 전설</v>
      </c>
      <c r="J761">
        <v>100</v>
      </c>
      <c r="K761">
        <v>200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200</v>
      </c>
      <c r="AH761">
        <v>2</v>
      </c>
      <c r="AI761">
        <v>0</v>
      </c>
      <c r="AJ761">
        <v>0</v>
      </c>
      <c r="AK761">
        <v>200</v>
      </c>
      <c r="AL761">
        <v>0</v>
      </c>
      <c r="AM761">
        <v>0</v>
      </c>
      <c r="AN761">
        <v>0</v>
      </c>
      <c r="AO761">
        <v>0</v>
      </c>
      <c r="AP761" s="2">
        <v>140</v>
      </c>
      <c r="AT761" t="str">
        <f t="shared" si="108"/>
        <v>9791191102086</v>
      </c>
      <c r="AV761" t="str">
        <f t="shared" si="103"/>
        <v>판타지 웹소설 &gt; 현대 판타지</v>
      </c>
    </row>
    <row r="762" spans="1:48" x14ac:dyDescent="0.4">
      <c r="A762">
        <v>1525004030</v>
      </c>
      <c r="B762">
        <v>1525006657</v>
      </c>
      <c r="C762" t="str">
        <f>T("회귀의 전설 2부 540화")</f>
        <v>회귀의 전설 2부 540화</v>
      </c>
      <c r="D762" t="str">
        <f>T("540")</f>
        <v>540</v>
      </c>
      <c r="E762" t="str">
        <f t="shared" si="106"/>
        <v>김광수</v>
      </c>
      <c r="H762" t="str">
        <f t="shared" si="102"/>
        <v>스토리위즈</v>
      </c>
      <c r="I762" t="str">
        <f t="shared" si="107"/>
        <v>회귀의 전설</v>
      </c>
      <c r="J762">
        <v>100</v>
      </c>
      <c r="K762">
        <v>200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200</v>
      </c>
      <c r="AH762">
        <v>2</v>
      </c>
      <c r="AI762">
        <v>0</v>
      </c>
      <c r="AJ762">
        <v>0</v>
      </c>
      <c r="AK762">
        <v>200</v>
      </c>
      <c r="AL762">
        <v>0</v>
      </c>
      <c r="AM762">
        <v>0</v>
      </c>
      <c r="AN762">
        <v>0</v>
      </c>
      <c r="AO762">
        <v>0</v>
      </c>
      <c r="AP762" s="2">
        <v>140</v>
      </c>
      <c r="AT762" t="str">
        <f t="shared" si="108"/>
        <v>9791191102086</v>
      </c>
      <c r="AV762" t="str">
        <f t="shared" si="103"/>
        <v>판타지 웹소설 &gt; 현대 판타지</v>
      </c>
    </row>
    <row r="763" spans="1:48" x14ac:dyDescent="0.4">
      <c r="A763">
        <v>1525004030</v>
      </c>
      <c r="B763">
        <v>1525006849</v>
      </c>
      <c r="C763" t="str">
        <f>T("회귀의 전설 2부 732화")</f>
        <v>회귀의 전설 2부 732화</v>
      </c>
      <c r="D763" t="str">
        <f>T("732")</f>
        <v>732</v>
      </c>
      <c r="E763" t="str">
        <f t="shared" si="106"/>
        <v>김광수</v>
      </c>
      <c r="H763" t="str">
        <f t="shared" si="102"/>
        <v>스토리위즈</v>
      </c>
      <c r="I763" t="str">
        <f t="shared" si="107"/>
        <v>회귀의 전설</v>
      </c>
      <c r="J763">
        <v>100</v>
      </c>
      <c r="K763">
        <v>200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</v>
      </c>
      <c r="AH763">
        <v>2</v>
      </c>
      <c r="AI763">
        <v>0</v>
      </c>
      <c r="AJ763">
        <v>0</v>
      </c>
      <c r="AK763">
        <v>200</v>
      </c>
      <c r="AL763">
        <v>0</v>
      </c>
      <c r="AM763">
        <v>0</v>
      </c>
      <c r="AN763">
        <v>0</v>
      </c>
      <c r="AO763">
        <v>0</v>
      </c>
      <c r="AP763" s="2">
        <v>140</v>
      </c>
      <c r="AT763" t="str">
        <f t="shared" si="108"/>
        <v>9791191102086</v>
      </c>
      <c r="AV763" t="str">
        <f t="shared" si="103"/>
        <v>판타지 웹소설 &gt; 현대 판타지</v>
      </c>
    </row>
    <row r="764" spans="1:48" x14ac:dyDescent="0.4">
      <c r="A764">
        <v>1525004030</v>
      </c>
      <c r="B764">
        <v>1525006769</v>
      </c>
      <c r="C764" t="str">
        <f>T("회귀의 전설 2부 652화")</f>
        <v>회귀의 전설 2부 652화</v>
      </c>
      <c r="D764" t="str">
        <f>T("652")</f>
        <v>652</v>
      </c>
      <c r="E764" t="str">
        <f t="shared" si="106"/>
        <v>김광수</v>
      </c>
      <c r="H764" t="str">
        <f t="shared" si="102"/>
        <v>스토리위즈</v>
      </c>
      <c r="I764" t="str">
        <f t="shared" si="107"/>
        <v>회귀의 전설</v>
      </c>
      <c r="J764">
        <v>100</v>
      </c>
      <c r="K764">
        <v>200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200</v>
      </c>
      <c r="AH764">
        <v>2</v>
      </c>
      <c r="AI764">
        <v>0</v>
      </c>
      <c r="AJ764">
        <v>0</v>
      </c>
      <c r="AK764">
        <v>200</v>
      </c>
      <c r="AL764">
        <v>0</v>
      </c>
      <c r="AM764">
        <v>0</v>
      </c>
      <c r="AN764">
        <v>0</v>
      </c>
      <c r="AO764">
        <v>0</v>
      </c>
      <c r="AP764" s="2">
        <v>140</v>
      </c>
      <c r="AT764" t="str">
        <f t="shared" si="108"/>
        <v>9791191102086</v>
      </c>
      <c r="AV764" t="str">
        <f t="shared" si="103"/>
        <v>판타지 웹소설 &gt; 현대 판타지</v>
      </c>
    </row>
    <row r="765" spans="1:48" x14ac:dyDescent="0.4">
      <c r="A765">
        <v>1525004030</v>
      </c>
      <c r="B765">
        <v>1525006825</v>
      </c>
      <c r="C765" t="str">
        <f>T("회귀의 전설 2부 708화")</f>
        <v>회귀의 전설 2부 708화</v>
      </c>
      <c r="D765" t="str">
        <f>T("708")</f>
        <v>708</v>
      </c>
      <c r="E765" t="str">
        <f t="shared" si="106"/>
        <v>김광수</v>
      </c>
      <c r="H765" t="str">
        <f t="shared" si="102"/>
        <v>스토리위즈</v>
      </c>
      <c r="I765" t="str">
        <f t="shared" si="107"/>
        <v>회귀의 전설</v>
      </c>
      <c r="J765">
        <v>100</v>
      </c>
      <c r="K765">
        <v>200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200</v>
      </c>
      <c r="AH765">
        <v>2</v>
      </c>
      <c r="AI765">
        <v>0</v>
      </c>
      <c r="AJ765">
        <v>0</v>
      </c>
      <c r="AK765">
        <v>200</v>
      </c>
      <c r="AL765">
        <v>0</v>
      </c>
      <c r="AM765">
        <v>0</v>
      </c>
      <c r="AN765">
        <v>0</v>
      </c>
      <c r="AO765">
        <v>0</v>
      </c>
      <c r="AP765" s="2">
        <v>140</v>
      </c>
      <c r="AT765" t="str">
        <f t="shared" si="108"/>
        <v>9791191102086</v>
      </c>
      <c r="AV765" t="str">
        <f t="shared" si="103"/>
        <v>판타지 웹소설 &gt; 현대 판타지</v>
      </c>
    </row>
    <row r="766" spans="1:48" x14ac:dyDescent="0.4">
      <c r="A766">
        <v>2313011400</v>
      </c>
      <c r="B766">
        <v>1525007727</v>
      </c>
      <c r="C766" t="str">
        <f>T("최종 보스 25권 12화")</f>
        <v>최종 보스 25권 12화</v>
      </c>
      <c r="D766" t="str">
        <f>T("505")</f>
        <v>505</v>
      </c>
      <c r="E766" t="str">
        <f>T("무장")</f>
        <v>무장</v>
      </c>
      <c r="H766" t="str">
        <f t="shared" si="102"/>
        <v>스토리위즈</v>
      </c>
      <c r="I766" t="str">
        <f>T("최종 보스 : 빛을 향해 달리는 그림자")</f>
        <v>최종 보스 : 빛을 향해 달리는 그림자</v>
      </c>
      <c r="J766">
        <v>100</v>
      </c>
      <c r="K766">
        <v>200</v>
      </c>
      <c r="L766">
        <v>2</v>
      </c>
      <c r="M766">
        <v>0</v>
      </c>
      <c r="N766">
        <v>100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300</v>
      </c>
      <c r="AL766">
        <v>0</v>
      </c>
      <c r="AM766">
        <v>0</v>
      </c>
      <c r="AN766">
        <v>0</v>
      </c>
      <c r="AO766">
        <v>0</v>
      </c>
      <c r="AP766" s="2">
        <v>210</v>
      </c>
      <c r="AT766" t="str">
        <f>T("9791166067563")</f>
        <v>9791166067563</v>
      </c>
      <c r="AV766" t="str">
        <f t="shared" si="103"/>
        <v>판타지 웹소설 &gt; 현대 판타지</v>
      </c>
    </row>
    <row r="767" spans="1:48" x14ac:dyDescent="0.4">
      <c r="A767">
        <v>1525004030</v>
      </c>
      <c r="B767">
        <v>1525006881</v>
      </c>
      <c r="C767" t="str">
        <f>T("회귀의 전설 2부 764화")</f>
        <v>회귀의 전설 2부 764화</v>
      </c>
      <c r="D767" t="str">
        <f>T("764")</f>
        <v>764</v>
      </c>
      <c r="E767" t="str">
        <f>T("김광수")</f>
        <v>김광수</v>
      </c>
      <c r="H767" t="str">
        <f t="shared" si="102"/>
        <v>스토리위즈</v>
      </c>
      <c r="I767" t="str">
        <f>T("회귀의 전설")</f>
        <v>회귀의 전설</v>
      </c>
      <c r="J767">
        <v>100</v>
      </c>
      <c r="K767">
        <v>200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200</v>
      </c>
      <c r="AH767">
        <v>2</v>
      </c>
      <c r="AI767">
        <v>0</v>
      </c>
      <c r="AJ767">
        <v>0</v>
      </c>
      <c r="AK767">
        <v>200</v>
      </c>
      <c r="AL767">
        <v>0</v>
      </c>
      <c r="AM767">
        <v>0</v>
      </c>
      <c r="AN767">
        <v>0</v>
      </c>
      <c r="AO767">
        <v>0</v>
      </c>
      <c r="AP767" s="2">
        <v>140</v>
      </c>
      <c r="AT767" t="str">
        <f>T("9791191102086")</f>
        <v>9791191102086</v>
      </c>
      <c r="AV767" t="str">
        <f t="shared" si="103"/>
        <v>판타지 웹소설 &gt; 현대 판타지</v>
      </c>
    </row>
    <row r="768" spans="1:48" x14ac:dyDescent="0.4">
      <c r="A768">
        <v>1525004030</v>
      </c>
      <c r="B768">
        <v>1525006689</v>
      </c>
      <c r="C768" t="str">
        <f>T("회귀의 전설 2부 572화")</f>
        <v>회귀의 전설 2부 572화</v>
      </c>
      <c r="D768" t="str">
        <f>T("572")</f>
        <v>572</v>
      </c>
      <c r="E768" t="str">
        <f>T("김광수")</f>
        <v>김광수</v>
      </c>
      <c r="H768" t="str">
        <f t="shared" si="102"/>
        <v>스토리위즈</v>
      </c>
      <c r="I768" t="str">
        <f>T("회귀의 전설")</f>
        <v>회귀의 전설</v>
      </c>
      <c r="J768">
        <v>100</v>
      </c>
      <c r="K768">
        <v>200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200</v>
      </c>
      <c r="AH768">
        <v>2</v>
      </c>
      <c r="AI768">
        <v>0</v>
      </c>
      <c r="AJ768">
        <v>0</v>
      </c>
      <c r="AK768">
        <v>200</v>
      </c>
      <c r="AL768">
        <v>0</v>
      </c>
      <c r="AM768">
        <v>0</v>
      </c>
      <c r="AN768">
        <v>0</v>
      </c>
      <c r="AO768">
        <v>0</v>
      </c>
      <c r="AP768" s="2">
        <v>140</v>
      </c>
      <c r="AT768" t="str">
        <f>T("9791191102086")</f>
        <v>9791191102086</v>
      </c>
      <c r="AV768" t="str">
        <f t="shared" si="103"/>
        <v>판타지 웹소설 &gt; 현대 판타지</v>
      </c>
    </row>
    <row r="769" spans="1:48" x14ac:dyDescent="0.4">
      <c r="A769">
        <v>1525004030</v>
      </c>
      <c r="B769">
        <v>1525004246</v>
      </c>
      <c r="C769" t="str">
        <f>T("회귀의 전설 217화")</f>
        <v>회귀의 전설 217화</v>
      </c>
      <c r="D769" t="str">
        <f>T("217")</f>
        <v>217</v>
      </c>
      <c r="E769" t="str">
        <f>T("김광수")</f>
        <v>김광수</v>
      </c>
      <c r="H769" t="str">
        <f t="shared" si="102"/>
        <v>스토리위즈</v>
      </c>
      <c r="I769" t="str">
        <f>T("회귀의 전설")</f>
        <v>회귀의 전설</v>
      </c>
      <c r="J769">
        <v>100</v>
      </c>
      <c r="K769">
        <v>200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200</v>
      </c>
      <c r="AH769">
        <v>2</v>
      </c>
      <c r="AI769">
        <v>0</v>
      </c>
      <c r="AJ769">
        <v>0</v>
      </c>
      <c r="AK769">
        <v>200</v>
      </c>
      <c r="AL769">
        <v>0</v>
      </c>
      <c r="AM769">
        <v>0</v>
      </c>
      <c r="AN769">
        <v>0</v>
      </c>
      <c r="AO769">
        <v>0</v>
      </c>
      <c r="AP769" s="2">
        <v>140</v>
      </c>
      <c r="AT769" t="str">
        <f>T("9788997946006")</f>
        <v>9788997946006</v>
      </c>
      <c r="AV769" t="str">
        <f t="shared" si="103"/>
        <v>판타지 웹소설 &gt; 현대 판타지</v>
      </c>
    </row>
    <row r="770" spans="1:48" x14ac:dyDescent="0.4">
      <c r="A770">
        <v>1525004030</v>
      </c>
      <c r="B770">
        <v>1525006762</v>
      </c>
      <c r="C770" t="str">
        <f>T("회귀의 전설 2부 645화")</f>
        <v>회귀의 전설 2부 645화</v>
      </c>
      <c r="D770" t="str">
        <f>T("645")</f>
        <v>645</v>
      </c>
      <c r="E770" t="str">
        <f>T("김광수")</f>
        <v>김광수</v>
      </c>
      <c r="H770" t="str">
        <f t="shared" si="102"/>
        <v>스토리위즈</v>
      </c>
      <c r="I770" t="str">
        <f>T("회귀의 전설")</f>
        <v>회귀의 전설</v>
      </c>
      <c r="J770">
        <v>100</v>
      </c>
      <c r="K770">
        <v>200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200</v>
      </c>
      <c r="AH770">
        <v>2</v>
      </c>
      <c r="AI770">
        <v>0</v>
      </c>
      <c r="AJ770">
        <v>0</v>
      </c>
      <c r="AK770">
        <v>200</v>
      </c>
      <c r="AL770">
        <v>0</v>
      </c>
      <c r="AM770">
        <v>0</v>
      </c>
      <c r="AN770">
        <v>0</v>
      </c>
      <c r="AO770">
        <v>0</v>
      </c>
      <c r="AP770" s="2">
        <v>140</v>
      </c>
      <c r="AT770" t="str">
        <f>T("9791191102086")</f>
        <v>9791191102086</v>
      </c>
      <c r="AV770" t="str">
        <f t="shared" si="103"/>
        <v>판타지 웹소설 &gt; 현대 판타지</v>
      </c>
    </row>
    <row r="771" spans="1:48" x14ac:dyDescent="0.4">
      <c r="A771">
        <v>1525004030</v>
      </c>
      <c r="B771">
        <v>1525006818</v>
      </c>
      <c r="C771" t="str">
        <f>T("회귀의 전설 2부 701화")</f>
        <v>회귀의 전설 2부 701화</v>
      </c>
      <c r="D771" t="str">
        <f>T("701")</f>
        <v>701</v>
      </c>
      <c r="E771" t="str">
        <f>T("김광수")</f>
        <v>김광수</v>
      </c>
      <c r="H771" t="str">
        <f t="shared" si="102"/>
        <v>스토리위즈</v>
      </c>
      <c r="I771" t="str">
        <f>T("회귀의 전설")</f>
        <v>회귀의 전설</v>
      </c>
      <c r="J771">
        <v>100</v>
      </c>
      <c r="K771">
        <v>200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200</v>
      </c>
      <c r="AH771">
        <v>2</v>
      </c>
      <c r="AI771">
        <v>0</v>
      </c>
      <c r="AJ771">
        <v>0</v>
      </c>
      <c r="AK771">
        <v>200</v>
      </c>
      <c r="AL771">
        <v>0</v>
      </c>
      <c r="AM771">
        <v>0</v>
      </c>
      <c r="AN771">
        <v>0</v>
      </c>
      <c r="AO771">
        <v>0</v>
      </c>
      <c r="AP771" s="2">
        <v>140</v>
      </c>
      <c r="AT771" t="str">
        <f>T("9791191102086")</f>
        <v>9791191102086</v>
      </c>
      <c r="AV771" t="str">
        <f t="shared" si="103"/>
        <v>판타지 웹소설 &gt; 현대 판타지</v>
      </c>
    </row>
    <row r="772" spans="1:48" x14ac:dyDescent="0.4">
      <c r="A772">
        <v>2313011400</v>
      </c>
      <c r="B772">
        <v>1525007720</v>
      </c>
      <c r="C772" t="str">
        <f>T("최종 보스 25권 5화")</f>
        <v>최종 보스 25권 5화</v>
      </c>
      <c r="D772" t="str">
        <f>T("498")</f>
        <v>498</v>
      </c>
      <c r="E772" t="str">
        <f>T("무장")</f>
        <v>무장</v>
      </c>
      <c r="H772" t="str">
        <f t="shared" si="102"/>
        <v>스토리위즈</v>
      </c>
      <c r="I772" t="str">
        <f>T("최종 보스 : 빛을 향해 달리는 그림자")</f>
        <v>최종 보스 : 빛을 향해 달리는 그림자</v>
      </c>
      <c r="J772">
        <v>100</v>
      </c>
      <c r="K772">
        <v>200</v>
      </c>
      <c r="L772">
        <v>2</v>
      </c>
      <c r="M772">
        <v>0</v>
      </c>
      <c r="N772">
        <v>100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300</v>
      </c>
      <c r="AL772">
        <v>0</v>
      </c>
      <c r="AM772">
        <v>0</v>
      </c>
      <c r="AN772">
        <v>0</v>
      </c>
      <c r="AO772">
        <v>0</v>
      </c>
      <c r="AP772" s="2">
        <v>210</v>
      </c>
      <c r="AT772" t="str">
        <f>T("9791166067563")</f>
        <v>9791166067563</v>
      </c>
      <c r="AV772" t="str">
        <f t="shared" si="103"/>
        <v>판타지 웹소설 &gt; 현대 판타지</v>
      </c>
    </row>
    <row r="773" spans="1:48" x14ac:dyDescent="0.4">
      <c r="A773">
        <v>1525004030</v>
      </c>
      <c r="B773">
        <v>1525006874</v>
      </c>
      <c r="C773" t="str">
        <f>T("회귀의 전설 2부 757화")</f>
        <v>회귀의 전설 2부 757화</v>
      </c>
      <c r="D773" t="str">
        <f>T("757")</f>
        <v>757</v>
      </c>
      <c r="E773" t="str">
        <f t="shared" ref="E773:E778" si="109">T("김광수")</f>
        <v>김광수</v>
      </c>
      <c r="H773" t="str">
        <f t="shared" si="102"/>
        <v>스토리위즈</v>
      </c>
      <c r="I773" t="str">
        <f t="shared" ref="I773:I778" si="110">T("회귀의 전설")</f>
        <v>회귀의 전설</v>
      </c>
      <c r="J773">
        <v>100</v>
      </c>
      <c r="K773">
        <v>200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200</v>
      </c>
      <c r="AH773">
        <v>2</v>
      </c>
      <c r="AI773">
        <v>0</v>
      </c>
      <c r="AJ773">
        <v>0</v>
      </c>
      <c r="AK773">
        <v>200</v>
      </c>
      <c r="AL773">
        <v>0</v>
      </c>
      <c r="AM773">
        <v>0</v>
      </c>
      <c r="AN773">
        <v>0</v>
      </c>
      <c r="AO773">
        <v>0</v>
      </c>
      <c r="AP773" s="2">
        <v>140</v>
      </c>
      <c r="AT773" t="str">
        <f t="shared" ref="AT773:AT778" si="111">T("9791191102086")</f>
        <v>9791191102086</v>
      </c>
      <c r="AV773" t="str">
        <f t="shared" si="103"/>
        <v>판타지 웹소설 &gt; 현대 판타지</v>
      </c>
    </row>
    <row r="774" spans="1:48" x14ac:dyDescent="0.4">
      <c r="A774">
        <v>1525004030</v>
      </c>
      <c r="B774">
        <v>1525006682</v>
      </c>
      <c r="C774" t="str">
        <f>T("회귀의 전설 2부 565화")</f>
        <v>회귀의 전설 2부 565화</v>
      </c>
      <c r="D774" t="str">
        <f>T("565")</f>
        <v>565</v>
      </c>
      <c r="E774" t="str">
        <f t="shared" si="109"/>
        <v>김광수</v>
      </c>
      <c r="H774" t="str">
        <f t="shared" si="102"/>
        <v>스토리위즈</v>
      </c>
      <c r="I774" t="str">
        <f t="shared" si="110"/>
        <v>회귀의 전설</v>
      </c>
      <c r="J774">
        <v>100</v>
      </c>
      <c r="K774">
        <v>200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200</v>
      </c>
      <c r="AH774">
        <v>2</v>
      </c>
      <c r="AI774">
        <v>0</v>
      </c>
      <c r="AJ774">
        <v>0</v>
      </c>
      <c r="AK774">
        <v>200</v>
      </c>
      <c r="AL774">
        <v>0</v>
      </c>
      <c r="AM774">
        <v>0</v>
      </c>
      <c r="AN774">
        <v>0</v>
      </c>
      <c r="AO774">
        <v>0</v>
      </c>
      <c r="AP774" s="2">
        <v>140</v>
      </c>
      <c r="AT774" t="str">
        <f t="shared" si="111"/>
        <v>9791191102086</v>
      </c>
      <c r="AV774" t="str">
        <f t="shared" si="103"/>
        <v>판타지 웹소설 &gt; 현대 판타지</v>
      </c>
    </row>
    <row r="775" spans="1:48" x14ac:dyDescent="0.4">
      <c r="A775">
        <v>1525004030</v>
      </c>
      <c r="B775">
        <v>1525006906</v>
      </c>
      <c r="C775" t="str">
        <f>T("회귀의 전설 2부 789화")</f>
        <v>회귀의 전설 2부 789화</v>
      </c>
      <c r="D775" t="str">
        <f>T("789")</f>
        <v>789</v>
      </c>
      <c r="E775" t="str">
        <f t="shared" si="109"/>
        <v>김광수</v>
      </c>
      <c r="H775" t="str">
        <f t="shared" si="102"/>
        <v>스토리위즈</v>
      </c>
      <c r="I775" t="str">
        <f t="shared" si="110"/>
        <v>회귀의 전설</v>
      </c>
      <c r="J775">
        <v>100</v>
      </c>
      <c r="K775">
        <v>200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200</v>
      </c>
      <c r="AH775">
        <v>2</v>
      </c>
      <c r="AI775">
        <v>0</v>
      </c>
      <c r="AJ775">
        <v>0</v>
      </c>
      <c r="AK775">
        <v>200</v>
      </c>
      <c r="AL775">
        <v>0</v>
      </c>
      <c r="AM775">
        <v>0</v>
      </c>
      <c r="AN775">
        <v>0</v>
      </c>
      <c r="AO775">
        <v>0</v>
      </c>
      <c r="AP775" s="2">
        <v>140</v>
      </c>
      <c r="AT775" t="str">
        <f t="shared" si="111"/>
        <v>9791191102086</v>
      </c>
      <c r="AV775" t="str">
        <f t="shared" si="103"/>
        <v>판타지 웹소설 &gt; 현대 판타지</v>
      </c>
    </row>
    <row r="776" spans="1:48" x14ac:dyDescent="0.4">
      <c r="A776">
        <v>1525004030</v>
      </c>
      <c r="B776">
        <v>1525006962</v>
      </c>
      <c r="C776" t="str">
        <f>T("회귀의 전설 2부 846화")</f>
        <v>회귀의 전설 2부 846화</v>
      </c>
      <c r="D776" t="str">
        <f>T("846")</f>
        <v>846</v>
      </c>
      <c r="E776" t="str">
        <f t="shared" si="109"/>
        <v>김광수</v>
      </c>
      <c r="H776" t="str">
        <f t="shared" si="102"/>
        <v>스토리위즈</v>
      </c>
      <c r="I776" t="str">
        <f t="shared" si="110"/>
        <v>회귀의 전설</v>
      </c>
      <c r="J776">
        <v>100</v>
      </c>
      <c r="K776">
        <v>200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200</v>
      </c>
      <c r="AH776">
        <v>2</v>
      </c>
      <c r="AI776">
        <v>0</v>
      </c>
      <c r="AJ776">
        <v>0</v>
      </c>
      <c r="AK776">
        <v>200</v>
      </c>
      <c r="AL776">
        <v>0</v>
      </c>
      <c r="AM776">
        <v>0</v>
      </c>
      <c r="AN776">
        <v>0</v>
      </c>
      <c r="AO776">
        <v>0</v>
      </c>
      <c r="AP776" s="2">
        <v>140</v>
      </c>
      <c r="AT776" t="str">
        <f t="shared" si="111"/>
        <v>9791191102086</v>
      </c>
      <c r="AV776" t="str">
        <f t="shared" si="103"/>
        <v>판타지 웹소설 &gt; 현대 판타지</v>
      </c>
    </row>
    <row r="777" spans="1:48" x14ac:dyDescent="0.4">
      <c r="A777">
        <v>1525004030</v>
      </c>
      <c r="B777">
        <v>1525006786</v>
      </c>
      <c r="C777" t="str">
        <f>T("회귀의 전설 2부 669화")</f>
        <v>회귀의 전설 2부 669화</v>
      </c>
      <c r="D777" t="str">
        <f>T("669")</f>
        <v>669</v>
      </c>
      <c r="E777" t="str">
        <f t="shared" si="109"/>
        <v>김광수</v>
      </c>
      <c r="H777" t="str">
        <f t="shared" si="102"/>
        <v>스토리위즈</v>
      </c>
      <c r="I777" t="str">
        <f t="shared" si="110"/>
        <v>회귀의 전설</v>
      </c>
      <c r="J777">
        <v>100</v>
      </c>
      <c r="K777">
        <v>200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200</v>
      </c>
      <c r="AH777">
        <v>2</v>
      </c>
      <c r="AI777">
        <v>0</v>
      </c>
      <c r="AJ777">
        <v>0</v>
      </c>
      <c r="AK777">
        <v>200</v>
      </c>
      <c r="AL777">
        <v>0</v>
      </c>
      <c r="AM777">
        <v>0</v>
      </c>
      <c r="AN777">
        <v>0</v>
      </c>
      <c r="AO777">
        <v>0</v>
      </c>
      <c r="AP777" s="2">
        <v>140</v>
      </c>
      <c r="AT777" t="str">
        <f t="shared" si="111"/>
        <v>9791191102086</v>
      </c>
      <c r="AV777" t="str">
        <f t="shared" si="103"/>
        <v>판타지 웹소설 &gt; 현대 판타지</v>
      </c>
    </row>
    <row r="778" spans="1:48" x14ac:dyDescent="0.4">
      <c r="A778">
        <v>1525004030</v>
      </c>
      <c r="B778">
        <v>1525006842</v>
      </c>
      <c r="C778" t="str">
        <f>T("회귀의 전설 2부 725화")</f>
        <v>회귀의 전설 2부 725화</v>
      </c>
      <c r="D778" t="str">
        <f>T("725")</f>
        <v>725</v>
      </c>
      <c r="E778" t="str">
        <f t="shared" si="109"/>
        <v>김광수</v>
      </c>
      <c r="H778" t="str">
        <f t="shared" si="102"/>
        <v>스토리위즈</v>
      </c>
      <c r="I778" t="str">
        <f t="shared" si="110"/>
        <v>회귀의 전설</v>
      </c>
      <c r="J778">
        <v>100</v>
      </c>
      <c r="K778">
        <v>200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200</v>
      </c>
      <c r="AH778">
        <v>2</v>
      </c>
      <c r="AI778">
        <v>0</v>
      </c>
      <c r="AJ778">
        <v>0</v>
      </c>
      <c r="AK778">
        <v>200</v>
      </c>
      <c r="AL778">
        <v>0</v>
      </c>
      <c r="AM778">
        <v>0</v>
      </c>
      <c r="AN778">
        <v>0</v>
      </c>
      <c r="AO778">
        <v>0</v>
      </c>
      <c r="AP778" s="2">
        <v>140</v>
      </c>
      <c r="AT778" t="str">
        <f t="shared" si="111"/>
        <v>9791191102086</v>
      </c>
      <c r="AV778" t="str">
        <f t="shared" si="103"/>
        <v>판타지 웹소설 &gt; 현대 판타지</v>
      </c>
    </row>
    <row r="779" spans="1:48" x14ac:dyDescent="0.4">
      <c r="A779">
        <v>2313011400</v>
      </c>
      <c r="B779">
        <v>1525007592</v>
      </c>
      <c r="C779" t="str">
        <f>T("최종 보스 18권 18화")</f>
        <v>최종 보스 18권 18화</v>
      </c>
      <c r="D779" t="str">
        <f>T("370")</f>
        <v>370</v>
      </c>
      <c r="E779" t="str">
        <f>T("무장")</f>
        <v>무장</v>
      </c>
      <c r="H779" t="str">
        <f t="shared" si="102"/>
        <v>스토리위즈</v>
      </c>
      <c r="I779" t="str">
        <f>T("최종 보스 : 빛을 향해 달리는 그림자")</f>
        <v>최종 보스 : 빛을 향해 달리는 그림자</v>
      </c>
      <c r="J779">
        <v>100</v>
      </c>
      <c r="K779">
        <v>200</v>
      </c>
      <c r="L779">
        <v>2</v>
      </c>
      <c r="M779">
        <v>0</v>
      </c>
      <c r="N779">
        <v>100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200</v>
      </c>
      <c r="AL779">
        <v>0</v>
      </c>
      <c r="AM779">
        <v>120.41</v>
      </c>
      <c r="AN779">
        <v>-36.119999999999997</v>
      </c>
      <c r="AO779">
        <v>0</v>
      </c>
      <c r="AP779" s="2">
        <v>199</v>
      </c>
      <c r="AT779" t="str">
        <f>T("9791166067563")</f>
        <v>9791166067563</v>
      </c>
      <c r="AV779" t="str">
        <f t="shared" si="103"/>
        <v>판타지 웹소설 &gt; 현대 판타지</v>
      </c>
    </row>
    <row r="780" spans="1:48" x14ac:dyDescent="0.4">
      <c r="A780">
        <v>1525004030</v>
      </c>
      <c r="B780">
        <v>1525006899</v>
      </c>
      <c r="C780" t="str">
        <f>T("회귀의 전설 2부 782화")</f>
        <v>회귀의 전설 2부 782화</v>
      </c>
      <c r="D780" t="str">
        <f>T("782")</f>
        <v>782</v>
      </c>
      <c r="E780" t="str">
        <f t="shared" ref="E780:E785" si="112">T("김광수")</f>
        <v>김광수</v>
      </c>
      <c r="H780" t="str">
        <f t="shared" si="102"/>
        <v>스토리위즈</v>
      </c>
      <c r="I780" t="str">
        <f t="shared" ref="I780:I785" si="113">T("회귀의 전설")</f>
        <v>회귀의 전설</v>
      </c>
      <c r="J780">
        <v>100</v>
      </c>
      <c r="K780">
        <v>200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200</v>
      </c>
      <c r="AH780">
        <v>2</v>
      </c>
      <c r="AI780">
        <v>0</v>
      </c>
      <c r="AJ780">
        <v>0</v>
      </c>
      <c r="AK780">
        <v>200</v>
      </c>
      <c r="AL780">
        <v>0</v>
      </c>
      <c r="AM780">
        <v>0</v>
      </c>
      <c r="AN780">
        <v>0</v>
      </c>
      <c r="AO780">
        <v>0</v>
      </c>
      <c r="AP780" s="2">
        <v>140</v>
      </c>
      <c r="AT780" t="str">
        <f>T("9791191102086")</f>
        <v>9791191102086</v>
      </c>
      <c r="AV780" t="str">
        <f t="shared" si="103"/>
        <v>판타지 웹소설 &gt; 현대 판타지</v>
      </c>
    </row>
    <row r="781" spans="1:48" x14ac:dyDescent="0.4">
      <c r="A781">
        <v>1525004030</v>
      </c>
      <c r="B781">
        <v>1525004112</v>
      </c>
      <c r="C781" t="str">
        <f>T("회귀의 전설 83화")</f>
        <v>회귀의 전설 83화</v>
      </c>
      <c r="D781" t="str">
        <f>T("83")</f>
        <v>83</v>
      </c>
      <c r="E781" t="str">
        <f t="shared" si="112"/>
        <v>김광수</v>
      </c>
      <c r="H781" t="str">
        <f t="shared" si="102"/>
        <v>스토리위즈</v>
      </c>
      <c r="I781" t="str">
        <f t="shared" si="113"/>
        <v>회귀의 전설</v>
      </c>
      <c r="J781">
        <v>100</v>
      </c>
      <c r="K781">
        <v>200</v>
      </c>
      <c r="L781">
        <v>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200</v>
      </c>
      <c r="AH781">
        <v>2</v>
      </c>
      <c r="AI781">
        <v>0</v>
      </c>
      <c r="AJ781">
        <v>0</v>
      </c>
      <c r="AK781">
        <v>200</v>
      </c>
      <c r="AL781">
        <v>0</v>
      </c>
      <c r="AM781">
        <v>0</v>
      </c>
      <c r="AN781">
        <v>0</v>
      </c>
      <c r="AO781">
        <v>0</v>
      </c>
      <c r="AP781" s="2">
        <v>140</v>
      </c>
      <c r="AT781" t="str">
        <f>T("9788997946006")</f>
        <v>9788997946006</v>
      </c>
      <c r="AV781" t="str">
        <f t="shared" si="103"/>
        <v>판타지 웹소설 &gt; 현대 판타지</v>
      </c>
    </row>
    <row r="782" spans="1:48" x14ac:dyDescent="0.4">
      <c r="A782">
        <v>1525004030</v>
      </c>
      <c r="B782">
        <v>1525006955</v>
      </c>
      <c r="C782" t="str">
        <f>T("회귀의 전설 2부 839화")</f>
        <v>회귀의 전설 2부 839화</v>
      </c>
      <c r="D782" t="str">
        <f>T("839")</f>
        <v>839</v>
      </c>
      <c r="E782" t="str">
        <f t="shared" si="112"/>
        <v>김광수</v>
      </c>
      <c r="H782" t="str">
        <f t="shared" si="102"/>
        <v>스토리위즈</v>
      </c>
      <c r="I782" t="str">
        <f t="shared" si="113"/>
        <v>회귀의 전설</v>
      </c>
      <c r="J782">
        <v>100</v>
      </c>
      <c r="K782">
        <v>200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200</v>
      </c>
      <c r="AH782">
        <v>2</v>
      </c>
      <c r="AI782">
        <v>0</v>
      </c>
      <c r="AJ782">
        <v>0</v>
      </c>
      <c r="AK782">
        <v>200</v>
      </c>
      <c r="AL782">
        <v>0</v>
      </c>
      <c r="AM782">
        <v>0</v>
      </c>
      <c r="AN782">
        <v>0</v>
      </c>
      <c r="AO782">
        <v>0</v>
      </c>
      <c r="AP782" s="2">
        <v>140</v>
      </c>
      <c r="AT782" t="str">
        <f>T("9791191102086")</f>
        <v>9791191102086</v>
      </c>
      <c r="AV782" t="str">
        <f t="shared" si="103"/>
        <v>판타지 웹소설 &gt; 현대 판타지</v>
      </c>
    </row>
    <row r="783" spans="1:48" x14ac:dyDescent="0.4">
      <c r="A783">
        <v>1525004030</v>
      </c>
      <c r="B783">
        <v>1525004390</v>
      </c>
      <c r="C783" t="str">
        <f>T("회귀의 전설 362화")</f>
        <v>회귀의 전설 362화</v>
      </c>
      <c r="D783" t="str">
        <f>T("362")</f>
        <v>362</v>
      </c>
      <c r="E783" t="str">
        <f t="shared" si="112"/>
        <v>김광수</v>
      </c>
      <c r="H783" t="str">
        <f t="shared" si="102"/>
        <v>스토리위즈</v>
      </c>
      <c r="I783" t="str">
        <f t="shared" si="113"/>
        <v>회귀의 전설</v>
      </c>
      <c r="J783">
        <v>100</v>
      </c>
      <c r="K783">
        <v>200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200</v>
      </c>
      <c r="AH783">
        <v>2</v>
      </c>
      <c r="AI783">
        <v>0</v>
      </c>
      <c r="AJ783">
        <v>0</v>
      </c>
      <c r="AK783">
        <v>200</v>
      </c>
      <c r="AL783">
        <v>0</v>
      </c>
      <c r="AM783">
        <v>0</v>
      </c>
      <c r="AN783">
        <v>0</v>
      </c>
      <c r="AO783">
        <v>0</v>
      </c>
      <c r="AP783" s="2">
        <v>140</v>
      </c>
      <c r="AT783" t="str">
        <f>T("9788997946006")</f>
        <v>9788997946006</v>
      </c>
      <c r="AV783" t="str">
        <f t="shared" si="103"/>
        <v>판타지 웹소설 &gt; 현대 판타지</v>
      </c>
    </row>
    <row r="784" spans="1:48" x14ac:dyDescent="0.4">
      <c r="A784">
        <v>1525004030</v>
      </c>
      <c r="B784">
        <v>1525006643</v>
      </c>
      <c r="C784" t="str">
        <f>T("회귀의 전설 2부 526화")</f>
        <v>회귀의 전설 2부 526화</v>
      </c>
      <c r="D784" t="str">
        <f>T("526")</f>
        <v>526</v>
      </c>
      <c r="E784" t="str">
        <f t="shared" si="112"/>
        <v>김광수</v>
      </c>
      <c r="H784" t="str">
        <f t="shared" si="102"/>
        <v>스토리위즈</v>
      </c>
      <c r="I784" t="str">
        <f t="shared" si="113"/>
        <v>회귀의 전설</v>
      </c>
      <c r="J784">
        <v>100</v>
      </c>
      <c r="K784">
        <v>200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200</v>
      </c>
      <c r="AH784">
        <v>2</v>
      </c>
      <c r="AI784">
        <v>0</v>
      </c>
      <c r="AJ784">
        <v>0</v>
      </c>
      <c r="AK784">
        <v>200</v>
      </c>
      <c r="AL784">
        <v>0</v>
      </c>
      <c r="AM784">
        <v>0</v>
      </c>
      <c r="AN784">
        <v>0</v>
      </c>
      <c r="AO784">
        <v>0</v>
      </c>
      <c r="AP784" s="2">
        <v>140</v>
      </c>
      <c r="AT784" t="str">
        <f>T("9791191102086")</f>
        <v>9791191102086</v>
      </c>
      <c r="AV784" t="str">
        <f t="shared" si="103"/>
        <v>판타지 웹소설 &gt; 현대 판타지</v>
      </c>
    </row>
    <row r="785" spans="1:49" x14ac:dyDescent="0.4">
      <c r="A785">
        <v>1525004030</v>
      </c>
      <c r="B785">
        <v>1525006811</v>
      </c>
      <c r="C785" t="str">
        <f>T("회귀의 전설 2부 694화")</f>
        <v>회귀의 전설 2부 694화</v>
      </c>
      <c r="D785" t="str">
        <f>T("694")</f>
        <v>694</v>
      </c>
      <c r="E785" t="str">
        <f t="shared" si="112"/>
        <v>김광수</v>
      </c>
      <c r="H785" t="str">
        <f t="shared" si="102"/>
        <v>스토리위즈</v>
      </c>
      <c r="I785" t="str">
        <f t="shared" si="113"/>
        <v>회귀의 전설</v>
      </c>
      <c r="J785">
        <v>100</v>
      </c>
      <c r="K785">
        <v>200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200</v>
      </c>
      <c r="AH785">
        <v>2</v>
      </c>
      <c r="AI785">
        <v>0</v>
      </c>
      <c r="AJ785">
        <v>0</v>
      </c>
      <c r="AK785">
        <v>200</v>
      </c>
      <c r="AL785">
        <v>0</v>
      </c>
      <c r="AM785">
        <v>0</v>
      </c>
      <c r="AN785">
        <v>0</v>
      </c>
      <c r="AO785">
        <v>0</v>
      </c>
      <c r="AP785" s="2">
        <v>140</v>
      </c>
      <c r="AT785" t="str">
        <f>T("9791191102086")</f>
        <v>9791191102086</v>
      </c>
      <c r="AV785" t="str">
        <f t="shared" si="103"/>
        <v>판타지 웹소설 &gt; 현대 판타지</v>
      </c>
    </row>
    <row r="786" spans="1:49" x14ac:dyDescent="0.4">
      <c r="A786">
        <v>2313011400</v>
      </c>
      <c r="B786">
        <v>1525007713</v>
      </c>
      <c r="C786" t="str">
        <f>T("최종 보스 24권 18화")</f>
        <v>최종 보스 24권 18화</v>
      </c>
      <c r="D786" t="str">
        <f>T("491")</f>
        <v>491</v>
      </c>
      <c r="E786" t="str">
        <f>T("무장")</f>
        <v>무장</v>
      </c>
      <c r="H786" t="str">
        <f t="shared" si="102"/>
        <v>스토리위즈</v>
      </c>
      <c r="I786" t="str">
        <f>T("최종 보스 : 빛을 향해 달리는 그림자")</f>
        <v>최종 보스 : 빛을 향해 달리는 그림자</v>
      </c>
      <c r="J786">
        <v>100</v>
      </c>
      <c r="K786">
        <v>200</v>
      </c>
      <c r="L786">
        <v>2</v>
      </c>
      <c r="M786">
        <v>0</v>
      </c>
      <c r="N786">
        <v>100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 s="2">
        <v>210</v>
      </c>
      <c r="AT786" t="str">
        <f>T("9791166067563")</f>
        <v>9791166067563</v>
      </c>
      <c r="AV786" t="str">
        <f t="shared" si="103"/>
        <v>판타지 웹소설 &gt; 현대 판타지</v>
      </c>
    </row>
    <row r="787" spans="1:49" x14ac:dyDescent="0.4">
      <c r="A787">
        <v>1525004030</v>
      </c>
      <c r="B787">
        <v>1525006867</v>
      </c>
      <c r="C787" t="str">
        <f>T("회귀의 전설 2부 750화")</f>
        <v>회귀의 전설 2부 750화</v>
      </c>
      <c r="D787" t="str">
        <f>T("750")</f>
        <v>750</v>
      </c>
      <c r="E787" t="str">
        <f>T("김광수")</f>
        <v>김광수</v>
      </c>
      <c r="H787" t="str">
        <f t="shared" si="102"/>
        <v>스토리위즈</v>
      </c>
      <c r="I787" t="str">
        <f>T("회귀의 전설")</f>
        <v>회귀의 전설</v>
      </c>
      <c r="J787">
        <v>100</v>
      </c>
      <c r="K787">
        <v>200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</v>
      </c>
      <c r="AH787">
        <v>2</v>
      </c>
      <c r="AI787">
        <v>0</v>
      </c>
      <c r="AJ787">
        <v>0</v>
      </c>
      <c r="AK787">
        <v>200</v>
      </c>
      <c r="AL787">
        <v>0</v>
      </c>
      <c r="AM787">
        <v>0</v>
      </c>
      <c r="AN787">
        <v>0</v>
      </c>
      <c r="AO787">
        <v>0</v>
      </c>
      <c r="AP787" s="2">
        <v>140</v>
      </c>
      <c r="AT787" t="str">
        <f>T("9791191102086")</f>
        <v>9791191102086</v>
      </c>
      <c r="AV787" t="str">
        <f t="shared" si="103"/>
        <v>판타지 웹소설 &gt; 현대 판타지</v>
      </c>
    </row>
    <row r="788" spans="1:49" x14ac:dyDescent="0.4">
      <c r="A788">
        <v>1525004030</v>
      </c>
      <c r="B788">
        <v>1525006675</v>
      </c>
      <c r="C788" t="str">
        <f>T("회귀의 전설 2부 558화")</f>
        <v>회귀의 전설 2부 558화</v>
      </c>
      <c r="D788" t="str">
        <f>T("558")</f>
        <v>558</v>
      </c>
      <c r="E788" t="str">
        <f>T("김광수")</f>
        <v>김광수</v>
      </c>
      <c r="H788" t="str">
        <f t="shared" si="102"/>
        <v>스토리위즈</v>
      </c>
      <c r="I788" t="str">
        <f>T("회귀의 전설")</f>
        <v>회귀의 전설</v>
      </c>
      <c r="J788">
        <v>100</v>
      </c>
      <c r="K788">
        <v>200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200</v>
      </c>
      <c r="AH788">
        <v>2</v>
      </c>
      <c r="AI788">
        <v>0</v>
      </c>
      <c r="AJ788">
        <v>0</v>
      </c>
      <c r="AK788">
        <v>200</v>
      </c>
      <c r="AL788">
        <v>0</v>
      </c>
      <c r="AM788">
        <v>0</v>
      </c>
      <c r="AN788">
        <v>0</v>
      </c>
      <c r="AO788">
        <v>0</v>
      </c>
      <c r="AP788" s="2">
        <v>140</v>
      </c>
      <c r="AT788" t="str">
        <f>T("9791191102086")</f>
        <v>9791191102086</v>
      </c>
      <c r="AV788" t="str">
        <f t="shared" si="103"/>
        <v>판타지 웹소설 &gt; 현대 판타지</v>
      </c>
    </row>
    <row r="789" spans="1:49" x14ac:dyDescent="0.4">
      <c r="A789">
        <v>1525004030</v>
      </c>
      <c r="B789">
        <v>1525006804</v>
      </c>
      <c r="C789" t="str">
        <f>T("회귀의 전설 2부 687화")</f>
        <v>회귀의 전설 2부 687화</v>
      </c>
      <c r="D789" t="str">
        <f>T("687")</f>
        <v>687</v>
      </c>
      <c r="E789" t="str">
        <f>T("김광수")</f>
        <v>김광수</v>
      </c>
      <c r="H789" t="str">
        <f t="shared" si="102"/>
        <v>스토리위즈</v>
      </c>
      <c r="I789" t="str">
        <f>T("회귀의 전설")</f>
        <v>회귀의 전설</v>
      </c>
      <c r="J789">
        <v>100</v>
      </c>
      <c r="K789">
        <v>200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200</v>
      </c>
      <c r="AH789">
        <v>2</v>
      </c>
      <c r="AI789">
        <v>0</v>
      </c>
      <c r="AJ789">
        <v>0</v>
      </c>
      <c r="AK789">
        <v>200</v>
      </c>
      <c r="AL789">
        <v>0</v>
      </c>
      <c r="AM789">
        <v>0</v>
      </c>
      <c r="AN789">
        <v>0</v>
      </c>
      <c r="AO789">
        <v>0</v>
      </c>
      <c r="AP789" s="2">
        <v>140</v>
      </c>
      <c r="AT789" t="str">
        <f>T("9791191102086")</f>
        <v>9791191102086</v>
      </c>
      <c r="AV789" t="str">
        <f t="shared" si="103"/>
        <v>판타지 웹소설 &gt; 현대 판타지</v>
      </c>
    </row>
    <row r="790" spans="1:49" x14ac:dyDescent="0.4">
      <c r="A790">
        <v>2313011400</v>
      </c>
      <c r="B790">
        <v>1525007706</v>
      </c>
      <c r="C790" t="str">
        <f>T("최종 보스 24권 11화")</f>
        <v>최종 보스 24권 11화</v>
      </c>
      <c r="D790" t="str">
        <f>T("484")</f>
        <v>484</v>
      </c>
      <c r="E790" t="str">
        <f>T("무장")</f>
        <v>무장</v>
      </c>
      <c r="H790" t="str">
        <f t="shared" si="102"/>
        <v>스토리위즈</v>
      </c>
      <c r="I790" t="str">
        <f>T("최종 보스 : 빛을 향해 달리는 그림자")</f>
        <v>최종 보스 : 빛을 향해 달리는 그림자</v>
      </c>
      <c r="J790">
        <v>100</v>
      </c>
      <c r="K790">
        <v>200</v>
      </c>
      <c r="L790">
        <v>2</v>
      </c>
      <c r="M790">
        <v>0</v>
      </c>
      <c r="N790">
        <v>100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 s="2">
        <v>210</v>
      </c>
      <c r="AT790" t="str">
        <f>T("9791166067563")</f>
        <v>9791166067563</v>
      </c>
      <c r="AV790" t="str">
        <f t="shared" si="103"/>
        <v>판타지 웹소설 &gt; 현대 판타지</v>
      </c>
    </row>
    <row r="791" spans="1:49" x14ac:dyDescent="0.4">
      <c r="A791">
        <v>1525004030</v>
      </c>
      <c r="B791">
        <v>1525006668</v>
      </c>
      <c r="C791" t="str">
        <f>T("회귀의 전설 2부 551화")</f>
        <v>회귀의 전설 2부 551화</v>
      </c>
      <c r="D791" t="str">
        <f>T("551")</f>
        <v>551</v>
      </c>
      <c r="E791" t="str">
        <f>T("김광수")</f>
        <v>김광수</v>
      </c>
      <c r="H791" t="str">
        <f t="shared" si="102"/>
        <v>스토리위즈</v>
      </c>
      <c r="I791" t="str">
        <f>T("회귀의 전설")</f>
        <v>회귀의 전설</v>
      </c>
      <c r="J791">
        <v>100</v>
      </c>
      <c r="K791">
        <v>200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200</v>
      </c>
      <c r="AH791">
        <v>2</v>
      </c>
      <c r="AI791">
        <v>0</v>
      </c>
      <c r="AJ791">
        <v>0</v>
      </c>
      <c r="AK791">
        <v>200</v>
      </c>
      <c r="AL791">
        <v>0</v>
      </c>
      <c r="AM791">
        <v>0</v>
      </c>
      <c r="AN791">
        <v>0</v>
      </c>
      <c r="AO791">
        <v>0</v>
      </c>
      <c r="AP791" s="2">
        <v>140</v>
      </c>
      <c r="AT791" t="str">
        <f>T("9791191102086")</f>
        <v>9791191102086</v>
      </c>
      <c r="AV791" t="str">
        <f t="shared" si="103"/>
        <v>판타지 웹소설 &gt; 현대 판타지</v>
      </c>
    </row>
    <row r="792" spans="1:49" x14ac:dyDescent="0.4">
      <c r="A792">
        <v>1525004030</v>
      </c>
      <c r="B792">
        <v>1525006860</v>
      </c>
      <c r="C792" t="str">
        <f>T("회귀의 전설 2부 743화")</f>
        <v>회귀의 전설 2부 743화</v>
      </c>
      <c r="D792" t="str">
        <f>T("743")</f>
        <v>743</v>
      </c>
      <c r="E792" t="str">
        <f>T("김광수")</f>
        <v>김광수</v>
      </c>
      <c r="H792" t="str">
        <f t="shared" si="102"/>
        <v>스토리위즈</v>
      </c>
      <c r="I792" t="str">
        <f>T("회귀의 전설")</f>
        <v>회귀의 전설</v>
      </c>
      <c r="J792">
        <v>100</v>
      </c>
      <c r="K792">
        <v>200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200</v>
      </c>
      <c r="AH792">
        <v>2</v>
      </c>
      <c r="AI792">
        <v>0</v>
      </c>
      <c r="AJ792">
        <v>0</v>
      </c>
      <c r="AK792">
        <v>200</v>
      </c>
      <c r="AL792">
        <v>0</v>
      </c>
      <c r="AM792">
        <v>0</v>
      </c>
      <c r="AN792">
        <v>0</v>
      </c>
      <c r="AO792">
        <v>0</v>
      </c>
      <c r="AP792" s="2">
        <v>140</v>
      </c>
      <c r="AT792" t="str">
        <f>T("9791191102086")</f>
        <v>9791191102086</v>
      </c>
      <c r="AV792" t="str">
        <f t="shared" si="103"/>
        <v>판타지 웹소설 &gt; 현대 판타지</v>
      </c>
    </row>
    <row r="793" spans="1:49" x14ac:dyDescent="0.4">
      <c r="A793">
        <v>1525004030</v>
      </c>
      <c r="B793">
        <v>1525006780</v>
      </c>
      <c r="C793" t="str">
        <f>T("회귀의 전설 2부 663화")</f>
        <v>회귀의 전설 2부 663화</v>
      </c>
      <c r="D793" t="str">
        <f>T("663")</f>
        <v>663</v>
      </c>
      <c r="E793" t="str">
        <f>T("김광수")</f>
        <v>김광수</v>
      </c>
      <c r="H793" t="str">
        <f t="shared" si="102"/>
        <v>스토리위즈</v>
      </c>
      <c r="I793" t="str">
        <f>T("회귀의 전설")</f>
        <v>회귀의 전설</v>
      </c>
      <c r="J793">
        <v>100</v>
      </c>
      <c r="K793">
        <v>200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200</v>
      </c>
      <c r="AH793">
        <v>2</v>
      </c>
      <c r="AI793">
        <v>0</v>
      </c>
      <c r="AJ793">
        <v>0</v>
      </c>
      <c r="AK793">
        <v>200</v>
      </c>
      <c r="AL793">
        <v>0</v>
      </c>
      <c r="AM793">
        <v>0</v>
      </c>
      <c r="AN793">
        <v>0</v>
      </c>
      <c r="AO793">
        <v>0</v>
      </c>
      <c r="AP793" s="2">
        <v>140</v>
      </c>
      <c r="AT793" t="str">
        <f>T("9791191102086")</f>
        <v>9791191102086</v>
      </c>
      <c r="AV793" t="str">
        <f t="shared" si="103"/>
        <v>판타지 웹소설 &gt; 현대 판타지</v>
      </c>
    </row>
    <row r="794" spans="1:49" x14ac:dyDescent="0.4">
      <c r="A794">
        <v>1525004030</v>
      </c>
      <c r="B794">
        <v>1525006836</v>
      </c>
      <c r="C794" t="str">
        <f>T("회귀의 전설 2부 719화")</f>
        <v>회귀의 전설 2부 719화</v>
      </c>
      <c r="D794" t="str">
        <f>T("719")</f>
        <v>719</v>
      </c>
      <c r="E794" t="str">
        <f>T("김광수")</f>
        <v>김광수</v>
      </c>
      <c r="H794" t="str">
        <f t="shared" si="102"/>
        <v>스토리위즈</v>
      </c>
      <c r="I794" t="str">
        <f>T("회귀의 전설")</f>
        <v>회귀의 전설</v>
      </c>
      <c r="J794">
        <v>100</v>
      </c>
      <c r="K794">
        <v>200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200</v>
      </c>
      <c r="AH794">
        <v>2</v>
      </c>
      <c r="AI794">
        <v>0</v>
      </c>
      <c r="AJ794">
        <v>0</v>
      </c>
      <c r="AK794">
        <v>200</v>
      </c>
      <c r="AL794">
        <v>0</v>
      </c>
      <c r="AM794">
        <v>0</v>
      </c>
      <c r="AN794">
        <v>0</v>
      </c>
      <c r="AO794">
        <v>0</v>
      </c>
      <c r="AP794" s="2">
        <v>140</v>
      </c>
      <c r="AT794" t="str">
        <f>T("9791191102086")</f>
        <v>9791191102086</v>
      </c>
      <c r="AV794" t="str">
        <f t="shared" si="103"/>
        <v>판타지 웹소설 &gt; 현대 판타지</v>
      </c>
    </row>
    <row r="795" spans="1:49" x14ac:dyDescent="0.4">
      <c r="A795">
        <v>1525007754</v>
      </c>
      <c r="B795">
        <v>1525007755</v>
      </c>
      <c r="C795" t="str">
        <f>T("[e북]끝까지, 지독하게 (외전)")</f>
        <v>[e북]끝까지, 지독하게 (외전)</v>
      </c>
      <c r="D795" t="str">
        <f>T("2")</f>
        <v>2</v>
      </c>
      <c r="E795" t="str">
        <f>T("진태이")</f>
        <v>진태이</v>
      </c>
      <c r="H795" t="str">
        <f>T("쉬라즈")</f>
        <v>쉬라즈</v>
      </c>
      <c r="I795" t="str">
        <f>T("[e북]끝까지, 지독하게")</f>
        <v>[e북]끝까지, 지독하게</v>
      </c>
      <c r="J795">
        <v>200</v>
      </c>
      <c r="K795">
        <v>200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200</v>
      </c>
      <c r="AH795">
        <v>1</v>
      </c>
      <c r="AI795">
        <v>0</v>
      </c>
      <c r="AJ795">
        <v>0</v>
      </c>
      <c r="AK795">
        <v>200</v>
      </c>
      <c r="AL795">
        <v>0</v>
      </c>
      <c r="AM795">
        <v>0</v>
      </c>
      <c r="AN795">
        <v>0</v>
      </c>
      <c r="AO795">
        <v>0</v>
      </c>
      <c r="AP795" s="2">
        <v>140</v>
      </c>
      <c r="AR795" t="str">
        <f>T("0000000000000")</f>
        <v>0000000000000</v>
      </c>
      <c r="AT795" t="str">
        <f>T("9791164899883")</f>
        <v>9791164899883</v>
      </c>
      <c r="AV795" t="str">
        <f>T("로맨스 e북 &gt; 현대물")</f>
        <v>로맨스 e북 &gt; 현대물</v>
      </c>
      <c r="AW795" t="str">
        <f>T("로맨스 e북 &gt; 19+")</f>
        <v>로맨스 e북 &gt; 19+</v>
      </c>
    </row>
    <row r="796" spans="1:49" x14ac:dyDescent="0.4">
      <c r="A796">
        <v>1525002864</v>
      </c>
      <c r="B796">
        <v>1525002889</v>
      </c>
      <c r="C796" t="str">
        <f>T("소드마스터의 환생 26화")</f>
        <v>소드마스터의 환생 26화</v>
      </c>
      <c r="D796" t="str">
        <f>T("26")</f>
        <v>26</v>
      </c>
      <c r="E796" t="str">
        <f>T("파란영")</f>
        <v>파란영</v>
      </c>
      <c r="H796" t="str">
        <f t="shared" ref="H796:H835" si="114">T("스토리위즈")</f>
        <v>스토리위즈</v>
      </c>
      <c r="I796" t="str">
        <f>T("소드마스터의 환생")</f>
        <v>소드마스터의 환생</v>
      </c>
      <c r="J796">
        <v>100</v>
      </c>
      <c r="K796">
        <v>200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200</v>
      </c>
      <c r="AH796">
        <v>2</v>
      </c>
      <c r="AI796">
        <v>0</v>
      </c>
      <c r="AJ796">
        <v>0</v>
      </c>
      <c r="AK796">
        <v>200</v>
      </c>
      <c r="AL796">
        <v>0</v>
      </c>
      <c r="AM796">
        <v>0</v>
      </c>
      <c r="AN796">
        <v>0</v>
      </c>
      <c r="AO796">
        <v>0</v>
      </c>
      <c r="AP796" s="2">
        <v>140</v>
      </c>
      <c r="AT796" t="str">
        <f>T("9791159287527")</f>
        <v>9791159287527</v>
      </c>
      <c r="AV796" t="str">
        <f>T("판타지 웹소설 &gt; 정통 판타지")</f>
        <v>판타지 웹소설 &gt; 정통 판타지</v>
      </c>
    </row>
    <row r="797" spans="1:49" x14ac:dyDescent="0.4">
      <c r="A797">
        <v>1525004030</v>
      </c>
      <c r="B797">
        <v>1525006892</v>
      </c>
      <c r="C797" t="str">
        <f>T("회귀의 전설 2부 775화")</f>
        <v>회귀의 전설 2부 775화</v>
      </c>
      <c r="D797" t="str">
        <f>T("775")</f>
        <v>775</v>
      </c>
      <c r="E797" t="str">
        <f t="shared" ref="E797:E811" si="115">T("김광수")</f>
        <v>김광수</v>
      </c>
      <c r="H797" t="str">
        <f t="shared" si="114"/>
        <v>스토리위즈</v>
      </c>
      <c r="I797" t="str">
        <f t="shared" ref="I797:I811" si="116">T("회귀의 전설")</f>
        <v>회귀의 전설</v>
      </c>
      <c r="J797">
        <v>100</v>
      </c>
      <c r="K797">
        <v>200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200</v>
      </c>
      <c r="AH797">
        <v>2</v>
      </c>
      <c r="AI797">
        <v>0</v>
      </c>
      <c r="AJ797">
        <v>0</v>
      </c>
      <c r="AK797">
        <v>200</v>
      </c>
      <c r="AL797">
        <v>0</v>
      </c>
      <c r="AM797">
        <v>0</v>
      </c>
      <c r="AN797">
        <v>0</v>
      </c>
      <c r="AO797">
        <v>0</v>
      </c>
      <c r="AP797" s="2">
        <v>140</v>
      </c>
      <c r="AT797" t="str">
        <f>T("9791191102086")</f>
        <v>9791191102086</v>
      </c>
      <c r="AV797" t="str">
        <f t="shared" ref="AV797:AV835" si="117">T("판타지 웹소설 &gt; 현대 판타지")</f>
        <v>판타지 웹소설 &gt; 현대 판타지</v>
      </c>
    </row>
    <row r="798" spans="1:49" x14ac:dyDescent="0.4">
      <c r="A798">
        <v>1525004030</v>
      </c>
      <c r="B798">
        <v>1525006700</v>
      </c>
      <c r="C798" t="str">
        <f>T("회귀의 전설 2부 583화")</f>
        <v>회귀의 전설 2부 583화</v>
      </c>
      <c r="D798" t="str">
        <f>T("583")</f>
        <v>583</v>
      </c>
      <c r="E798" t="str">
        <f t="shared" si="115"/>
        <v>김광수</v>
      </c>
      <c r="H798" t="str">
        <f t="shared" si="114"/>
        <v>스토리위즈</v>
      </c>
      <c r="I798" t="str">
        <f t="shared" si="116"/>
        <v>회귀의 전설</v>
      </c>
      <c r="J798">
        <v>100</v>
      </c>
      <c r="K798">
        <v>200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200</v>
      </c>
      <c r="AH798">
        <v>2</v>
      </c>
      <c r="AI798">
        <v>0</v>
      </c>
      <c r="AJ798">
        <v>0</v>
      </c>
      <c r="AK798">
        <v>200</v>
      </c>
      <c r="AL798">
        <v>0</v>
      </c>
      <c r="AM798">
        <v>0</v>
      </c>
      <c r="AN798">
        <v>0</v>
      </c>
      <c r="AO798">
        <v>0</v>
      </c>
      <c r="AP798" s="2">
        <v>140</v>
      </c>
      <c r="AT798" t="str">
        <f>T("9791191102086")</f>
        <v>9791191102086</v>
      </c>
      <c r="AV798" t="str">
        <f t="shared" si="117"/>
        <v>판타지 웹소설 &gt; 현대 판타지</v>
      </c>
    </row>
    <row r="799" spans="1:49" x14ac:dyDescent="0.4">
      <c r="A799">
        <v>1525004030</v>
      </c>
      <c r="B799">
        <v>1525004105</v>
      </c>
      <c r="C799" t="str">
        <f>T("회귀의 전설 76화")</f>
        <v>회귀의 전설 76화</v>
      </c>
      <c r="D799" t="str">
        <f>T("76")</f>
        <v>76</v>
      </c>
      <c r="E799" t="str">
        <f t="shared" si="115"/>
        <v>김광수</v>
      </c>
      <c r="H799" t="str">
        <f t="shared" si="114"/>
        <v>스토리위즈</v>
      </c>
      <c r="I799" t="str">
        <f t="shared" si="116"/>
        <v>회귀의 전설</v>
      </c>
      <c r="J799">
        <v>100</v>
      </c>
      <c r="K799">
        <v>200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200</v>
      </c>
      <c r="AH799">
        <v>2</v>
      </c>
      <c r="AI799">
        <v>0</v>
      </c>
      <c r="AJ799">
        <v>0</v>
      </c>
      <c r="AK799">
        <v>200</v>
      </c>
      <c r="AL799">
        <v>0</v>
      </c>
      <c r="AM799">
        <v>0</v>
      </c>
      <c r="AN799">
        <v>0</v>
      </c>
      <c r="AO799">
        <v>0</v>
      </c>
      <c r="AP799" s="2">
        <v>140</v>
      </c>
      <c r="AT799" t="str">
        <f>T("9788997946006")</f>
        <v>9788997946006</v>
      </c>
      <c r="AV799" t="str">
        <f t="shared" si="117"/>
        <v>판타지 웹소설 &gt; 현대 판타지</v>
      </c>
    </row>
    <row r="800" spans="1:49" x14ac:dyDescent="0.4">
      <c r="A800">
        <v>1525004030</v>
      </c>
      <c r="B800">
        <v>1525004257</v>
      </c>
      <c r="C800" t="str">
        <f>T("회귀의 전설 228화")</f>
        <v>회귀의 전설 228화</v>
      </c>
      <c r="D800" t="str">
        <f>T("228")</f>
        <v>228</v>
      </c>
      <c r="E800" t="str">
        <f t="shared" si="115"/>
        <v>김광수</v>
      </c>
      <c r="H800" t="str">
        <f t="shared" si="114"/>
        <v>스토리위즈</v>
      </c>
      <c r="I800" t="str">
        <f t="shared" si="116"/>
        <v>회귀의 전설</v>
      </c>
      <c r="J800">
        <v>100</v>
      </c>
      <c r="K800">
        <v>200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200</v>
      </c>
      <c r="AH800">
        <v>2</v>
      </c>
      <c r="AI800">
        <v>0</v>
      </c>
      <c r="AJ800">
        <v>0</v>
      </c>
      <c r="AK800">
        <v>200</v>
      </c>
      <c r="AL800">
        <v>0</v>
      </c>
      <c r="AM800">
        <v>0</v>
      </c>
      <c r="AN800">
        <v>0</v>
      </c>
      <c r="AO800">
        <v>0</v>
      </c>
      <c r="AP800" s="2">
        <v>140</v>
      </c>
      <c r="AT800" t="str">
        <f>T("9788997946006")</f>
        <v>9788997946006</v>
      </c>
      <c r="AV800" t="str">
        <f t="shared" si="117"/>
        <v>판타지 웹소설 &gt; 현대 판타지</v>
      </c>
    </row>
    <row r="801" spans="1:48" x14ac:dyDescent="0.4">
      <c r="A801">
        <v>1525004030</v>
      </c>
      <c r="B801">
        <v>1525004383</v>
      </c>
      <c r="C801" t="str">
        <f>T("회귀의 전설 355화")</f>
        <v>회귀의 전설 355화</v>
      </c>
      <c r="D801" t="str">
        <f>T("355")</f>
        <v>355</v>
      </c>
      <c r="E801" t="str">
        <f t="shared" si="115"/>
        <v>김광수</v>
      </c>
      <c r="H801" t="str">
        <f t="shared" si="114"/>
        <v>스토리위즈</v>
      </c>
      <c r="I801" t="str">
        <f t="shared" si="116"/>
        <v>회귀의 전설</v>
      </c>
      <c r="J801">
        <v>100</v>
      </c>
      <c r="K801">
        <v>200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200</v>
      </c>
      <c r="AH801">
        <v>2</v>
      </c>
      <c r="AI801">
        <v>0</v>
      </c>
      <c r="AJ801">
        <v>0</v>
      </c>
      <c r="AK801">
        <v>200</v>
      </c>
      <c r="AL801">
        <v>0</v>
      </c>
      <c r="AM801">
        <v>0</v>
      </c>
      <c r="AN801">
        <v>0</v>
      </c>
      <c r="AO801">
        <v>0</v>
      </c>
      <c r="AP801" s="2">
        <v>140</v>
      </c>
      <c r="AT801" t="str">
        <f>T("9788997946006")</f>
        <v>9788997946006</v>
      </c>
      <c r="AV801" t="str">
        <f t="shared" si="117"/>
        <v>판타지 웹소설 &gt; 현대 판타지</v>
      </c>
    </row>
    <row r="802" spans="1:48" x14ac:dyDescent="0.4">
      <c r="A802">
        <v>1525004030</v>
      </c>
      <c r="B802">
        <v>1525006924</v>
      </c>
      <c r="C802" t="str">
        <f>T("회귀의 전설 2부 807화")</f>
        <v>회귀의 전설 2부 807화</v>
      </c>
      <c r="D802" t="str">
        <f>T("807")</f>
        <v>807</v>
      </c>
      <c r="E802" t="str">
        <f t="shared" si="115"/>
        <v>김광수</v>
      </c>
      <c r="H802" t="str">
        <f t="shared" si="114"/>
        <v>스토리위즈</v>
      </c>
      <c r="I802" t="str">
        <f t="shared" si="116"/>
        <v>회귀의 전설</v>
      </c>
      <c r="J802">
        <v>100</v>
      </c>
      <c r="K802">
        <v>200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200</v>
      </c>
      <c r="AH802">
        <v>2</v>
      </c>
      <c r="AI802">
        <v>0</v>
      </c>
      <c r="AJ802">
        <v>0</v>
      </c>
      <c r="AK802">
        <v>200</v>
      </c>
      <c r="AL802">
        <v>0</v>
      </c>
      <c r="AM802">
        <v>0</v>
      </c>
      <c r="AN802">
        <v>0</v>
      </c>
      <c r="AO802">
        <v>0</v>
      </c>
      <c r="AP802" s="2">
        <v>140</v>
      </c>
      <c r="AT802" t="str">
        <f>T("9791191102086")</f>
        <v>9791191102086</v>
      </c>
      <c r="AV802" t="str">
        <f t="shared" si="117"/>
        <v>판타지 웹소설 &gt; 현대 판타지</v>
      </c>
    </row>
    <row r="803" spans="1:48" x14ac:dyDescent="0.4">
      <c r="A803">
        <v>1525004030</v>
      </c>
      <c r="B803">
        <v>1525006693</v>
      </c>
      <c r="C803" t="str">
        <f>T("회귀의 전설 2부 576화")</f>
        <v>회귀의 전설 2부 576화</v>
      </c>
      <c r="D803" t="str">
        <f>T("576")</f>
        <v>576</v>
      </c>
      <c r="E803" t="str">
        <f t="shared" si="115"/>
        <v>김광수</v>
      </c>
      <c r="H803" t="str">
        <f t="shared" si="114"/>
        <v>스토리위즈</v>
      </c>
      <c r="I803" t="str">
        <f t="shared" si="116"/>
        <v>회귀의 전설</v>
      </c>
      <c r="J803">
        <v>100</v>
      </c>
      <c r="K803">
        <v>200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200</v>
      </c>
      <c r="AH803">
        <v>2</v>
      </c>
      <c r="AI803">
        <v>0</v>
      </c>
      <c r="AJ803">
        <v>0</v>
      </c>
      <c r="AK803">
        <v>200</v>
      </c>
      <c r="AL803">
        <v>0</v>
      </c>
      <c r="AM803">
        <v>0</v>
      </c>
      <c r="AN803">
        <v>0</v>
      </c>
      <c r="AO803">
        <v>0</v>
      </c>
      <c r="AP803" s="2">
        <v>140</v>
      </c>
      <c r="AT803" t="str">
        <f>T("9791191102086")</f>
        <v>9791191102086</v>
      </c>
      <c r="AV803" t="str">
        <f t="shared" si="117"/>
        <v>판타지 웹소설 &gt; 현대 판타지</v>
      </c>
    </row>
    <row r="804" spans="1:48" x14ac:dyDescent="0.4">
      <c r="A804">
        <v>1525004030</v>
      </c>
      <c r="B804">
        <v>1525004098</v>
      </c>
      <c r="C804" t="str">
        <f>T("회귀의 전설 69화")</f>
        <v>회귀의 전설 69화</v>
      </c>
      <c r="D804" t="str">
        <f>T("69")</f>
        <v>69</v>
      </c>
      <c r="E804" t="str">
        <f t="shared" si="115"/>
        <v>김광수</v>
      </c>
      <c r="H804" t="str">
        <f t="shared" si="114"/>
        <v>스토리위즈</v>
      </c>
      <c r="I804" t="str">
        <f t="shared" si="116"/>
        <v>회귀의 전설</v>
      </c>
      <c r="J804">
        <v>100</v>
      </c>
      <c r="K804">
        <v>200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200</v>
      </c>
      <c r="AH804">
        <v>2</v>
      </c>
      <c r="AI804">
        <v>0</v>
      </c>
      <c r="AJ804">
        <v>0</v>
      </c>
      <c r="AK804">
        <v>200</v>
      </c>
      <c r="AL804">
        <v>0</v>
      </c>
      <c r="AM804">
        <v>0</v>
      </c>
      <c r="AN804">
        <v>0</v>
      </c>
      <c r="AO804">
        <v>0</v>
      </c>
      <c r="AP804" s="2">
        <v>140</v>
      </c>
      <c r="AT804" t="str">
        <f>T("9788997946006")</f>
        <v>9788997946006</v>
      </c>
      <c r="AV804" t="str">
        <f t="shared" si="117"/>
        <v>판타지 웹소설 &gt; 현대 판타지</v>
      </c>
    </row>
    <row r="805" spans="1:48" x14ac:dyDescent="0.4">
      <c r="A805">
        <v>1525004030</v>
      </c>
      <c r="B805">
        <v>1525006917</v>
      </c>
      <c r="C805" t="str">
        <f>T("회귀의 전설 2부 800화")</f>
        <v>회귀의 전설 2부 800화</v>
      </c>
      <c r="D805" t="str">
        <f>T("800")</f>
        <v>800</v>
      </c>
      <c r="E805" t="str">
        <f t="shared" si="115"/>
        <v>김광수</v>
      </c>
      <c r="H805" t="str">
        <f t="shared" si="114"/>
        <v>스토리위즈</v>
      </c>
      <c r="I805" t="str">
        <f t="shared" si="116"/>
        <v>회귀의 전설</v>
      </c>
      <c r="J805">
        <v>100</v>
      </c>
      <c r="K805">
        <v>200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200</v>
      </c>
      <c r="AH805">
        <v>2</v>
      </c>
      <c r="AI805">
        <v>0</v>
      </c>
      <c r="AJ805">
        <v>0</v>
      </c>
      <c r="AK805">
        <v>200</v>
      </c>
      <c r="AL805">
        <v>0</v>
      </c>
      <c r="AM805">
        <v>0</v>
      </c>
      <c r="AN805">
        <v>0</v>
      </c>
      <c r="AO805">
        <v>0</v>
      </c>
      <c r="AP805" s="2">
        <v>140</v>
      </c>
      <c r="AT805" t="str">
        <f>T("9791191102086")</f>
        <v>9791191102086</v>
      </c>
      <c r="AV805" t="str">
        <f t="shared" si="117"/>
        <v>판타지 웹소설 &gt; 현대 판타지</v>
      </c>
    </row>
    <row r="806" spans="1:48" x14ac:dyDescent="0.4">
      <c r="A806">
        <v>1525004030</v>
      </c>
      <c r="B806">
        <v>1525004242</v>
      </c>
      <c r="C806" t="str">
        <f>T("회귀의 전설 213화")</f>
        <v>회귀의 전설 213화</v>
      </c>
      <c r="D806" t="str">
        <f>T("213")</f>
        <v>213</v>
      </c>
      <c r="E806" t="str">
        <f t="shared" si="115"/>
        <v>김광수</v>
      </c>
      <c r="H806" t="str">
        <f t="shared" si="114"/>
        <v>스토리위즈</v>
      </c>
      <c r="I806" t="str">
        <f t="shared" si="116"/>
        <v>회귀의 전설</v>
      </c>
      <c r="J806">
        <v>100</v>
      </c>
      <c r="K806">
        <v>200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200</v>
      </c>
      <c r="AH806">
        <v>2</v>
      </c>
      <c r="AI806">
        <v>0</v>
      </c>
      <c r="AJ806">
        <v>0</v>
      </c>
      <c r="AK806">
        <v>200</v>
      </c>
      <c r="AL806">
        <v>0</v>
      </c>
      <c r="AM806">
        <v>0</v>
      </c>
      <c r="AN806">
        <v>0</v>
      </c>
      <c r="AO806">
        <v>0</v>
      </c>
      <c r="AP806" s="2">
        <v>140</v>
      </c>
      <c r="AT806" t="str">
        <f>T("9788997946006")</f>
        <v>9788997946006</v>
      </c>
      <c r="AV806" t="str">
        <f t="shared" si="117"/>
        <v>판타지 웹소설 &gt; 현대 판타지</v>
      </c>
    </row>
    <row r="807" spans="1:48" x14ac:dyDescent="0.4">
      <c r="A807">
        <v>1525004030</v>
      </c>
      <c r="B807">
        <v>1525006741</v>
      </c>
      <c r="C807" t="str">
        <f>T("회귀의 전설 2부 624화")</f>
        <v>회귀의 전설 2부 624화</v>
      </c>
      <c r="D807" t="str">
        <f>T("624")</f>
        <v>624</v>
      </c>
      <c r="E807" t="str">
        <f t="shared" si="115"/>
        <v>김광수</v>
      </c>
      <c r="H807" t="str">
        <f t="shared" si="114"/>
        <v>스토리위즈</v>
      </c>
      <c r="I807" t="str">
        <f t="shared" si="116"/>
        <v>회귀의 전설</v>
      </c>
      <c r="J807">
        <v>100</v>
      </c>
      <c r="K807">
        <v>200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200</v>
      </c>
      <c r="AH807">
        <v>2</v>
      </c>
      <c r="AI807">
        <v>0</v>
      </c>
      <c r="AJ807">
        <v>0</v>
      </c>
      <c r="AK807">
        <v>200</v>
      </c>
      <c r="AL807">
        <v>0</v>
      </c>
      <c r="AM807">
        <v>0</v>
      </c>
      <c r="AN807">
        <v>0</v>
      </c>
      <c r="AO807">
        <v>0</v>
      </c>
      <c r="AP807" s="2">
        <v>140</v>
      </c>
      <c r="AT807" t="str">
        <f>T("9791191102086")</f>
        <v>9791191102086</v>
      </c>
      <c r="AV807" t="str">
        <f t="shared" si="117"/>
        <v>판타지 웹소설 &gt; 현대 판타지</v>
      </c>
    </row>
    <row r="808" spans="1:48" x14ac:dyDescent="0.4">
      <c r="A808">
        <v>1525004030</v>
      </c>
      <c r="B808">
        <v>1525006797</v>
      </c>
      <c r="C808" t="str">
        <f>T("회귀의 전설 2부 680화")</f>
        <v>회귀의 전설 2부 680화</v>
      </c>
      <c r="D808" t="str">
        <f>T("680")</f>
        <v>680</v>
      </c>
      <c r="E808" t="str">
        <f t="shared" si="115"/>
        <v>김광수</v>
      </c>
      <c r="H808" t="str">
        <f t="shared" si="114"/>
        <v>스토리위즈</v>
      </c>
      <c r="I808" t="str">
        <f t="shared" si="116"/>
        <v>회귀의 전설</v>
      </c>
      <c r="J808">
        <v>100</v>
      </c>
      <c r="K808">
        <v>200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200</v>
      </c>
      <c r="AH808">
        <v>2</v>
      </c>
      <c r="AI808">
        <v>0</v>
      </c>
      <c r="AJ808">
        <v>0</v>
      </c>
      <c r="AK808">
        <v>200</v>
      </c>
      <c r="AL808">
        <v>0</v>
      </c>
      <c r="AM808">
        <v>0</v>
      </c>
      <c r="AN808">
        <v>0</v>
      </c>
      <c r="AO808">
        <v>0</v>
      </c>
      <c r="AP808" s="2">
        <v>140</v>
      </c>
      <c r="AT808" t="str">
        <f>T("9791191102086")</f>
        <v>9791191102086</v>
      </c>
      <c r="AV808" t="str">
        <f t="shared" si="117"/>
        <v>판타지 웹소설 &gt; 현대 판타지</v>
      </c>
    </row>
    <row r="809" spans="1:48" x14ac:dyDescent="0.4">
      <c r="A809">
        <v>1525004030</v>
      </c>
      <c r="B809">
        <v>1525006661</v>
      </c>
      <c r="C809" t="str">
        <f>T("회귀의 전설 2부 544화")</f>
        <v>회귀의 전설 2부 544화</v>
      </c>
      <c r="D809" t="str">
        <f>T("544")</f>
        <v>544</v>
      </c>
      <c r="E809" t="str">
        <f t="shared" si="115"/>
        <v>김광수</v>
      </c>
      <c r="H809" t="str">
        <f t="shared" si="114"/>
        <v>스토리위즈</v>
      </c>
      <c r="I809" t="str">
        <f t="shared" si="116"/>
        <v>회귀의 전설</v>
      </c>
      <c r="J809">
        <v>100</v>
      </c>
      <c r="K809">
        <v>200</v>
      </c>
      <c r="L809">
        <v>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200</v>
      </c>
      <c r="AH809">
        <v>2</v>
      </c>
      <c r="AI809">
        <v>0</v>
      </c>
      <c r="AJ809">
        <v>0</v>
      </c>
      <c r="AK809">
        <v>200</v>
      </c>
      <c r="AL809">
        <v>0</v>
      </c>
      <c r="AM809">
        <v>0</v>
      </c>
      <c r="AN809">
        <v>0</v>
      </c>
      <c r="AO809">
        <v>0</v>
      </c>
      <c r="AP809" s="2">
        <v>140</v>
      </c>
      <c r="AT809" t="str">
        <f>T("9791191102086")</f>
        <v>9791191102086</v>
      </c>
      <c r="AV809" t="str">
        <f t="shared" si="117"/>
        <v>판타지 웹소설 &gt; 현대 판타지</v>
      </c>
    </row>
    <row r="810" spans="1:48" x14ac:dyDescent="0.4">
      <c r="A810">
        <v>1525004030</v>
      </c>
      <c r="B810">
        <v>1525006853</v>
      </c>
      <c r="C810" t="str">
        <f>T("회귀의 전설 2부 736화")</f>
        <v>회귀의 전설 2부 736화</v>
      </c>
      <c r="D810" t="str">
        <f>T("736")</f>
        <v>736</v>
      </c>
      <c r="E810" t="str">
        <f t="shared" si="115"/>
        <v>김광수</v>
      </c>
      <c r="H810" t="str">
        <f t="shared" si="114"/>
        <v>스토리위즈</v>
      </c>
      <c r="I810" t="str">
        <f t="shared" si="116"/>
        <v>회귀의 전설</v>
      </c>
      <c r="J810">
        <v>100</v>
      </c>
      <c r="K810">
        <v>200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200</v>
      </c>
      <c r="AH810">
        <v>2</v>
      </c>
      <c r="AI810">
        <v>0</v>
      </c>
      <c r="AJ810">
        <v>0</v>
      </c>
      <c r="AK810">
        <v>200</v>
      </c>
      <c r="AL810">
        <v>0</v>
      </c>
      <c r="AM810">
        <v>0</v>
      </c>
      <c r="AN810">
        <v>0</v>
      </c>
      <c r="AO810">
        <v>0</v>
      </c>
      <c r="AP810" s="2">
        <v>140</v>
      </c>
      <c r="AT810" t="str">
        <f>T("9791191102086")</f>
        <v>9791191102086</v>
      </c>
      <c r="AV810" t="str">
        <f t="shared" si="117"/>
        <v>판타지 웹소설 &gt; 현대 판타지</v>
      </c>
    </row>
    <row r="811" spans="1:48" x14ac:dyDescent="0.4">
      <c r="A811">
        <v>1525004030</v>
      </c>
      <c r="B811">
        <v>1525006829</v>
      </c>
      <c r="C811" t="str">
        <f>T("회귀의 전설 2부 712화")</f>
        <v>회귀의 전설 2부 712화</v>
      </c>
      <c r="D811" t="str">
        <f>T("712")</f>
        <v>712</v>
      </c>
      <c r="E811" t="str">
        <f t="shared" si="115"/>
        <v>김광수</v>
      </c>
      <c r="H811" t="str">
        <f t="shared" si="114"/>
        <v>스토리위즈</v>
      </c>
      <c r="I811" t="str">
        <f t="shared" si="116"/>
        <v>회귀의 전설</v>
      </c>
      <c r="J811">
        <v>100</v>
      </c>
      <c r="K811">
        <v>200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200</v>
      </c>
      <c r="AH811">
        <v>2</v>
      </c>
      <c r="AI811">
        <v>0</v>
      </c>
      <c r="AJ811">
        <v>0</v>
      </c>
      <c r="AK811">
        <v>200</v>
      </c>
      <c r="AL811">
        <v>0</v>
      </c>
      <c r="AM811">
        <v>0</v>
      </c>
      <c r="AN811">
        <v>0</v>
      </c>
      <c r="AO811">
        <v>0</v>
      </c>
      <c r="AP811" s="2">
        <v>140</v>
      </c>
      <c r="AT811" t="str">
        <f>T("9791191102086")</f>
        <v>9791191102086</v>
      </c>
      <c r="AV811" t="str">
        <f t="shared" si="117"/>
        <v>판타지 웹소설 &gt; 현대 판타지</v>
      </c>
    </row>
    <row r="812" spans="1:48" x14ac:dyDescent="0.4">
      <c r="A812">
        <v>2313011400</v>
      </c>
      <c r="B812">
        <v>1525007731</v>
      </c>
      <c r="C812" t="str">
        <f>T("최종 보스 25권 16화")</f>
        <v>최종 보스 25권 16화</v>
      </c>
      <c r="D812" t="str">
        <f>T("509")</f>
        <v>509</v>
      </c>
      <c r="E812" t="str">
        <f>T("무장")</f>
        <v>무장</v>
      </c>
      <c r="H812" t="str">
        <f t="shared" si="114"/>
        <v>스토리위즈</v>
      </c>
      <c r="I812" t="str">
        <f>T("최종 보스 : 빛을 향해 달리는 그림자")</f>
        <v>최종 보스 : 빛을 향해 달리는 그림자</v>
      </c>
      <c r="J812">
        <v>100</v>
      </c>
      <c r="K812">
        <v>200</v>
      </c>
      <c r="L812">
        <v>2</v>
      </c>
      <c r="M812">
        <v>0</v>
      </c>
      <c r="N812">
        <v>100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 s="2">
        <v>210</v>
      </c>
      <c r="AT812" t="str">
        <f>T("9791166067563")</f>
        <v>9791166067563</v>
      </c>
      <c r="AV812" t="str">
        <f t="shared" si="117"/>
        <v>판타지 웹소설 &gt; 현대 판타지</v>
      </c>
    </row>
    <row r="813" spans="1:48" x14ac:dyDescent="0.4">
      <c r="A813">
        <v>1525004030</v>
      </c>
      <c r="B813">
        <v>1525006885</v>
      </c>
      <c r="C813" t="str">
        <f>T("회귀의 전설 2부 768화")</f>
        <v>회귀의 전설 2부 768화</v>
      </c>
      <c r="D813" t="str">
        <f>T("768")</f>
        <v>768</v>
      </c>
      <c r="E813" t="str">
        <f>T("김광수")</f>
        <v>김광수</v>
      </c>
      <c r="H813" t="str">
        <f t="shared" si="114"/>
        <v>스토리위즈</v>
      </c>
      <c r="I813" t="str">
        <f>T("회귀의 전설")</f>
        <v>회귀의 전설</v>
      </c>
      <c r="J813">
        <v>100</v>
      </c>
      <c r="K813">
        <v>200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200</v>
      </c>
      <c r="AH813">
        <v>2</v>
      </c>
      <c r="AI813">
        <v>0</v>
      </c>
      <c r="AJ813">
        <v>0</v>
      </c>
      <c r="AK813">
        <v>200</v>
      </c>
      <c r="AL813">
        <v>0</v>
      </c>
      <c r="AM813">
        <v>0</v>
      </c>
      <c r="AN813">
        <v>0</v>
      </c>
      <c r="AO813">
        <v>0</v>
      </c>
      <c r="AP813" s="2">
        <v>140</v>
      </c>
      <c r="AT813" t="str">
        <f>T("9791191102086")</f>
        <v>9791191102086</v>
      </c>
      <c r="AV813" t="str">
        <f t="shared" si="117"/>
        <v>판타지 웹소설 &gt; 현대 판타지</v>
      </c>
    </row>
    <row r="814" spans="1:48" x14ac:dyDescent="0.4">
      <c r="A814">
        <v>1525004030</v>
      </c>
      <c r="B814">
        <v>1525006790</v>
      </c>
      <c r="C814" t="str">
        <f>T("회귀의 전설 2부 673화")</f>
        <v>회귀의 전설 2부 673화</v>
      </c>
      <c r="D814" t="str">
        <f>T("673")</f>
        <v>673</v>
      </c>
      <c r="E814" t="str">
        <f>T("김광수")</f>
        <v>김광수</v>
      </c>
      <c r="H814" t="str">
        <f t="shared" si="114"/>
        <v>스토리위즈</v>
      </c>
      <c r="I814" t="str">
        <f>T("회귀의 전설")</f>
        <v>회귀의 전설</v>
      </c>
      <c r="J814">
        <v>100</v>
      </c>
      <c r="K814">
        <v>200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200</v>
      </c>
      <c r="AH814">
        <v>2</v>
      </c>
      <c r="AI814">
        <v>0</v>
      </c>
      <c r="AJ814">
        <v>0</v>
      </c>
      <c r="AK814">
        <v>200</v>
      </c>
      <c r="AL814">
        <v>0</v>
      </c>
      <c r="AM814">
        <v>0</v>
      </c>
      <c r="AN814">
        <v>0</v>
      </c>
      <c r="AO814">
        <v>0</v>
      </c>
      <c r="AP814" s="2">
        <v>140</v>
      </c>
      <c r="AT814" t="str">
        <f>T("9791191102086")</f>
        <v>9791191102086</v>
      </c>
      <c r="AV814" t="str">
        <f t="shared" si="117"/>
        <v>판타지 웹소설 &gt; 현대 판타지</v>
      </c>
    </row>
    <row r="815" spans="1:48" x14ac:dyDescent="0.4">
      <c r="A815">
        <v>1525004030</v>
      </c>
      <c r="B815">
        <v>1525006654</v>
      </c>
      <c r="C815" t="str">
        <f>T("회귀의 전설 2부 537화")</f>
        <v>회귀의 전설 2부 537화</v>
      </c>
      <c r="D815" t="str">
        <f>T("537")</f>
        <v>537</v>
      </c>
      <c r="E815" t="str">
        <f>T("김광수")</f>
        <v>김광수</v>
      </c>
      <c r="H815" t="str">
        <f t="shared" si="114"/>
        <v>스토리위즈</v>
      </c>
      <c r="I815" t="str">
        <f>T("회귀의 전설")</f>
        <v>회귀의 전설</v>
      </c>
      <c r="J815">
        <v>100</v>
      </c>
      <c r="K815">
        <v>200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200</v>
      </c>
      <c r="AH815">
        <v>2</v>
      </c>
      <c r="AI815">
        <v>0</v>
      </c>
      <c r="AJ815">
        <v>0</v>
      </c>
      <c r="AK815">
        <v>200</v>
      </c>
      <c r="AL815">
        <v>0</v>
      </c>
      <c r="AM815">
        <v>0</v>
      </c>
      <c r="AN815">
        <v>0</v>
      </c>
      <c r="AO815">
        <v>0</v>
      </c>
      <c r="AP815" s="2">
        <v>140</v>
      </c>
      <c r="AT815" t="str">
        <f>T("9791191102086")</f>
        <v>9791191102086</v>
      </c>
      <c r="AV815" t="str">
        <f t="shared" si="117"/>
        <v>판타지 웹소설 &gt; 현대 판타지</v>
      </c>
    </row>
    <row r="816" spans="1:48" x14ac:dyDescent="0.4">
      <c r="A816">
        <v>1525004030</v>
      </c>
      <c r="B816">
        <v>1525006846</v>
      </c>
      <c r="C816" t="str">
        <f>T("회귀의 전설 2부 729화")</f>
        <v>회귀의 전설 2부 729화</v>
      </c>
      <c r="D816" t="str">
        <f>T("729")</f>
        <v>729</v>
      </c>
      <c r="E816" t="str">
        <f>T("김광수")</f>
        <v>김광수</v>
      </c>
      <c r="H816" t="str">
        <f t="shared" si="114"/>
        <v>스토리위즈</v>
      </c>
      <c r="I816" t="str">
        <f>T("회귀의 전설")</f>
        <v>회귀의 전설</v>
      </c>
      <c r="J816">
        <v>100</v>
      </c>
      <c r="K816">
        <v>200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200</v>
      </c>
      <c r="AH816">
        <v>2</v>
      </c>
      <c r="AI816">
        <v>0</v>
      </c>
      <c r="AJ816">
        <v>0</v>
      </c>
      <c r="AK816">
        <v>200</v>
      </c>
      <c r="AL816">
        <v>0</v>
      </c>
      <c r="AM816">
        <v>0</v>
      </c>
      <c r="AN816">
        <v>0</v>
      </c>
      <c r="AO816">
        <v>0</v>
      </c>
      <c r="AP816" s="2">
        <v>140</v>
      </c>
      <c r="AT816" t="str">
        <f>T("9791191102086")</f>
        <v>9791191102086</v>
      </c>
      <c r="AV816" t="str">
        <f t="shared" si="117"/>
        <v>판타지 웹소설 &gt; 현대 판타지</v>
      </c>
    </row>
    <row r="817" spans="1:48" x14ac:dyDescent="0.4">
      <c r="A817">
        <v>2313011400</v>
      </c>
      <c r="B817">
        <v>1525007596</v>
      </c>
      <c r="C817" t="str">
        <f>T("최종 보스 19권 2화")</f>
        <v>최종 보스 19권 2화</v>
      </c>
      <c r="D817" t="str">
        <f>T("374")</f>
        <v>374</v>
      </c>
      <c r="E817" t="str">
        <f>T("무장")</f>
        <v>무장</v>
      </c>
      <c r="H817" t="str">
        <f t="shared" si="114"/>
        <v>스토리위즈</v>
      </c>
      <c r="I817" t="str">
        <f>T("최종 보스 : 빛을 향해 달리는 그림자")</f>
        <v>최종 보스 : 빛을 향해 달리는 그림자</v>
      </c>
      <c r="J817">
        <v>100</v>
      </c>
      <c r="K817">
        <v>200</v>
      </c>
      <c r="L817">
        <v>2</v>
      </c>
      <c r="M817">
        <v>0</v>
      </c>
      <c r="N817">
        <v>100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200</v>
      </c>
      <c r="AL817">
        <v>0</v>
      </c>
      <c r="AM817">
        <v>120.41</v>
      </c>
      <c r="AN817">
        <v>-36.119999999999997</v>
      </c>
      <c r="AO817">
        <v>0</v>
      </c>
      <c r="AP817" s="2">
        <v>199</v>
      </c>
      <c r="AT817" t="str">
        <f>T("9791166067563")</f>
        <v>9791166067563</v>
      </c>
      <c r="AV817" t="str">
        <f t="shared" si="117"/>
        <v>판타지 웹소설 &gt; 현대 판타지</v>
      </c>
    </row>
    <row r="818" spans="1:48" x14ac:dyDescent="0.4">
      <c r="A818">
        <v>1525004030</v>
      </c>
      <c r="B818">
        <v>1525006766</v>
      </c>
      <c r="C818" t="str">
        <f>T("회귀의 전설 2부 649화")</f>
        <v>회귀의 전설 2부 649화</v>
      </c>
      <c r="D818" t="str">
        <f>T("649")</f>
        <v>649</v>
      </c>
      <c r="E818" t="str">
        <f t="shared" ref="E818:E831" si="118">T("김광수")</f>
        <v>김광수</v>
      </c>
      <c r="H818" t="str">
        <f t="shared" si="114"/>
        <v>스토리위즈</v>
      </c>
      <c r="I818" t="str">
        <f t="shared" ref="I818:I831" si="119">T("회귀의 전설")</f>
        <v>회귀의 전설</v>
      </c>
      <c r="J818">
        <v>100</v>
      </c>
      <c r="K818">
        <v>200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200</v>
      </c>
      <c r="AH818">
        <v>2</v>
      </c>
      <c r="AI818">
        <v>0</v>
      </c>
      <c r="AJ818">
        <v>0</v>
      </c>
      <c r="AK818">
        <v>200</v>
      </c>
      <c r="AL818">
        <v>0</v>
      </c>
      <c r="AM818">
        <v>0</v>
      </c>
      <c r="AN818">
        <v>0</v>
      </c>
      <c r="AO818">
        <v>0</v>
      </c>
      <c r="AP818" s="2">
        <v>140</v>
      </c>
      <c r="AT818" t="str">
        <f>T("9791191102086")</f>
        <v>9791191102086</v>
      </c>
      <c r="AV818" t="str">
        <f t="shared" si="117"/>
        <v>판타지 웹소설 &gt; 현대 판타지</v>
      </c>
    </row>
    <row r="819" spans="1:48" x14ac:dyDescent="0.4">
      <c r="A819">
        <v>1525004030</v>
      </c>
      <c r="B819">
        <v>1525006822</v>
      </c>
      <c r="C819" t="str">
        <f>T("회귀의 전설 2부 705화")</f>
        <v>회귀의 전설 2부 705화</v>
      </c>
      <c r="D819" t="str">
        <f>T("705")</f>
        <v>705</v>
      </c>
      <c r="E819" t="str">
        <f t="shared" si="118"/>
        <v>김광수</v>
      </c>
      <c r="H819" t="str">
        <f t="shared" si="114"/>
        <v>스토리위즈</v>
      </c>
      <c r="I819" t="str">
        <f t="shared" si="119"/>
        <v>회귀의 전설</v>
      </c>
      <c r="J819">
        <v>100</v>
      </c>
      <c r="K819">
        <v>200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200</v>
      </c>
      <c r="AH819">
        <v>2</v>
      </c>
      <c r="AI819">
        <v>0</v>
      </c>
      <c r="AJ819">
        <v>0</v>
      </c>
      <c r="AK819">
        <v>200</v>
      </c>
      <c r="AL819">
        <v>0</v>
      </c>
      <c r="AM819">
        <v>0</v>
      </c>
      <c r="AN819">
        <v>0</v>
      </c>
      <c r="AO819">
        <v>0</v>
      </c>
      <c r="AP819" s="2">
        <v>140</v>
      </c>
      <c r="AT819" t="str">
        <f>T("9791191102086")</f>
        <v>9791191102086</v>
      </c>
      <c r="AV819" t="str">
        <f t="shared" si="117"/>
        <v>판타지 웹소설 &gt; 현대 판타지</v>
      </c>
    </row>
    <row r="820" spans="1:48" x14ac:dyDescent="0.4">
      <c r="A820">
        <v>1525004030</v>
      </c>
      <c r="B820">
        <v>1525006878</v>
      </c>
      <c r="C820" t="str">
        <f>T("회귀의 전설 2부 761화")</f>
        <v>회귀의 전설 2부 761화</v>
      </c>
      <c r="D820" t="str">
        <f>T("761")</f>
        <v>761</v>
      </c>
      <c r="E820" t="str">
        <f t="shared" si="118"/>
        <v>김광수</v>
      </c>
      <c r="H820" t="str">
        <f t="shared" si="114"/>
        <v>스토리위즈</v>
      </c>
      <c r="I820" t="str">
        <f t="shared" si="119"/>
        <v>회귀의 전설</v>
      </c>
      <c r="J820">
        <v>100</v>
      </c>
      <c r="K820">
        <v>200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200</v>
      </c>
      <c r="AH820">
        <v>2</v>
      </c>
      <c r="AI820">
        <v>0</v>
      </c>
      <c r="AJ820">
        <v>0</v>
      </c>
      <c r="AK820">
        <v>200</v>
      </c>
      <c r="AL820">
        <v>0</v>
      </c>
      <c r="AM820">
        <v>0</v>
      </c>
      <c r="AN820">
        <v>0</v>
      </c>
      <c r="AO820">
        <v>0</v>
      </c>
      <c r="AP820" s="2">
        <v>140</v>
      </c>
      <c r="AT820" t="str">
        <f>T("9791191102086")</f>
        <v>9791191102086</v>
      </c>
      <c r="AV820" t="str">
        <f t="shared" si="117"/>
        <v>판타지 웹소설 &gt; 현대 판타지</v>
      </c>
    </row>
    <row r="821" spans="1:48" x14ac:dyDescent="0.4">
      <c r="A821">
        <v>1525004030</v>
      </c>
      <c r="B821">
        <v>1525006686</v>
      </c>
      <c r="C821" t="str">
        <f>T("회귀의 전설 2부 569화")</f>
        <v>회귀의 전설 2부 569화</v>
      </c>
      <c r="D821" t="str">
        <f>T("569")</f>
        <v>569</v>
      </c>
      <c r="E821" t="str">
        <f t="shared" si="118"/>
        <v>김광수</v>
      </c>
      <c r="H821" t="str">
        <f t="shared" si="114"/>
        <v>스토리위즈</v>
      </c>
      <c r="I821" t="str">
        <f t="shared" si="119"/>
        <v>회귀의 전설</v>
      </c>
      <c r="J821">
        <v>100</v>
      </c>
      <c r="K821">
        <v>200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200</v>
      </c>
      <c r="AH821">
        <v>2</v>
      </c>
      <c r="AI821">
        <v>0</v>
      </c>
      <c r="AJ821">
        <v>0</v>
      </c>
      <c r="AK821">
        <v>200</v>
      </c>
      <c r="AL821">
        <v>0</v>
      </c>
      <c r="AM821">
        <v>0</v>
      </c>
      <c r="AN821">
        <v>0</v>
      </c>
      <c r="AO821">
        <v>0</v>
      </c>
      <c r="AP821" s="2">
        <v>140</v>
      </c>
      <c r="AT821" t="str">
        <f>T("9791191102086")</f>
        <v>9791191102086</v>
      </c>
      <c r="AV821" t="str">
        <f t="shared" si="117"/>
        <v>판타지 웹소설 &gt; 현대 판타지</v>
      </c>
    </row>
    <row r="822" spans="1:48" x14ac:dyDescent="0.4">
      <c r="A822">
        <v>1525004030</v>
      </c>
      <c r="B822">
        <v>1525004091</v>
      </c>
      <c r="C822" t="str">
        <f>T("회귀의 전설 62화")</f>
        <v>회귀의 전설 62화</v>
      </c>
      <c r="D822" t="str">
        <f>T("62")</f>
        <v>62</v>
      </c>
      <c r="E822" t="str">
        <f t="shared" si="118"/>
        <v>김광수</v>
      </c>
      <c r="H822" t="str">
        <f t="shared" si="114"/>
        <v>스토리위즈</v>
      </c>
      <c r="I822" t="str">
        <f t="shared" si="119"/>
        <v>회귀의 전설</v>
      </c>
      <c r="J822">
        <v>100</v>
      </c>
      <c r="K822">
        <v>200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200</v>
      </c>
      <c r="AH822">
        <v>2</v>
      </c>
      <c r="AI822">
        <v>0</v>
      </c>
      <c r="AJ822">
        <v>0</v>
      </c>
      <c r="AK822">
        <v>200</v>
      </c>
      <c r="AL822">
        <v>0</v>
      </c>
      <c r="AM822">
        <v>0</v>
      </c>
      <c r="AN822">
        <v>0</v>
      </c>
      <c r="AO822">
        <v>0</v>
      </c>
      <c r="AP822" s="2">
        <v>140</v>
      </c>
      <c r="AT822" t="str">
        <f>T("9788997946006")</f>
        <v>9788997946006</v>
      </c>
      <c r="AV822" t="str">
        <f t="shared" si="117"/>
        <v>판타지 웹소설 &gt; 현대 판타지</v>
      </c>
    </row>
    <row r="823" spans="1:48" x14ac:dyDescent="0.4">
      <c r="A823">
        <v>1525004030</v>
      </c>
      <c r="B823">
        <v>1525006910</v>
      </c>
      <c r="C823" t="str">
        <f>T("회귀의 전설 2부 793화")</f>
        <v>회귀의 전설 2부 793화</v>
      </c>
      <c r="D823" t="str">
        <f>T("793")</f>
        <v>793</v>
      </c>
      <c r="E823" t="str">
        <f t="shared" si="118"/>
        <v>김광수</v>
      </c>
      <c r="H823" t="str">
        <f t="shared" si="114"/>
        <v>스토리위즈</v>
      </c>
      <c r="I823" t="str">
        <f t="shared" si="119"/>
        <v>회귀의 전설</v>
      </c>
      <c r="J823">
        <v>100</v>
      </c>
      <c r="K823">
        <v>200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200</v>
      </c>
      <c r="AH823">
        <v>2</v>
      </c>
      <c r="AI823">
        <v>0</v>
      </c>
      <c r="AJ823">
        <v>0</v>
      </c>
      <c r="AK823">
        <v>200</v>
      </c>
      <c r="AL823">
        <v>0</v>
      </c>
      <c r="AM823">
        <v>0</v>
      </c>
      <c r="AN823">
        <v>0</v>
      </c>
      <c r="AO823">
        <v>0</v>
      </c>
      <c r="AP823" s="2">
        <v>140</v>
      </c>
      <c r="AT823" t="str">
        <f>T("9791191102086")</f>
        <v>9791191102086</v>
      </c>
      <c r="AV823" t="str">
        <f t="shared" si="117"/>
        <v>판타지 웹소설 &gt; 현대 판타지</v>
      </c>
    </row>
    <row r="824" spans="1:48" x14ac:dyDescent="0.4">
      <c r="A824">
        <v>1525004030</v>
      </c>
      <c r="B824">
        <v>1525006679</v>
      </c>
      <c r="C824" t="str">
        <f>T("회귀의 전설 2부 562화")</f>
        <v>회귀의 전설 2부 562화</v>
      </c>
      <c r="D824" t="str">
        <f>T("562")</f>
        <v>562</v>
      </c>
      <c r="E824" t="str">
        <f t="shared" si="118"/>
        <v>김광수</v>
      </c>
      <c r="H824" t="str">
        <f t="shared" si="114"/>
        <v>스토리위즈</v>
      </c>
      <c r="I824" t="str">
        <f t="shared" si="119"/>
        <v>회귀의 전설</v>
      </c>
      <c r="J824">
        <v>100</v>
      </c>
      <c r="K824">
        <v>200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200</v>
      </c>
      <c r="AH824">
        <v>2</v>
      </c>
      <c r="AI824">
        <v>0</v>
      </c>
      <c r="AJ824">
        <v>0</v>
      </c>
      <c r="AK824">
        <v>200</v>
      </c>
      <c r="AL824">
        <v>0</v>
      </c>
      <c r="AM824">
        <v>0</v>
      </c>
      <c r="AN824">
        <v>0</v>
      </c>
      <c r="AO824">
        <v>0</v>
      </c>
      <c r="AP824" s="2">
        <v>140</v>
      </c>
      <c r="AT824" t="str">
        <f>T("9791191102086")</f>
        <v>9791191102086</v>
      </c>
      <c r="AV824" t="str">
        <f t="shared" si="117"/>
        <v>판타지 웹소설 &gt; 현대 판타지</v>
      </c>
    </row>
    <row r="825" spans="1:48" x14ac:dyDescent="0.4">
      <c r="A825">
        <v>1525004030</v>
      </c>
      <c r="B825">
        <v>1525006903</v>
      </c>
      <c r="C825" t="str">
        <f>T("회귀의 전설 2부 786화")</f>
        <v>회귀의 전설 2부 786화</v>
      </c>
      <c r="D825" t="str">
        <f>T("786")</f>
        <v>786</v>
      </c>
      <c r="E825" t="str">
        <f t="shared" si="118"/>
        <v>김광수</v>
      </c>
      <c r="H825" t="str">
        <f t="shared" si="114"/>
        <v>스토리위즈</v>
      </c>
      <c r="I825" t="str">
        <f t="shared" si="119"/>
        <v>회귀의 전설</v>
      </c>
      <c r="J825">
        <v>100</v>
      </c>
      <c r="K825">
        <v>200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200</v>
      </c>
      <c r="AH825">
        <v>2</v>
      </c>
      <c r="AI825">
        <v>0</v>
      </c>
      <c r="AJ825">
        <v>0</v>
      </c>
      <c r="AK825">
        <v>200</v>
      </c>
      <c r="AL825">
        <v>0</v>
      </c>
      <c r="AM825">
        <v>0</v>
      </c>
      <c r="AN825">
        <v>0</v>
      </c>
      <c r="AO825">
        <v>0</v>
      </c>
      <c r="AP825" s="2">
        <v>140</v>
      </c>
      <c r="AT825" t="str">
        <f>T("9791191102086")</f>
        <v>9791191102086</v>
      </c>
      <c r="AV825" t="str">
        <f t="shared" si="117"/>
        <v>판타지 웹소설 &gt; 현대 판타지</v>
      </c>
    </row>
    <row r="826" spans="1:48" x14ac:dyDescent="0.4">
      <c r="A826">
        <v>1525004030</v>
      </c>
      <c r="B826">
        <v>1525004116</v>
      </c>
      <c r="C826" t="str">
        <f>T("회귀의 전설 87화")</f>
        <v>회귀의 전설 87화</v>
      </c>
      <c r="D826" t="str">
        <f>T("87")</f>
        <v>87</v>
      </c>
      <c r="E826" t="str">
        <f t="shared" si="118"/>
        <v>김광수</v>
      </c>
      <c r="H826" t="str">
        <f t="shared" si="114"/>
        <v>스토리위즈</v>
      </c>
      <c r="I826" t="str">
        <f t="shared" si="119"/>
        <v>회귀의 전설</v>
      </c>
      <c r="J826">
        <v>100</v>
      </c>
      <c r="K826">
        <v>200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200</v>
      </c>
      <c r="AH826">
        <v>2</v>
      </c>
      <c r="AI826">
        <v>0</v>
      </c>
      <c r="AJ826">
        <v>0</v>
      </c>
      <c r="AK826">
        <v>200</v>
      </c>
      <c r="AL826">
        <v>0</v>
      </c>
      <c r="AM826">
        <v>0</v>
      </c>
      <c r="AN826">
        <v>0</v>
      </c>
      <c r="AO826">
        <v>0</v>
      </c>
      <c r="AP826" s="2">
        <v>140</v>
      </c>
      <c r="AT826" t="str">
        <f>T("9788997946006")</f>
        <v>9788997946006</v>
      </c>
      <c r="AV826" t="str">
        <f t="shared" si="117"/>
        <v>판타지 웹소설 &gt; 현대 판타지</v>
      </c>
    </row>
    <row r="827" spans="1:48" x14ac:dyDescent="0.4">
      <c r="A827">
        <v>1525004030</v>
      </c>
      <c r="B827">
        <v>1525006959</v>
      </c>
      <c r="C827" t="str">
        <f>T("회귀의 전설 2부 843화")</f>
        <v>회귀의 전설 2부 843화</v>
      </c>
      <c r="D827" t="str">
        <f>T("843")</f>
        <v>843</v>
      </c>
      <c r="E827" t="str">
        <f t="shared" si="118"/>
        <v>김광수</v>
      </c>
      <c r="H827" t="str">
        <f t="shared" si="114"/>
        <v>스토리위즈</v>
      </c>
      <c r="I827" t="str">
        <f t="shared" si="119"/>
        <v>회귀의 전설</v>
      </c>
      <c r="J827">
        <v>100</v>
      </c>
      <c r="K827">
        <v>200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200</v>
      </c>
      <c r="AH827">
        <v>2</v>
      </c>
      <c r="AI827">
        <v>0</v>
      </c>
      <c r="AJ827">
        <v>0</v>
      </c>
      <c r="AK827">
        <v>200</v>
      </c>
      <c r="AL827">
        <v>0</v>
      </c>
      <c r="AM827">
        <v>0</v>
      </c>
      <c r="AN827">
        <v>0</v>
      </c>
      <c r="AO827">
        <v>0</v>
      </c>
      <c r="AP827" s="2">
        <v>140</v>
      </c>
      <c r="AT827" t="str">
        <f>T("9791191102086")</f>
        <v>9791191102086</v>
      </c>
      <c r="AV827" t="str">
        <f t="shared" si="117"/>
        <v>판타지 웹소설 &gt; 현대 판타지</v>
      </c>
    </row>
    <row r="828" spans="1:48" x14ac:dyDescent="0.4">
      <c r="A828">
        <v>1525004030</v>
      </c>
      <c r="B828">
        <v>1525004228</v>
      </c>
      <c r="C828" t="str">
        <f>T("회귀의 전설 199화")</f>
        <v>회귀의 전설 199화</v>
      </c>
      <c r="D828" t="str">
        <f>T("199")</f>
        <v>199</v>
      </c>
      <c r="E828" t="str">
        <f t="shared" si="118"/>
        <v>김광수</v>
      </c>
      <c r="H828" t="str">
        <f t="shared" si="114"/>
        <v>스토리위즈</v>
      </c>
      <c r="I828" t="str">
        <f t="shared" si="119"/>
        <v>회귀의 전설</v>
      </c>
      <c r="J828">
        <v>100</v>
      </c>
      <c r="K828">
        <v>200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200</v>
      </c>
      <c r="AH828">
        <v>2</v>
      </c>
      <c r="AI828">
        <v>0</v>
      </c>
      <c r="AJ828">
        <v>0</v>
      </c>
      <c r="AK828">
        <v>100</v>
      </c>
      <c r="AL828">
        <v>0</v>
      </c>
      <c r="AM828">
        <v>100</v>
      </c>
      <c r="AN828">
        <v>0</v>
      </c>
      <c r="AO828">
        <v>0</v>
      </c>
      <c r="AP828" s="2">
        <v>140</v>
      </c>
      <c r="AT828" t="str">
        <f>T("9788997946006")</f>
        <v>9788997946006</v>
      </c>
      <c r="AV828" t="str">
        <f t="shared" si="117"/>
        <v>판타지 웹소설 &gt; 현대 판타지</v>
      </c>
    </row>
    <row r="829" spans="1:48" x14ac:dyDescent="0.4">
      <c r="A829">
        <v>1525004030</v>
      </c>
      <c r="B829">
        <v>1525006783</v>
      </c>
      <c r="C829" t="str">
        <f>T("회귀의 전설 2부 666화")</f>
        <v>회귀의 전설 2부 666화</v>
      </c>
      <c r="D829" t="str">
        <f>T("666")</f>
        <v>666</v>
      </c>
      <c r="E829" t="str">
        <f t="shared" si="118"/>
        <v>김광수</v>
      </c>
      <c r="H829" t="str">
        <f t="shared" si="114"/>
        <v>스토리위즈</v>
      </c>
      <c r="I829" t="str">
        <f t="shared" si="119"/>
        <v>회귀의 전설</v>
      </c>
      <c r="J829">
        <v>100</v>
      </c>
      <c r="K829">
        <v>200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200</v>
      </c>
      <c r="AH829">
        <v>2</v>
      </c>
      <c r="AI829">
        <v>0</v>
      </c>
      <c r="AJ829">
        <v>0</v>
      </c>
      <c r="AK829">
        <v>200</v>
      </c>
      <c r="AL829">
        <v>0</v>
      </c>
      <c r="AM829">
        <v>0</v>
      </c>
      <c r="AN829">
        <v>0</v>
      </c>
      <c r="AO829">
        <v>0</v>
      </c>
      <c r="AP829" s="2">
        <v>140</v>
      </c>
      <c r="AT829" t="str">
        <f>T("9791191102086")</f>
        <v>9791191102086</v>
      </c>
      <c r="AV829" t="str">
        <f t="shared" si="117"/>
        <v>판타지 웹소설 &gt; 현대 판타지</v>
      </c>
    </row>
    <row r="830" spans="1:48" x14ac:dyDescent="0.4">
      <c r="A830">
        <v>1525004030</v>
      </c>
      <c r="B830">
        <v>1525006839</v>
      </c>
      <c r="C830" t="str">
        <f>T("회귀의 전설 2부 722화")</f>
        <v>회귀의 전설 2부 722화</v>
      </c>
      <c r="D830" t="str">
        <f>T("722")</f>
        <v>722</v>
      </c>
      <c r="E830" t="str">
        <f t="shared" si="118"/>
        <v>김광수</v>
      </c>
      <c r="H830" t="str">
        <f t="shared" si="114"/>
        <v>스토리위즈</v>
      </c>
      <c r="I830" t="str">
        <f t="shared" si="119"/>
        <v>회귀의 전설</v>
      </c>
      <c r="J830">
        <v>100</v>
      </c>
      <c r="K830">
        <v>200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200</v>
      </c>
      <c r="AH830">
        <v>2</v>
      </c>
      <c r="AI830">
        <v>0</v>
      </c>
      <c r="AJ830">
        <v>0</v>
      </c>
      <c r="AK830">
        <v>200</v>
      </c>
      <c r="AL830">
        <v>0</v>
      </c>
      <c r="AM830">
        <v>0</v>
      </c>
      <c r="AN830">
        <v>0</v>
      </c>
      <c r="AO830">
        <v>0</v>
      </c>
      <c r="AP830" s="2">
        <v>140</v>
      </c>
      <c r="AT830" t="str">
        <f>T("9791191102086")</f>
        <v>9791191102086</v>
      </c>
      <c r="AV830" t="str">
        <f t="shared" si="117"/>
        <v>판타지 웹소설 &gt; 현대 판타지</v>
      </c>
    </row>
    <row r="831" spans="1:48" x14ac:dyDescent="0.4">
      <c r="A831">
        <v>1525004030</v>
      </c>
      <c r="B831">
        <v>1525006815</v>
      </c>
      <c r="C831" t="str">
        <f>T("회귀의 전설 2부 698화")</f>
        <v>회귀의 전설 2부 698화</v>
      </c>
      <c r="D831" t="str">
        <f>T("698")</f>
        <v>698</v>
      </c>
      <c r="E831" t="str">
        <f t="shared" si="118"/>
        <v>김광수</v>
      </c>
      <c r="H831" t="str">
        <f t="shared" si="114"/>
        <v>스토리위즈</v>
      </c>
      <c r="I831" t="str">
        <f t="shared" si="119"/>
        <v>회귀의 전설</v>
      </c>
      <c r="J831">
        <v>100</v>
      </c>
      <c r="K831">
        <v>200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200</v>
      </c>
      <c r="AH831">
        <v>2</v>
      </c>
      <c r="AI831">
        <v>0</v>
      </c>
      <c r="AJ831">
        <v>0</v>
      </c>
      <c r="AK831">
        <v>200</v>
      </c>
      <c r="AL831">
        <v>0</v>
      </c>
      <c r="AM831">
        <v>0</v>
      </c>
      <c r="AN831">
        <v>0</v>
      </c>
      <c r="AO831">
        <v>0</v>
      </c>
      <c r="AP831" s="2">
        <v>140</v>
      </c>
      <c r="AT831" t="str">
        <f>T("9791191102086")</f>
        <v>9791191102086</v>
      </c>
      <c r="AV831" t="str">
        <f t="shared" si="117"/>
        <v>판타지 웹소설 &gt; 현대 판타지</v>
      </c>
    </row>
    <row r="832" spans="1:48" x14ac:dyDescent="0.4">
      <c r="A832">
        <v>2313011400</v>
      </c>
      <c r="B832">
        <v>1525007717</v>
      </c>
      <c r="C832" t="str">
        <f>T("최종 보스 25권 2화")</f>
        <v>최종 보스 25권 2화</v>
      </c>
      <c r="D832" t="str">
        <f>T("495")</f>
        <v>495</v>
      </c>
      <c r="E832" t="str">
        <f>T("무장")</f>
        <v>무장</v>
      </c>
      <c r="H832" t="str">
        <f t="shared" si="114"/>
        <v>스토리위즈</v>
      </c>
      <c r="I832" t="str">
        <f>T("최종 보스 : 빛을 향해 달리는 그림자")</f>
        <v>최종 보스 : 빛을 향해 달리는 그림자</v>
      </c>
      <c r="J832">
        <v>100</v>
      </c>
      <c r="K832">
        <v>200</v>
      </c>
      <c r="L832">
        <v>2</v>
      </c>
      <c r="M832">
        <v>0</v>
      </c>
      <c r="N832">
        <v>100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 s="2">
        <v>210</v>
      </c>
      <c r="AT832" t="str">
        <f>T("9791166067563")</f>
        <v>9791166067563</v>
      </c>
      <c r="AV832" t="str">
        <f t="shared" si="117"/>
        <v>판타지 웹소설 &gt; 현대 판타지</v>
      </c>
    </row>
    <row r="833" spans="1:48" x14ac:dyDescent="0.4">
      <c r="A833">
        <v>1525004030</v>
      </c>
      <c r="B833">
        <v>1525006871</v>
      </c>
      <c r="C833" t="str">
        <f>T("회귀의 전설 2부 754화")</f>
        <v>회귀의 전설 2부 754화</v>
      </c>
      <c r="D833" t="str">
        <f>T("754")</f>
        <v>754</v>
      </c>
      <c r="E833" t="str">
        <f>T("김광수")</f>
        <v>김광수</v>
      </c>
      <c r="H833" t="str">
        <f t="shared" si="114"/>
        <v>스토리위즈</v>
      </c>
      <c r="I833" t="str">
        <f>T("회귀의 전설")</f>
        <v>회귀의 전설</v>
      </c>
      <c r="J833">
        <v>100</v>
      </c>
      <c r="K833">
        <v>200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200</v>
      </c>
      <c r="AH833">
        <v>2</v>
      </c>
      <c r="AI833">
        <v>0</v>
      </c>
      <c r="AJ833">
        <v>0</v>
      </c>
      <c r="AK833">
        <v>200</v>
      </c>
      <c r="AL833">
        <v>0</v>
      </c>
      <c r="AM833">
        <v>0</v>
      </c>
      <c r="AN833">
        <v>0</v>
      </c>
      <c r="AO833">
        <v>0</v>
      </c>
      <c r="AP833" s="2">
        <v>140</v>
      </c>
      <c r="AT833" t="str">
        <f>T("9791191102086")</f>
        <v>9791191102086</v>
      </c>
      <c r="AV833" t="str">
        <f t="shared" si="117"/>
        <v>판타지 웹소설 &gt; 현대 판타지</v>
      </c>
    </row>
    <row r="834" spans="1:48" x14ac:dyDescent="0.4">
      <c r="A834">
        <v>1525004030</v>
      </c>
      <c r="B834">
        <v>1525004387</v>
      </c>
      <c r="C834" t="str">
        <f>T("회귀의 전설 359화")</f>
        <v>회귀의 전설 359화</v>
      </c>
      <c r="D834" t="str">
        <f>T("359")</f>
        <v>359</v>
      </c>
      <c r="E834" t="str">
        <f>T("김광수")</f>
        <v>김광수</v>
      </c>
      <c r="H834" t="str">
        <f t="shared" si="114"/>
        <v>스토리위즈</v>
      </c>
      <c r="I834" t="str">
        <f>T("회귀의 전설")</f>
        <v>회귀의 전설</v>
      </c>
      <c r="J834">
        <v>100</v>
      </c>
      <c r="K834">
        <v>200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200</v>
      </c>
      <c r="AH834">
        <v>2</v>
      </c>
      <c r="AI834">
        <v>0</v>
      </c>
      <c r="AJ834">
        <v>0</v>
      </c>
      <c r="AK834">
        <v>200</v>
      </c>
      <c r="AL834">
        <v>0</v>
      </c>
      <c r="AM834">
        <v>0</v>
      </c>
      <c r="AN834">
        <v>0</v>
      </c>
      <c r="AO834">
        <v>0</v>
      </c>
      <c r="AP834" s="2">
        <v>140</v>
      </c>
      <c r="AT834" t="str">
        <f>T("9788997946006")</f>
        <v>9788997946006</v>
      </c>
      <c r="AV834" t="str">
        <f t="shared" si="117"/>
        <v>판타지 웹소설 &gt; 현대 판타지</v>
      </c>
    </row>
    <row r="835" spans="1:48" x14ac:dyDescent="0.4">
      <c r="A835">
        <v>2313011400</v>
      </c>
      <c r="B835">
        <v>1525007582</v>
      </c>
      <c r="C835" t="str">
        <f>T("최종 보스 18권 8화")</f>
        <v>최종 보스 18권 8화</v>
      </c>
      <c r="D835" t="str">
        <f>T("360")</f>
        <v>360</v>
      </c>
      <c r="E835" t="str">
        <f>T("무장")</f>
        <v>무장</v>
      </c>
      <c r="H835" t="str">
        <f t="shared" si="114"/>
        <v>스토리위즈</v>
      </c>
      <c r="I835" t="str">
        <f>T("최종 보스 : 빛을 향해 달리는 그림자")</f>
        <v>최종 보스 : 빛을 향해 달리는 그림자</v>
      </c>
      <c r="J835">
        <v>100</v>
      </c>
      <c r="K835">
        <v>200</v>
      </c>
      <c r="L835">
        <v>2</v>
      </c>
      <c r="M835">
        <v>0</v>
      </c>
      <c r="N835">
        <v>100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200</v>
      </c>
      <c r="AL835">
        <v>0</v>
      </c>
      <c r="AM835">
        <v>120.41</v>
      </c>
      <c r="AN835">
        <v>-36.119999999999997</v>
      </c>
      <c r="AO835">
        <v>0</v>
      </c>
      <c r="AP835" s="2">
        <v>199</v>
      </c>
      <c r="AT835" t="str">
        <f>T("9791166067563")</f>
        <v>9791166067563</v>
      </c>
      <c r="AV835" t="str">
        <f t="shared" si="117"/>
        <v>판타지 웹소설 &gt; 현대 판타지</v>
      </c>
    </row>
    <row r="836" spans="1:48" x14ac:dyDescent="0.4">
      <c r="A836">
        <v>1525011523</v>
      </c>
      <c r="B836">
        <v>1525011503</v>
      </c>
      <c r="C836" t="str">
        <f>T("남창목가 21화")</f>
        <v>남창목가 21화</v>
      </c>
      <c r="D836" t="str">
        <f>T("21")</f>
        <v>21</v>
      </c>
      <c r="E836" t="str">
        <f>T("최재봉")</f>
        <v>최재봉</v>
      </c>
      <c r="H836" t="str">
        <f>T("에필로그")</f>
        <v>에필로그</v>
      </c>
      <c r="I836" t="str">
        <f>T("남창목가")</f>
        <v>남창목가</v>
      </c>
      <c r="J836">
        <v>100</v>
      </c>
      <c r="K836">
        <v>200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200</v>
      </c>
      <c r="AH836">
        <v>2</v>
      </c>
      <c r="AI836">
        <v>0</v>
      </c>
      <c r="AJ836">
        <v>0</v>
      </c>
      <c r="AK836">
        <v>200</v>
      </c>
      <c r="AL836">
        <v>0</v>
      </c>
      <c r="AM836">
        <v>0</v>
      </c>
      <c r="AN836">
        <v>0</v>
      </c>
      <c r="AO836">
        <v>0</v>
      </c>
      <c r="AP836" s="2">
        <v>140</v>
      </c>
      <c r="AT836" t="str">
        <f>T("9791164482849")</f>
        <v>9791164482849</v>
      </c>
      <c r="AV836" t="str">
        <f>T("판타지 웹소설 &gt; 무협 소설")</f>
        <v>판타지 웹소설 &gt; 무협 소설</v>
      </c>
    </row>
    <row r="837" spans="1:48" x14ac:dyDescent="0.4">
      <c r="A837">
        <v>1525004030</v>
      </c>
      <c r="B837">
        <v>1525006808</v>
      </c>
      <c r="C837" t="str">
        <f>T("회귀의 전설 2부 691화")</f>
        <v>회귀의 전설 2부 691화</v>
      </c>
      <c r="D837" t="str">
        <f>T("691")</f>
        <v>691</v>
      </c>
      <c r="E837" t="str">
        <f>T("김광수")</f>
        <v>김광수</v>
      </c>
      <c r="H837" t="str">
        <f t="shared" ref="H837:H889" si="120">T("스토리위즈")</f>
        <v>스토리위즈</v>
      </c>
      <c r="I837" t="str">
        <f>T("회귀의 전설")</f>
        <v>회귀의 전설</v>
      </c>
      <c r="J837">
        <v>100</v>
      </c>
      <c r="K837">
        <v>200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200</v>
      </c>
      <c r="AH837">
        <v>2</v>
      </c>
      <c r="AI837">
        <v>0</v>
      </c>
      <c r="AJ837">
        <v>0</v>
      </c>
      <c r="AK837">
        <v>200</v>
      </c>
      <c r="AL837">
        <v>0</v>
      </c>
      <c r="AM837">
        <v>0</v>
      </c>
      <c r="AN837">
        <v>0</v>
      </c>
      <c r="AO837">
        <v>0</v>
      </c>
      <c r="AP837" s="2">
        <v>140</v>
      </c>
      <c r="AT837" t="str">
        <f>T("9791191102086")</f>
        <v>9791191102086</v>
      </c>
      <c r="AV837" t="str">
        <f t="shared" ref="AV837:AV889" si="121">T("판타지 웹소설 &gt; 현대 판타지")</f>
        <v>판타지 웹소설 &gt; 현대 판타지</v>
      </c>
    </row>
    <row r="838" spans="1:48" x14ac:dyDescent="0.4">
      <c r="A838">
        <v>2313011400</v>
      </c>
      <c r="B838">
        <v>1525007710</v>
      </c>
      <c r="C838" t="str">
        <f>T("최종 보스 24권 15화")</f>
        <v>최종 보스 24권 15화</v>
      </c>
      <c r="D838" t="str">
        <f>T("488")</f>
        <v>488</v>
      </c>
      <c r="E838" t="str">
        <f>T("무장")</f>
        <v>무장</v>
      </c>
      <c r="H838" t="str">
        <f t="shared" si="120"/>
        <v>스토리위즈</v>
      </c>
      <c r="I838" t="str">
        <f>T("최종 보스 : 빛을 향해 달리는 그림자")</f>
        <v>최종 보스 : 빛을 향해 달리는 그림자</v>
      </c>
      <c r="J838">
        <v>100</v>
      </c>
      <c r="K838">
        <v>200</v>
      </c>
      <c r="L838">
        <v>2</v>
      </c>
      <c r="M838">
        <v>0</v>
      </c>
      <c r="N838">
        <v>100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 s="2">
        <v>210</v>
      </c>
      <c r="AT838" t="str">
        <f>T("9791166067563")</f>
        <v>9791166067563</v>
      </c>
      <c r="AV838" t="str">
        <f t="shared" si="121"/>
        <v>판타지 웹소설 &gt; 현대 판타지</v>
      </c>
    </row>
    <row r="839" spans="1:48" x14ac:dyDescent="0.4">
      <c r="A839">
        <v>1525004030</v>
      </c>
      <c r="B839">
        <v>1525006864</v>
      </c>
      <c r="C839" t="str">
        <f>T("회귀의 전설 2부 747화")</f>
        <v>회귀의 전설 2부 747화</v>
      </c>
      <c r="D839" t="str">
        <f>T("747")</f>
        <v>747</v>
      </c>
      <c r="E839" t="str">
        <f>T("김광수")</f>
        <v>김광수</v>
      </c>
      <c r="H839" t="str">
        <f t="shared" si="120"/>
        <v>스토리위즈</v>
      </c>
      <c r="I839" t="str">
        <f>T("회귀의 전설")</f>
        <v>회귀의 전설</v>
      </c>
      <c r="J839">
        <v>100</v>
      </c>
      <c r="K839">
        <v>200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200</v>
      </c>
      <c r="AH839">
        <v>2</v>
      </c>
      <c r="AI839">
        <v>0</v>
      </c>
      <c r="AJ839">
        <v>0</v>
      </c>
      <c r="AK839">
        <v>200</v>
      </c>
      <c r="AL839">
        <v>0</v>
      </c>
      <c r="AM839">
        <v>0</v>
      </c>
      <c r="AN839">
        <v>0</v>
      </c>
      <c r="AO839">
        <v>0</v>
      </c>
      <c r="AP839" s="2">
        <v>140</v>
      </c>
      <c r="AT839" t="str">
        <f>T("9791191102086")</f>
        <v>9791191102086</v>
      </c>
      <c r="AV839" t="str">
        <f t="shared" si="121"/>
        <v>판타지 웹소설 &gt; 현대 판타지</v>
      </c>
    </row>
    <row r="840" spans="1:48" x14ac:dyDescent="0.4">
      <c r="A840">
        <v>1525004030</v>
      </c>
      <c r="B840">
        <v>1525006672</v>
      </c>
      <c r="C840" t="str">
        <f>T("회귀의 전설 2부 555화")</f>
        <v>회귀의 전설 2부 555화</v>
      </c>
      <c r="D840" t="str">
        <f>T("555")</f>
        <v>555</v>
      </c>
      <c r="E840" t="str">
        <f>T("김광수")</f>
        <v>김광수</v>
      </c>
      <c r="H840" t="str">
        <f t="shared" si="120"/>
        <v>스토리위즈</v>
      </c>
      <c r="I840" t="str">
        <f>T("회귀의 전설")</f>
        <v>회귀의 전설</v>
      </c>
      <c r="J840">
        <v>100</v>
      </c>
      <c r="K840">
        <v>200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200</v>
      </c>
      <c r="AH840">
        <v>2</v>
      </c>
      <c r="AI840">
        <v>0</v>
      </c>
      <c r="AJ840">
        <v>0</v>
      </c>
      <c r="AK840">
        <v>200</v>
      </c>
      <c r="AL840">
        <v>0</v>
      </c>
      <c r="AM840">
        <v>0</v>
      </c>
      <c r="AN840">
        <v>0</v>
      </c>
      <c r="AO840">
        <v>0</v>
      </c>
      <c r="AP840" s="2">
        <v>140</v>
      </c>
      <c r="AT840" t="str">
        <f>T("9791191102086")</f>
        <v>9791191102086</v>
      </c>
      <c r="AV840" t="str">
        <f t="shared" si="121"/>
        <v>판타지 웹소설 &gt; 현대 판타지</v>
      </c>
    </row>
    <row r="841" spans="1:48" x14ac:dyDescent="0.4">
      <c r="A841">
        <v>2313011400</v>
      </c>
      <c r="B841">
        <v>1525007646</v>
      </c>
      <c r="C841" t="str">
        <f>T("최종 보스 21권 11화")</f>
        <v>최종 보스 21권 11화</v>
      </c>
      <c r="D841" t="str">
        <f>T("424")</f>
        <v>424</v>
      </c>
      <c r="E841" t="str">
        <f>T("무장")</f>
        <v>무장</v>
      </c>
      <c r="H841" t="str">
        <f t="shared" si="120"/>
        <v>스토리위즈</v>
      </c>
      <c r="I841" t="str">
        <f>T("최종 보스 : 빛을 향해 달리는 그림자")</f>
        <v>최종 보스 : 빛을 향해 달리는 그림자</v>
      </c>
      <c r="J841">
        <v>100</v>
      </c>
      <c r="K841">
        <v>200</v>
      </c>
      <c r="L841">
        <v>2</v>
      </c>
      <c r="M841">
        <v>0</v>
      </c>
      <c r="N841">
        <v>100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 s="2">
        <v>210</v>
      </c>
      <c r="AT841" t="str">
        <f>T("9791166067563")</f>
        <v>9791166067563</v>
      </c>
      <c r="AV841" t="str">
        <f t="shared" si="121"/>
        <v>판타지 웹소설 &gt; 현대 판타지</v>
      </c>
    </row>
    <row r="842" spans="1:48" x14ac:dyDescent="0.4">
      <c r="A842">
        <v>1525004030</v>
      </c>
      <c r="B842">
        <v>1525006704</v>
      </c>
      <c r="C842" t="str">
        <f>T("회귀의 전설 2부 587화")</f>
        <v>회귀의 전설 2부 587화</v>
      </c>
      <c r="D842" t="str">
        <f>T("587")</f>
        <v>587</v>
      </c>
      <c r="E842" t="str">
        <f>T("김광수")</f>
        <v>김광수</v>
      </c>
      <c r="H842" t="str">
        <f t="shared" si="120"/>
        <v>스토리위즈</v>
      </c>
      <c r="I842" t="str">
        <f>T("회귀의 전설")</f>
        <v>회귀의 전설</v>
      </c>
      <c r="J842">
        <v>100</v>
      </c>
      <c r="K842">
        <v>200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200</v>
      </c>
      <c r="AH842">
        <v>2</v>
      </c>
      <c r="AI842">
        <v>0</v>
      </c>
      <c r="AJ842">
        <v>0</v>
      </c>
      <c r="AK842">
        <v>200</v>
      </c>
      <c r="AL842">
        <v>0</v>
      </c>
      <c r="AM842">
        <v>0</v>
      </c>
      <c r="AN842">
        <v>0</v>
      </c>
      <c r="AO842">
        <v>0</v>
      </c>
      <c r="AP842" s="2">
        <v>140</v>
      </c>
      <c r="AT842" t="str">
        <f>T("9791191102086")</f>
        <v>9791191102086</v>
      </c>
      <c r="AV842" t="str">
        <f t="shared" si="121"/>
        <v>판타지 웹소설 &gt; 현대 판타지</v>
      </c>
    </row>
    <row r="843" spans="1:48" x14ac:dyDescent="0.4">
      <c r="A843">
        <v>1525004030</v>
      </c>
      <c r="B843">
        <v>1525006896</v>
      </c>
      <c r="C843" t="str">
        <f>T("회귀의 전설 2부 779화")</f>
        <v>회귀의 전설 2부 779화</v>
      </c>
      <c r="D843" t="str">
        <f>T("779")</f>
        <v>779</v>
      </c>
      <c r="E843" t="str">
        <f>T("김광수")</f>
        <v>김광수</v>
      </c>
      <c r="H843" t="str">
        <f t="shared" si="120"/>
        <v>스토리위즈</v>
      </c>
      <c r="I843" t="str">
        <f>T("회귀의 전설")</f>
        <v>회귀의 전설</v>
      </c>
      <c r="J843">
        <v>100</v>
      </c>
      <c r="K843">
        <v>200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200</v>
      </c>
      <c r="AH843">
        <v>2</v>
      </c>
      <c r="AI843">
        <v>0</v>
      </c>
      <c r="AJ843">
        <v>0</v>
      </c>
      <c r="AK843">
        <v>200</v>
      </c>
      <c r="AL843">
        <v>0</v>
      </c>
      <c r="AM843">
        <v>0</v>
      </c>
      <c r="AN843">
        <v>0</v>
      </c>
      <c r="AO843">
        <v>0</v>
      </c>
      <c r="AP843" s="2">
        <v>140</v>
      </c>
      <c r="AT843" t="str">
        <f>T("9791191102086")</f>
        <v>9791191102086</v>
      </c>
      <c r="AV843" t="str">
        <f t="shared" si="121"/>
        <v>판타지 웹소설 &gt; 현대 판타지</v>
      </c>
    </row>
    <row r="844" spans="1:48" x14ac:dyDescent="0.4">
      <c r="A844">
        <v>1525004030</v>
      </c>
      <c r="B844">
        <v>1525004109</v>
      </c>
      <c r="C844" t="str">
        <f>T("회귀의 전설 80화")</f>
        <v>회귀의 전설 80화</v>
      </c>
      <c r="D844" t="str">
        <f>T("80")</f>
        <v>80</v>
      </c>
      <c r="E844" t="str">
        <f>T("김광수")</f>
        <v>김광수</v>
      </c>
      <c r="H844" t="str">
        <f t="shared" si="120"/>
        <v>스토리위즈</v>
      </c>
      <c r="I844" t="str">
        <f>T("회귀의 전설")</f>
        <v>회귀의 전설</v>
      </c>
      <c r="J844">
        <v>100</v>
      </c>
      <c r="K844">
        <v>200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200</v>
      </c>
      <c r="AH844">
        <v>2</v>
      </c>
      <c r="AI844">
        <v>0</v>
      </c>
      <c r="AJ844">
        <v>0</v>
      </c>
      <c r="AK844">
        <v>200</v>
      </c>
      <c r="AL844">
        <v>0</v>
      </c>
      <c r="AM844">
        <v>0</v>
      </c>
      <c r="AN844">
        <v>0</v>
      </c>
      <c r="AO844">
        <v>0</v>
      </c>
      <c r="AP844" s="2">
        <v>140</v>
      </c>
      <c r="AT844" t="str">
        <f>T("9788997946006")</f>
        <v>9788997946006</v>
      </c>
      <c r="AV844" t="str">
        <f t="shared" si="121"/>
        <v>판타지 웹소설 &gt; 현대 판타지</v>
      </c>
    </row>
    <row r="845" spans="1:48" x14ac:dyDescent="0.4">
      <c r="A845">
        <v>1525004030</v>
      </c>
      <c r="B845">
        <v>1525004221</v>
      </c>
      <c r="C845" t="str">
        <f>T("회귀의 전설 192화")</f>
        <v>회귀의 전설 192화</v>
      </c>
      <c r="D845" t="str">
        <f>T("192")</f>
        <v>192</v>
      </c>
      <c r="E845" t="str">
        <f>T("김광수")</f>
        <v>김광수</v>
      </c>
      <c r="H845" t="str">
        <f t="shared" si="120"/>
        <v>스토리위즈</v>
      </c>
      <c r="I845" t="str">
        <f>T("회귀의 전설")</f>
        <v>회귀의 전설</v>
      </c>
      <c r="J845">
        <v>100</v>
      </c>
      <c r="K845">
        <v>200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200</v>
      </c>
      <c r="AH845">
        <v>2</v>
      </c>
      <c r="AI845">
        <v>0</v>
      </c>
      <c r="AJ845">
        <v>0</v>
      </c>
      <c r="AK845">
        <v>100</v>
      </c>
      <c r="AL845">
        <v>0</v>
      </c>
      <c r="AM845">
        <v>100</v>
      </c>
      <c r="AN845">
        <v>0</v>
      </c>
      <c r="AO845">
        <v>0</v>
      </c>
      <c r="AP845" s="2">
        <v>140</v>
      </c>
      <c r="AT845" t="str">
        <f>T("9788997946006")</f>
        <v>9788997946006</v>
      </c>
      <c r="AV845" t="str">
        <f t="shared" si="121"/>
        <v>판타지 웹소설 &gt; 현대 판타지</v>
      </c>
    </row>
    <row r="846" spans="1:48" x14ac:dyDescent="0.4">
      <c r="A846">
        <v>1525004030</v>
      </c>
      <c r="B846">
        <v>1525006833</v>
      </c>
      <c r="C846" t="str">
        <f>T("회귀의 전설 2부 716화")</f>
        <v>회귀의 전설 2부 716화</v>
      </c>
      <c r="D846" t="str">
        <f>T("716")</f>
        <v>716</v>
      </c>
      <c r="E846" t="str">
        <f>T("김광수")</f>
        <v>김광수</v>
      </c>
      <c r="H846" t="str">
        <f t="shared" si="120"/>
        <v>스토리위즈</v>
      </c>
      <c r="I846" t="str">
        <f>T("회귀의 전설")</f>
        <v>회귀의 전설</v>
      </c>
      <c r="J846">
        <v>100</v>
      </c>
      <c r="K846">
        <v>200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200</v>
      </c>
      <c r="AH846">
        <v>2</v>
      </c>
      <c r="AI846">
        <v>0</v>
      </c>
      <c r="AJ846">
        <v>0</v>
      </c>
      <c r="AK846">
        <v>200</v>
      </c>
      <c r="AL846">
        <v>0</v>
      </c>
      <c r="AM846">
        <v>0</v>
      </c>
      <c r="AN846">
        <v>0</v>
      </c>
      <c r="AO846">
        <v>0</v>
      </c>
      <c r="AP846" s="2">
        <v>140</v>
      </c>
      <c r="AT846" t="str">
        <f>T("9791191102086")</f>
        <v>9791191102086</v>
      </c>
      <c r="AV846" t="str">
        <f t="shared" si="121"/>
        <v>판타지 웹소설 &gt; 현대 판타지</v>
      </c>
    </row>
    <row r="847" spans="1:48" x14ac:dyDescent="0.4">
      <c r="A847">
        <v>2313011400</v>
      </c>
      <c r="B847">
        <v>1525007735</v>
      </c>
      <c r="C847" t="str">
        <f>T("최종 보스 25권 20화(2부 완결)")</f>
        <v>최종 보스 25권 20화(2부 완결)</v>
      </c>
      <c r="D847" t="str">
        <f>T("513")</f>
        <v>513</v>
      </c>
      <c r="E847" t="str">
        <f>T("무장")</f>
        <v>무장</v>
      </c>
      <c r="H847" t="str">
        <f t="shared" si="120"/>
        <v>스토리위즈</v>
      </c>
      <c r="I847" t="str">
        <f>T("최종 보스 : 빛을 향해 달리는 그림자")</f>
        <v>최종 보스 : 빛을 향해 달리는 그림자</v>
      </c>
      <c r="J847">
        <v>100</v>
      </c>
      <c r="K847">
        <v>200</v>
      </c>
      <c r="L847">
        <v>2</v>
      </c>
      <c r="M847">
        <v>0</v>
      </c>
      <c r="N847">
        <v>100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 s="2">
        <v>210</v>
      </c>
      <c r="AT847" t="str">
        <f>T("9791166067563")</f>
        <v>9791166067563</v>
      </c>
      <c r="AV847" t="str">
        <f t="shared" si="121"/>
        <v>판타지 웹소설 &gt; 현대 판타지</v>
      </c>
    </row>
    <row r="848" spans="1:48" x14ac:dyDescent="0.4">
      <c r="A848">
        <v>1525004030</v>
      </c>
      <c r="B848">
        <v>1525006889</v>
      </c>
      <c r="C848" t="str">
        <f>T("회귀의 전설 2부 772화")</f>
        <v>회귀의 전설 2부 772화</v>
      </c>
      <c r="D848" t="str">
        <f>T("772")</f>
        <v>772</v>
      </c>
      <c r="E848" t="str">
        <f t="shared" ref="E848:E862" si="122">T("김광수")</f>
        <v>김광수</v>
      </c>
      <c r="H848" t="str">
        <f t="shared" si="120"/>
        <v>스토리위즈</v>
      </c>
      <c r="I848" t="str">
        <f t="shared" ref="I848:I862" si="123">T("회귀의 전설")</f>
        <v>회귀의 전설</v>
      </c>
      <c r="J848">
        <v>100</v>
      </c>
      <c r="K848">
        <v>200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200</v>
      </c>
      <c r="AH848">
        <v>2</v>
      </c>
      <c r="AI848">
        <v>0</v>
      </c>
      <c r="AJ848">
        <v>0</v>
      </c>
      <c r="AK848">
        <v>200</v>
      </c>
      <c r="AL848">
        <v>0</v>
      </c>
      <c r="AM848">
        <v>0</v>
      </c>
      <c r="AN848">
        <v>0</v>
      </c>
      <c r="AO848">
        <v>0</v>
      </c>
      <c r="AP848" s="2">
        <v>140</v>
      </c>
      <c r="AT848" t="str">
        <f>T("9791191102086")</f>
        <v>9791191102086</v>
      </c>
      <c r="AV848" t="str">
        <f t="shared" si="121"/>
        <v>판타지 웹소설 &gt; 현대 판타지</v>
      </c>
    </row>
    <row r="849" spans="1:48" x14ac:dyDescent="0.4">
      <c r="A849">
        <v>1525004030</v>
      </c>
      <c r="B849">
        <v>1525006697</v>
      </c>
      <c r="C849" t="str">
        <f>T("회귀의 전설 2부 580화")</f>
        <v>회귀의 전설 2부 580화</v>
      </c>
      <c r="D849" t="str">
        <f>T("580")</f>
        <v>580</v>
      </c>
      <c r="E849" t="str">
        <f t="shared" si="122"/>
        <v>김광수</v>
      </c>
      <c r="H849" t="str">
        <f t="shared" si="120"/>
        <v>스토리위즈</v>
      </c>
      <c r="I849" t="str">
        <f t="shared" si="123"/>
        <v>회귀의 전설</v>
      </c>
      <c r="J849">
        <v>100</v>
      </c>
      <c r="K849">
        <v>200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200</v>
      </c>
      <c r="AH849">
        <v>2</v>
      </c>
      <c r="AI849">
        <v>0</v>
      </c>
      <c r="AJ849">
        <v>0</v>
      </c>
      <c r="AK849">
        <v>200</v>
      </c>
      <c r="AL849">
        <v>0</v>
      </c>
      <c r="AM849">
        <v>0</v>
      </c>
      <c r="AN849">
        <v>0</v>
      </c>
      <c r="AO849">
        <v>0</v>
      </c>
      <c r="AP849" s="2">
        <v>140</v>
      </c>
      <c r="AT849" t="str">
        <f>T("9791191102086")</f>
        <v>9791191102086</v>
      </c>
      <c r="AV849" t="str">
        <f t="shared" si="121"/>
        <v>판타지 웹소설 &gt; 현대 판타지</v>
      </c>
    </row>
    <row r="850" spans="1:48" x14ac:dyDescent="0.4">
      <c r="A850">
        <v>1525004030</v>
      </c>
      <c r="B850">
        <v>1525004254</v>
      </c>
      <c r="C850" t="str">
        <f>T("회귀의 전설 225화")</f>
        <v>회귀의 전설 225화</v>
      </c>
      <c r="D850" t="str">
        <f>T("225")</f>
        <v>225</v>
      </c>
      <c r="E850" t="str">
        <f t="shared" si="122"/>
        <v>김광수</v>
      </c>
      <c r="H850" t="str">
        <f t="shared" si="120"/>
        <v>스토리위즈</v>
      </c>
      <c r="I850" t="str">
        <f t="shared" si="123"/>
        <v>회귀의 전설</v>
      </c>
      <c r="J850">
        <v>100</v>
      </c>
      <c r="K850">
        <v>200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200</v>
      </c>
      <c r="AH850">
        <v>2</v>
      </c>
      <c r="AI850">
        <v>0</v>
      </c>
      <c r="AJ850">
        <v>0</v>
      </c>
      <c r="AK850">
        <v>200</v>
      </c>
      <c r="AL850">
        <v>0</v>
      </c>
      <c r="AM850">
        <v>0</v>
      </c>
      <c r="AN850">
        <v>0</v>
      </c>
      <c r="AO850">
        <v>0</v>
      </c>
      <c r="AP850" s="2">
        <v>140</v>
      </c>
      <c r="AT850" t="str">
        <f>T("9788997946006")</f>
        <v>9788997946006</v>
      </c>
      <c r="AV850" t="str">
        <f t="shared" si="121"/>
        <v>판타지 웹소설 &gt; 현대 판타지</v>
      </c>
    </row>
    <row r="851" spans="1:48" x14ac:dyDescent="0.4">
      <c r="A851">
        <v>1525004030</v>
      </c>
      <c r="B851">
        <v>1525006921</v>
      </c>
      <c r="C851" t="str">
        <f>T("회귀의 전설 2부 804화")</f>
        <v>회귀의 전설 2부 804화</v>
      </c>
      <c r="D851" t="str">
        <f>T("804")</f>
        <v>804</v>
      </c>
      <c r="E851" t="str">
        <f t="shared" si="122"/>
        <v>김광수</v>
      </c>
      <c r="H851" t="str">
        <f t="shared" si="120"/>
        <v>스토리위즈</v>
      </c>
      <c r="I851" t="str">
        <f t="shared" si="123"/>
        <v>회귀의 전설</v>
      </c>
      <c r="J851">
        <v>100</v>
      </c>
      <c r="K851">
        <v>200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200</v>
      </c>
      <c r="AH851">
        <v>2</v>
      </c>
      <c r="AI851">
        <v>0</v>
      </c>
      <c r="AJ851">
        <v>0</v>
      </c>
      <c r="AK851">
        <v>200</v>
      </c>
      <c r="AL851">
        <v>0</v>
      </c>
      <c r="AM851">
        <v>0</v>
      </c>
      <c r="AN851">
        <v>0</v>
      </c>
      <c r="AO851">
        <v>0</v>
      </c>
      <c r="AP851" s="2">
        <v>140</v>
      </c>
      <c r="AT851" t="str">
        <f t="shared" ref="AT851:AT856" si="124">T("9791191102086")</f>
        <v>9791191102086</v>
      </c>
      <c r="AV851" t="str">
        <f t="shared" si="121"/>
        <v>판타지 웹소설 &gt; 현대 판타지</v>
      </c>
    </row>
    <row r="852" spans="1:48" x14ac:dyDescent="0.4">
      <c r="A852">
        <v>1525004030</v>
      </c>
      <c r="B852">
        <v>1525006745</v>
      </c>
      <c r="C852" t="str">
        <f>T("회귀의 전설 2부 628화")</f>
        <v>회귀의 전설 2부 628화</v>
      </c>
      <c r="D852" t="str">
        <f>T("628")</f>
        <v>628</v>
      </c>
      <c r="E852" t="str">
        <f t="shared" si="122"/>
        <v>김광수</v>
      </c>
      <c r="H852" t="str">
        <f t="shared" si="120"/>
        <v>스토리위즈</v>
      </c>
      <c r="I852" t="str">
        <f t="shared" si="123"/>
        <v>회귀의 전설</v>
      </c>
      <c r="J852">
        <v>100</v>
      </c>
      <c r="K852">
        <v>200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200</v>
      </c>
      <c r="AH852">
        <v>2</v>
      </c>
      <c r="AI852">
        <v>0</v>
      </c>
      <c r="AJ852">
        <v>0</v>
      </c>
      <c r="AK852">
        <v>200</v>
      </c>
      <c r="AL852">
        <v>0</v>
      </c>
      <c r="AM852">
        <v>0</v>
      </c>
      <c r="AN852">
        <v>0</v>
      </c>
      <c r="AO852">
        <v>0</v>
      </c>
      <c r="AP852" s="2">
        <v>140</v>
      </c>
      <c r="AT852" t="str">
        <f t="shared" si="124"/>
        <v>9791191102086</v>
      </c>
      <c r="AV852" t="str">
        <f t="shared" si="121"/>
        <v>판타지 웹소설 &gt; 현대 판타지</v>
      </c>
    </row>
    <row r="853" spans="1:48" x14ac:dyDescent="0.4">
      <c r="A853">
        <v>1525004030</v>
      </c>
      <c r="B853">
        <v>1525006801</v>
      </c>
      <c r="C853" t="str">
        <f>T("회귀의 전설 2부 684화")</f>
        <v>회귀의 전설 2부 684화</v>
      </c>
      <c r="D853" t="str">
        <f>T("684")</f>
        <v>684</v>
      </c>
      <c r="E853" t="str">
        <f t="shared" si="122"/>
        <v>김광수</v>
      </c>
      <c r="H853" t="str">
        <f t="shared" si="120"/>
        <v>스토리위즈</v>
      </c>
      <c r="I853" t="str">
        <f t="shared" si="123"/>
        <v>회귀의 전설</v>
      </c>
      <c r="J853">
        <v>100</v>
      </c>
      <c r="K853">
        <v>200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200</v>
      </c>
      <c r="AH853">
        <v>2</v>
      </c>
      <c r="AI853">
        <v>0</v>
      </c>
      <c r="AJ853">
        <v>0</v>
      </c>
      <c r="AK853">
        <v>200</v>
      </c>
      <c r="AL853">
        <v>0</v>
      </c>
      <c r="AM853">
        <v>0</v>
      </c>
      <c r="AN853">
        <v>0</v>
      </c>
      <c r="AO853">
        <v>0</v>
      </c>
      <c r="AP853" s="2">
        <v>140</v>
      </c>
      <c r="AT853" t="str">
        <f t="shared" si="124"/>
        <v>9791191102086</v>
      </c>
      <c r="AV853" t="str">
        <f t="shared" si="121"/>
        <v>판타지 웹소설 &gt; 현대 판타지</v>
      </c>
    </row>
    <row r="854" spans="1:48" x14ac:dyDescent="0.4">
      <c r="A854">
        <v>1525004030</v>
      </c>
      <c r="B854">
        <v>1525006665</v>
      </c>
      <c r="C854" t="str">
        <f>T("회귀의 전설 2부 548화")</f>
        <v>회귀의 전설 2부 548화</v>
      </c>
      <c r="D854" t="str">
        <f>T("548")</f>
        <v>548</v>
      </c>
      <c r="E854" t="str">
        <f t="shared" si="122"/>
        <v>김광수</v>
      </c>
      <c r="H854" t="str">
        <f t="shared" si="120"/>
        <v>스토리위즈</v>
      </c>
      <c r="I854" t="str">
        <f t="shared" si="123"/>
        <v>회귀의 전설</v>
      </c>
      <c r="J854">
        <v>100</v>
      </c>
      <c r="K854">
        <v>200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200</v>
      </c>
      <c r="AH854">
        <v>2</v>
      </c>
      <c r="AI854">
        <v>0</v>
      </c>
      <c r="AJ854">
        <v>0</v>
      </c>
      <c r="AK854">
        <v>200</v>
      </c>
      <c r="AL854">
        <v>0</v>
      </c>
      <c r="AM854">
        <v>0</v>
      </c>
      <c r="AN854">
        <v>0</v>
      </c>
      <c r="AO854">
        <v>0</v>
      </c>
      <c r="AP854" s="2">
        <v>140</v>
      </c>
      <c r="AT854" t="str">
        <f t="shared" si="124"/>
        <v>9791191102086</v>
      </c>
      <c r="AV854" t="str">
        <f t="shared" si="121"/>
        <v>판타지 웹소설 &gt; 현대 판타지</v>
      </c>
    </row>
    <row r="855" spans="1:48" x14ac:dyDescent="0.4">
      <c r="A855">
        <v>1525004030</v>
      </c>
      <c r="B855">
        <v>1525006857</v>
      </c>
      <c r="C855" t="str">
        <f>T("회귀의 전설 2부 740화")</f>
        <v>회귀의 전설 2부 740화</v>
      </c>
      <c r="D855" t="str">
        <f>T("740")</f>
        <v>740</v>
      </c>
      <c r="E855" t="str">
        <f t="shared" si="122"/>
        <v>김광수</v>
      </c>
      <c r="H855" t="str">
        <f t="shared" si="120"/>
        <v>스토리위즈</v>
      </c>
      <c r="I855" t="str">
        <f t="shared" si="123"/>
        <v>회귀의 전설</v>
      </c>
      <c r="J855">
        <v>100</v>
      </c>
      <c r="K855">
        <v>200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200</v>
      </c>
      <c r="AH855">
        <v>2</v>
      </c>
      <c r="AI855">
        <v>0</v>
      </c>
      <c r="AJ855">
        <v>0</v>
      </c>
      <c r="AK855">
        <v>200</v>
      </c>
      <c r="AL855">
        <v>0</v>
      </c>
      <c r="AM855">
        <v>0</v>
      </c>
      <c r="AN855">
        <v>0</v>
      </c>
      <c r="AO855">
        <v>0</v>
      </c>
      <c r="AP855" s="2">
        <v>140</v>
      </c>
      <c r="AT855" t="str">
        <f t="shared" si="124"/>
        <v>9791191102086</v>
      </c>
      <c r="AV855" t="str">
        <f t="shared" si="121"/>
        <v>판타지 웹소설 &gt; 현대 판타지</v>
      </c>
    </row>
    <row r="856" spans="1:48" x14ac:dyDescent="0.4">
      <c r="A856">
        <v>1525004030</v>
      </c>
      <c r="B856">
        <v>1525006914</v>
      </c>
      <c r="C856" t="str">
        <f>T("회귀의 전설 2부 797화")</f>
        <v>회귀의 전설 2부 797화</v>
      </c>
      <c r="D856" t="str">
        <f>T("797")</f>
        <v>797</v>
      </c>
      <c r="E856" t="str">
        <f t="shared" si="122"/>
        <v>김광수</v>
      </c>
      <c r="H856" t="str">
        <f t="shared" si="120"/>
        <v>스토리위즈</v>
      </c>
      <c r="I856" t="str">
        <f t="shared" si="123"/>
        <v>회귀의 전설</v>
      </c>
      <c r="J856">
        <v>100</v>
      </c>
      <c r="K856">
        <v>200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200</v>
      </c>
      <c r="AH856">
        <v>2</v>
      </c>
      <c r="AI856">
        <v>0</v>
      </c>
      <c r="AJ856">
        <v>0</v>
      </c>
      <c r="AK856">
        <v>200</v>
      </c>
      <c r="AL856">
        <v>0</v>
      </c>
      <c r="AM856">
        <v>0</v>
      </c>
      <c r="AN856">
        <v>0</v>
      </c>
      <c r="AO856">
        <v>0</v>
      </c>
      <c r="AP856" s="2">
        <v>140</v>
      </c>
      <c r="AT856" t="str">
        <f t="shared" si="124"/>
        <v>9791191102086</v>
      </c>
      <c r="AV856" t="str">
        <f t="shared" si="121"/>
        <v>판타지 웹소설 &gt; 현대 판타지</v>
      </c>
    </row>
    <row r="857" spans="1:48" x14ac:dyDescent="0.4">
      <c r="A857">
        <v>1525004030</v>
      </c>
      <c r="B857">
        <v>1525004239</v>
      </c>
      <c r="C857" t="str">
        <f>T("회귀의 전설 210화")</f>
        <v>회귀의 전설 210화</v>
      </c>
      <c r="D857" t="str">
        <f>T("210")</f>
        <v>210</v>
      </c>
      <c r="E857" t="str">
        <f t="shared" si="122"/>
        <v>김광수</v>
      </c>
      <c r="H857" t="str">
        <f t="shared" si="120"/>
        <v>스토리위즈</v>
      </c>
      <c r="I857" t="str">
        <f t="shared" si="123"/>
        <v>회귀의 전설</v>
      </c>
      <c r="J857">
        <v>100</v>
      </c>
      <c r="K857">
        <v>200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200</v>
      </c>
      <c r="AH857">
        <v>2</v>
      </c>
      <c r="AI857">
        <v>0</v>
      </c>
      <c r="AJ857">
        <v>0</v>
      </c>
      <c r="AK857">
        <v>200</v>
      </c>
      <c r="AL857">
        <v>0</v>
      </c>
      <c r="AM857">
        <v>0</v>
      </c>
      <c r="AN857">
        <v>0</v>
      </c>
      <c r="AO857">
        <v>0</v>
      </c>
      <c r="AP857" s="2">
        <v>140</v>
      </c>
      <c r="AT857" t="str">
        <f>T("9788997946006")</f>
        <v>9788997946006</v>
      </c>
      <c r="AV857" t="str">
        <f t="shared" si="121"/>
        <v>판타지 웹소설 &gt; 현대 판타지</v>
      </c>
    </row>
    <row r="858" spans="1:48" x14ac:dyDescent="0.4">
      <c r="A858">
        <v>1525004030</v>
      </c>
      <c r="B858">
        <v>1525006794</v>
      </c>
      <c r="C858" t="str">
        <f>T("회귀의 전설 2부 677화")</f>
        <v>회귀의 전설 2부 677화</v>
      </c>
      <c r="D858" t="str">
        <f>T("677")</f>
        <v>677</v>
      </c>
      <c r="E858" t="str">
        <f t="shared" si="122"/>
        <v>김광수</v>
      </c>
      <c r="H858" t="str">
        <f t="shared" si="120"/>
        <v>스토리위즈</v>
      </c>
      <c r="I858" t="str">
        <f t="shared" si="123"/>
        <v>회귀의 전설</v>
      </c>
      <c r="J858">
        <v>100</v>
      </c>
      <c r="K858">
        <v>200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200</v>
      </c>
      <c r="AH858">
        <v>2</v>
      </c>
      <c r="AI858">
        <v>0</v>
      </c>
      <c r="AJ858">
        <v>0</v>
      </c>
      <c r="AK858">
        <v>200</v>
      </c>
      <c r="AL858">
        <v>0</v>
      </c>
      <c r="AM858">
        <v>0</v>
      </c>
      <c r="AN858">
        <v>0</v>
      </c>
      <c r="AO858">
        <v>0</v>
      </c>
      <c r="AP858" s="2">
        <v>140</v>
      </c>
      <c r="AT858" t="str">
        <f>T("9791191102086")</f>
        <v>9791191102086</v>
      </c>
      <c r="AV858" t="str">
        <f t="shared" si="121"/>
        <v>판타지 웹소설 &gt; 현대 판타지</v>
      </c>
    </row>
    <row r="859" spans="1:48" x14ac:dyDescent="0.4">
      <c r="A859">
        <v>1525004030</v>
      </c>
      <c r="B859">
        <v>1525006658</v>
      </c>
      <c r="C859" t="str">
        <f>T("회귀의 전설 2부 541화")</f>
        <v>회귀의 전설 2부 541화</v>
      </c>
      <c r="D859" t="str">
        <f>T("541")</f>
        <v>541</v>
      </c>
      <c r="E859" t="str">
        <f t="shared" si="122"/>
        <v>김광수</v>
      </c>
      <c r="H859" t="str">
        <f t="shared" si="120"/>
        <v>스토리위즈</v>
      </c>
      <c r="I859" t="str">
        <f t="shared" si="123"/>
        <v>회귀의 전설</v>
      </c>
      <c r="J859">
        <v>100</v>
      </c>
      <c r="K859">
        <v>200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200</v>
      </c>
      <c r="AH859">
        <v>2</v>
      </c>
      <c r="AI859">
        <v>0</v>
      </c>
      <c r="AJ859">
        <v>0</v>
      </c>
      <c r="AK859">
        <v>200</v>
      </c>
      <c r="AL859">
        <v>0</v>
      </c>
      <c r="AM859">
        <v>0</v>
      </c>
      <c r="AN859">
        <v>0</v>
      </c>
      <c r="AO859">
        <v>0</v>
      </c>
      <c r="AP859" s="2">
        <v>140</v>
      </c>
      <c r="AT859" t="str">
        <f>T("9791191102086")</f>
        <v>9791191102086</v>
      </c>
      <c r="AV859" t="str">
        <f t="shared" si="121"/>
        <v>판타지 웹소설 &gt; 현대 판타지</v>
      </c>
    </row>
    <row r="860" spans="1:48" x14ac:dyDescent="0.4">
      <c r="A860">
        <v>1525004030</v>
      </c>
      <c r="B860">
        <v>1525006850</v>
      </c>
      <c r="C860" t="str">
        <f>T("회귀의 전설 2부 733화")</f>
        <v>회귀의 전설 2부 733화</v>
      </c>
      <c r="D860" t="str">
        <f>T("733")</f>
        <v>733</v>
      </c>
      <c r="E860" t="str">
        <f t="shared" si="122"/>
        <v>김광수</v>
      </c>
      <c r="H860" t="str">
        <f t="shared" si="120"/>
        <v>스토리위즈</v>
      </c>
      <c r="I860" t="str">
        <f t="shared" si="123"/>
        <v>회귀의 전설</v>
      </c>
      <c r="J860">
        <v>100</v>
      </c>
      <c r="K860">
        <v>200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200</v>
      </c>
      <c r="AH860">
        <v>2</v>
      </c>
      <c r="AI860">
        <v>0</v>
      </c>
      <c r="AJ860">
        <v>0</v>
      </c>
      <c r="AK860">
        <v>200</v>
      </c>
      <c r="AL860">
        <v>0</v>
      </c>
      <c r="AM860">
        <v>0</v>
      </c>
      <c r="AN860">
        <v>0</v>
      </c>
      <c r="AO860">
        <v>0</v>
      </c>
      <c r="AP860" s="2">
        <v>140</v>
      </c>
      <c r="AT860" t="str">
        <f>T("9791191102086")</f>
        <v>9791191102086</v>
      </c>
      <c r="AV860" t="str">
        <f t="shared" si="121"/>
        <v>판타지 웹소설 &gt; 현대 판타지</v>
      </c>
    </row>
    <row r="861" spans="1:48" x14ac:dyDescent="0.4">
      <c r="A861">
        <v>1525004030</v>
      </c>
      <c r="B861">
        <v>1525006770</v>
      </c>
      <c r="C861" t="str">
        <f>T("회귀의 전설 2부 653화")</f>
        <v>회귀의 전설 2부 653화</v>
      </c>
      <c r="D861" t="str">
        <f>T("653")</f>
        <v>653</v>
      </c>
      <c r="E861" t="str">
        <f t="shared" si="122"/>
        <v>김광수</v>
      </c>
      <c r="H861" t="str">
        <f t="shared" si="120"/>
        <v>스토리위즈</v>
      </c>
      <c r="I861" t="str">
        <f t="shared" si="123"/>
        <v>회귀의 전설</v>
      </c>
      <c r="J861">
        <v>100</v>
      </c>
      <c r="K861">
        <v>200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200</v>
      </c>
      <c r="AH861">
        <v>2</v>
      </c>
      <c r="AI861">
        <v>0</v>
      </c>
      <c r="AJ861">
        <v>0</v>
      </c>
      <c r="AK861">
        <v>200</v>
      </c>
      <c r="AL861">
        <v>0</v>
      </c>
      <c r="AM861">
        <v>0</v>
      </c>
      <c r="AN861">
        <v>0</v>
      </c>
      <c r="AO861">
        <v>0</v>
      </c>
      <c r="AP861" s="2">
        <v>140</v>
      </c>
      <c r="AT861" t="str">
        <f>T("9791191102086")</f>
        <v>9791191102086</v>
      </c>
      <c r="AV861" t="str">
        <f t="shared" si="121"/>
        <v>판타지 웹소설 &gt; 현대 판타지</v>
      </c>
    </row>
    <row r="862" spans="1:48" x14ac:dyDescent="0.4">
      <c r="A862">
        <v>1525004030</v>
      </c>
      <c r="B862">
        <v>1525006826</v>
      </c>
      <c r="C862" t="str">
        <f>T("회귀의 전설 2부 709화")</f>
        <v>회귀의 전설 2부 709화</v>
      </c>
      <c r="D862" t="str">
        <f>T("709")</f>
        <v>709</v>
      </c>
      <c r="E862" t="str">
        <f t="shared" si="122"/>
        <v>김광수</v>
      </c>
      <c r="H862" t="str">
        <f t="shared" si="120"/>
        <v>스토리위즈</v>
      </c>
      <c r="I862" t="str">
        <f t="shared" si="123"/>
        <v>회귀의 전설</v>
      </c>
      <c r="J862">
        <v>100</v>
      </c>
      <c r="K862">
        <v>200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200</v>
      </c>
      <c r="AH862">
        <v>2</v>
      </c>
      <c r="AI862">
        <v>0</v>
      </c>
      <c r="AJ862">
        <v>0</v>
      </c>
      <c r="AK862">
        <v>200</v>
      </c>
      <c r="AL862">
        <v>0</v>
      </c>
      <c r="AM862">
        <v>0</v>
      </c>
      <c r="AN862">
        <v>0</v>
      </c>
      <c r="AO862">
        <v>0</v>
      </c>
      <c r="AP862" s="2">
        <v>140</v>
      </c>
      <c r="AT862" t="str">
        <f>T("9791191102086")</f>
        <v>9791191102086</v>
      </c>
      <c r="AV862" t="str">
        <f t="shared" si="121"/>
        <v>판타지 웹소설 &gt; 현대 판타지</v>
      </c>
    </row>
    <row r="863" spans="1:48" x14ac:dyDescent="0.4">
      <c r="A863">
        <v>2313011400</v>
      </c>
      <c r="B863">
        <v>1525007728</v>
      </c>
      <c r="C863" t="str">
        <f>T("최종 보스 25권 13화")</f>
        <v>최종 보스 25권 13화</v>
      </c>
      <c r="D863" t="str">
        <f>T("506")</f>
        <v>506</v>
      </c>
      <c r="E863" t="str">
        <f>T("무장")</f>
        <v>무장</v>
      </c>
      <c r="H863" t="str">
        <f t="shared" si="120"/>
        <v>스토리위즈</v>
      </c>
      <c r="I863" t="str">
        <f>T("최종 보스 : 빛을 향해 달리는 그림자")</f>
        <v>최종 보스 : 빛을 향해 달리는 그림자</v>
      </c>
      <c r="J863">
        <v>100</v>
      </c>
      <c r="K863">
        <v>200</v>
      </c>
      <c r="L863">
        <v>2</v>
      </c>
      <c r="M863">
        <v>0</v>
      </c>
      <c r="N863">
        <v>100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 s="2">
        <v>210</v>
      </c>
      <c r="AT863" t="str">
        <f>T("9791166067563")</f>
        <v>9791166067563</v>
      </c>
      <c r="AV863" t="str">
        <f t="shared" si="121"/>
        <v>판타지 웹소설 &gt; 현대 판타지</v>
      </c>
    </row>
    <row r="864" spans="1:48" x14ac:dyDescent="0.4">
      <c r="A864">
        <v>1525004030</v>
      </c>
      <c r="B864">
        <v>1525006882</v>
      </c>
      <c r="C864" t="str">
        <f>T("회귀의 전설 2부 765화")</f>
        <v>회귀의 전설 2부 765화</v>
      </c>
      <c r="D864" t="str">
        <f>T("765")</f>
        <v>765</v>
      </c>
      <c r="E864" t="str">
        <f t="shared" ref="E864:E870" si="125">T("김광수")</f>
        <v>김광수</v>
      </c>
      <c r="H864" t="str">
        <f t="shared" si="120"/>
        <v>스토리위즈</v>
      </c>
      <c r="I864" t="str">
        <f t="shared" ref="I864:I870" si="126">T("회귀의 전설")</f>
        <v>회귀의 전설</v>
      </c>
      <c r="J864">
        <v>100</v>
      </c>
      <c r="K864">
        <v>200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200</v>
      </c>
      <c r="AH864">
        <v>2</v>
      </c>
      <c r="AI864">
        <v>0</v>
      </c>
      <c r="AJ864">
        <v>0</v>
      </c>
      <c r="AK864">
        <v>200</v>
      </c>
      <c r="AL864">
        <v>0</v>
      </c>
      <c r="AM864">
        <v>0</v>
      </c>
      <c r="AN864">
        <v>0</v>
      </c>
      <c r="AO864">
        <v>0</v>
      </c>
      <c r="AP864" s="2">
        <v>140</v>
      </c>
      <c r="AT864" t="str">
        <f>T("9791191102086")</f>
        <v>9791191102086</v>
      </c>
      <c r="AV864" t="str">
        <f t="shared" si="121"/>
        <v>판타지 웹소설 &gt; 현대 판타지</v>
      </c>
    </row>
    <row r="865" spans="1:48" x14ac:dyDescent="0.4">
      <c r="A865">
        <v>1525004030</v>
      </c>
      <c r="B865">
        <v>1525006690</v>
      </c>
      <c r="C865" t="str">
        <f>T("회귀의 전설 2부 573화")</f>
        <v>회귀의 전설 2부 573화</v>
      </c>
      <c r="D865" t="str">
        <f>T("573")</f>
        <v>573</v>
      </c>
      <c r="E865" t="str">
        <f t="shared" si="125"/>
        <v>김광수</v>
      </c>
      <c r="H865" t="str">
        <f t="shared" si="120"/>
        <v>스토리위즈</v>
      </c>
      <c r="I865" t="str">
        <f t="shared" si="126"/>
        <v>회귀의 전설</v>
      </c>
      <c r="J865">
        <v>100</v>
      </c>
      <c r="K865">
        <v>200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200</v>
      </c>
      <c r="AH865">
        <v>2</v>
      </c>
      <c r="AI865">
        <v>0</v>
      </c>
      <c r="AJ865">
        <v>0</v>
      </c>
      <c r="AK865">
        <v>200</v>
      </c>
      <c r="AL865">
        <v>0</v>
      </c>
      <c r="AM865">
        <v>0</v>
      </c>
      <c r="AN865">
        <v>0</v>
      </c>
      <c r="AO865">
        <v>0</v>
      </c>
      <c r="AP865" s="2">
        <v>140</v>
      </c>
      <c r="AT865" t="str">
        <f>T("9791191102086")</f>
        <v>9791191102086</v>
      </c>
      <c r="AV865" t="str">
        <f t="shared" si="121"/>
        <v>판타지 웹소설 &gt; 현대 판타지</v>
      </c>
    </row>
    <row r="866" spans="1:48" x14ac:dyDescent="0.4">
      <c r="A866">
        <v>1525004030</v>
      </c>
      <c r="B866">
        <v>1525004095</v>
      </c>
      <c r="C866" t="str">
        <f>T("회귀의 전설 66화")</f>
        <v>회귀의 전설 66화</v>
      </c>
      <c r="D866" t="str">
        <f>T("66")</f>
        <v>66</v>
      </c>
      <c r="E866" t="str">
        <f t="shared" si="125"/>
        <v>김광수</v>
      </c>
      <c r="H866" t="str">
        <f t="shared" si="120"/>
        <v>스토리위즈</v>
      </c>
      <c r="I866" t="str">
        <f t="shared" si="126"/>
        <v>회귀의 전설</v>
      </c>
      <c r="J866">
        <v>100</v>
      </c>
      <c r="K866">
        <v>200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200</v>
      </c>
      <c r="AH866">
        <v>2</v>
      </c>
      <c r="AI866">
        <v>0</v>
      </c>
      <c r="AJ866">
        <v>0</v>
      </c>
      <c r="AK866">
        <v>200</v>
      </c>
      <c r="AL866">
        <v>0</v>
      </c>
      <c r="AM866">
        <v>0</v>
      </c>
      <c r="AN866">
        <v>0</v>
      </c>
      <c r="AO866">
        <v>0</v>
      </c>
      <c r="AP866" s="2">
        <v>140</v>
      </c>
      <c r="AT866" t="str">
        <f>T("9788997946006")</f>
        <v>9788997946006</v>
      </c>
      <c r="AV866" t="str">
        <f t="shared" si="121"/>
        <v>판타지 웹소설 &gt; 현대 판타지</v>
      </c>
    </row>
    <row r="867" spans="1:48" x14ac:dyDescent="0.4">
      <c r="A867">
        <v>1525004030</v>
      </c>
      <c r="B867">
        <v>1525004247</v>
      </c>
      <c r="C867" t="str">
        <f>T("회귀의 전설 218화")</f>
        <v>회귀의 전설 218화</v>
      </c>
      <c r="D867" t="str">
        <f>T("218")</f>
        <v>218</v>
      </c>
      <c r="E867" t="str">
        <f t="shared" si="125"/>
        <v>김광수</v>
      </c>
      <c r="H867" t="str">
        <f t="shared" si="120"/>
        <v>스토리위즈</v>
      </c>
      <c r="I867" t="str">
        <f t="shared" si="126"/>
        <v>회귀의 전설</v>
      </c>
      <c r="J867">
        <v>100</v>
      </c>
      <c r="K867">
        <v>200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200</v>
      </c>
      <c r="AH867">
        <v>2</v>
      </c>
      <c r="AI867">
        <v>0</v>
      </c>
      <c r="AJ867">
        <v>0</v>
      </c>
      <c r="AK867">
        <v>200</v>
      </c>
      <c r="AL867">
        <v>0</v>
      </c>
      <c r="AM867">
        <v>0</v>
      </c>
      <c r="AN867">
        <v>0</v>
      </c>
      <c r="AO867">
        <v>0</v>
      </c>
      <c r="AP867" s="2">
        <v>140</v>
      </c>
      <c r="AT867" t="str">
        <f>T("9788997946006")</f>
        <v>9788997946006</v>
      </c>
      <c r="AV867" t="str">
        <f t="shared" si="121"/>
        <v>판타지 웹소설 &gt; 현대 판타지</v>
      </c>
    </row>
    <row r="868" spans="1:48" x14ac:dyDescent="0.4">
      <c r="A868">
        <v>1525004030</v>
      </c>
      <c r="B868">
        <v>1525004430</v>
      </c>
      <c r="C868" t="str">
        <f>T("회귀의 전설 414화")</f>
        <v>회귀의 전설 414화</v>
      </c>
      <c r="D868" t="str">
        <f>T("414")</f>
        <v>414</v>
      </c>
      <c r="E868" t="str">
        <f t="shared" si="125"/>
        <v>김광수</v>
      </c>
      <c r="H868" t="str">
        <f t="shared" si="120"/>
        <v>스토리위즈</v>
      </c>
      <c r="I868" t="str">
        <f t="shared" si="126"/>
        <v>회귀의 전설</v>
      </c>
      <c r="J868">
        <v>100</v>
      </c>
      <c r="K868">
        <v>200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200</v>
      </c>
      <c r="AH868">
        <v>2</v>
      </c>
      <c r="AI868">
        <v>0</v>
      </c>
      <c r="AJ868">
        <v>0</v>
      </c>
      <c r="AK868">
        <v>200</v>
      </c>
      <c r="AL868">
        <v>0</v>
      </c>
      <c r="AM868">
        <v>0</v>
      </c>
      <c r="AN868">
        <v>0</v>
      </c>
      <c r="AO868">
        <v>0</v>
      </c>
      <c r="AP868" s="2">
        <v>140</v>
      </c>
      <c r="AT868" t="str">
        <f>T("9788997946006")</f>
        <v>9788997946006</v>
      </c>
      <c r="AV868" t="str">
        <f t="shared" si="121"/>
        <v>판타지 웹소설 &gt; 현대 판타지</v>
      </c>
    </row>
    <row r="869" spans="1:48" x14ac:dyDescent="0.4">
      <c r="A869">
        <v>1525004030</v>
      </c>
      <c r="B869">
        <v>1525006763</v>
      </c>
      <c r="C869" t="str">
        <f>T("회귀의 전설 2부 646화")</f>
        <v>회귀의 전설 2부 646화</v>
      </c>
      <c r="D869" t="str">
        <f>T("646")</f>
        <v>646</v>
      </c>
      <c r="E869" t="str">
        <f t="shared" si="125"/>
        <v>김광수</v>
      </c>
      <c r="H869" t="str">
        <f t="shared" si="120"/>
        <v>스토리위즈</v>
      </c>
      <c r="I869" t="str">
        <f t="shared" si="126"/>
        <v>회귀의 전설</v>
      </c>
      <c r="J869">
        <v>100</v>
      </c>
      <c r="K869">
        <v>200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200</v>
      </c>
      <c r="AH869">
        <v>2</v>
      </c>
      <c r="AI869">
        <v>0</v>
      </c>
      <c r="AJ869">
        <v>0</v>
      </c>
      <c r="AK869">
        <v>200</v>
      </c>
      <c r="AL869">
        <v>0</v>
      </c>
      <c r="AM869">
        <v>0</v>
      </c>
      <c r="AN869">
        <v>0</v>
      </c>
      <c r="AO869">
        <v>0</v>
      </c>
      <c r="AP869" s="2">
        <v>140</v>
      </c>
      <c r="AT869" t="str">
        <f>T("9791191102086")</f>
        <v>9791191102086</v>
      </c>
      <c r="AV869" t="str">
        <f t="shared" si="121"/>
        <v>판타지 웹소설 &gt; 현대 판타지</v>
      </c>
    </row>
    <row r="870" spans="1:48" x14ac:dyDescent="0.4">
      <c r="A870">
        <v>1525004030</v>
      </c>
      <c r="B870">
        <v>1525006819</v>
      </c>
      <c r="C870" t="str">
        <f>T("회귀의 전설 2부 702화")</f>
        <v>회귀의 전설 2부 702화</v>
      </c>
      <c r="D870" t="str">
        <f>T("702")</f>
        <v>702</v>
      </c>
      <c r="E870" t="str">
        <f t="shared" si="125"/>
        <v>김광수</v>
      </c>
      <c r="H870" t="str">
        <f t="shared" si="120"/>
        <v>스토리위즈</v>
      </c>
      <c r="I870" t="str">
        <f t="shared" si="126"/>
        <v>회귀의 전설</v>
      </c>
      <c r="J870">
        <v>100</v>
      </c>
      <c r="K870">
        <v>200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200</v>
      </c>
      <c r="AH870">
        <v>2</v>
      </c>
      <c r="AI870">
        <v>0</v>
      </c>
      <c r="AJ870">
        <v>0</v>
      </c>
      <c r="AK870">
        <v>200</v>
      </c>
      <c r="AL870">
        <v>0</v>
      </c>
      <c r="AM870">
        <v>0</v>
      </c>
      <c r="AN870">
        <v>0</v>
      </c>
      <c r="AO870">
        <v>0</v>
      </c>
      <c r="AP870" s="2">
        <v>140</v>
      </c>
      <c r="AT870" t="str">
        <f>T("9791191102086")</f>
        <v>9791191102086</v>
      </c>
      <c r="AV870" t="str">
        <f t="shared" si="121"/>
        <v>판타지 웹소설 &gt; 현대 판타지</v>
      </c>
    </row>
    <row r="871" spans="1:48" x14ac:dyDescent="0.4">
      <c r="A871">
        <v>2313011400</v>
      </c>
      <c r="B871">
        <v>1525007721</v>
      </c>
      <c r="C871" t="str">
        <f>T("최종 보스 25권 6화")</f>
        <v>최종 보스 25권 6화</v>
      </c>
      <c r="D871" t="str">
        <f>T("499")</f>
        <v>499</v>
      </c>
      <c r="E871" t="str">
        <f>T("무장")</f>
        <v>무장</v>
      </c>
      <c r="H871" t="str">
        <f t="shared" si="120"/>
        <v>스토리위즈</v>
      </c>
      <c r="I871" t="str">
        <f>T("최종 보스 : 빛을 향해 달리는 그림자")</f>
        <v>최종 보스 : 빛을 향해 달리는 그림자</v>
      </c>
      <c r="J871">
        <v>100</v>
      </c>
      <c r="K871">
        <v>200</v>
      </c>
      <c r="L871">
        <v>2</v>
      </c>
      <c r="M871">
        <v>0</v>
      </c>
      <c r="N871">
        <v>100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 s="2">
        <v>210</v>
      </c>
      <c r="AT871" t="str">
        <f>T("9791166067563")</f>
        <v>9791166067563</v>
      </c>
      <c r="AV871" t="str">
        <f t="shared" si="121"/>
        <v>판타지 웹소설 &gt; 현대 판타지</v>
      </c>
    </row>
    <row r="872" spans="1:48" x14ac:dyDescent="0.4">
      <c r="A872">
        <v>1525004030</v>
      </c>
      <c r="B872">
        <v>1525006875</v>
      </c>
      <c r="C872" t="str">
        <f>T("회귀의 전설 2부 758화")</f>
        <v>회귀의 전설 2부 758화</v>
      </c>
      <c r="D872" t="str">
        <f>T("758")</f>
        <v>758</v>
      </c>
      <c r="E872" t="str">
        <f>T("김광수")</f>
        <v>김광수</v>
      </c>
      <c r="H872" t="str">
        <f t="shared" si="120"/>
        <v>스토리위즈</v>
      </c>
      <c r="I872" t="str">
        <f>T("회귀의 전설")</f>
        <v>회귀의 전설</v>
      </c>
      <c r="J872">
        <v>100</v>
      </c>
      <c r="K872">
        <v>200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200</v>
      </c>
      <c r="AH872">
        <v>2</v>
      </c>
      <c r="AI872">
        <v>0</v>
      </c>
      <c r="AJ872">
        <v>0</v>
      </c>
      <c r="AK872">
        <v>200</v>
      </c>
      <c r="AL872">
        <v>0</v>
      </c>
      <c r="AM872">
        <v>0</v>
      </c>
      <c r="AN872">
        <v>0</v>
      </c>
      <c r="AO872">
        <v>0</v>
      </c>
      <c r="AP872" s="2">
        <v>140</v>
      </c>
      <c r="AT872" t="str">
        <f>T("9791191102086")</f>
        <v>9791191102086</v>
      </c>
      <c r="AV872" t="str">
        <f t="shared" si="121"/>
        <v>판타지 웹소설 &gt; 현대 판타지</v>
      </c>
    </row>
    <row r="873" spans="1:48" x14ac:dyDescent="0.4">
      <c r="A873">
        <v>1525004030</v>
      </c>
      <c r="B873">
        <v>1525006683</v>
      </c>
      <c r="C873" t="str">
        <f>T("회귀의 전설 2부 566화")</f>
        <v>회귀의 전설 2부 566화</v>
      </c>
      <c r="D873" t="str">
        <f>T("566")</f>
        <v>566</v>
      </c>
      <c r="E873" t="str">
        <f>T("김광수")</f>
        <v>김광수</v>
      </c>
      <c r="H873" t="str">
        <f t="shared" si="120"/>
        <v>스토리위즈</v>
      </c>
      <c r="I873" t="str">
        <f>T("회귀의 전설")</f>
        <v>회귀의 전설</v>
      </c>
      <c r="J873">
        <v>100</v>
      </c>
      <c r="K873">
        <v>200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200</v>
      </c>
      <c r="AH873">
        <v>2</v>
      </c>
      <c r="AI873">
        <v>0</v>
      </c>
      <c r="AJ873">
        <v>0</v>
      </c>
      <c r="AK873">
        <v>200</v>
      </c>
      <c r="AL873">
        <v>0</v>
      </c>
      <c r="AM873">
        <v>0</v>
      </c>
      <c r="AN873">
        <v>0</v>
      </c>
      <c r="AO873">
        <v>0</v>
      </c>
      <c r="AP873" s="2">
        <v>140</v>
      </c>
      <c r="AT873" t="str">
        <f>T("9791191102086")</f>
        <v>9791191102086</v>
      </c>
      <c r="AV873" t="str">
        <f t="shared" si="121"/>
        <v>판타지 웹소설 &gt; 현대 판타지</v>
      </c>
    </row>
    <row r="874" spans="1:48" x14ac:dyDescent="0.4">
      <c r="A874">
        <v>1525004030</v>
      </c>
      <c r="B874">
        <v>1525006907</v>
      </c>
      <c r="C874" t="str">
        <f>T("회귀의 전설 2부 790화")</f>
        <v>회귀의 전설 2부 790화</v>
      </c>
      <c r="D874" t="str">
        <f>T("790")</f>
        <v>790</v>
      </c>
      <c r="E874" t="str">
        <f>T("김광수")</f>
        <v>김광수</v>
      </c>
      <c r="H874" t="str">
        <f t="shared" si="120"/>
        <v>스토리위즈</v>
      </c>
      <c r="I874" t="str">
        <f>T("회귀의 전설")</f>
        <v>회귀의 전설</v>
      </c>
      <c r="J874">
        <v>100</v>
      </c>
      <c r="K874">
        <v>200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200</v>
      </c>
      <c r="AH874">
        <v>2</v>
      </c>
      <c r="AI874">
        <v>0</v>
      </c>
      <c r="AJ874">
        <v>0</v>
      </c>
      <c r="AK874">
        <v>200</v>
      </c>
      <c r="AL874">
        <v>0</v>
      </c>
      <c r="AM874">
        <v>0</v>
      </c>
      <c r="AN874">
        <v>0</v>
      </c>
      <c r="AO874">
        <v>0</v>
      </c>
      <c r="AP874" s="2">
        <v>140</v>
      </c>
      <c r="AT874" t="str">
        <f>T("9791191102086")</f>
        <v>9791191102086</v>
      </c>
      <c r="AV874" t="str">
        <f t="shared" si="121"/>
        <v>판타지 웹소설 &gt; 현대 판타지</v>
      </c>
    </row>
    <row r="875" spans="1:48" x14ac:dyDescent="0.4">
      <c r="A875">
        <v>1525004030</v>
      </c>
      <c r="B875">
        <v>1525006963</v>
      </c>
      <c r="C875" t="str">
        <f>T("회귀의 전설 2부 847화")</f>
        <v>회귀의 전설 2부 847화</v>
      </c>
      <c r="D875" t="str">
        <f>T("847")</f>
        <v>847</v>
      </c>
      <c r="E875" t="str">
        <f>T("김광수")</f>
        <v>김광수</v>
      </c>
      <c r="H875" t="str">
        <f t="shared" si="120"/>
        <v>스토리위즈</v>
      </c>
      <c r="I875" t="str">
        <f>T("회귀의 전설")</f>
        <v>회귀의 전설</v>
      </c>
      <c r="J875">
        <v>100</v>
      </c>
      <c r="K875">
        <v>200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200</v>
      </c>
      <c r="AH875">
        <v>2</v>
      </c>
      <c r="AI875">
        <v>0</v>
      </c>
      <c r="AJ875">
        <v>0</v>
      </c>
      <c r="AK875">
        <v>200</v>
      </c>
      <c r="AL875">
        <v>0</v>
      </c>
      <c r="AM875">
        <v>0</v>
      </c>
      <c r="AN875">
        <v>0</v>
      </c>
      <c r="AO875">
        <v>0</v>
      </c>
      <c r="AP875" s="2">
        <v>140</v>
      </c>
      <c r="AT875" t="str">
        <f>T("9791191102086")</f>
        <v>9791191102086</v>
      </c>
      <c r="AV875" t="str">
        <f t="shared" si="121"/>
        <v>판타지 웹소설 &gt; 현대 판타지</v>
      </c>
    </row>
    <row r="876" spans="1:48" x14ac:dyDescent="0.4">
      <c r="A876">
        <v>2313011400</v>
      </c>
      <c r="B876">
        <v>1525007577</v>
      </c>
      <c r="C876" t="str">
        <f>T("최종 보스 18권 3화")</f>
        <v>최종 보스 18권 3화</v>
      </c>
      <c r="D876" t="str">
        <f>T("355")</f>
        <v>355</v>
      </c>
      <c r="E876" t="str">
        <f>T("무장")</f>
        <v>무장</v>
      </c>
      <c r="H876" t="str">
        <f t="shared" si="120"/>
        <v>스토리위즈</v>
      </c>
      <c r="I876" t="str">
        <f>T("최종 보스 : 빛을 향해 달리는 그림자")</f>
        <v>최종 보스 : 빛을 향해 달리는 그림자</v>
      </c>
      <c r="J876">
        <v>100</v>
      </c>
      <c r="K876">
        <v>200</v>
      </c>
      <c r="L876">
        <v>2</v>
      </c>
      <c r="M876">
        <v>0</v>
      </c>
      <c r="N876">
        <v>100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200</v>
      </c>
      <c r="AL876">
        <v>0</v>
      </c>
      <c r="AM876">
        <v>120.41</v>
      </c>
      <c r="AN876">
        <v>-36.119999999999997</v>
      </c>
      <c r="AO876">
        <v>0</v>
      </c>
      <c r="AP876" s="2">
        <v>199</v>
      </c>
      <c r="AT876" t="str">
        <f>T("9791166067563")</f>
        <v>9791166067563</v>
      </c>
      <c r="AV876" t="str">
        <f t="shared" si="121"/>
        <v>판타지 웹소설 &gt; 현대 판타지</v>
      </c>
    </row>
    <row r="877" spans="1:48" x14ac:dyDescent="0.4">
      <c r="A877">
        <v>1525004030</v>
      </c>
      <c r="B877">
        <v>1525006787</v>
      </c>
      <c r="C877" t="str">
        <f>T("회귀의 전설 2부 670화")</f>
        <v>회귀의 전설 2부 670화</v>
      </c>
      <c r="D877" t="str">
        <f>T("670")</f>
        <v>670</v>
      </c>
      <c r="E877" t="str">
        <f>T("김광수")</f>
        <v>김광수</v>
      </c>
      <c r="H877" t="str">
        <f t="shared" si="120"/>
        <v>스토리위즈</v>
      </c>
      <c r="I877" t="str">
        <f>T("회귀의 전설")</f>
        <v>회귀의 전설</v>
      </c>
      <c r="J877">
        <v>100</v>
      </c>
      <c r="K877">
        <v>200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200</v>
      </c>
      <c r="AH877">
        <v>2</v>
      </c>
      <c r="AI877">
        <v>0</v>
      </c>
      <c r="AJ877">
        <v>0</v>
      </c>
      <c r="AK877">
        <v>200</v>
      </c>
      <c r="AL877">
        <v>0</v>
      </c>
      <c r="AM877">
        <v>0</v>
      </c>
      <c r="AN877">
        <v>0</v>
      </c>
      <c r="AO877">
        <v>0</v>
      </c>
      <c r="AP877" s="2">
        <v>140</v>
      </c>
      <c r="AT877" t="str">
        <f>T("9791191102086")</f>
        <v>9791191102086</v>
      </c>
      <c r="AV877" t="str">
        <f t="shared" si="121"/>
        <v>판타지 웹소설 &gt; 현대 판타지</v>
      </c>
    </row>
    <row r="878" spans="1:48" x14ac:dyDescent="0.4">
      <c r="A878">
        <v>1525004030</v>
      </c>
      <c r="B878">
        <v>1525006843</v>
      </c>
      <c r="C878" t="str">
        <f>T("회귀의 전설 2부 726화")</f>
        <v>회귀의 전설 2부 726화</v>
      </c>
      <c r="D878" t="str">
        <f>T("726")</f>
        <v>726</v>
      </c>
      <c r="E878" t="str">
        <f>T("김광수")</f>
        <v>김광수</v>
      </c>
      <c r="H878" t="str">
        <f t="shared" si="120"/>
        <v>스토리위즈</v>
      </c>
      <c r="I878" t="str">
        <f>T("회귀의 전설")</f>
        <v>회귀의 전설</v>
      </c>
      <c r="J878">
        <v>100</v>
      </c>
      <c r="K878">
        <v>200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200</v>
      </c>
      <c r="AH878">
        <v>2</v>
      </c>
      <c r="AI878">
        <v>0</v>
      </c>
      <c r="AJ878">
        <v>0</v>
      </c>
      <c r="AK878">
        <v>200</v>
      </c>
      <c r="AL878">
        <v>0</v>
      </c>
      <c r="AM878">
        <v>0</v>
      </c>
      <c r="AN878">
        <v>0</v>
      </c>
      <c r="AO878">
        <v>0</v>
      </c>
      <c r="AP878" s="2">
        <v>140</v>
      </c>
      <c r="AT878" t="str">
        <f>T("9791191102086")</f>
        <v>9791191102086</v>
      </c>
      <c r="AV878" t="str">
        <f t="shared" si="121"/>
        <v>판타지 웹소설 &gt; 현대 판타지</v>
      </c>
    </row>
    <row r="879" spans="1:48" x14ac:dyDescent="0.4">
      <c r="A879">
        <v>2313011400</v>
      </c>
      <c r="B879">
        <v>1525007593</v>
      </c>
      <c r="C879" t="str">
        <f>T("최종 보스 18권 19화")</f>
        <v>최종 보스 18권 19화</v>
      </c>
      <c r="D879" t="str">
        <f>T("371")</f>
        <v>371</v>
      </c>
      <c r="E879" t="str">
        <f>T("무장")</f>
        <v>무장</v>
      </c>
      <c r="H879" t="str">
        <f t="shared" si="120"/>
        <v>스토리위즈</v>
      </c>
      <c r="I879" t="str">
        <f>T("최종 보스 : 빛을 향해 달리는 그림자")</f>
        <v>최종 보스 : 빛을 향해 달리는 그림자</v>
      </c>
      <c r="J879">
        <v>100</v>
      </c>
      <c r="K879">
        <v>200</v>
      </c>
      <c r="L879">
        <v>2</v>
      </c>
      <c r="M879">
        <v>0</v>
      </c>
      <c r="N879">
        <v>100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200</v>
      </c>
      <c r="AL879">
        <v>0</v>
      </c>
      <c r="AM879">
        <v>120.41</v>
      </c>
      <c r="AN879">
        <v>-36.119999999999997</v>
      </c>
      <c r="AO879">
        <v>0</v>
      </c>
      <c r="AP879" s="2">
        <v>199</v>
      </c>
      <c r="AT879" t="str">
        <f>T("9791166067563")</f>
        <v>9791166067563</v>
      </c>
      <c r="AV879" t="str">
        <f t="shared" si="121"/>
        <v>판타지 웹소설 &gt; 현대 판타지</v>
      </c>
    </row>
    <row r="880" spans="1:48" x14ac:dyDescent="0.4">
      <c r="A880">
        <v>1525004030</v>
      </c>
      <c r="B880">
        <v>1525006900</v>
      </c>
      <c r="C880" t="str">
        <f>T("회귀의 전설 2부 783화")</f>
        <v>회귀의 전설 2부 783화</v>
      </c>
      <c r="D880" t="str">
        <f>T("783")</f>
        <v>783</v>
      </c>
      <c r="E880" t="str">
        <f>T("김광수")</f>
        <v>김광수</v>
      </c>
      <c r="H880" t="str">
        <f t="shared" si="120"/>
        <v>스토리위즈</v>
      </c>
      <c r="I880" t="str">
        <f>T("회귀의 전설")</f>
        <v>회귀의 전설</v>
      </c>
      <c r="J880">
        <v>100</v>
      </c>
      <c r="K880">
        <v>200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200</v>
      </c>
      <c r="AH880">
        <v>2</v>
      </c>
      <c r="AI880">
        <v>0</v>
      </c>
      <c r="AJ880">
        <v>0</v>
      </c>
      <c r="AK880">
        <v>200</v>
      </c>
      <c r="AL880">
        <v>0</v>
      </c>
      <c r="AM880">
        <v>0</v>
      </c>
      <c r="AN880">
        <v>0</v>
      </c>
      <c r="AO880">
        <v>0</v>
      </c>
      <c r="AP880" s="2">
        <v>140</v>
      </c>
      <c r="AT880" t="str">
        <f>T("9791191102086")</f>
        <v>9791191102086</v>
      </c>
      <c r="AV880" t="str">
        <f t="shared" si="121"/>
        <v>판타지 웹소설 &gt; 현대 판타지</v>
      </c>
    </row>
    <row r="881" spans="1:48" x14ac:dyDescent="0.4">
      <c r="A881">
        <v>1525004030</v>
      </c>
      <c r="B881">
        <v>1525004113</v>
      </c>
      <c r="C881" t="str">
        <f>T("회귀의 전설 84화")</f>
        <v>회귀의 전설 84화</v>
      </c>
      <c r="D881" t="str">
        <f>T("84")</f>
        <v>84</v>
      </c>
      <c r="E881" t="str">
        <f>T("김광수")</f>
        <v>김광수</v>
      </c>
      <c r="H881" t="str">
        <f t="shared" si="120"/>
        <v>스토리위즈</v>
      </c>
      <c r="I881" t="str">
        <f>T("회귀의 전설")</f>
        <v>회귀의 전설</v>
      </c>
      <c r="J881">
        <v>100</v>
      </c>
      <c r="K881">
        <v>200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200</v>
      </c>
      <c r="AH881">
        <v>2</v>
      </c>
      <c r="AI881">
        <v>0</v>
      </c>
      <c r="AJ881">
        <v>0</v>
      </c>
      <c r="AK881">
        <v>200</v>
      </c>
      <c r="AL881">
        <v>0</v>
      </c>
      <c r="AM881">
        <v>0</v>
      </c>
      <c r="AN881">
        <v>0</v>
      </c>
      <c r="AO881">
        <v>0</v>
      </c>
      <c r="AP881" s="2">
        <v>140</v>
      </c>
      <c r="AT881" t="str">
        <f>T("9788997946006")</f>
        <v>9788997946006</v>
      </c>
      <c r="AV881" t="str">
        <f t="shared" si="121"/>
        <v>판타지 웹소설 &gt; 현대 판타지</v>
      </c>
    </row>
    <row r="882" spans="1:48" x14ac:dyDescent="0.4">
      <c r="A882">
        <v>1525004030</v>
      </c>
      <c r="B882">
        <v>1525006956</v>
      </c>
      <c r="C882" t="str">
        <f>T("회귀의 전설 2부 840화")</f>
        <v>회귀의 전설 2부 840화</v>
      </c>
      <c r="D882" t="str">
        <f>T("840")</f>
        <v>840</v>
      </c>
      <c r="E882" t="str">
        <f>T("김광수")</f>
        <v>김광수</v>
      </c>
      <c r="H882" t="str">
        <f t="shared" si="120"/>
        <v>스토리위즈</v>
      </c>
      <c r="I882" t="str">
        <f>T("회귀의 전설")</f>
        <v>회귀의 전설</v>
      </c>
      <c r="J882">
        <v>100</v>
      </c>
      <c r="K882">
        <v>200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200</v>
      </c>
      <c r="AH882">
        <v>2</v>
      </c>
      <c r="AI882">
        <v>0</v>
      </c>
      <c r="AJ882">
        <v>0</v>
      </c>
      <c r="AK882">
        <v>200</v>
      </c>
      <c r="AL882">
        <v>0</v>
      </c>
      <c r="AM882">
        <v>0</v>
      </c>
      <c r="AN882">
        <v>0</v>
      </c>
      <c r="AO882">
        <v>0</v>
      </c>
      <c r="AP882" s="2">
        <v>140</v>
      </c>
      <c r="AT882" t="str">
        <f>T("9791191102086")</f>
        <v>9791191102086</v>
      </c>
      <c r="AV882" t="str">
        <f t="shared" si="121"/>
        <v>판타지 웹소설 &gt; 현대 판타지</v>
      </c>
    </row>
    <row r="883" spans="1:48" x14ac:dyDescent="0.4">
      <c r="A883">
        <v>1525004030</v>
      </c>
      <c r="B883">
        <v>1525004391</v>
      </c>
      <c r="C883" t="str">
        <f>T("회귀의 전설 363화")</f>
        <v>회귀의 전설 363화</v>
      </c>
      <c r="D883" t="str">
        <f>T("363")</f>
        <v>363</v>
      </c>
      <c r="E883" t="str">
        <f>T("김광수")</f>
        <v>김광수</v>
      </c>
      <c r="H883" t="str">
        <f t="shared" si="120"/>
        <v>스토리위즈</v>
      </c>
      <c r="I883" t="str">
        <f>T("회귀의 전설")</f>
        <v>회귀의 전설</v>
      </c>
      <c r="J883">
        <v>100</v>
      </c>
      <c r="K883">
        <v>200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200</v>
      </c>
      <c r="AH883">
        <v>2</v>
      </c>
      <c r="AI883">
        <v>0</v>
      </c>
      <c r="AJ883">
        <v>0</v>
      </c>
      <c r="AK883">
        <v>200</v>
      </c>
      <c r="AL883">
        <v>0</v>
      </c>
      <c r="AM883">
        <v>0</v>
      </c>
      <c r="AN883">
        <v>0</v>
      </c>
      <c r="AO883">
        <v>0</v>
      </c>
      <c r="AP883" s="2">
        <v>140</v>
      </c>
      <c r="AT883" t="str">
        <f>T("9788997946006")</f>
        <v>9788997946006</v>
      </c>
      <c r="AV883" t="str">
        <f t="shared" si="121"/>
        <v>판타지 웹소설 &gt; 현대 판타지</v>
      </c>
    </row>
    <row r="884" spans="1:48" x14ac:dyDescent="0.4">
      <c r="A884">
        <v>2313011400</v>
      </c>
      <c r="B884">
        <v>1525007586</v>
      </c>
      <c r="C884" t="str">
        <f>T("최종 보스 18권 12화")</f>
        <v>최종 보스 18권 12화</v>
      </c>
      <c r="D884" t="str">
        <f>T("364")</f>
        <v>364</v>
      </c>
      <c r="E884" t="str">
        <f>T("무장")</f>
        <v>무장</v>
      </c>
      <c r="H884" t="str">
        <f t="shared" si="120"/>
        <v>스토리위즈</v>
      </c>
      <c r="I884" t="str">
        <f>T("최종 보스 : 빛을 향해 달리는 그림자")</f>
        <v>최종 보스 : 빛을 향해 달리는 그림자</v>
      </c>
      <c r="J884">
        <v>100</v>
      </c>
      <c r="K884">
        <v>200</v>
      </c>
      <c r="L884">
        <v>2</v>
      </c>
      <c r="M884">
        <v>0</v>
      </c>
      <c r="N884">
        <v>100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200</v>
      </c>
      <c r="AL884">
        <v>0</v>
      </c>
      <c r="AM884">
        <v>120.41</v>
      </c>
      <c r="AN884">
        <v>-36.119999999999997</v>
      </c>
      <c r="AO884">
        <v>0</v>
      </c>
      <c r="AP884" s="2">
        <v>199</v>
      </c>
      <c r="AT884" t="str">
        <f>T("9791166067563")</f>
        <v>9791166067563</v>
      </c>
      <c r="AV884" t="str">
        <f t="shared" si="121"/>
        <v>판타지 웹소설 &gt; 현대 판타지</v>
      </c>
    </row>
    <row r="885" spans="1:48" x14ac:dyDescent="0.4">
      <c r="A885">
        <v>1525004030</v>
      </c>
      <c r="B885">
        <v>1525006812</v>
      </c>
      <c r="C885" t="str">
        <f>T("회귀의 전설 2부 695화")</f>
        <v>회귀의 전설 2부 695화</v>
      </c>
      <c r="D885" t="str">
        <f>T("695")</f>
        <v>695</v>
      </c>
      <c r="E885" t="str">
        <f>T("김광수")</f>
        <v>김광수</v>
      </c>
      <c r="H885" t="str">
        <f t="shared" si="120"/>
        <v>스토리위즈</v>
      </c>
      <c r="I885" t="str">
        <f>T("회귀의 전설")</f>
        <v>회귀의 전설</v>
      </c>
      <c r="J885">
        <v>100</v>
      </c>
      <c r="K885">
        <v>200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200</v>
      </c>
      <c r="AH885">
        <v>2</v>
      </c>
      <c r="AI885">
        <v>0</v>
      </c>
      <c r="AJ885">
        <v>0</v>
      </c>
      <c r="AK885">
        <v>200</v>
      </c>
      <c r="AL885">
        <v>0</v>
      </c>
      <c r="AM885">
        <v>0</v>
      </c>
      <c r="AN885">
        <v>0</v>
      </c>
      <c r="AO885">
        <v>0</v>
      </c>
      <c r="AP885" s="2">
        <v>140</v>
      </c>
      <c r="AT885" t="str">
        <f>T("9791191102086")</f>
        <v>9791191102086</v>
      </c>
      <c r="AV885" t="str">
        <f t="shared" si="121"/>
        <v>판타지 웹소설 &gt; 현대 판타지</v>
      </c>
    </row>
    <row r="886" spans="1:48" x14ac:dyDescent="0.4">
      <c r="A886">
        <v>2313011400</v>
      </c>
      <c r="B886">
        <v>1525007714</v>
      </c>
      <c r="C886" t="str">
        <f>T("최종 보스 24권 19화")</f>
        <v>최종 보스 24권 19화</v>
      </c>
      <c r="D886" t="str">
        <f>T("492")</f>
        <v>492</v>
      </c>
      <c r="E886" t="str">
        <f>T("무장")</f>
        <v>무장</v>
      </c>
      <c r="H886" t="str">
        <f t="shared" si="120"/>
        <v>스토리위즈</v>
      </c>
      <c r="I886" t="str">
        <f>T("최종 보스 : 빛을 향해 달리는 그림자")</f>
        <v>최종 보스 : 빛을 향해 달리는 그림자</v>
      </c>
      <c r="J886">
        <v>100</v>
      </c>
      <c r="K886">
        <v>200</v>
      </c>
      <c r="L886">
        <v>2</v>
      </c>
      <c r="M886">
        <v>0</v>
      </c>
      <c r="N886">
        <v>100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 s="2">
        <v>210</v>
      </c>
      <c r="AT886" t="str">
        <f>T("9791166067563")</f>
        <v>9791166067563</v>
      </c>
      <c r="AV886" t="str">
        <f t="shared" si="121"/>
        <v>판타지 웹소설 &gt; 현대 판타지</v>
      </c>
    </row>
    <row r="887" spans="1:48" x14ac:dyDescent="0.4">
      <c r="A887">
        <v>1525004030</v>
      </c>
      <c r="B887">
        <v>1525006868</v>
      </c>
      <c r="C887" t="str">
        <f>T("회귀의 전설 2부 751화")</f>
        <v>회귀의 전설 2부 751화</v>
      </c>
      <c r="D887" t="str">
        <f>T("751")</f>
        <v>751</v>
      </c>
      <c r="E887" t="str">
        <f>T("김광수")</f>
        <v>김광수</v>
      </c>
      <c r="H887" t="str">
        <f t="shared" si="120"/>
        <v>스토리위즈</v>
      </c>
      <c r="I887" t="str">
        <f>T("회귀의 전설")</f>
        <v>회귀의 전설</v>
      </c>
      <c r="J887">
        <v>100</v>
      </c>
      <c r="K887">
        <v>200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200</v>
      </c>
      <c r="AH887">
        <v>2</v>
      </c>
      <c r="AI887">
        <v>0</v>
      </c>
      <c r="AJ887">
        <v>0</v>
      </c>
      <c r="AK887">
        <v>200</v>
      </c>
      <c r="AL887">
        <v>0</v>
      </c>
      <c r="AM887">
        <v>0</v>
      </c>
      <c r="AN887">
        <v>0</v>
      </c>
      <c r="AO887">
        <v>0</v>
      </c>
      <c r="AP887" s="2">
        <v>140</v>
      </c>
      <c r="AT887" t="str">
        <f>T("9791191102086")</f>
        <v>9791191102086</v>
      </c>
      <c r="AV887" t="str">
        <f t="shared" si="121"/>
        <v>판타지 웹소설 &gt; 현대 판타지</v>
      </c>
    </row>
    <row r="888" spans="1:48" x14ac:dyDescent="0.4">
      <c r="A888">
        <v>1525004030</v>
      </c>
      <c r="B888">
        <v>1525006676</v>
      </c>
      <c r="C888" t="str">
        <f>T("회귀의 전설 2부 559화")</f>
        <v>회귀의 전설 2부 559화</v>
      </c>
      <c r="D888" t="str">
        <f>T("559")</f>
        <v>559</v>
      </c>
      <c r="E888" t="str">
        <f>T("김광수")</f>
        <v>김광수</v>
      </c>
      <c r="H888" t="str">
        <f t="shared" si="120"/>
        <v>스토리위즈</v>
      </c>
      <c r="I888" t="str">
        <f>T("회귀의 전설")</f>
        <v>회귀의 전설</v>
      </c>
      <c r="J888">
        <v>100</v>
      </c>
      <c r="K888">
        <v>200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200</v>
      </c>
      <c r="AH888">
        <v>2</v>
      </c>
      <c r="AI888">
        <v>0</v>
      </c>
      <c r="AJ888">
        <v>0</v>
      </c>
      <c r="AK888">
        <v>200</v>
      </c>
      <c r="AL888">
        <v>0</v>
      </c>
      <c r="AM888">
        <v>0</v>
      </c>
      <c r="AN888">
        <v>0</v>
      </c>
      <c r="AO888">
        <v>0</v>
      </c>
      <c r="AP888" s="2">
        <v>140</v>
      </c>
      <c r="AT888" t="str">
        <f>T("9791191102086")</f>
        <v>9791191102086</v>
      </c>
      <c r="AV888" t="str">
        <f t="shared" si="121"/>
        <v>판타지 웹소설 &gt; 현대 판타지</v>
      </c>
    </row>
    <row r="889" spans="1:48" x14ac:dyDescent="0.4">
      <c r="A889">
        <v>1525004030</v>
      </c>
      <c r="B889">
        <v>1525004081</v>
      </c>
      <c r="C889" t="str">
        <f>T("회귀의 전설 52화")</f>
        <v>회귀의 전설 52화</v>
      </c>
      <c r="D889" t="str">
        <f>T("52")</f>
        <v>52</v>
      </c>
      <c r="E889" t="str">
        <f>T("김광수")</f>
        <v>김광수</v>
      </c>
      <c r="H889" t="str">
        <f t="shared" si="120"/>
        <v>스토리위즈</v>
      </c>
      <c r="I889" t="str">
        <f>T("회귀의 전설")</f>
        <v>회귀의 전설</v>
      </c>
      <c r="J889">
        <v>100</v>
      </c>
      <c r="K889">
        <v>200</v>
      </c>
      <c r="L889">
        <v>2</v>
      </c>
      <c r="M889">
        <v>0</v>
      </c>
      <c r="N889">
        <v>100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 s="2">
        <v>210</v>
      </c>
      <c r="AT889" t="str">
        <f>T("9788997946006")</f>
        <v>9788997946006</v>
      </c>
      <c r="AV889" t="str">
        <f t="shared" si="121"/>
        <v>판타지 웹소설 &gt; 현대 판타지</v>
      </c>
    </row>
    <row r="890" spans="1:48" x14ac:dyDescent="0.4">
      <c r="A890">
        <v>1525011523</v>
      </c>
      <c r="B890">
        <v>1525011500</v>
      </c>
      <c r="C890" t="str">
        <f>T("남창목가 24화")</f>
        <v>남창목가 24화</v>
      </c>
      <c r="D890" t="str">
        <f>T("24")</f>
        <v>24</v>
      </c>
      <c r="E890" t="str">
        <f>T("최재봉")</f>
        <v>최재봉</v>
      </c>
      <c r="H890" t="str">
        <f>T("에필로그")</f>
        <v>에필로그</v>
      </c>
      <c r="I890" t="str">
        <f>T("남창목가")</f>
        <v>남창목가</v>
      </c>
      <c r="J890">
        <v>100</v>
      </c>
      <c r="K890">
        <v>200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200</v>
      </c>
      <c r="AH890">
        <v>2</v>
      </c>
      <c r="AI890">
        <v>0</v>
      </c>
      <c r="AJ890">
        <v>0</v>
      </c>
      <c r="AK890">
        <v>200</v>
      </c>
      <c r="AL890">
        <v>0</v>
      </c>
      <c r="AM890">
        <v>0</v>
      </c>
      <c r="AN890">
        <v>0</v>
      </c>
      <c r="AO890">
        <v>0</v>
      </c>
      <c r="AP890" s="2">
        <v>140</v>
      </c>
      <c r="AT890" t="str">
        <f>T("9791164482849")</f>
        <v>9791164482849</v>
      </c>
      <c r="AV890" t="str">
        <f>T("판타지 웹소설 &gt; 무협 소설")</f>
        <v>판타지 웹소설 &gt; 무협 소설</v>
      </c>
    </row>
    <row r="891" spans="1:48" x14ac:dyDescent="0.4">
      <c r="A891">
        <v>1525004030</v>
      </c>
      <c r="B891">
        <v>1525006805</v>
      </c>
      <c r="C891" t="str">
        <f>T("회귀의 전설 2부 688화")</f>
        <v>회귀의 전설 2부 688화</v>
      </c>
      <c r="D891" t="str">
        <f>T("688")</f>
        <v>688</v>
      </c>
      <c r="E891" t="str">
        <f>T("김광수")</f>
        <v>김광수</v>
      </c>
      <c r="H891" t="str">
        <f t="shared" ref="H891:H954" si="127">T("스토리위즈")</f>
        <v>스토리위즈</v>
      </c>
      <c r="I891" t="str">
        <f>T("회귀의 전설")</f>
        <v>회귀의 전설</v>
      </c>
      <c r="J891">
        <v>100</v>
      </c>
      <c r="K891">
        <v>200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200</v>
      </c>
      <c r="AH891">
        <v>2</v>
      </c>
      <c r="AI891">
        <v>0</v>
      </c>
      <c r="AJ891">
        <v>0</v>
      </c>
      <c r="AK891">
        <v>200</v>
      </c>
      <c r="AL891">
        <v>0</v>
      </c>
      <c r="AM891">
        <v>0</v>
      </c>
      <c r="AN891">
        <v>0</v>
      </c>
      <c r="AO891">
        <v>0</v>
      </c>
      <c r="AP891" s="2">
        <v>140</v>
      </c>
      <c r="AT891" t="str">
        <f>T("9791191102086")</f>
        <v>9791191102086</v>
      </c>
      <c r="AV891" t="str">
        <f t="shared" ref="AV891:AV896" si="128">T("판타지 웹소설 &gt; 현대 판타지")</f>
        <v>판타지 웹소설 &gt; 현대 판타지</v>
      </c>
    </row>
    <row r="892" spans="1:48" x14ac:dyDescent="0.4">
      <c r="A892">
        <v>2313011400</v>
      </c>
      <c r="B892">
        <v>1525007707</v>
      </c>
      <c r="C892" t="str">
        <f>T("최종 보스 24권 12화")</f>
        <v>최종 보스 24권 12화</v>
      </c>
      <c r="D892" t="str">
        <f>T("485")</f>
        <v>485</v>
      </c>
      <c r="E892" t="str">
        <f>T("무장")</f>
        <v>무장</v>
      </c>
      <c r="H892" t="str">
        <f t="shared" si="127"/>
        <v>스토리위즈</v>
      </c>
      <c r="I892" t="str">
        <f>T("최종 보스 : 빛을 향해 달리는 그림자")</f>
        <v>최종 보스 : 빛을 향해 달리는 그림자</v>
      </c>
      <c r="J892">
        <v>100</v>
      </c>
      <c r="K892">
        <v>200</v>
      </c>
      <c r="L892">
        <v>2</v>
      </c>
      <c r="M892">
        <v>0</v>
      </c>
      <c r="N892">
        <v>100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 s="2">
        <v>210</v>
      </c>
      <c r="AT892" t="str">
        <f>T("9791166067563")</f>
        <v>9791166067563</v>
      </c>
      <c r="AV892" t="str">
        <f t="shared" si="128"/>
        <v>판타지 웹소설 &gt; 현대 판타지</v>
      </c>
    </row>
    <row r="893" spans="1:48" x14ac:dyDescent="0.4">
      <c r="A893">
        <v>1525004030</v>
      </c>
      <c r="B893">
        <v>1525006669</v>
      </c>
      <c r="C893" t="str">
        <f>T("회귀의 전설 2부 552화")</f>
        <v>회귀의 전설 2부 552화</v>
      </c>
      <c r="D893" t="str">
        <f>T("552")</f>
        <v>552</v>
      </c>
      <c r="E893" t="str">
        <f>T("김광수")</f>
        <v>김광수</v>
      </c>
      <c r="H893" t="str">
        <f t="shared" si="127"/>
        <v>스토리위즈</v>
      </c>
      <c r="I893" t="str">
        <f>T("회귀의 전설")</f>
        <v>회귀의 전설</v>
      </c>
      <c r="J893">
        <v>100</v>
      </c>
      <c r="K893">
        <v>200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200</v>
      </c>
      <c r="AH893">
        <v>2</v>
      </c>
      <c r="AI893">
        <v>0</v>
      </c>
      <c r="AJ893">
        <v>0</v>
      </c>
      <c r="AK893">
        <v>200</v>
      </c>
      <c r="AL893">
        <v>0</v>
      </c>
      <c r="AM893">
        <v>0</v>
      </c>
      <c r="AN893">
        <v>0</v>
      </c>
      <c r="AO893">
        <v>0</v>
      </c>
      <c r="AP893" s="2">
        <v>140</v>
      </c>
      <c r="AT893" t="str">
        <f>T("9791191102086")</f>
        <v>9791191102086</v>
      </c>
      <c r="AV893" t="str">
        <f t="shared" si="128"/>
        <v>판타지 웹소설 &gt; 현대 판타지</v>
      </c>
    </row>
    <row r="894" spans="1:48" x14ac:dyDescent="0.4">
      <c r="A894">
        <v>1525004030</v>
      </c>
      <c r="B894">
        <v>1525006861</v>
      </c>
      <c r="C894" t="str">
        <f>T("회귀의 전설 2부 744화")</f>
        <v>회귀의 전설 2부 744화</v>
      </c>
      <c r="D894" t="str">
        <f>T("744")</f>
        <v>744</v>
      </c>
      <c r="E894" t="str">
        <f>T("김광수")</f>
        <v>김광수</v>
      </c>
      <c r="H894" t="str">
        <f t="shared" si="127"/>
        <v>스토리위즈</v>
      </c>
      <c r="I894" t="str">
        <f>T("회귀의 전설")</f>
        <v>회귀의 전설</v>
      </c>
      <c r="J894">
        <v>100</v>
      </c>
      <c r="K894">
        <v>200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200</v>
      </c>
      <c r="AH894">
        <v>2</v>
      </c>
      <c r="AI894">
        <v>0</v>
      </c>
      <c r="AJ894">
        <v>0</v>
      </c>
      <c r="AK894">
        <v>200</v>
      </c>
      <c r="AL894">
        <v>0</v>
      </c>
      <c r="AM894">
        <v>0</v>
      </c>
      <c r="AN894">
        <v>0</v>
      </c>
      <c r="AO894">
        <v>0</v>
      </c>
      <c r="AP894" s="2">
        <v>140</v>
      </c>
      <c r="AT894" t="str">
        <f>T("9791191102086")</f>
        <v>9791191102086</v>
      </c>
      <c r="AV894" t="str">
        <f t="shared" si="128"/>
        <v>판타지 웹소설 &gt; 현대 판타지</v>
      </c>
    </row>
    <row r="895" spans="1:48" x14ac:dyDescent="0.4">
      <c r="A895">
        <v>1525004030</v>
      </c>
      <c r="B895">
        <v>1525006781</v>
      </c>
      <c r="C895" t="str">
        <f>T("회귀의 전설 2부 664화")</f>
        <v>회귀의 전설 2부 664화</v>
      </c>
      <c r="D895" t="str">
        <f>T("664")</f>
        <v>664</v>
      </c>
      <c r="E895" t="str">
        <f>T("김광수")</f>
        <v>김광수</v>
      </c>
      <c r="H895" t="str">
        <f t="shared" si="127"/>
        <v>스토리위즈</v>
      </c>
      <c r="I895" t="str">
        <f>T("회귀의 전설")</f>
        <v>회귀의 전설</v>
      </c>
      <c r="J895">
        <v>100</v>
      </c>
      <c r="K895">
        <v>200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200</v>
      </c>
      <c r="AH895">
        <v>2</v>
      </c>
      <c r="AI895">
        <v>0</v>
      </c>
      <c r="AJ895">
        <v>0</v>
      </c>
      <c r="AK895">
        <v>200</v>
      </c>
      <c r="AL895">
        <v>0</v>
      </c>
      <c r="AM895">
        <v>0</v>
      </c>
      <c r="AN895">
        <v>0</v>
      </c>
      <c r="AO895">
        <v>0</v>
      </c>
      <c r="AP895" s="2">
        <v>140</v>
      </c>
      <c r="AT895" t="str">
        <f>T("9791191102086")</f>
        <v>9791191102086</v>
      </c>
      <c r="AV895" t="str">
        <f t="shared" si="128"/>
        <v>판타지 웹소설 &gt; 현대 판타지</v>
      </c>
    </row>
    <row r="896" spans="1:48" x14ac:dyDescent="0.4">
      <c r="A896">
        <v>1525004030</v>
      </c>
      <c r="B896">
        <v>1525006837</v>
      </c>
      <c r="C896" t="str">
        <f>T("회귀의 전설 2부 720화")</f>
        <v>회귀의 전설 2부 720화</v>
      </c>
      <c r="D896" t="str">
        <f>T("720")</f>
        <v>720</v>
      </c>
      <c r="E896" t="str">
        <f>T("김광수")</f>
        <v>김광수</v>
      </c>
      <c r="H896" t="str">
        <f t="shared" si="127"/>
        <v>스토리위즈</v>
      </c>
      <c r="I896" t="str">
        <f>T("회귀의 전설")</f>
        <v>회귀의 전설</v>
      </c>
      <c r="J896">
        <v>100</v>
      </c>
      <c r="K896">
        <v>200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200</v>
      </c>
      <c r="AH896">
        <v>2</v>
      </c>
      <c r="AI896">
        <v>0</v>
      </c>
      <c r="AJ896">
        <v>0</v>
      </c>
      <c r="AK896">
        <v>200</v>
      </c>
      <c r="AL896">
        <v>0</v>
      </c>
      <c r="AM896">
        <v>0</v>
      </c>
      <c r="AN896">
        <v>0</v>
      </c>
      <c r="AO896">
        <v>0</v>
      </c>
      <c r="AP896" s="2">
        <v>140</v>
      </c>
      <c r="AT896" t="str">
        <f>T("9791191102086")</f>
        <v>9791191102086</v>
      </c>
      <c r="AV896" t="str">
        <f t="shared" si="128"/>
        <v>판타지 웹소설 &gt; 현대 판타지</v>
      </c>
    </row>
    <row r="897" spans="1:48" x14ac:dyDescent="0.4">
      <c r="A897">
        <v>1525002864</v>
      </c>
      <c r="B897">
        <v>1525002890</v>
      </c>
      <c r="C897" t="str">
        <f>T("소드마스터의 환생 27화")</f>
        <v>소드마스터의 환생 27화</v>
      </c>
      <c r="D897" t="str">
        <f>T("27")</f>
        <v>27</v>
      </c>
      <c r="E897" t="str">
        <f>T("파란영")</f>
        <v>파란영</v>
      </c>
      <c r="H897" t="str">
        <f t="shared" si="127"/>
        <v>스토리위즈</v>
      </c>
      <c r="I897" t="str">
        <f>T("소드마스터의 환생")</f>
        <v>소드마스터의 환생</v>
      </c>
      <c r="J897">
        <v>100</v>
      </c>
      <c r="K897">
        <v>200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200</v>
      </c>
      <c r="AH897">
        <v>2</v>
      </c>
      <c r="AI897">
        <v>0</v>
      </c>
      <c r="AJ897">
        <v>0</v>
      </c>
      <c r="AK897">
        <v>200</v>
      </c>
      <c r="AL897">
        <v>0</v>
      </c>
      <c r="AM897">
        <v>0</v>
      </c>
      <c r="AN897">
        <v>0</v>
      </c>
      <c r="AO897">
        <v>0</v>
      </c>
      <c r="AP897" s="2">
        <v>140</v>
      </c>
      <c r="AT897" t="str">
        <f>T("9791159287527")</f>
        <v>9791159287527</v>
      </c>
      <c r="AV897" t="str">
        <f>T("판타지 웹소설 &gt; 정통 판타지")</f>
        <v>판타지 웹소설 &gt; 정통 판타지</v>
      </c>
    </row>
    <row r="898" spans="1:48" x14ac:dyDescent="0.4">
      <c r="A898">
        <v>1525004030</v>
      </c>
      <c r="B898">
        <v>1525006893</v>
      </c>
      <c r="C898" t="str">
        <f>T("회귀의 전설 2부 776화")</f>
        <v>회귀의 전설 2부 776화</v>
      </c>
      <c r="D898" t="str">
        <f>T("776")</f>
        <v>776</v>
      </c>
      <c r="E898" t="str">
        <f t="shared" ref="E898:E914" si="129">T("김광수")</f>
        <v>김광수</v>
      </c>
      <c r="H898" t="str">
        <f t="shared" si="127"/>
        <v>스토리위즈</v>
      </c>
      <c r="I898" t="str">
        <f t="shared" ref="I898:I914" si="130">T("회귀의 전설")</f>
        <v>회귀의 전설</v>
      </c>
      <c r="J898">
        <v>100</v>
      </c>
      <c r="K898">
        <v>200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200</v>
      </c>
      <c r="AH898">
        <v>2</v>
      </c>
      <c r="AI898">
        <v>0</v>
      </c>
      <c r="AJ898">
        <v>0</v>
      </c>
      <c r="AK898">
        <v>200</v>
      </c>
      <c r="AL898">
        <v>0</v>
      </c>
      <c r="AM898">
        <v>0</v>
      </c>
      <c r="AN898">
        <v>0</v>
      </c>
      <c r="AO898">
        <v>0</v>
      </c>
      <c r="AP898" s="2">
        <v>140</v>
      </c>
      <c r="AT898" t="str">
        <f>T("9791191102086")</f>
        <v>9791191102086</v>
      </c>
      <c r="AV898" t="str">
        <f t="shared" ref="AV898:AV961" si="131">T("판타지 웹소설 &gt; 현대 판타지")</f>
        <v>판타지 웹소설 &gt; 현대 판타지</v>
      </c>
    </row>
    <row r="899" spans="1:48" x14ac:dyDescent="0.4">
      <c r="A899">
        <v>1525004030</v>
      </c>
      <c r="B899">
        <v>1525006701</v>
      </c>
      <c r="C899" t="str">
        <f>T("회귀의 전설 2부 584화")</f>
        <v>회귀의 전설 2부 584화</v>
      </c>
      <c r="D899" t="str">
        <f>T("584")</f>
        <v>584</v>
      </c>
      <c r="E899" t="str">
        <f t="shared" si="129"/>
        <v>김광수</v>
      </c>
      <c r="H899" t="str">
        <f t="shared" si="127"/>
        <v>스토리위즈</v>
      </c>
      <c r="I899" t="str">
        <f t="shared" si="130"/>
        <v>회귀의 전설</v>
      </c>
      <c r="J899">
        <v>100</v>
      </c>
      <c r="K899">
        <v>200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200</v>
      </c>
      <c r="AH899">
        <v>2</v>
      </c>
      <c r="AI899">
        <v>0</v>
      </c>
      <c r="AJ899">
        <v>0</v>
      </c>
      <c r="AK899">
        <v>200</v>
      </c>
      <c r="AL899">
        <v>0</v>
      </c>
      <c r="AM899">
        <v>0</v>
      </c>
      <c r="AN899">
        <v>0</v>
      </c>
      <c r="AO899">
        <v>0</v>
      </c>
      <c r="AP899" s="2">
        <v>140</v>
      </c>
      <c r="AT899" t="str">
        <f>T("9791191102086")</f>
        <v>9791191102086</v>
      </c>
      <c r="AV899" t="str">
        <f t="shared" si="131"/>
        <v>판타지 웹소설 &gt; 현대 판타지</v>
      </c>
    </row>
    <row r="900" spans="1:48" x14ac:dyDescent="0.4">
      <c r="A900">
        <v>1525004030</v>
      </c>
      <c r="B900">
        <v>1525004106</v>
      </c>
      <c r="C900" t="str">
        <f>T("회귀의 전설 77화")</f>
        <v>회귀의 전설 77화</v>
      </c>
      <c r="D900" t="str">
        <f>T("77")</f>
        <v>77</v>
      </c>
      <c r="E900" t="str">
        <f t="shared" si="129"/>
        <v>김광수</v>
      </c>
      <c r="H900" t="str">
        <f t="shared" si="127"/>
        <v>스토리위즈</v>
      </c>
      <c r="I900" t="str">
        <f t="shared" si="130"/>
        <v>회귀의 전설</v>
      </c>
      <c r="J900">
        <v>100</v>
      </c>
      <c r="K900">
        <v>200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200</v>
      </c>
      <c r="AH900">
        <v>2</v>
      </c>
      <c r="AI900">
        <v>0</v>
      </c>
      <c r="AJ900">
        <v>0</v>
      </c>
      <c r="AK900">
        <v>200</v>
      </c>
      <c r="AL900">
        <v>0</v>
      </c>
      <c r="AM900">
        <v>0</v>
      </c>
      <c r="AN900">
        <v>0</v>
      </c>
      <c r="AO900">
        <v>0</v>
      </c>
      <c r="AP900" s="2">
        <v>140</v>
      </c>
      <c r="AT900" t="str">
        <f>T("9788997946006")</f>
        <v>9788997946006</v>
      </c>
      <c r="AV900" t="str">
        <f t="shared" si="131"/>
        <v>판타지 웹소설 &gt; 현대 판타지</v>
      </c>
    </row>
    <row r="901" spans="1:48" x14ac:dyDescent="0.4">
      <c r="A901">
        <v>1525004030</v>
      </c>
      <c r="B901">
        <v>1525004258</v>
      </c>
      <c r="C901" t="str">
        <f>T("회귀의 전설 229화")</f>
        <v>회귀의 전설 229화</v>
      </c>
      <c r="D901" t="str">
        <f>T("229")</f>
        <v>229</v>
      </c>
      <c r="E901" t="str">
        <f t="shared" si="129"/>
        <v>김광수</v>
      </c>
      <c r="H901" t="str">
        <f t="shared" si="127"/>
        <v>스토리위즈</v>
      </c>
      <c r="I901" t="str">
        <f t="shared" si="130"/>
        <v>회귀의 전설</v>
      </c>
      <c r="J901">
        <v>100</v>
      </c>
      <c r="K901">
        <v>200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200</v>
      </c>
      <c r="AH901">
        <v>2</v>
      </c>
      <c r="AI901">
        <v>0</v>
      </c>
      <c r="AJ901">
        <v>0</v>
      </c>
      <c r="AK901">
        <v>200</v>
      </c>
      <c r="AL901">
        <v>0</v>
      </c>
      <c r="AM901">
        <v>0</v>
      </c>
      <c r="AN901">
        <v>0</v>
      </c>
      <c r="AO901">
        <v>0</v>
      </c>
      <c r="AP901" s="2">
        <v>140</v>
      </c>
      <c r="AT901" t="str">
        <f>T("9788997946006")</f>
        <v>9788997946006</v>
      </c>
      <c r="AV901" t="str">
        <f t="shared" si="131"/>
        <v>판타지 웹소설 &gt; 현대 판타지</v>
      </c>
    </row>
    <row r="902" spans="1:48" x14ac:dyDescent="0.4">
      <c r="A902">
        <v>1525004030</v>
      </c>
      <c r="B902">
        <v>1525004384</v>
      </c>
      <c r="C902" t="str">
        <f>T("회귀의 전설 356화")</f>
        <v>회귀의 전설 356화</v>
      </c>
      <c r="D902" t="str">
        <f>T("356")</f>
        <v>356</v>
      </c>
      <c r="E902" t="str">
        <f t="shared" si="129"/>
        <v>김광수</v>
      </c>
      <c r="H902" t="str">
        <f t="shared" si="127"/>
        <v>스토리위즈</v>
      </c>
      <c r="I902" t="str">
        <f t="shared" si="130"/>
        <v>회귀의 전설</v>
      </c>
      <c r="J902">
        <v>100</v>
      </c>
      <c r="K902">
        <v>200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200</v>
      </c>
      <c r="AH902">
        <v>2</v>
      </c>
      <c r="AI902">
        <v>0</v>
      </c>
      <c r="AJ902">
        <v>0</v>
      </c>
      <c r="AK902">
        <v>200</v>
      </c>
      <c r="AL902">
        <v>0</v>
      </c>
      <c r="AM902">
        <v>0</v>
      </c>
      <c r="AN902">
        <v>0</v>
      </c>
      <c r="AO902">
        <v>0</v>
      </c>
      <c r="AP902" s="2">
        <v>140</v>
      </c>
      <c r="AT902" t="str">
        <f>T("9788997946006")</f>
        <v>9788997946006</v>
      </c>
      <c r="AV902" t="str">
        <f t="shared" si="131"/>
        <v>판타지 웹소설 &gt; 현대 판타지</v>
      </c>
    </row>
    <row r="903" spans="1:48" x14ac:dyDescent="0.4">
      <c r="A903">
        <v>1525004030</v>
      </c>
      <c r="B903">
        <v>1525006925</v>
      </c>
      <c r="C903" t="str">
        <f>T("회귀의 전설 2부 808화")</f>
        <v>회귀의 전설 2부 808화</v>
      </c>
      <c r="D903" t="str">
        <f>T("808")</f>
        <v>808</v>
      </c>
      <c r="E903" t="str">
        <f t="shared" si="129"/>
        <v>김광수</v>
      </c>
      <c r="H903" t="str">
        <f t="shared" si="127"/>
        <v>스토리위즈</v>
      </c>
      <c r="I903" t="str">
        <f t="shared" si="130"/>
        <v>회귀의 전설</v>
      </c>
      <c r="J903">
        <v>100</v>
      </c>
      <c r="K903">
        <v>200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200</v>
      </c>
      <c r="AH903">
        <v>2</v>
      </c>
      <c r="AI903">
        <v>0</v>
      </c>
      <c r="AJ903">
        <v>0</v>
      </c>
      <c r="AK903">
        <v>200</v>
      </c>
      <c r="AL903">
        <v>0</v>
      </c>
      <c r="AM903">
        <v>0</v>
      </c>
      <c r="AN903">
        <v>0</v>
      </c>
      <c r="AO903">
        <v>0</v>
      </c>
      <c r="AP903" s="2">
        <v>140</v>
      </c>
      <c r="AT903" t="str">
        <f>T("9791191102086")</f>
        <v>9791191102086</v>
      </c>
      <c r="AV903" t="str">
        <f t="shared" si="131"/>
        <v>판타지 웹소설 &gt; 현대 판타지</v>
      </c>
    </row>
    <row r="904" spans="1:48" x14ac:dyDescent="0.4">
      <c r="A904">
        <v>1525004030</v>
      </c>
      <c r="B904">
        <v>1525006886</v>
      </c>
      <c r="C904" t="str">
        <f>T("회귀의 전설 2부 769화")</f>
        <v>회귀의 전설 2부 769화</v>
      </c>
      <c r="D904" t="str">
        <f>T("769")</f>
        <v>769</v>
      </c>
      <c r="E904" t="str">
        <f t="shared" si="129"/>
        <v>김광수</v>
      </c>
      <c r="H904" t="str">
        <f t="shared" si="127"/>
        <v>스토리위즈</v>
      </c>
      <c r="I904" t="str">
        <f t="shared" si="130"/>
        <v>회귀의 전설</v>
      </c>
      <c r="J904">
        <v>100</v>
      </c>
      <c r="K904">
        <v>200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200</v>
      </c>
      <c r="AH904">
        <v>2</v>
      </c>
      <c r="AI904">
        <v>0</v>
      </c>
      <c r="AJ904">
        <v>0</v>
      </c>
      <c r="AK904">
        <v>200</v>
      </c>
      <c r="AL904">
        <v>0</v>
      </c>
      <c r="AM904">
        <v>0</v>
      </c>
      <c r="AN904">
        <v>0</v>
      </c>
      <c r="AO904">
        <v>0</v>
      </c>
      <c r="AP904" s="2">
        <v>140</v>
      </c>
      <c r="AT904" t="str">
        <f>T("9791191102086")</f>
        <v>9791191102086</v>
      </c>
      <c r="AV904" t="str">
        <f t="shared" si="131"/>
        <v>판타지 웹소설 &gt; 현대 판타지</v>
      </c>
    </row>
    <row r="905" spans="1:48" x14ac:dyDescent="0.4">
      <c r="A905">
        <v>1525004030</v>
      </c>
      <c r="B905">
        <v>1525006694</v>
      </c>
      <c r="C905" t="str">
        <f>T("회귀의 전설 2부 577화")</f>
        <v>회귀의 전설 2부 577화</v>
      </c>
      <c r="D905" t="str">
        <f>T("577")</f>
        <v>577</v>
      </c>
      <c r="E905" t="str">
        <f t="shared" si="129"/>
        <v>김광수</v>
      </c>
      <c r="H905" t="str">
        <f t="shared" si="127"/>
        <v>스토리위즈</v>
      </c>
      <c r="I905" t="str">
        <f t="shared" si="130"/>
        <v>회귀의 전설</v>
      </c>
      <c r="J905">
        <v>100</v>
      </c>
      <c r="K905">
        <v>200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200</v>
      </c>
      <c r="AH905">
        <v>2</v>
      </c>
      <c r="AI905">
        <v>0</v>
      </c>
      <c r="AJ905">
        <v>0</v>
      </c>
      <c r="AK905">
        <v>200</v>
      </c>
      <c r="AL905">
        <v>0</v>
      </c>
      <c r="AM905">
        <v>0</v>
      </c>
      <c r="AN905">
        <v>0</v>
      </c>
      <c r="AO905">
        <v>0</v>
      </c>
      <c r="AP905" s="2">
        <v>140</v>
      </c>
      <c r="AT905" t="str">
        <f>T("9791191102086")</f>
        <v>9791191102086</v>
      </c>
      <c r="AV905" t="str">
        <f t="shared" si="131"/>
        <v>판타지 웹소설 &gt; 현대 판타지</v>
      </c>
    </row>
    <row r="906" spans="1:48" x14ac:dyDescent="0.4">
      <c r="A906">
        <v>1525004030</v>
      </c>
      <c r="B906">
        <v>1525004251</v>
      </c>
      <c r="C906" t="str">
        <f>T("회귀의 전설 222화")</f>
        <v>회귀의 전설 222화</v>
      </c>
      <c r="D906" t="str">
        <f>T("222")</f>
        <v>222</v>
      </c>
      <c r="E906" t="str">
        <f t="shared" si="129"/>
        <v>김광수</v>
      </c>
      <c r="H906" t="str">
        <f t="shared" si="127"/>
        <v>스토리위즈</v>
      </c>
      <c r="I906" t="str">
        <f t="shared" si="130"/>
        <v>회귀의 전설</v>
      </c>
      <c r="J906">
        <v>100</v>
      </c>
      <c r="K906">
        <v>200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200</v>
      </c>
      <c r="AH906">
        <v>2</v>
      </c>
      <c r="AI906">
        <v>0</v>
      </c>
      <c r="AJ906">
        <v>0</v>
      </c>
      <c r="AK906">
        <v>200</v>
      </c>
      <c r="AL906">
        <v>0</v>
      </c>
      <c r="AM906">
        <v>0</v>
      </c>
      <c r="AN906">
        <v>0</v>
      </c>
      <c r="AO906">
        <v>0</v>
      </c>
      <c r="AP906" s="2">
        <v>140</v>
      </c>
      <c r="AT906" t="str">
        <f>T("9788997946006")</f>
        <v>9788997946006</v>
      </c>
      <c r="AV906" t="str">
        <f t="shared" si="131"/>
        <v>판타지 웹소설 &gt; 현대 판타지</v>
      </c>
    </row>
    <row r="907" spans="1:48" x14ac:dyDescent="0.4">
      <c r="A907">
        <v>1525004030</v>
      </c>
      <c r="B907">
        <v>1525006918</v>
      </c>
      <c r="C907" t="str">
        <f>T("회귀의 전설 2부 801화")</f>
        <v>회귀의 전설 2부 801화</v>
      </c>
      <c r="D907" t="str">
        <f>T("801")</f>
        <v>801</v>
      </c>
      <c r="E907" t="str">
        <f t="shared" si="129"/>
        <v>김광수</v>
      </c>
      <c r="H907" t="str">
        <f t="shared" si="127"/>
        <v>스토리위즈</v>
      </c>
      <c r="I907" t="str">
        <f t="shared" si="130"/>
        <v>회귀의 전설</v>
      </c>
      <c r="J907">
        <v>100</v>
      </c>
      <c r="K907">
        <v>200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200</v>
      </c>
      <c r="AH907">
        <v>2</v>
      </c>
      <c r="AI907">
        <v>0</v>
      </c>
      <c r="AJ907">
        <v>0</v>
      </c>
      <c r="AK907">
        <v>200</v>
      </c>
      <c r="AL907">
        <v>0</v>
      </c>
      <c r="AM907">
        <v>0</v>
      </c>
      <c r="AN907">
        <v>0</v>
      </c>
      <c r="AO907">
        <v>0</v>
      </c>
      <c r="AP907" s="2">
        <v>140</v>
      </c>
      <c r="AT907" t="str">
        <f>T("9791191102086")</f>
        <v>9791191102086</v>
      </c>
      <c r="AV907" t="str">
        <f t="shared" si="131"/>
        <v>판타지 웹소설 &gt; 현대 판타지</v>
      </c>
    </row>
    <row r="908" spans="1:48" x14ac:dyDescent="0.4">
      <c r="A908">
        <v>1525004030</v>
      </c>
      <c r="B908">
        <v>1525004243</v>
      </c>
      <c r="C908" t="str">
        <f>T("회귀의 전설 214화")</f>
        <v>회귀의 전설 214화</v>
      </c>
      <c r="D908" t="str">
        <f>T("214")</f>
        <v>214</v>
      </c>
      <c r="E908" t="str">
        <f t="shared" si="129"/>
        <v>김광수</v>
      </c>
      <c r="H908" t="str">
        <f t="shared" si="127"/>
        <v>스토리위즈</v>
      </c>
      <c r="I908" t="str">
        <f t="shared" si="130"/>
        <v>회귀의 전설</v>
      </c>
      <c r="J908">
        <v>100</v>
      </c>
      <c r="K908">
        <v>200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200</v>
      </c>
      <c r="AH908">
        <v>2</v>
      </c>
      <c r="AI908">
        <v>0</v>
      </c>
      <c r="AJ908">
        <v>0</v>
      </c>
      <c r="AK908">
        <v>200</v>
      </c>
      <c r="AL908">
        <v>0</v>
      </c>
      <c r="AM908">
        <v>0</v>
      </c>
      <c r="AN908">
        <v>0</v>
      </c>
      <c r="AO908">
        <v>0</v>
      </c>
      <c r="AP908" s="2">
        <v>140</v>
      </c>
      <c r="AT908" t="str">
        <f>T("9788997946006")</f>
        <v>9788997946006</v>
      </c>
      <c r="AV908" t="str">
        <f t="shared" si="131"/>
        <v>판타지 웹소설 &gt; 현대 판타지</v>
      </c>
    </row>
    <row r="909" spans="1:48" x14ac:dyDescent="0.4">
      <c r="A909">
        <v>1525004030</v>
      </c>
      <c r="B909">
        <v>1525006742</v>
      </c>
      <c r="C909" t="str">
        <f>T("회귀의 전설 2부 625화")</f>
        <v>회귀의 전설 2부 625화</v>
      </c>
      <c r="D909" t="str">
        <f>T("625")</f>
        <v>625</v>
      </c>
      <c r="E909" t="str">
        <f t="shared" si="129"/>
        <v>김광수</v>
      </c>
      <c r="H909" t="str">
        <f t="shared" si="127"/>
        <v>스토리위즈</v>
      </c>
      <c r="I909" t="str">
        <f t="shared" si="130"/>
        <v>회귀의 전설</v>
      </c>
      <c r="J909">
        <v>100</v>
      </c>
      <c r="K909">
        <v>200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200</v>
      </c>
      <c r="AH909">
        <v>2</v>
      </c>
      <c r="AI909">
        <v>0</v>
      </c>
      <c r="AJ909">
        <v>0</v>
      </c>
      <c r="AK909">
        <v>200</v>
      </c>
      <c r="AL909">
        <v>0</v>
      </c>
      <c r="AM909">
        <v>0</v>
      </c>
      <c r="AN909">
        <v>0</v>
      </c>
      <c r="AO909">
        <v>0</v>
      </c>
      <c r="AP909" s="2">
        <v>140</v>
      </c>
      <c r="AT909" t="str">
        <f>T("9791191102086")</f>
        <v>9791191102086</v>
      </c>
      <c r="AV909" t="str">
        <f t="shared" si="131"/>
        <v>판타지 웹소설 &gt; 현대 판타지</v>
      </c>
    </row>
    <row r="910" spans="1:48" x14ac:dyDescent="0.4">
      <c r="A910">
        <v>1525004030</v>
      </c>
      <c r="B910">
        <v>1525004489</v>
      </c>
      <c r="C910" t="str">
        <f>T("회귀의 전설 473화")</f>
        <v>회귀의 전설 473화</v>
      </c>
      <c r="D910" t="str">
        <f>T("473")</f>
        <v>473</v>
      </c>
      <c r="E910" t="str">
        <f t="shared" si="129"/>
        <v>김광수</v>
      </c>
      <c r="H910" t="str">
        <f t="shared" si="127"/>
        <v>스토리위즈</v>
      </c>
      <c r="I910" t="str">
        <f t="shared" si="130"/>
        <v>회귀의 전설</v>
      </c>
      <c r="J910">
        <v>100</v>
      </c>
      <c r="K910">
        <v>200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200</v>
      </c>
      <c r="AH910">
        <v>2</v>
      </c>
      <c r="AI910">
        <v>0</v>
      </c>
      <c r="AJ910">
        <v>0</v>
      </c>
      <c r="AK910">
        <v>200</v>
      </c>
      <c r="AL910">
        <v>0</v>
      </c>
      <c r="AM910">
        <v>0</v>
      </c>
      <c r="AN910">
        <v>0</v>
      </c>
      <c r="AO910">
        <v>0</v>
      </c>
      <c r="AP910" s="2">
        <v>140</v>
      </c>
      <c r="AT910" t="str">
        <f>T("9788997946006")</f>
        <v>9788997946006</v>
      </c>
      <c r="AV910" t="str">
        <f t="shared" si="131"/>
        <v>판타지 웹소설 &gt; 현대 판타지</v>
      </c>
    </row>
    <row r="911" spans="1:48" x14ac:dyDescent="0.4">
      <c r="A911">
        <v>1525004030</v>
      </c>
      <c r="B911">
        <v>1525006798</v>
      </c>
      <c r="C911" t="str">
        <f>T("회귀의 전설 2부 681화")</f>
        <v>회귀의 전설 2부 681화</v>
      </c>
      <c r="D911" t="str">
        <f>T("681")</f>
        <v>681</v>
      </c>
      <c r="E911" t="str">
        <f t="shared" si="129"/>
        <v>김광수</v>
      </c>
      <c r="H911" t="str">
        <f t="shared" si="127"/>
        <v>스토리위즈</v>
      </c>
      <c r="I911" t="str">
        <f t="shared" si="130"/>
        <v>회귀의 전설</v>
      </c>
      <c r="J911">
        <v>100</v>
      </c>
      <c r="K911">
        <v>200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200</v>
      </c>
      <c r="AH911">
        <v>2</v>
      </c>
      <c r="AI911">
        <v>0</v>
      </c>
      <c r="AJ911">
        <v>0</v>
      </c>
      <c r="AK911">
        <v>200</v>
      </c>
      <c r="AL911">
        <v>0</v>
      </c>
      <c r="AM911">
        <v>0</v>
      </c>
      <c r="AN911">
        <v>0</v>
      </c>
      <c r="AO911">
        <v>0</v>
      </c>
      <c r="AP911" s="2">
        <v>140</v>
      </c>
      <c r="AT911" t="str">
        <f>T("9791191102086")</f>
        <v>9791191102086</v>
      </c>
      <c r="AV911" t="str">
        <f t="shared" si="131"/>
        <v>판타지 웹소설 &gt; 현대 판타지</v>
      </c>
    </row>
    <row r="912" spans="1:48" x14ac:dyDescent="0.4">
      <c r="A912">
        <v>1525004030</v>
      </c>
      <c r="B912">
        <v>1525006662</v>
      </c>
      <c r="C912" t="str">
        <f>T("회귀의 전설 2부 545화")</f>
        <v>회귀의 전설 2부 545화</v>
      </c>
      <c r="D912" t="str">
        <f>T("545")</f>
        <v>545</v>
      </c>
      <c r="E912" t="str">
        <f t="shared" si="129"/>
        <v>김광수</v>
      </c>
      <c r="H912" t="str">
        <f t="shared" si="127"/>
        <v>스토리위즈</v>
      </c>
      <c r="I912" t="str">
        <f t="shared" si="130"/>
        <v>회귀의 전설</v>
      </c>
      <c r="J912">
        <v>100</v>
      </c>
      <c r="K912">
        <v>200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200</v>
      </c>
      <c r="AH912">
        <v>2</v>
      </c>
      <c r="AI912">
        <v>0</v>
      </c>
      <c r="AJ912">
        <v>0</v>
      </c>
      <c r="AK912">
        <v>200</v>
      </c>
      <c r="AL912">
        <v>0</v>
      </c>
      <c r="AM912">
        <v>0</v>
      </c>
      <c r="AN912">
        <v>0</v>
      </c>
      <c r="AO912">
        <v>0</v>
      </c>
      <c r="AP912" s="2">
        <v>140</v>
      </c>
      <c r="AT912" t="str">
        <f>T("9791191102086")</f>
        <v>9791191102086</v>
      </c>
      <c r="AV912" t="str">
        <f t="shared" si="131"/>
        <v>판타지 웹소설 &gt; 현대 판타지</v>
      </c>
    </row>
    <row r="913" spans="1:48" x14ac:dyDescent="0.4">
      <c r="A913">
        <v>1525004030</v>
      </c>
      <c r="B913">
        <v>1525006854</v>
      </c>
      <c r="C913" t="str">
        <f>T("회귀의 전설 2부 737화")</f>
        <v>회귀의 전설 2부 737화</v>
      </c>
      <c r="D913" t="str">
        <f>T("737")</f>
        <v>737</v>
      </c>
      <c r="E913" t="str">
        <f t="shared" si="129"/>
        <v>김광수</v>
      </c>
      <c r="H913" t="str">
        <f t="shared" si="127"/>
        <v>스토리위즈</v>
      </c>
      <c r="I913" t="str">
        <f t="shared" si="130"/>
        <v>회귀의 전설</v>
      </c>
      <c r="J913">
        <v>100</v>
      </c>
      <c r="K913">
        <v>200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200</v>
      </c>
      <c r="AH913">
        <v>2</v>
      </c>
      <c r="AI913">
        <v>0</v>
      </c>
      <c r="AJ913">
        <v>0</v>
      </c>
      <c r="AK913">
        <v>200</v>
      </c>
      <c r="AL913">
        <v>0</v>
      </c>
      <c r="AM913">
        <v>0</v>
      </c>
      <c r="AN913">
        <v>0</v>
      </c>
      <c r="AO913">
        <v>0</v>
      </c>
      <c r="AP913" s="2">
        <v>140</v>
      </c>
      <c r="AT913" t="str">
        <f>T("9791191102086")</f>
        <v>9791191102086</v>
      </c>
      <c r="AV913" t="str">
        <f t="shared" si="131"/>
        <v>판타지 웹소설 &gt; 현대 판타지</v>
      </c>
    </row>
    <row r="914" spans="1:48" x14ac:dyDescent="0.4">
      <c r="A914">
        <v>1525004030</v>
      </c>
      <c r="B914">
        <v>1525006830</v>
      </c>
      <c r="C914" t="str">
        <f>T("회귀의 전설 2부 713화")</f>
        <v>회귀의 전설 2부 713화</v>
      </c>
      <c r="D914" t="str">
        <f>T("713")</f>
        <v>713</v>
      </c>
      <c r="E914" t="str">
        <f t="shared" si="129"/>
        <v>김광수</v>
      </c>
      <c r="H914" t="str">
        <f t="shared" si="127"/>
        <v>스토리위즈</v>
      </c>
      <c r="I914" t="str">
        <f t="shared" si="130"/>
        <v>회귀의 전설</v>
      </c>
      <c r="J914">
        <v>100</v>
      </c>
      <c r="K914">
        <v>200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200</v>
      </c>
      <c r="AH914">
        <v>2</v>
      </c>
      <c r="AI914">
        <v>0</v>
      </c>
      <c r="AJ914">
        <v>0</v>
      </c>
      <c r="AK914">
        <v>200</v>
      </c>
      <c r="AL914">
        <v>0</v>
      </c>
      <c r="AM914">
        <v>0</v>
      </c>
      <c r="AN914">
        <v>0</v>
      </c>
      <c r="AO914">
        <v>0</v>
      </c>
      <c r="AP914" s="2">
        <v>140</v>
      </c>
      <c r="AT914" t="str">
        <f>T("9791191102086")</f>
        <v>9791191102086</v>
      </c>
      <c r="AV914" t="str">
        <f t="shared" si="131"/>
        <v>판타지 웹소설 &gt; 현대 판타지</v>
      </c>
    </row>
    <row r="915" spans="1:48" x14ac:dyDescent="0.4">
      <c r="A915">
        <v>2313011400</v>
      </c>
      <c r="B915">
        <v>1525007732</v>
      </c>
      <c r="C915" t="str">
        <f>T("최종 보스 25권 17화")</f>
        <v>최종 보스 25권 17화</v>
      </c>
      <c r="D915" t="str">
        <f>T("510")</f>
        <v>510</v>
      </c>
      <c r="E915" t="str">
        <f>T("무장")</f>
        <v>무장</v>
      </c>
      <c r="H915" t="str">
        <f t="shared" si="127"/>
        <v>스토리위즈</v>
      </c>
      <c r="I915" t="str">
        <f>T("최종 보스 : 빛을 향해 달리는 그림자")</f>
        <v>최종 보스 : 빛을 향해 달리는 그림자</v>
      </c>
      <c r="J915">
        <v>100</v>
      </c>
      <c r="K915">
        <v>200</v>
      </c>
      <c r="L915">
        <v>2</v>
      </c>
      <c r="M915">
        <v>0</v>
      </c>
      <c r="N915">
        <v>100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 s="2">
        <v>210</v>
      </c>
      <c r="AT915" t="str">
        <f>T("9791166067563")</f>
        <v>9791166067563</v>
      </c>
      <c r="AV915" t="str">
        <f t="shared" si="131"/>
        <v>판타지 웹소설 &gt; 현대 판타지</v>
      </c>
    </row>
    <row r="916" spans="1:48" x14ac:dyDescent="0.4">
      <c r="A916">
        <v>1525004030</v>
      </c>
      <c r="B916">
        <v>1525006791</v>
      </c>
      <c r="C916" t="str">
        <f>T("회귀의 전설 2부 674화")</f>
        <v>회귀의 전설 2부 674화</v>
      </c>
      <c r="D916" t="str">
        <f>T("674")</f>
        <v>674</v>
      </c>
      <c r="E916" t="str">
        <f>T("김광수")</f>
        <v>김광수</v>
      </c>
      <c r="H916" t="str">
        <f t="shared" si="127"/>
        <v>스토리위즈</v>
      </c>
      <c r="I916" t="str">
        <f>T("회귀의 전설")</f>
        <v>회귀의 전설</v>
      </c>
      <c r="J916">
        <v>100</v>
      </c>
      <c r="K916">
        <v>200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200</v>
      </c>
      <c r="AH916">
        <v>2</v>
      </c>
      <c r="AI916">
        <v>0</v>
      </c>
      <c r="AJ916">
        <v>0</v>
      </c>
      <c r="AK916">
        <v>200</v>
      </c>
      <c r="AL916">
        <v>0</v>
      </c>
      <c r="AM916">
        <v>0</v>
      </c>
      <c r="AN916">
        <v>0</v>
      </c>
      <c r="AO916">
        <v>0</v>
      </c>
      <c r="AP916" s="2">
        <v>140</v>
      </c>
      <c r="AT916" t="str">
        <f>T("9791191102086")</f>
        <v>9791191102086</v>
      </c>
      <c r="AV916" t="str">
        <f t="shared" si="131"/>
        <v>판타지 웹소설 &gt; 현대 판타지</v>
      </c>
    </row>
    <row r="917" spans="1:48" x14ac:dyDescent="0.4">
      <c r="A917">
        <v>1525004030</v>
      </c>
      <c r="B917">
        <v>1525006655</v>
      </c>
      <c r="C917" t="str">
        <f>T("회귀의 전설 2부 538화")</f>
        <v>회귀의 전설 2부 538화</v>
      </c>
      <c r="D917" t="str">
        <f>T("538")</f>
        <v>538</v>
      </c>
      <c r="E917" t="str">
        <f>T("김광수")</f>
        <v>김광수</v>
      </c>
      <c r="H917" t="str">
        <f t="shared" si="127"/>
        <v>스토리위즈</v>
      </c>
      <c r="I917" t="str">
        <f>T("회귀의 전설")</f>
        <v>회귀의 전설</v>
      </c>
      <c r="J917">
        <v>100</v>
      </c>
      <c r="K917">
        <v>200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200</v>
      </c>
      <c r="AH917">
        <v>2</v>
      </c>
      <c r="AI917">
        <v>0</v>
      </c>
      <c r="AJ917">
        <v>0</v>
      </c>
      <c r="AK917">
        <v>200</v>
      </c>
      <c r="AL917">
        <v>0</v>
      </c>
      <c r="AM917">
        <v>0</v>
      </c>
      <c r="AN917">
        <v>0</v>
      </c>
      <c r="AO917">
        <v>0</v>
      </c>
      <c r="AP917" s="2">
        <v>140</v>
      </c>
      <c r="AT917" t="str">
        <f>T("9791191102086")</f>
        <v>9791191102086</v>
      </c>
      <c r="AV917" t="str">
        <f t="shared" si="131"/>
        <v>판타지 웹소설 &gt; 현대 판타지</v>
      </c>
    </row>
    <row r="918" spans="1:48" x14ac:dyDescent="0.4">
      <c r="A918">
        <v>1525004030</v>
      </c>
      <c r="B918">
        <v>1525006847</v>
      </c>
      <c r="C918" t="str">
        <f>T("회귀의 전설 2부 730화")</f>
        <v>회귀의 전설 2부 730화</v>
      </c>
      <c r="D918" t="str">
        <f>T("730")</f>
        <v>730</v>
      </c>
      <c r="E918" t="str">
        <f>T("김광수")</f>
        <v>김광수</v>
      </c>
      <c r="H918" t="str">
        <f t="shared" si="127"/>
        <v>스토리위즈</v>
      </c>
      <c r="I918" t="str">
        <f>T("회귀의 전설")</f>
        <v>회귀의 전설</v>
      </c>
      <c r="J918">
        <v>100</v>
      </c>
      <c r="K918">
        <v>200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200</v>
      </c>
      <c r="AH918">
        <v>2</v>
      </c>
      <c r="AI918">
        <v>0</v>
      </c>
      <c r="AJ918">
        <v>0</v>
      </c>
      <c r="AK918">
        <v>200</v>
      </c>
      <c r="AL918">
        <v>0</v>
      </c>
      <c r="AM918">
        <v>0</v>
      </c>
      <c r="AN918">
        <v>0</v>
      </c>
      <c r="AO918">
        <v>0</v>
      </c>
      <c r="AP918" s="2">
        <v>140</v>
      </c>
      <c r="AT918" t="str">
        <f>T("9791191102086")</f>
        <v>9791191102086</v>
      </c>
      <c r="AV918" t="str">
        <f t="shared" si="131"/>
        <v>판타지 웹소설 &gt; 현대 판타지</v>
      </c>
    </row>
    <row r="919" spans="1:48" x14ac:dyDescent="0.4">
      <c r="A919">
        <v>2313011400</v>
      </c>
      <c r="B919">
        <v>1525007597</v>
      </c>
      <c r="C919" t="str">
        <f>T("최종 보스 19권 3화")</f>
        <v>최종 보스 19권 3화</v>
      </c>
      <c r="D919" t="str">
        <f>T("375")</f>
        <v>375</v>
      </c>
      <c r="E919" t="str">
        <f>T("무장")</f>
        <v>무장</v>
      </c>
      <c r="H919" t="str">
        <f t="shared" si="127"/>
        <v>스토리위즈</v>
      </c>
      <c r="I919" t="str">
        <f>T("최종 보스 : 빛을 향해 달리는 그림자")</f>
        <v>최종 보스 : 빛을 향해 달리는 그림자</v>
      </c>
      <c r="J919">
        <v>100</v>
      </c>
      <c r="K919">
        <v>200</v>
      </c>
      <c r="L919">
        <v>2</v>
      </c>
      <c r="M919">
        <v>0</v>
      </c>
      <c r="N919">
        <v>100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200</v>
      </c>
      <c r="AL919">
        <v>0</v>
      </c>
      <c r="AM919">
        <v>120.41</v>
      </c>
      <c r="AN919">
        <v>-36.119999999999997</v>
      </c>
      <c r="AO919">
        <v>0</v>
      </c>
      <c r="AP919" s="2">
        <v>199</v>
      </c>
      <c r="AT919" t="str">
        <f>T("9791166067563")</f>
        <v>9791166067563</v>
      </c>
      <c r="AV919" t="str">
        <f t="shared" si="131"/>
        <v>판타지 웹소설 &gt; 현대 판타지</v>
      </c>
    </row>
    <row r="920" spans="1:48" x14ac:dyDescent="0.4">
      <c r="A920">
        <v>1525004030</v>
      </c>
      <c r="B920">
        <v>1525006767</v>
      </c>
      <c r="C920" t="str">
        <f>T("회귀의 전설 2부 650화")</f>
        <v>회귀의 전설 2부 650화</v>
      </c>
      <c r="D920" t="str">
        <f>T("650")</f>
        <v>650</v>
      </c>
      <c r="E920" t="str">
        <f>T("김광수")</f>
        <v>김광수</v>
      </c>
      <c r="H920" t="str">
        <f t="shared" si="127"/>
        <v>스토리위즈</v>
      </c>
      <c r="I920" t="str">
        <f>T("회귀의 전설")</f>
        <v>회귀의 전설</v>
      </c>
      <c r="J920">
        <v>100</v>
      </c>
      <c r="K920">
        <v>200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200</v>
      </c>
      <c r="AH920">
        <v>2</v>
      </c>
      <c r="AI920">
        <v>0</v>
      </c>
      <c r="AJ920">
        <v>0</v>
      </c>
      <c r="AK920">
        <v>200</v>
      </c>
      <c r="AL920">
        <v>0</v>
      </c>
      <c r="AM920">
        <v>0</v>
      </c>
      <c r="AN920">
        <v>0</v>
      </c>
      <c r="AO920">
        <v>0</v>
      </c>
      <c r="AP920" s="2">
        <v>140</v>
      </c>
      <c r="AT920" t="str">
        <f>T("9791191102086")</f>
        <v>9791191102086</v>
      </c>
      <c r="AV920" t="str">
        <f t="shared" si="131"/>
        <v>판타지 웹소설 &gt; 현대 판타지</v>
      </c>
    </row>
    <row r="921" spans="1:48" x14ac:dyDescent="0.4">
      <c r="A921">
        <v>1525004030</v>
      </c>
      <c r="B921">
        <v>1525006823</v>
      </c>
      <c r="C921" t="str">
        <f>T("회귀의 전설 2부 706화")</f>
        <v>회귀의 전설 2부 706화</v>
      </c>
      <c r="D921" t="str">
        <f>T("706")</f>
        <v>706</v>
      </c>
      <c r="E921" t="str">
        <f>T("김광수")</f>
        <v>김광수</v>
      </c>
      <c r="H921" t="str">
        <f t="shared" si="127"/>
        <v>스토리위즈</v>
      </c>
      <c r="I921" t="str">
        <f>T("회귀의 전설")</f>
        <v>회귀의 전설</v>
      </c>
      <c r="J921">
        <v>100</v>
      </c>
      <c r="K921">
        <v>200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200</v>
      </c>
      <c r="AH921">
        <v>2</v>
      </c>
      <c r="AI921">
        <v>0</v>
      </c>
      <c r="AJ921">
        <v>0</v>
      </c>
      <c r="AK921">
        <v>200</v>
      </c>
      <c r="AL921">
        <v>0</v>
      </c>
      <c r="AM921">
        <v>0</v>
      </c>
      <c r="AN921">
        <v>0</v>
      </c>
      <c r="AO921">
        <v>0</v>
      </c>
      <c r="AP921" s="2">
        <v>140</v>
      </c>
      <c r="AT921" t="str">
        <f>T("9791191102086")</f>
        <v>9791191102086</v>
      </c>
      <c r="AV921" t="str">
        <f t="shared" si="131"/>
        <v>판타지 웹소설 &gt; 현대 판타지</v>
      </c>
    </row>
    <row r="922" spans="1:48" x14ac:dyDescent="0.4">
      <c r="A922">
        <v>2313011400</v>
      </c>
      <c r="B922">
        <v>1525007725</v>
      </c>
      <c r="C922" t="str">
        <f>T("최종 보스 25권 10화")</f>
        <v>최종 보스 25권 10화</v>
      </c>
      <c r="D922" t="str">
        <f>T("503")</f>
        <v>503</v>
      </c>
      <c r="E922" t="str">
        <f>T("무장")</f>
        <v>무장</v>
      </c>
      <c r="H922" t="str">
        <f t="shared" si="127"/>
        <v>스토리위즈</v>
      </c>
      <c r="I922" t="str">
        <f>T("최종 보스 : 빛을 향해 달리는 그림자")</f>
        <v>최종 보스 : 빛을 향해 달리는 그림자</v>
      </c>
      <c r="J922">
        <v>100</v>
      </c>
      <c r="K922">
        <v>200</v>
      </c>
      <c r="L922">
        <v>2</v>
      </c>
      <c r="M922">
        <v>0</v>
      </c>
      <c r="N922">
        <v>100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300</v>
      </c>
      <c r="AL922">
        <v>0</v>
      </c>
      <c r="AM922">
        <v>0</v>
      </c>
      <c r="AN922">
        <v>0</v>
      </c>
      <c r="AO922">
        <v>0</v>
      </c>
      <c r="AP922" s="2">
        <v>210</v>
      </c>
      <c r="AT922" t="str">
        <f>T("9791166067563")</f>
        <v>9791166067563</v>
      </c>
      <c r="AV922" t="str">
        <f t="shared" si="131"/>
        <v>판타지 웹소설 &gt; 현대 판타지</v>
      </c>
    </row>
    <row r="923" spans="1:48" x14ac:dyDescent="0.4">
      <c r="A923">
        <v>1525004030</v>
      </c>
      <c r="B923">
        <v>1525006879</v>
      </c>
      <c r="C923" t="str">
        <f>T("회귀의 전설 2부 762화")</f>
        <v>회귀의 전설 2부 762화</v>
      </c>
      <c r="D923" t="str">
        <f>T("762")</f>
        <v>762</v>
      </c>
      <c r="E923" t="str">
        <f t="shared" ref="E923:E934" si="132">T("김광수")</f>
        <v>김광수</v>
      </c>
      <c r="H923" t="str">
        <f t="shared" si="127"/>
        <v>스토리위즈</v>
      </c>
      <c r="I923" t="str">
        <f t="shared" ref="I923:I934" si="133">T("회귀의 전설")</f>
        <v>회귀의 전설</v>
      </c>
      <c r="J923">
        <v>100</v>
      </c>
      <c r="K923">
        <v>200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200</v>
      </c>
      <c r="AH923">
        <v>2</v>
      </c>
      <c r="AI923">
        <v>0</v>
      </c>
      <c r="AJ923">
        <v>0</v>
      </c>
      <c r="AK923">
        <v>200</v>
      </c>
      <c r="AL923">
        <v>0</v>
      </c>
      <c r="AM923">
        <v>0</v>
      </c>
      <c r="AN923">
        <v>0</v>
      </c>
      <c r="AO923">
        <v>0</v>
      </c>
      <c r="AP923" s="2">
        <v>140</v>
      </c>
      <c r="AT923" t="str">
        <f>T("9791191102086")</f>
        <v>9791191102086</v>
      </c>
      <c r="AV923" t="str">
        <f t="shared" si="131"/>
        <v>판타지 웹소설 &gt; 현대 판타지</v>
      </c>
    </row>
    <row r="924" spans="1:48" x14ac:dyDescent="0.4">
      <c r="A924">
        <v>1525004030</v>
      </c>
      <c r="B924">
        <v>1525006687</v>
      </c>
      <c r="C924" t="str">
        <f>T("회귀의 전설 2부 570화")</f>
        <v>회귀의 전설 2부 570화</v>
      </c>
      <c r="D924" t="str">
        <f>T("570")</f>
        <v>570</v>
      </c>
      <c r="E924" t="str">
        <f t="shared" si="132"/>
        <v>김광수</v>
      </c>
      <c r="H924" t="str">
        <f t="shared" si="127"/>
        <v>스토리위즈</v>
      </c>
      <c r="I924" t="str">
        <f t="shared" si="133"/>
        <v>회귀의 전설</v>
      </c>
      <c r="J924">
        <v>100</v>
      </c>
      <c r="K924">
        <v>200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200</v>
      </c>
      <c r="AH924">
        <v>2</v>
      </c>
      <c r="AI924">
        <v>0</v>
      </c>
      <c r="AJ924">
        <v>0</v>
      </c>
      <c r="AK924">
        <v>200</v>
      </c>
      <c r="AL924">
        <v>0</v>
      </c>
      <c r="AM924">
        <v>0</v>
      </c>
      <c r="AN924">
        <v>0</v>
      </c>
      <c r="AO924">
        <v>0</v>
      </c>
      <c r="AP924" s="2">
        <v>140</v>
      </c>
      <c r="AT924" t="str">
        <f>T("9791191102086")</f>
        <v>9791191102086</v>
      </c>
      <c r="AV924" t="str">
        <f t="shared" si="131"/>
        <v>판타지 웹소설 &gt; 현대 판타지</v>
      </c>
    </row>
    <row r="925" spans="1:48" x14ac:dyDescent="0.4">
      <c r="A925">
        <v>1525004030</v>
      </c>
      <c r="B925">
        <v>1525004092</v>
      </c>
      <c r="C925" t="str">
        <f>T("회귀의 전설 63화")</f>
        <v>회귀의 전설 63화</v>
      </c>
      <c r="D925" t="str">
        <f>T("63")</f>
        <v>63</v>
      </c>
      <c r="E925" t="str">
        <f t="shared" si="132"/>
        <v>김광수</v>
      </c>
      <c r="H925" t="str">
        <f t="shared" si="127"/>
        <v>스토리위즈</v>
      </c>
      <c r="I925" t="str">
        <f t="shared" si="133"/>
        <v>회귀의 전설</v>
      </c>
      <c r="J925">
        <v>100</v>
      </c>
      <c r="K925">
        <v>200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200</v>
      </c>
      <c r="AH925">
        <v>2</v>
      </c>
      <c r="AI925">
        <v>0</v>
      </c>
      <c r="AJ925">
        <v>0</v>
      </c>
      <c r="AK925">
        <v>200</v>
      </c>
      <c r="AL925">
        <v>0</v>
      </c>
      <c r="AM925">
        <v>0</v>
      </c>
      <c r="AN925">
        <v>0</v>
      </c>
      <c r="AO925">
        <v>0</v>
      </c>
      <c r="AP925" s="2">
        <v>140</v>
      </c>
      <c r="AT925" t="str">
        <f>T("9788997946006")</f>
        <v>9788997946006</v>
      </c>
      <c r="AV925" t="str">
        <f t="shared" si="131"/>
        <v>판타지 웹소설 &gt; 현대 판타지</v>
      </c>
    </row>
    <row r="926" spans="1:48" x14ac:dyDescent="0.4">
      <c r="A926">
        <v>1525004030</v>
      </c>
      <c r="B926">
        <v>1525004244</v>
      </c>
      <c r="C926" t="str">
        <f>T("회귀의 전설 215화")</f>
        <v>회귀의 전설 215화</v>
      </c>
      <c r="D926" t="str">
        <f>T("215")</f>
        <v>215</v>
      </c>
      <c r="E926" t="str">
        <f t="shared" si="132"/>
        <v>김광수</v>
      </c>
      <c r="H926" t="str">
        <f t="shared" si="127"/>
        <v>스토리위즈</v>
      </c>
      <c r="I926" t="str">
        <f t="shared" si="133"/>
        <v>회귀의 전설</v>
      </c>
      <c r="J926">
        <v>100</v>
      </c>
      <c r="K926">
        <v>200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200</v>
      </c>
      <c r="AH926">
        <v>2</v>
      </c>
      <c r="AI926">
        <v>0</v>
      </c>
      <c r="AJ926">
        <v>0</v>
      </c>
      <c r="AK926">
        <v>200</v>
      </c>
      <c r="AL926">
        <v>0</v>
      </c>
      <c r="AM926">
        <v>0</v>
      </c>
      <c r="AN926">
        <v>0</v>
      </c>
      <c r="AO926">
        <v>0</v>
      </c>
      <c r="AP926" s="2">
        <v>140</v>
      </c>
      <c r="AT926" t="str">
        <f>T("9788997946006")</f>
        <v>9788997946006</v>
      </c>
      <c r="AV926" t="str">
        <f t="shared" si="131"/>
        <v>판타지 웹소설 &gt; 현대 판타지</v>
      </c>
    </row>
    <row r="927" spans="1:48" x14ac:dyDescent="0.4">
      <c r="A927">
        <v>1525004030</v>
      </c>
      <c r="B927">
        <v>1525006911</v>
      </c>
      <c r="C927" t="str">
        <f>T("회귀의 전설 2부 794화")</f>
        <v>회귀의 전설 2부 794화</v>
      </c>
      <c r="D927" t="str">
        <f>T("794")</f>
        <v>794</v>
      </c>
      <c r="E927" t="str">
        <f t="shared" si="132"/>
        <v>김광수</v>
      </c>
      <c r="H927" t="str">
        <f t="shared" si="127"/>
        <v>스토리위즈</v>
      </c>
      <c r="I927" t="str">
        <f t="shared" si="133"/>
        <v>회귀의 전설</v>
      </c>
      <c r="J927">
        <v>100</v>
      </c>
      <c r="K927">
        <v>200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200</v>
      </c>
      <c r="AH927">
        <v>2</v>
      </c>
      <c r="AI927">
        <v>0</v>
      </c>
      <c r="AJ927">
        <v>0</v>
      </c>
      <c r="AK927">
        <v>200</v>
      </c>
      <c r="AL927">
        <v>0</v>
      </c>
      <c r="AM927">
        <v>0</v>
      </c>
      <c r="AN927">
        <v>0</v>
      </c>
      <c r="AO927">
        <v>0</v>
      </c>
      <c r="AP927" s="2">
        <v>140</v>
      </c>
      <c r="AT927" t="str">
        <f>T("9791191102086")</f>
        <v>9791191102086</v>
      </c>
      <c r="AV927" t="str">
        <f t="shared" si="131"/>
        <v>판타지 웹소설 &gt; 현대 판타지</v>
      </c>
    </row>
    <row r="928" spans="1:48" x14ac:dyDescent="0.4">
      <c r="A928">
        <v>1525004030</v>
      </c>
      <c r="B928">
        <v>1525006872</v>
      </c>
      <c r="C928" t="str">
        <f>T("회귀의 전설 2부 755화")</f>
        <v>회귀의 전설 2부 755화</v>
      </c>
      <c r="D928" t="str">
        <f>T("755")</f>
        <v>755</v>
      </c>
      <c r="E928" t="str">
        <f t="shared" si="132"/>
        <v>김광수</v>
      </c>
      <c r="H928" t="str">
        <f t="shared" si="127"/>
        <v>스토리위즈</v>
      </c>
      <c r="I928" t="str">
        <f t="shared" si="133"/>
        <v>회귀의 전설</v>
      </c>
      <c r="J928">
        <v>100</v>
      </c>
      <c r="K928">
        <v>200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200</v>
      </c>
      <c r="AH928">
        <v>2</v>
      </c>
      <c r="AI928">
        <v>0</v>
      </c>
      <c r="AJ928">
        <v>0</v>
      </c>
      <c r="AK928">
        <v>200</v>
      </c>
      <c r="AL928">
        <v>0</v>
      </c>
      <c r="AM928">
        <v>0</v>
      </c>
      <c r="AN928">
        <v>0</v>
      </c>
      <c r="AO928">
        <v>0</v>
      </c>
      <c r="AP928" s="2">
        <v>140</v>
      </c>
      <c r="AT928" t="str">
        <f>T("9791191102086")</f>
        <v>9791191102086</v>
      </c>
      <c r="AV928" t="str">
        <f t="shared" si="131"/>
        <v>판타지 웹소설 &gt; 현대 판타지</v>
      </c>
    </row>
    <row r="929" spans="1:48" x14ac:dyDescent="0.4">
      <c r="A929">
        <v>1525004030</v>
      </c>
      <c r="B929">
        <v>1525006680</v>
      </c>
      <c r="C929" t="str">
        <f>T("회귀의 전설 2부 563화")</f>
        <v>회귀의 전설 2부 563화</v>
      </c>
      <c r="D929" t="str">
        <f>T("563")</f>
        <v>563</v>
      </c>
      <c r="E929" t="str">
        <f t="shared" si="132"/>
        <v>김광수</v>
      </c>
      <c r="H929" t="str">
        <f t="shared" si="127"/>
        <v>스토리위즈</v>
      </c>
      <c r="I929" t="str">
        <f t="shared" si="133"/>
        <v>회귀의 전설</v>
      </c>
      <c r="J929">
        <v>100</v>
      </c>
      <c r="K929">
        <v>200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200</v>
      </c>
      <c r="AH929">
        <v>2</v>
      </c>
      <c r="AI929">
        <v>0</v>
      </c>
      <c r="AJ929">
        <v>0</v>
      </c>
      <c r="AK929">
        <v>200</v>
      </c>
      <c r="AL929">
        <v>0</v>
      </c>
      <c r="AM929">
        <v>0</v>
      </c>
      <c r="AN929">
        <v>0</v>
      </c>
      <c r="AO929">
        <v>0</v>
      </c>
      <c r="AP929" s="2">
        <v>140</v>
      </c>
      <c r="AT929" t="str">
        <f>T("9791191102086")</f>
        <v>9791191102086</v>
      </c>
      <c r="AV929" t="str">
        <f t="shared" si="131"/>
        <v>판타지 웹소설 &gt; 현대 판타지</v>
      </c>
    </row>
    <row r="930" spans="1:48" x14ac:dyDescent="0.4">
      <c r="A930">
        <v>1525004030</v>
      </c>
      <c r="B930">
        <v>1525004085</v>
      </c>
      <c r="C930" t="str">
        <f>T("회귀의 전설 56화")</f>
        <v>회귀의 전설 56화</v>
      </c>
      <c r="D930" t="str">
        <f>T("56")</f>
        <v>56</v>
      </c>
      <c r="E930" t="str">
        <f t="shared" si="132"/>
        <v>김광수</v>
      </c>
      <c r="H930" t="str">
        <f t="shared" si="127"/>
        <v>스토리위즈</v>
      </c>
      <c r="I930" t="str">
        <f t="shared" si="133"/>
        <v>회귀의 전설</v>
      </c>
      <c r="J930">
        <v>100</v>
      </c>
      <c r="K930">
        <v>200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200</v>
      </c>
      <c r="AH930">
        <v>2</v>
      </c>
      <c r="AI930">
        <v>0</v>
      </c>
      <c r="AJ930">
        <v>0</v>
      </c>
      <c r="AK930">
        <v>200</v>
      </c>
      <c r="AL930">
        <v>0</v>
      </c>
      <c r="AM930">
        <v>0</v>
      </c>
      <c r="AN930">
        <v>0</v>
      </c>
      <c r="AO930">
        <v>0</v>
      </c>
      <c r="AP930" s="2">
        <v>140</v>
      </c>
      <c r="AT930" t="str">
        <f>T("9788997946006")</f>
        <v>9788997946006</v>
      </c>
      <c r="AV930" t="str">
        <f t="shared" si="131"/>
        <v>판타지 웹소설 &gt; 현대 판타지</v>
      </c>
    </row>
    <row r="931" spans="1:48" x14ac:dyDescent="0.4">
      <c r="A931">
        <v>1525004030</v>
      </c>
      <c r="B931">
        <v>1525006904</v>
      </c>
      <c r="C931" t="str">
        <f>T("회귀의 전설 2부 787화")</f>
        <v>회귀의 전설 2부 787화</v>
      </c>
      <c r="D931" t="str">
        <f>T("787")</f>
        <v>787</v>
      </c>
      <c r="E931" t="str">
        <f t="shared" si="132"/>
        <v>김광수</v>
      </c>
      <c r="H931" t="str">
        <f t="shared" si="127"/>
        <v>스토리위즈</v>
      </c>
      <c r="I931" t="str">
        <f t="shared" si="133"/>
        <v>회귀의 전설</v>
      </c>
      <c r="J931">
        <v>100</v>
      </c>
      <c r="K931">
        <v>200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200</v>
      </c>
      <c r="AH931">
        <v>2</v>
      </c>
      <c r="AI931">
        <v>0</v>
      </c>
      <c r="AJ931">
        <v>0</v>
      </c>
      <c r="AK931">
        <v>200</v>
      </c>
      <c r="AL931">
        <v>0</v>
      </c>
      <c r="AM931">
        <v>0</v>
      </c>
      <c r="AN931">
        <v>0</v>
      </c>
      <c r="AO931">
        <v>0</v>
      </c>
      <c r="AP931" s="2">
        <v>140</v>
      </c>
      <c r="AT931" t="str">
        <f>T("9791191102086")</f>
        <v>9791191102086</v>
      </c>
      <c r="AV931" t="str">
        <f t="shared" si="131"/>
        <v>판타지 웹소설 &gt; 현대 판타지</v>
      </c>
    </row>
    <row r="932" spans="1:48" x14ac:dyDescent="0.4">
      <c r="A932">
        <v>1525004030</v>
      </c>
      <c r="B932">
        <v>1525006960</v>
      </c>
      <c r="C932" t="str">
        <f>T("회귀의 전설 2부 844화")</f>
        <v>회귀의 전설 2부 844화</v>
      </c>
      <c r="D932" t="str">
        <f>T("844")</f>
        <v>844</v>
      </c>
      <c r="E932" t="str">
        <f t="shared" si="132"/>
        <v>김광수</v>
      </c>
      <c r="H932" t="str">
        <f t="shared" si="127"/>
        <v>스토리위즈</v>
      </c>
      <c r="I932" t="str">
        <f t="shared" si="133"/>
        <v>회귀의 전설</v>
      </c>
      <c r="J932">
        <v>100</v>
      </c>
      <c r="K932">
        <v>200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200</v>
      </c>
      <c r="AH932">
        <v>2</v>
      </c>
      <c r="AI932">
        <v>0</v>
      </c>
      <c r="AJ932">
        <v>0</v>
      </c>
      <c r="AK932">
        <v>200</v>
      </c>
      <c r="AL932">
        <v>0</v>
      </c>
      <c r="AM932">
        <v>0</v>
      </c>
      <c r="AN932">
        <v>0</v>
      </c>
      <c r="AO932">
        <v>0</v>
      </c>
      <c r="AP932" s="2">
        <v>140</v>
      </c>
      <c r="AT932" t="str">
        <f>T("9791191102086")</f>
        <v>9791191102086</v>
      </c>
      <c r="AV932" t="str">
        <f t="shared" si="131"/>
        <v>판타지 웹소설 &gt; 현대 판타지</v>
      </c>
    </row>
    <row r="933" spans="1:48" x14ac:dyDescent="0.4">
      <c r="A933">
        <v>1525004030</v>
      </c>
      <c r="B933">
        <v>1525006784</v>
      </c>
      <c r="C933" t="str">
        <f>T("회귀의 전설 2부 667화")</f>
        <v>회귀의 전설 2부 667화</v>
      </c>
      <c r="D933" t="str">
        <f>T("667")</f>
        <v>667</v>
      </c>
      <c r="E933" t="str">
        <f t="shared" si="132"/>
        <v>김광수</v>
      </c>
      <c r="H933" t="str">
        <f t="shared" si="127"/>
        <v>스토리위즈</v>
      </c>
      <c r="I933" t="str">
        <f t="shared" si="133"/>
        <v>회귀의 전설</v>
      </c>
      <c r="J933">
        <v>100</v>
      </c>
      <c r="K933">
        <v>200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200</v>
      </c>
      <c r="AH933">
        <v>2</v>
      </c>
      <c r="AI933">
        <v>0</v>
      </c>
      <c r="AJ933">
        <v>0</v>
      </c>
      <c r="AK933">
        <v>200</v>
      </c>
      <c r="AL933">
        <v>0</v>
      </c>
      <c r="AM933">
        <v>0</v>
      </c>
      <c r="AN933">
        <v>0</v>
      </c>
      <c r="AO933">
        <v>0</v>
      </c>
      <c r="AP933" s="2">
        <v>140</v>
      </c>
      <c r="AT933" t="str">
        <f>T("9791191102086")</f>
        <v>9791191102086</v>
      </c>
      <c r="AV933" t="str">
        <f t="shared" si="131"/>
        <v>판타지 웹소설 &gt; 현대 판타지</v>
      </c>
    </row>
    <row r="934" spans="1:48" x14ac:dyDescent="0.4">
      <c r="A934">
        <v>1525004030</v>
      </c>
      <c r="B934">
        <v>1525006840</v>
      </c>
      <c r="C934" t="str">
        <f>T("회귀의 전설 2부 723화")</f>
        <v>회귀의 전설 2부 723화</v>
      </c>
      <c r="D934" t="str">
        <f>T("723")</f>
        <v>723</v>
      </c>
      <c r="E934" t="str">
        <f t="shared" si="132"/>
        <v>김광수</v>
      </c>
      <c r="H934" t="str">
        <f t="shared" si="127"/>
        <v>스토리위즈</v>
      </c>
      <c r="I934" t="str">
        <f t="shared" si="133"/>
        <v>회귀의 전설</v>
      </c>
      <c r="J934">
        <v>100</v>
      </c>
      <c r="K934">
        <v>200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200</v>
      </c>
      <c r="AH934">
        <v>2</v>
      </c>
      <c r="AI934">
        <v>0</v>
      </c>
      <c r="AJ934">
        <v>0</v>
      </c>
      <c r="AK934">
        <v>200</v>
      </c>
      <c r="AL934">
        <v>0</v>
      </c>
      <c r="AM934">
        <v>0</v>
      </c>
      <c r="AN934">
        <v>0</v>
      </c>
      <c r="AO934">
        <v>0</v>
      </c>
      <c r="AP934" s="2">
        <v>140</v>
      </c>
      <c r="AT934" t="str">
        <f>T("9791191102086")</f>
        <v>9791191102086</v>
      </c>
      <c r="AV934" t="str">
        <f t="shared" si="131"/>
        <v>판타지 웹소설 &gt; 현대 판타지</v>
      </c>
    </row>
    <row r="935" spans="1:48" x14ac:dyDescent="0.4">
      <c r="A935">
        <v>2313011400</v>
      </c>
      <c r="B935">
        <v>1525007590</v>
      </c>
      <c r="C935" t="str">
        <f>T("최종 보스 18권 16화")</f>
        <v>최종 보스 18권 16화</v>
      </c>
      <c r="D935" t="str">
        <f>T("368")</f>
        <v>368</v>
      </c>
      <c r="E935" t="str">
        <f>T("무장")</f>
        <v>무장</v>
      </c>
      <c r="H935" t="str">
        <f t="shared" si="127"/>
        <v>스토리위즈</v>
      </c>
      <c r="I935" t="str">
        <f>T("최종 보스 : 빛을 향해 달리는 그림자")</f>
        <v>최종 보스 : 빛을 향해 달리는 그림자</v>
      </c>
      <c r="J935">
        <v>100</v>
      </c>
      <c r="K935">
        <v>200</v>
      </c>
      <c r="L935">
        <v>2</v>
      </c>
      <c r="M935">
        <v>0</v>
      </c>
      <c r="N935">
        <v>100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200</v>
      </c>
      <c r="AL935">
        <v>0</v>
      </c>
      <c r="AM935">
        <v>120.41</v>
      </c>
      <c r="AN935">
        <v>-36.119999999999997</v>
      </c>
      <c r="AO935">
        <v>0</v>
      </c>
      <c r="AP935" s="2">
        <v>199</v>
      </c>
      <c r="AT935" t="str">
        <f>T("9791166067563")</f>
        <v>9791166067563</v>
      </c>
      <c r="AV935" t="str">
        <f t="shared" si="131"/>
        <v>판타지 웹소설 &gt; 현대 판타지</v>
      </c>
    </row>
    <row r="936" spans="1:48" x14ac:dyDescent="0.4">
      <c r="A936">
        <v>1525004030</v>
      </c>
      <c r="B936">
        <v>1525006760</v>
      </c>
      <c r="C936" t="str">
        <f>T("회귀의 전설 2부 643화")</f>
        <v>회귀의 전설 2부 643화</v>
      </c>
      <c r="D936" t="str">
        <f>T("643")</f>
        <v>643</v>
      </c>
      <c r="E936" t="str">
        <f>T("김광수")</f>
        <v>김광수</v>
      </c>
      <c r="H936" t="str">
        <f t="shared" si="127"/>
        <v>스토리위즈</v>
      </c>
      <c r="I936" t="str">
        <f>T("회귀의 전설")</f>
        <v>회귀의 전설</v>
      </c>
      <c r="J936">
        <v>100</v>
      </c>
      <c r="K936">
        <v>200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200</v>
      </c>
      <c r="AH936">
        <v>2</v>
      </c>
      <c r="AI936">
        <v>0</v>
      </c>
      <c r="AJ936">
        <v>0</v>
      </c>
      <c r="AK936">
        <v>200</v>
      </c>
      <c r="AL936">
        <v>0</v>
      </c>
      <c r="AM936">
        <v>0</v>
      </c>
      <c r="AN936">
        <v>0</v>
      </c>
      <c r="AO936">
        <v>0</v>
      </c>
      <c r="AP936" s="2">
        <v>140</v>
      </c>
      <c r="AT936" t="str">
        <f>T("9791191102086")</f>
        <v>9791191102086</v>
      </c>
      <c r="AV936" t="str">
        <f t="shared" si="131"/>
        <v>판타지 웹소설 &gt; 현대 판타지</v>
      </c>
    </row>
    <row r="937" spans="1:48" x14ac:dyDescent="0.4">
      <c r="A937">
        <v>1525004030</v>
      </c>
      <c r="B937">
        <v>1525006816</v>
      </c>
      <c r="C937" t="str">
        <f>T("회귀의 전설 2부 699화")</f>
        <v>회귀의 전설 2부 699화</v>
      </c>
      <c r="D937" t="str">
        <f>T("699")</f>
        <v>699</v>
      </c>
      <c r="E937" t="str">
        <f>T("김광수")</f>
        <v>김광수</v>
      </c>
      <c r="H937" t="str">
        <f t="shared" si="127"/>
        <v>스토리위즈</v>
      </c>
      <c r="I937" t="str">
        <f>T("회귀의 전설")</f>
        <v>회귀의 전설</v>
      </c>
      <c r="J937">
        <v>100</v>
      </c>
      <c r="K937">
        <v>200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200</v>
      </c>
      <c r="AH937">
        <v>2</v>
      </c>
      <c r="AI937">
        <v>0</v>
      </c>
      <c r="AJ937">
        <v>0</v>
      </c>
      <c r="AK937">
        <v>200</v>
      </c>
      <c r="AL937">
        <v>0</v>
      </c>
      <c r="AM937">
        <v>0</v>
      </c>
      <c r="AN937">
        <v>0</v>
      </c>
      <c r="AO937">
        <v>0</v>
      </c>
      <c r="AP937" s="2">
        <v>140</v>
      </c>
      <c r="AT937" t="str">
        <f>T("9791191102086")</f>
        <v>9791191102086</v>
      </c>
      <c r="AV937" t="str">
        <f t="shared" si="131"/>
        <v>판타지 웹소설 &gt; 현대 판타지</v>
      </c>
    </row>
    <row r="938" spans="1:48" x14ac:dyDescent="0.4">
      <c r="A938">
        <v>2313011400</v>
      </c>
      <c r="B938">
        <v>1525007718</v>
      </c>
      <c r="C938" t="str">
        <f>T("최종 보스 25권 3화")</f>
        <v>최종 보스 25권 3화</v>
      </c>
      <c r="D938" t="str">
        <f>T("496")</f>
        <v>496</v>
      </c>
      <c r="E938" t="str">
        <f>T("무장")</f>
        <v>무장</v>
      </c>
      <c r="H938" t="str">
        <f t="shared" si="127"/>
        <v>스토리위즈</v>
      </c>
      <c r="I938" t="str">
        <f>T("최종 보스 : 빛을 향해 달리는 그림자")</f>
        <v>최종 보스 : 빛을 향해 달리는 그림자</v>
      </c>
      <c r="J938">
        <v>100</v>
      </c>
      <c r="K938">
        <v>200</v>
      </c>
      <c r="L938">
        <v>2</v>
      </c>
      <c r="M938">
        <v>0</v>
      </c>
      <c r="N938">
        <v>100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300</v>
      </c>
      <c r="AL938">
        <v>0</v>
      </c>
      <c r="AM938">
        <v>0</v>
      </c>
      <c r="AN938">
        <v>0</v>
      </c>
      <c r="AO938">
        <v>0</v>
      </c>
      <c r="AP938" s="2">
        <v>210</v>
      </c>
      <c r="AT938" t="str">
        <f>T("9791166067563")</f>
        <v>9791166067563</v>
      </c>
      <c r="AV938" t="str">
        <f t="shared" si="131"/>
        <v>판타지 웹소설 &gt; 현대 판타지</v>
      </c>
    </row>
    <row r="939" spans="1:48" x14ac:dyDescent="0.4">
      <c r="A939">
        <v>1525004030</v>
      </c>
      <c r="B939">
        <v>1525004388</v>
      </c>
      <c r="C939" t="str">
        <f>T("회귀의 전설 360화")</f>
        <v>회귀의 전설 360화</v>
      </c>
      <c r="D939" t="str">
        <f>T("360")</f>
        <v>360</v>
      </c>
      <c r="E939" t="str">
        <f>T("김광수")</f>
        <v>김광수</v>
      </c>
      <c r="H939" t="str">
        <f t="shared" si="127"/>
        <v>스토리위즈</v>
      </c>
      <c r="I939" t="str">
        <f>T("회귀의 전설")</f>
        <v>회귀의 전설</v>
      </c>
      <c r="J939">
        <v>100</v>
      </c>
      <c r="K939">
        <v>200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200</v>
      </c>
      <c r="AH939">
        <v>2</v>
      </c>
      <c r="AI939">
        <v>0</v>
      </c>
      <c r="AJ939">
        <v>0</v>
      </c>
      <c r="AK939">
        <v>200</v>
      </c>
      <c r="AL939">
        <v>0</v>
      </c>
      <c r="AM939">
        <v>0</v>
      </c>
      <c r="AN939">
        <v>0</v>
      </c>
      <c r="AO939">
        <v>0</v>
      </c>
      <c r="AP939" s="2">
        <v>140</v>
      </c>
      <c r="AT939" t="str">
        <f>T("9788997946006")</f>
        <v>9788997946006</v>
      </c>
      <c r="AV939" t="str">
        <f t="shared" si="131"/>
        <v>판타지 웹소설 &gt; 현대 판타지</v>
      </c>
    </row>
    <row r="940" spans="1:48" x14ac:dyDescent="0.4">
      <c r="A940">
        <v>2313011400</v>
      </c>
      <c r="B940">
        <v>1525007583</v>
      </c>
      <c r="C940" t="str">
        <f>T("최종 보스 18권 9화")</f>
        <v>최종 보스 18권 9화</v>
      </c>
      <c r="D940" t="str">
        <f>T("361")</f>
        <v>361</v>
      </c>
      <c r="E940" t="str">
        <f>T("무장")</f>
        <v>무장</v>
      </c>
      <c r="H940" t="str">
        <f t="shared" si="127"/>
        <v>스토리위즈</v>
      </c>
      <c r="I940" t="str">
        <f>T("최종 보스 : 빛을 향해 달리는 그림자")</f>
        <v>최종 보스 : 빛을 향해 달리는 그림자</v>
      </c>
      <c r="J940">
        <v>100</v>
      </c>
      <c r="K940">
        <v>200</v>
      </c>
      <c r="L940">
        <v>2</v>
      </c>
      <c r="M940">
        <v>0</v>
      </c>
      <c r="N940">
        <v>100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300</v>
      </c>
      <c r="AL940">
        <v>0</v>
      </c>
      <c r="AM940">
        <v>0</v>
      </c>
      <c r="AN940">
        <v>0</v>
      </c>
      <c r="AO940">
        <v>0</v>
      </c>
      <c r="AP940" s="2">
        <v>210</v>
      </c>
      <c r="AT940" t="str">
        <f>T("9791166067563")</f>
        <v>9791166067563</v>
      </c>
      <c r="AV940" t="str">
        <f t="shared" si="131"/>
        <v>판타지 웹소설 &gt; 현대 판타지</v>
      </c>
    </row>
    <row r="941" spans="1:48" x14ac:dyDescent="0.4">
      <c r="A941">
        <v>1525004030</v>
      </c>
      <c r="B941">
        <v>1525006809</v>
      </c>
      <c r="C941" t="str">
        <f>T("회귀의 전설 2부 692화")</f>
        <v>회귀의 전설 2부 692화</v>
      </c>
      <c r="D941" t="str">
        <f>T("692")</f>
        <v>692</v>
      </c>
      <c r="E941" t="str">
        <f>T("김광수")</f>
        <v>김광수</v>
      </c>
      <c r="H941" t="str">
        <f t="shared" si="127"/>
        <v>스토리위즈</v>
      </c>
      <c r="I941" t="str">
        <f>T("회귀의 전설")</f>
        <v>회귀의 전설</v>
      </c>
      <c r="J941">
        <v>100</v>
      </c>
      <c r="K941">
        <v>200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200</v>
      </c>
      <c r="AH941">
        <v>2</v>
      </c>
      <c r="AI941">
        <v>0</v>
      </c>
      <c r="AJ941">
        <v>0</v>
      </c>
      <c r="AK941">
        <v>200</v>
      </c>
      <c r="AL941">
        <v>0</v>
      </c>
      <c r="AM941">
        <v>0</v>
      </c>
      <c r="AN941">
        <v>0</v>
      </c>
      <c r="AO941">
        <v>0</v>
      </c>
      <c r="AP941" s="2">
        <v>140</v>
      </c>
      <c r="AT941" t="str">
        <f>T("9791191102086")</f>
        <v>9791191102086</v>
      </c>
      <c r="AV941" t="str">
        <f t="shared" si="131"/>
        <v>판타지 웹소설 &gt; 현대 판타지</v>
      </c>
    </row>
    <row r="942" spans="1:48" x14ac:dyDescent="0.4">
      <c r="A942">
        <v>2313011400</v>
      </c>
      <c r="B942">
        <v>1525007711</v>
      </c>
      <c r="C942" t="str">
        <f>T("최종 보스 24권 16화")</f>
        <v>최종 보스 24권 16화</v>
      </c>
      <c r="D942" t="str">
        <f>T("489")</f>
        <v>489</v>
      </c>
      <c r="E942" t="str">
        <f>T("무장")</f>
        <v>무장</v>
      </c>
      <c r="H942" t="str">
        <f t="shared" si="127"/>
        <v>스토리위즈</v>
      </c>
      <c r="I942" t="str">
        <f>T("최종 보스 : 빛을 향해 달리는 그림자")</f>
        <v>최종 보스 : 빛을 향해 달리는 그림자</v>
      </c>
      <c r="J942">
        <v>100</v>
      </c>
      <c r="K942">
        <v>200</v>
      </c>
      <c r="L942">
        <v>2</v>
      </c>
      <c r="M942">
        <v>0</v>
      </c>
      <c r="N942">
        <v>100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300</v>
      </c>
      <c r="AL942">
        <v>0</v>
      </c>
      <c r="AM942">
        <v>0</v>
      </c>
      <c r="AN942">
        <v>0</v>
      </c>
      <c r="AO942">
        <v>0</v>
      </c>
      <c r="AP942" s="2">
        <v>210</v>
      </c>
      <c r="AT942" t="str">
        <f>T("9791166067563")</f>
        <v>9791166067563</v>
      </c>
      <c r="AV942" t="str">
        <f t="shared" si="131"/>
        <v>판타지 웹소설 &gt; 현대 판타지</v>
      </c>
    </row>
    <row r="943" spans="1:48" x14ac:dyDescent="0.4">
      <c r="A943">
        <v>1525004030</v>
      </c>
      <c r="B943">
        <v>1525006865</v>
      </c>
      <c r="C943" t="str">
        <f>T("회귀의 전설 2부 748화")</f>
        <v>회귀의 전설 2부 748화</v>
      </c>
      <c r="D943" t="str">
        <f>T("748")</f>
        <v>748</v>
      </c>
      <c r="E943" t="str">
        <f t="shared" ref="E943:E966" si="134">T("김광수")</f>
        <v>김광수</v>
      </c>
      <c r="H943" t="str">
        <f t="shared" si="127"/>
        <v>스토리위즈</v>
      </c>
      <c r="I943" t="str">
        <f t="shared" ref="I943:I966" si="135">T("회귀의 전설")</f>
        <v>회귀의 전설</v>
      </c>
      <c r="J943">
        <v>100</v>
      </c>
      <c r="K943">
        <v>200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200</v>
      </c>
      <c r="AH943">
        <v>2</v>
      </c>
      <c r="AI943">
        <v>0</v>
      </c>
      <c r="AJ943">
        <v>0</v>
      </c>
      <c r="AK943">
        <v>200</v>
      </c>
      <c r="AL943">
        <v>0</v>
      </c>
      <c r="AM943">
        <v>0</v>
      </c>
      <c r="AN943">
        <v>0</v>
      </c>
      <c r="AO943">
        <v>0</v>
      </c>
      <c r="AP943" s="2">
        <v>140</v>
      </c>
      <c r="AT943" t="str">
        <f>T("9791191102086")</f>
        <v>9791191102086</v>
      </c>
      <c r="AV943" t="str">
        <f t="shared" si="131"/>
        <v>판타지 웹소설 &gt; 현대 판타지</v>
      </c>
    </row>
    <row r="944" spans="1:48" x14ac:dyDescent="0.4">
      <c r="A944">
        <v>1525004030</v>
      </c>
      <c r="B944">
        <v>1525006673</v>
      </c>
      <c r="C944" t="str">
        <f>T("회귀의 전설 2부 556화")</f>
        <v>회귀의 전설 2부 556화</v>
      </c>
      <c r="D944" t="str">
        <f>T("556")</f>
        <v>556</v>
      </c>
      <c r="E944" t="str">
        <f t="shared" si="134"/>
        <v>김광수</v>
      </c>
      <c r="H944" t="str">
        <f t="shared" si="127"/>
        <v>스토리위즈</v>
      </c>
      <c r="I944" t="str">
        <f t="shared" si="135"/>
        <v>회귀의 전설</v>
      </c>
      <c r="J944">
        <v>100</v>
      </c>
      <c r="K944">
        <v>200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200</v>
      </c>
      <c r="AH944">
        <v>2</v>
      </c>
      <c r="AI944">
        <v>0</v>
      </c>
      <c r="AJ944">
        <v>0</v>
      </c>
      <c r="AK944">
        <v>200</v>
      </c>
      <c r="AL944">
        <v>0</v>
      </c>
      <c r="AM944">
        <v>0</v>
      </c>
      <c r="AN944">
        <v>0</v>
      </c>
      <c r="AO944">
        <v>0</v>
      </c>
      <c r="AP944" s="2">
        <v>140</v>
      </c>
      <c r="AT944" t="str">
        <f>T("9791191102086")</f>
        <v>9791191102086</v>
      </c>
      <c r="AV944" t="str">
        <f t="shared" si="131"/>
        <v>판타지 웹소설 &gt; 현대 판타지</v>
      </c>
    </row>
    <row r="945" spans="1:48" x14ac:dyDescent="0.4">
      <c r="A945">
        <v>1525004030</v>
      </c>
      <c r="B945">
        <v>1525004190</v>
      </c>
      <c r="C945" t="str">
        <f>T("회귀의 전설 161화")</f>
        <v>회귀의 전설 161화</v>
      </c>
      <c r="D945" t="str">
        <f>T("161")</f>
        <v>161</v>
      </c>
      <c r="E945" t="str">
        <f t="shared" si="134"/>
        <v>김광수</v>
      </c>
      <c r="H945" t="str">
        <f t="shared" si="127"/>
        <v>스토리위즈</v>
      </c>
      <c r="I945" t="str">
        <f t="shared" si="135"/>
        <v>회귀의 전설</v>
      </c>
      <c r="J945">
        <v>100</v>
      </c>
      <c r="K945">
        <v>200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200</v>
      </c>
      <c r="AH945">
        <v>2</v>
      </c>
      <c r="AI945">
        <v>0</v>
      </c>
      <c r="AJ945">
        <v>0</v>
      </c>
      <c r="AK945">
        <v>200</v>
      </c>
      <c r="AL945">
        <v>0</v>
      </c>
      <c r="AM945">
        <v>0</v>
      </c>
      <c r="AN945">
        <v>0</v>
      </c>
      <c r="AO945">
        <v>0</v>
      </c>
      <c r="AP945" s="2">
        <v>140</v>
      </c>
      <c r="AT945" t="str">
        <f>T("9788997946006")</f>
        <v>9788997946006</v>
      </c>
      <c r="AV945" t="str">
        <f t="shared" si="131"/>
        <v>판타지 웹소설 &gt; 현대 판타지</v>
      </c>
    </row>
    <row r="946" spans="1:48" x14ac:dyDescent="0.4">
      <c r="A946">
        <v>1525004030</v>
      </c>
      <c r="B946">
        <v>1525006705</v>
      </c>
      <c r="C946" t="str">
        <f>T("회귀의 전설 2부 588화")</f>
        <v>회귀의 전설 2부 588화</v>
      </c>
      <c r="D946" t="str">
        <f>T("588")</f>
        <v>588</v>
      </c>
      <c r="E946" t="str">
        <f t="shared" si="134"/>
        <v>김광수</v>
      </c>
      <c r="H946" t="str">
        <f t="shared" si="127"/>
        <v>스토리위즈</v>
      </c>
      <c r="I946" t="str">
        <f t="shared" si="135"/>
        <v>회귀의 전설</v>
      </c>
      <c r="J946">
        <v>100</v>
      </c>
      <c r="K946">
        <v>200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200</v>
      </c>
      <c r="AH946">
        <v>2</v>
      </c>
      <c r="AI946">
        <v>0</v>
      </c>
      <c r="AJ946">
        <v>0</v>
      </c>
      <c r="AK946">
        <v>200</v>
      </c>
      <c r="AL946">
        <v>0</v>
      </c>
      <c r="AM946">
        <v>0</v>
      </c>
      <c r="AN946">
        <v>0</v>
      </c>
      <c r="AO946">
        <v>0</v>
      </c>
      <c r="AP946" s="2">
        <v>140</v>
      </c>
      <c r="AT946" t="str">
        <f t="shared" ref="AT946:AT953" si="136">T("9791191102086")</f>
        <v>9791191102086</v>
      </c>
      <c r="AV946" t="str">
        <f t="shared" si="131"/>
        <v>판타지 웹소설 &gt; 현대 판타지</v>
      </c>
    </row>
    <row r="947" spans="1:48" x14ac:dyDescent="0.4">
      <c r="A947">
        <v>1525004030</v>
      </c>
      <c r="B947">
        <v>1525006897</v>
      </c>
      <c r="C947" t="str">
        <f>T("회귀의 전설 2부 780화")</f>
        <v>회귀의 전설 2부 780화</v>
      </c>
      <c r="D947" t="str">
        <f>T("780")</f>
        <v>780</v>
      </c>
      <c r="E947" t="str">
        <f t="shared" si="134"/>
        <v>김광수</v>
      </c>
      <c r="H947" t="str">
        <f t="shared" si="127"/>
        <v>스토리위즈</v>
      </c>
      <c r="I947" t="str">
        <f t="shared" si="135"/>
        <v>회귀의 전설</v>
      </c>
      <c r="J947">
        <v>100</v>
      </c>
      <c r="K947">
        <v>200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200</v>
      </c>
      <c r="AH947">
        <v>2</v>
      </c>
      <c r="AI947">
        <v>0</v>
      </c>
      <c r="AJ947">
        <v>0</v>
      </c>
      <c r="AK947">
        <v>200</v>
      </c>
      <c r="AL947">
        <v>0</v>
      </c>
      <c r="AM947">
        <v>0</v>
      </c>
      <c r="AN947">
        <v>0</v>
      </c>
      <c r="AO947">
        <v>0</v>
      </c>
      <c r="AP947" s="2">
        <v>140</v>
      </c>
      <c r="AT947" t="str">
        <f t="shared" si="136"/>
        <v>9791191102086</v>
      </c>
      <c r="AV947" t="str">
        <f t="shared" si="131"/>
        <v>판타지 웹소설 &gt; 현대 판타지</v>
      </c>
    </row>
    <row r="948" spans="1:48" x14ac:dyDescent="0.4">
      <c r="A948">
        <v>1525004030</v>
      </c>
      <c r="B948">
        <v>1525006953</v>
      </c>
      <c r="C948" t="str">
        <f>T("회귀의 전설 2부 837화")</f>
        <v>회귀의 전설 2부 837화</v>
      </c>
      <c r="D948" t="str">
        <f>T("837")</f>
        <v>837</v>
      </c>
      <c r="E948" t="str">
        <f t="shared" si="134"/>
        <v>김광수</v>
      </c>
      <c r="H948" t="str">
        <f t="shared" si="127"/>
        <v>스토리위즈</v>
      </c>
      <c r="I948" t="str">
        <f t="shared" si="135"/>
        <v>회귀의 전설</v>
      </c>
      <c r="J948">
        <v>100</v>
      </c>
      <c r="K948">
        <v>200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200</v>
      </c>
      <c r="AH948">
        <v>2</v>
      </c>
      <c r="AI948">
        <v>0</v>
      </c>
      <c r="AJ948">
        <v>0</v>
      </c>
      <c r="AK948">
        <v>200</v>
      </c>
      <c r="AL948">
        <v>0</v>
      </c>
      <c r="AM948">
        <v>0</v>
      </c>
      <c r="AN948">
        <v>0</v>
      </c>
      <c r="AO948">
        <v>0</v>
      </c>
      <c r="AP948" s="2">
        <v>140</v>
      </c>
      <c r="AT948" t="str">
        <f t="shared" si="136"/>
        <v>9791191102086</v>
      </c>
      <c r="AV948" t="str">
        <f t="shared" si="131"/>
        <v>판타지 웹소설 &gt; 현대 판타지</v>
      </c>
    </row>
    <row r="949" spans="1:48" x14ac:dyDescent="0.4">
      <c r="A949">
        <v>1525004030</v>
      </c>
      <c r="B949">
        <v>1525006666</v>
      </c>
      <c r="C949" t="str">
        <f>T("회귀의 전설 2부 549화")</f>
        <v>회귀의 전설 2부 549화</v>
      </c>
      <c r="D949" t="str">
        <f>T("549")</f>
        <v>549</v>
      </c>
      <c r="E949" t="str">
        <f t="shared" si="134"/>
        <v>김광수</v>
      </c>
      <c r="H949" t="str">
        <f t="shared" si="127"/>
        <v>스토리위즈</v>
      </c>
      <c r="I949" t="str">
        <f t="shared" si="135"/>
        <v>회귀의 전설</v>
      </c>
      <c r="J949">
        <v>100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200</v>
      </c>
      <c r="AH949">
        <v>2</v>
      </c>
      <c r="AI949">
        <v>0</v>
      </c>
      <c r="AJ949">
        <v>0</v>
      </c>
      <c r="AK949">
        <v>200</v>
      </c>
      <c r="AL949">
        <v>0</v>
      </c>
      <c r="AM949">
        <v>0</v>
      </c>
      <c r="AN949">
        <v>0</v>
      </c>
      <c r="AO949">
        <v>0</v>
      </c>
      <c r="AP949" s="2">
        <v>140</v>
      </c>
      <c r="AT949" t="str">
        <f t="shared" si="136"/>
        <v>9791191102086</v>
      </c>
      <c r="AV949" t="str">
        <f t="shared" si="131"/>
        <v>판타지 웹소설 &gt; 현대 판타지</v>
      </c>
    </row>
    <row r="950" spans="1:48" x14ac:dyDescent="0.4">
      <c r="A950">
        <v>1525004030</v>
      </c>
      <c r="B950">
        <v>1525006858</v>
      </c>
      <c r="C950" t="str">
        <f>T("회귀의 전설 2부 741화")</f>
        <v>회귀의 전설 2부 741화</v>
      </c>
      <c r="D950" t="str">
        <f>T("741")</f>
        <v>741</v>
      </c>
      <c r="E950" t="str">
        <f t="shared" si="134"/>
        <v>김광수</v>
      </c>
      <c r="H950" t="str">
        <f t="shared" si="127"/>
        <v>스토리위즈</v>
      </c>
      <c r="I950" t="str">
        <f t="shared" si="135"/>
        <v>회귀의 전설</v>
      </c>
      <c r="J950">
        <v>100</v>
      </c>
      <c r="K950">
        <v>200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200</v>
      </c>
      <c r="AH950">
        <v>2</v>
      </c>
      <c r="AI950">
        <v>0</v>
      </c>
      <c r="AJ950">
        <v>0</v>
      </c>
      <c r="AK950">
        <v>200</v>
      </c>
      <c r="AL950">
        <v>0</v>
      </c>
      <c r="AM950">
        <v>0</v>
      </c>
      <c r="AN950">
        <v>0</v>
      </c>
      <c r="AO950">
        <v>0</v>
      </c>
      <c r="AP950" s="2">
        <v>140</v>
      </c>
      <c r="AT950" t="str">
        <f t="shared" si="136"/>
        <v>9791191102086</v>
      </c>
      <c r="AV950" t="str">
        <f t="shared" si="131"/>
        <v>판타지 웹소설 &gt; 현대 판타지</v>
      </c>
    </row>
    <row r="951" spans="1:48" x14ac:dyDescent="0.4">
      <c r="A951">
        <v>1525004030</v>
      </c>
      <c r="B951">
        <v>1525006834</v>
      </c>
      <c r="C951" t="str">
        <f>T("회귀의 전설 2부 717화")</f>
        <v>회귀의 전설 2부 717화</v>
      </c>
      <c r="D951" t="str">
        <f>T("717")</f>
        <v>717</v>
      </c>
      <c r="E951" t="str">
        <f t="shared" si="134"/>
        <v>김광수</v>
      </c>
      <c r="H951" t="str">
        <f t="shared" si="127"/>
        <v>스토리위즈</v>
      </c>
      <c r="I951" t="str">
        <f t="shared" si="135"/>
        <v>회귀의 전설</v>
      </c>
      <c r="J951">
        <v>100</v>
      </c>
      <c r="K951">
        <v>200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200</v>
      </c>
      <c r="AH951">
        <v>2</v>
      </c>
      <c r="AI951">
        <v>0</v>
      </c>
      <c r="AJ951">
        <v>0</v>
      </c>
      <c r="AK951">
        <v>200</v>
      </c>
      <c r="AL951">
        <v>0</v>
      </c>
      <c r="AM951">
        <v>0</v>
      </c>
      <c r="AN951">
        <v>0</v>
      </c>
      <c r="AO951">
        <v>0</v>
      </c>
      <c r="AP951" s="2">
        <v>140</v>
      </c>
      <c r="AT951" t="str">
        <f t="shared" si="136"/>
        <v>9791191102086</v>
      </c>
      <c r="AV951" t="str">
        <f t="shared" si="131"/>
        <v>판타지 웹소설 &gt; 현대 판타지</v>
      </c>
    </row>
    <row r="952" spans="1:48" x14ac:dyDescent="0.4">
      <c r="A952">
        <v>1525004030</v>
      </c>
      <c r="B952">
        <v>1525006890</v>
      </c>
      <c r="C952" t="str">
        <f>T("회귀의 전설 2부 773화")</f>
        <v>회귀의 전설 2부 773화</v>
      </c>
      <c r="D952" t="str">
        <f>T("773")</f>
        <v>773</v>
      </c>
      <c r="E952" t="str">
        <f t="shared" si="134"/>
        <v>김광수</v>
      </c>
      <c r="H952" t="str">
        <f t="shared" si="127"/>
        <v>스토리위즈</v>
      </c>
      <c r="I952" t="str">
        <f t="shared" si="135"/>
        <v>회귀의 전설</v>
      </c>
      <c r="J952">
        <v>100</v>
      </c>
      <c r="K952">
        <v>200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2</v>
      </c>
      <c r="AI952">
        <v>0</v>
      </c>
      <c r="AJ952">
        <v>0</v>
      </c>
      <c r="AK952">
        <v>200</v>
      </c>
      <c r="AL952">
        <v>0</v>
      </c>
      <c r="AM952">
        <v>0</v>
      </c>
      <c r="AN952">
        <v>0</v>
      </c>
      <c r="AO952">
        <v>0</v>
      </c>
      <c r="AP952" s="2">
        <v>140</v>
      </c>
      <c r="AT952" t="str">
        <f t="shared" si="136"/>
        <v>9791191102086</v>
      </c>
      <c r="AV952" t="str">
        <f t="shared" si="131"/>
        <v>판타지 웹소설 &gt; 현대 판타지</v>
      </c>
    </row>
    <row r="953" spans="1:48" x14ac:dyDescent="0.4">
      <c r="A953">
        <v>1525004030</v>
      </c>
      <c r="B953">
        <v>1525006698</v>
      </c>
      <c r="C953" t="str">
        <f>T("회귀의 전설 2부 581화")</f>
        <v>회귀의 전설 2부 581화</v>
      </c>
      <c r="D953" t="str">
        <f>T("581")</f>
        <v>581</v>
      </c>
      <c r="E953" t="str">
        <f t="shared" si="134"/>
        <v>김광수</v>
      </c>
      <c r="H953" t="str">
        <f t="shared" si="127"/>
        <v>스토리위즈</v>
      </c>
      <c r="I953" t="str">
        <f t="shared" si="135"/>
        <v>회귀의 전설</v>
      </c>
      <c r="J953">
        <v>100</v>
      </c>
      <c r="K953">
        <v>200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200</v>
      </c>
      <c r="AH953">
        <v>2</v>
      </c>
      <c r="AI953">
        <v>0</v>
      </c>
      <c r="AJ953">
        <v>0</v>
      </c>
      <c r="AK953">
        <v>200</v>
      </c>
      <c r="AL953">
        <v>0</v>
      </c>
      <c r="AM953">
        <v>0</v>
      </c>
      <c r="AN953">
        <v>0</v>
      </c>
      <c r="AO953">
        <v>0</v>
      </c>
      <c r="AP953" s="2">
        <v>140</v>
      </c>
      <c r="AT953" t="str">
        <f t="shared" si="136"/>
        <v>9791191102086</v>
      </c>
      <c r="AV953" t="str">
        <f t="shared" si="131"/>
        <v>판타지 웹소설 &gt; 현대 판타지</v>
      </c>
    </row>
    <row r="954" spans="1:48" x14ac:dyDescent="0.4">
      <c r="A954">
        <v>1525004030</v>
      </c>
      <c r="B954">
        <v>1525004103</v>
      </c>
      <c r="C954" t="str">
        <f>T("회귀의 전설 74화")</f>
        <v>회귀의 전설 74화</v>
      </c>
      <c r="D954" t="str">
        <f>T("74")</f>
        <v>74</v>
      </c>
      <c r="E954" t="str">
        <f t="shared" si="134"/>
        <v>김광수</v>
      </c>
      <c r="H954" t="str">
        <f t="shared" si="127"/>
        <v>스토리위즈</v>
      </c>
      <c r="I954" t="str">
        <f t="shared" si="135"/>
        <v>회귀의 전설</v>
      </c>
      <c r="J954">
        <v>100</v>
      </c>
      <c r="K954">
        <v>200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200</v>
      </c>
      <c r="AH954">
        <v>2</v>
      </c>
      <c r="AI954">
        <v>0</v>
      </c>
      <c r="AJ954">
        <v>0</v>
      </c>
      <c r="AK954">
        <v>200</v>
      </c>
      <c r="AL954">
        <v>0</v>
      </c>
      <c r="AM954">
        <v>0</v>
      </c>
      <c r="AN954">
        <v>0</v>
      </c>
      <c r="AO954">
        <v>0</v>
      </c>
      <c r="AP954" s="2">
        <v>140</v>
      </c>
      <c r="AT954" t="str">
        <f>T("9788997946006")</f>
        <v>9788997946006</v>
      </c>
      <c r="AV954" t="str">
        <f t="shared" si="131"/>
        <v>판타지 웹소설 &gt; 현대 판타지</v>
      </c>
    </row>
    <row r="955" spans="1:48" x14ac:dyDescent="0.4">
      <c r="A955">
        <v>1525004030</v>
      </c>
      <c r="B955">
        <v>1525004381</v>
      </c>
      <c r="C955" t="str">
        <f>T("회귀의 전설 353화")</f>
        <v>회귀의 전설 353화</v>
      </c>
      <c r="D955" t="str">
        <f>T("353")</f>
        <v>353</v>
      </c>
      <c r="E955" t="str">
        <f t="shared" si="134"/>
        <v>김광수</v>
      </c>
      <c r="H955" t="str">
        <f t="shared" ref="H955:H994" si="137">T("스토리위즈")</f>
        <v>스토리위즈</v>
      </c>
      <c r="I955" t="str">
        <f t="shared" si="135"/>
        <v>회귀의 전설</v>
      </c>
      <c r="J955">
        <v>100</v>
      </c>
      <c r="K955">
        <v>200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200</v>
      </c>
      <c r="AH955">
        <v>2</v>
      </c>
      <c r="AI955">
        <v>0</v>
      </c>
      <c r="AJ955">
        <v>0</v>
      </c>
      <c r="AK955">
        <v>200</v>
      </c>
      <c r="AL955">
        <v>0</v>
      </c>
      <c r="AM955">
        <v>0</v>
      </c>
      <c r="AN955">
        <v>0</v>
      </c>
      <c r="AO955">
        <v>0</v>
      </c>
      <c r="AP955" s="2">
        <v>140</v>
      </c>
      <c r="AT955" t="str">
        <f>T("9788997946006")</f>
        <v>9788997946006</v>
      </c>
      <c r="AV955" t="str">
        <f t="shared" si="131"/>
        <v>판타지 웹소설 &gt; 현대 판타지</v>
      </c>
    </row>
    <row r="956" spans="1:48" x14ac:dyDescent="0.4">
      <c r="A956">
        <v>1525004030</v>
      </c>
      <c r="B956">
        <v>1525006922</v>
      </c>
      <c r="C956" t="str">
        <f>T("회귀의 전설 2부 805화")</f>
        <v>회귀의 전설 2부 805화</v>
      </c>
      <c r="D956" t="str">
        <f>T("805")</f>
        <v>805</v>
      </c>
      <c r="E956" t="str">
        <f t="shared" si="134"/>
        <v>김광수</v>
      </c>
      <c r="H956" t="str">
        <f t="shared" si="137"/>
        <v>스토리위즈</v>
      </c>
      <c r="I956" t="str">
        <f t="shared" si="135"/>
        <v>회귀의 전설</v>
      </c>
      <c r="J956">
        <v>100</v>
      </c>
      <c r="K956">
        <v>200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200</v>
      </c>
      <c r="AH956">
        <v>2</v>
      </c>
      <c r="AI956">
        <v>0</v>
      </c>
      <c r="AJ956">
        <v>0</v>
      </c>
      <c r="AK956">
        <v>200</v>
      </c>
      <c r="AL956">
        <v>0</v>
      </c>
      <c r="AM956">
        <v>0</v>
      </c>
      <c r="AN956">
        <v>0</v>
      </c>
      <c r="AO956">
        <v>0</v>
      </c>
      <c r="AP956" s="2">
        <v>140</v>
      </c>
      <c r="AT956" t="str">
        <f>T("9791191102086")</f>
        <v>9791191102086</v>
      </c>
      <c r="AV956" t="str">
        <f t="shared" si="131"/>
        <v>판타지 웹소설 &gt; 현대 판타지</v>
      </c>
    </row>
    <row r="957" spans="1:48" x14ac:dyDescent="0.4">
      <c r="A957">
        <v>1525004030</v>
      </c>
      <c r="B957">
        <v>1525006746</v>
      </c>
      <c r="C957" t="str">
        <f>T("회귀의 전설 2부 629화")</f>
        <v>회귀의 전설 2부 629화</v>
      </c>
      <c r="D957" t="str">
        <f>T("629")</f>
        <v>629</v>
      </c>
      <c r="E957" t="str">
        <f t="shared" si="134"/>
        <v>김광수</v>
      </c>
      <c r="H957" t="str">
        <f t="shared" si="137"/>
        <v>스토리위즈</v>
      </c>
      <c r="I957" t="str">
        <f t="shared" si="135"/>
        <v>회귀의 전설</v>
      </c>
      <c r="J957">
        <v>100</v>
      </c>
      <c r="K957">
        <v>200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200</v>
      </c>
      <c r="AH957">
        <v>2</v>
      </c>
      <c r="AI957">
        <v>0</v>
      </c>
      <c r="AJ957">
        <v>0</v>
      </c>
      <c r="AK957">
        <v>200</v>
      </c>
      <c r="AL957">
        <v>0</v>
      </c>
      <c r="AM957">
        <v>0</v>
      </c>
      <c r="AN957">
        <v>0</v>
      </c>
      <c r="AO957">
        <v>0</v>
      </c>
      <c r="AP957" s="2">
        <v>140</v>
      </c>
      <c r="AT957" t="str">
        <f>T("9791191102086")</f>
        <v>9791191102086</v>
      </c>
      <c r="AV957" t="str">
        <f t="shared" si="131"/>
        <v>판타지 웹소설 &gt; 현대 판타지</v>
      </c>
    </row>
    <row r="958" spans="1:48" x14ac:dyDescent="0.4">
      <c r="A958">
        <v>1525004030</v>
      </c>
      <c r="B958">
        <v>1525006802</v>
      </c>
      <c r="C958" t="str">
        <f>T("회귀의 전설 2부 685화")</f>
        <v>회귀의 전설 2부 685화</v>
      </c>
      <c r="D958" t="str">
        <f>T("685")</f>
        <v>685</v>
      </c>
      <c r="E958" t="str">
        <f t="shared" si="134"/>
        <v>김광수</v>
      </c>
      <c r="H958" t="str">
        <f t="shared" si="137"/>
        <v>스토리위즈</v>
      </c>
      <c r="I958" t="str">
        <f t="shared" si="135"/>
        <v>회귀의 전설</v>
      </c>
      <c r="J958">
        <v>100</v>
      </c>
      <c r="K958">
        <v>200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200</v>
      </c>
      <c r="AH958">
        <v>2</v>
      </c>
      <c r="AI958">
        <v>0</v>
      </c>
      <c r="AJ958">
        <v>0</v>
      </c>
      <c r="AK958">
        <v>200</v>
      </c>
      <c r="AL958">
        <v>0</v>
      </c>
      <c r="AM958">
        <v>0</v>
      </c>
      <c r="AN958">
        <v>0</v>
      </c>
      <c r="AO958">
        <v>0</v>
      </c>
      <c r="AP958" s="2">
        <v>140</v>
      </c>
      <c r="AT958" t="str">
        <f>T("9791191102086")</f>
        <v>9791191102086</v>
      </c>
      <c r="AV958" t="str">
        <f t="shared" si="131"/>
        <v>판타지 웹소설 &gt; 현대 판타지</v>
      </c>
    </row>
    <row r="959" spans="1:48" x14ac:dyDescent="0.4">
      <c r="A959">
        <v>1525004030</v>
      </c>
      <c r="B959">
        <v>1525006915</v>
      </c>
      <c r="C959" t="str">
        <f>T("회귀의 전설 2부 798화")</f>
        <v>회귀의 전설 2부 798화</v>
      </c>
      <c r="D959" t="str">
        <f>T("798")</f>
        <v>798</v>
      </c>
      <c r="E959" t="str">
        <f t="shared" si="134"/>
        <v>김광수</v>
      </c>
      <c r="H959" t="str">
        <f t="shared" si="137"/>
        <v>스토리위즈</v>
      </c>
      <c r="I959" t="str">
        <f t="shared" si="135"/>
        <v>회귀의 전설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200</v>
      </c>
      <c r="AH959">
        <v>2</v>
      </c>
      <c r="AI959">
        <v>0</v>
      </c>
      <c r="AJ959">
        <v>0</v>
      </c>
      <c r="AK959">
        <v>200</v>
      </c>
      <c r="AL959">
        <v>0</v>
      </c>
      <c r="AM959">
        <v>0</v>
      </c>
      <c r="AN959">
        <v>0</v>
      </c>
      <c r="AO959">
        <v>0</v>
      </c>
      <c r="AP959" s="2">
        <v>140</v>
      </c>
      <c r="AT959" t="str">
        <f>T("9791191102086")</f>
        <v>9791191102086</v>
      </c>
      <c r="AV959" t="str">
        <f t="shared" si="131"/>
        <v>판타지 웹소설 &gt; 현대 판타지</v>
      </c>
    </row>
    <row r="960" spans="1:48" x14ac:dyDescent="0.4">
      <c r="A960">
        <v>1525004030</v>
      </c>
      <c r="B960">
        <v>1525004240</v>
      </c>
      <c r="C960" t="str">
        <f>T("회귀의 전설 211화")</f>
        <v>회귀의 전설 211화</v>
      </c>
      <c r="D960" t="str">
        <f>T("211")</f>
        <v>211</v>
      </c>
      <c r="E960" t="str">
        <f t="shared" si="134"/>
        <v>김광수</v>
      </c>
      <c r="H960" t="str">
        <f t="shared" si="137"/>
        <v>스토리위즈</v>
      </c>
      <c r="I960" t="str">
        <f t="shared" si="135"/>
        <v>회귀의 전설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200</v>
      </c>
      <c r="AH960">
        <v>2</v>
      </c>
      <c r="AI960">
        <v>0</v>
      </c>
      <c r="AJ960">
        <v>0</v>
      </c>
      <c r="AK960">
        <v>200</v>
      </c>
      <c r="AL960">
        <v>0</v>
      </c>
      <c r="AM960">
        <v>0</v>
      </c>
      <c r="AN960">
        <v>0</v>
      </c>
      <c r="AO960">
        <v>0</v>
      </c>
      <c r="AP960" s="2">
        <v>140</v>
      </c>
      <c r="AT960" t="str">
        <f>T("9788997946006")</f>
        <v>9788997946006</v>
      </c>
      <c r="AV960" t="str">
        <f t="shared" si="131"/>
        <v>판타지 웹소설 &gt; 현대 판타지</v>
      </c>
    </row>
    <row r="961" spans="1:48" x14ac:dyDescent="0.4">
      <c r="A961">
        <v>1525004030</v>
      </c>
      <c r="B961">
        <v>1525006739</v>
      </c>
      <c r="C961" t="str">
        <f>T("회귀의 전설 2부 622화")</f>
        <v>회귀의 전설 2부 622화</v>
      </c>
      <c r="D961" t="str">
        <f>T("622")</f>
        <v>622</v>
      </c>
      <c r="E961" t="str">
        <f t="shared" si="134"/>
        <v>김광수</v>
      </c>
      <c r="H961" t="str">
        <f t="shared" si="137"/>
        <v>스토리위즈</v>
      </c>
      <c r="I961" t="str">
        <f t="shared" si="135"/>
        <v>회귀의 전설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200</v>
      </c>
      <c r="AH961">
        <v>2</v>
      </c>
      <c r="AI961">
        <v>0</v>
      </c>
      <c r="AJ961">
        <v>0</v>
      </c>
      <c r="AK961">
        <v>200</v>
      </c>
      <c r="AL961">
        <v>0</v>
      </c>
      <c r="AM961">
        <v>0</v>
      </c>
      <c r="AN961">
        <v>0</v>
      </c>
      <c r="AO961">
        <v>0</v>
      </c>
      <c r="AP961" s="2">
        <v>140</v>
      </c>
      <c r="AT961" t="str">
        <f t="shared" ref="AT961:AT966" si="138">T("9791191102086")</f>
        <v>9791191102086</v>
      </c>
      <c r="AV961" t="str">
        <f t="shared" si="131"/>
        <v>판타지 웹소설 &gt; 현대 판타지</v>
      </c>
    </row>
    <row r="962" spans="1:48" x14ac:dyDescent="0.4">
      <c r="A962">
        <v>1525004030</v>
      </c>
      <c r="B962">
        <v>1525006795</v>
      </c>
      <c r="C962" t="str">
        <f>T("회귀의 전설 2부 678화")</f>
        <v>회귀의 전설 2부 678화</v>
      </c>
      <c r="D962" t="str">
        <f>T("678")</f>
        <v>678</v>
      </c>
      <c r="E962" t="str">
        <f t="shared" si="134"/>
        <v>김광수</v>
      </c>
      <c r="H962" t="str">
        <f t="shared" si="137"/>
        <v>스토리위즈</v>
      </c>
      <c r="I962" t="str">
        <f t="shared" si="135"/>
        <v>회귀의 전설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200</v>
      </c>
      <c r="AH962">
        <v>2</v>
      </c>
      <c r="AI962">
        <v>0</v>
      </c>
      <c r="AJ962">
        <v>0</v>
      </c>
      <c r="AK962">
        <v>200</v>
      </c>
      <c r="AL962">
        <v>0</v>
      </c>
      <c r="AM962">
        <v>0</v>
      </c>
      <c r="AN962">
        <v>0</v>
      </c>
      <c r="AO962">
        <v>0</v>
      </c>
      <c r="AP962" s="2">
        <v>140</v>
      </c>
      <c r="AT962" t="str">
        <f t="shared" si="138"/>
        <v>9791191102086</v>
      </c>
      <c r="AV962" t="str">
        <f t="shared" ref="AV962:AV994" si="139">T("판타지 웹소설 &gt; 현대 판타지")</f>
        <v>판타지 웹소설 &gt; 현대 판타지</v>
      </c>
    </row>
    <row r="963" spans="1:48" x14ac:dyDescent="0.4">
      <c r="A963">
        <v>1525004030</v>
      </c>
      <c r="B963">
        <v>1525006659</v>
      </c>
      <c r="C963" t="str">
        <f>T("회귀의 전설 2부 542화")</f>
        <v>회귀의 전설 2부 542화</v>
      </c>
      <c r="D963" t="str">
        <f>T("542")</f>
        <v>542</v>
      </c>
      <c r="E963" t="str">
        <f t="shared" si="134"/>
        <v>김광수</v>
      </c>
      <c r="H963" t="str">
        <f t="shared" si="137"/>
        <v>스토리위즈</v>
      </c>
      <c r="I963" t="str">
        <f t="shared" si="135"/>
        <v>회귀의 전설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200</v>
      </c>
      <c r="AH963">
        <v>2</v>
      </c>
      <c r="AI963">
        <v>0</v>
      </c>
      <c r="AJ963">
        <v>0</v>
      </c>
      <c r="AK963">
        <v>200</v>
      </c>
      <c r="AL963">
        <v>0</v>
      </c>
      <c r="AM963">
        <v>0</v>
      </c>
      <c r="AN963">
        <v>0</v>
      </c>
      <c r="AO963">
        <v>0</v>
      </c>
      <c r="AP963" s="2">
        <v>140</v>
      </c>
      <c r="AT963" t="str">
        <f t="shared" si="138"/>
        <v>9791191102086</v>
      </c>
      <c r="AV963" t="str">
        <f t="shared" si="139"/>
        <v>판타지 웹소설 &gt; 현대 판타지</v>
      </c>
    </row>
    <row r="964" spans="1:48" x14ac:dyDescent="0.4">
      <c r="A964">
        <v>1525004030</v>
      </c>
      <c r="B964">
        <v>1525006851</v>
      </c>
      <c r="C964" t="str">
        <f>T("회귀의 전설 2부 734화")</f>
        <v>회귀의 전설 2부 734화</v>
      </c>
      <c r="D964" t="str">
        <f>T("734")</f>
        <v>734</v>
      </c>
      <c r="E964" t="str">
        <f t="shared" si="134"/>
        <v>김광수</v>
      </c>
      <c r="H964" t="str">
        <f t="shared" si="137"/>
        <v>스토리위즈</v>
      </c>
      <c r="I964" t="str">
        <f t="shared" si="135"/>
        <v>회귀의 전설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P964" s="2">
        <v>140</v>
      </c>
      <c r="AT964" t="str">
        <f t="shared" si="138"/>
        <v>9791191102086</v>
      </c>
      <c r="AV964" t="str">
        <f t="shared" si="139"/>
        <v>판타지 웹소설 &gt; 현대 판타지</v>
      </c>
    </row>
    <row r="965" spans="1:48" x14ac:dyDescent="0.4">
      <c r="A965">
        <v>1525004030</v>
      </c>
      <c r="B965">
        <v>1525006771</v>
      </c>
      <c r="C965" t="str">
        <f>T("회귀의 전설 2부 654화")</f>
        <v>회귀의 전설 2부 654화</v>
      </c>
      <c r="D965" t="str">
        <f>T("654")</f>
        <v>654</v>
      </c>
      <c r="E965" t="str">
        <f t="shared" si="134"/>
        <v>김광수</v>
      </c>
      <c r="H965" t="str">
        <f t="shared" si="137"/>
        <v>스토리위즈</v>
      </c>
      <c r="I965" t="str">
        <f t="shared" si="135"/>
        <v>회귀의 전설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200</v>
      </c>
      <c r="AL965">
        <v>0</v>
      </c>
      <c r="AM965">
        <v>0</v>
      </c>
      <c r="AN965">
        <v>0</v>
      </c>
      <c r="AO965">
        <v>0</v>
      </c>
      <c r="AP965" s="2">
        <v>140</v>
      </c>
      <c r="AT965" t="str">
        <f t="shared" si="138"/>
        <v>9791191102086</v>
      </c>
      <c r="AV965" t="str">
        <f t="shared" si="139"/>
        <v>판타지 웹소설 &gt; 현대 판타지</v>
      </c>
    </row>
    <row r="966" spans="1:48" x14ac:dyDescent="0.4">
      <c r="A966">
        <v>1525004030</v>
      </c>
      <c r="B966">
        <v>1525006827</v>
      </c>
      <c r="C966" t="str">
        <f>T("회귀의 전설 2부 710화")</f>
        <v>회귀의 전설 2부 710화</v>
      </c>
      <c r="D966" t="str">
        <f>T("710")</f>
        <v>710</v>
      </c>
      <c r="E966" t="str">
        <f t="shared" si="134"/>
        <v>김광수</v>
      </c>
      <c r="H966" t="str">
        <f t="shared" si="137"/>
        <v>스토리위즈</v>
      </c>
      <c r="I966" t="str">
        <f t="shared" si="135"/>
        <v>회귀의 전설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200</v>
      </c>
      <c r="AL966">
        <v>0</v>
      </c>
      <c r="AM966">
        <v>0</v>
      </c>
      <c r="AN966">
        <v>0</v>
      </c>
      <c r="AO966">
        <v>0</v>
      </c>
      <c r="AP966" s="2">
        <v>140</v>
      </c>
      <c r="AT966" t="str">
        <f t="shared" si="138"/>
        <v>9791191102086</v>
      </c>
      <c r="AV966" t="str">
        <f t="shared" si="139"/>
        <v>판타지 웹소설 &gt; 현대 판타지</v>
      </c>
    </row>
    <row r="967" spans="1:48" x14ac:dyDescent="0.4">
      <c r="A967">
        <v>2313011400</v>
      </c>
      <c r="B967">
        <v>1525007729</v>
      </c>
      <c r="C967" t="str">
        <f>T("최종 보스 25권 14화")</f>
        <v>최종 보스 25권 14화</v>
      </c>
      <c r="D967" t="str">
        <f>T("507")</f>
        <v>507</v>
      </c>
      <c r="E967" t="str">
        <f>T("무장")</f>
        <v>무장</v>
      </c>
      <c r="H967" t="str">
        <f t="shared" si="137"/>
        <v>스토리위즈</v>
      </c>
      <c r="I967" t="str">
        <f>T("최종 보스 : 빛을 향해 달리는 그림자")</f>
        <v>최종 보스 : 빛을 향해 달리는 그림자</v>
      </c>
      <c r="J967">
        <v>100</v>
      </c>
      <c r="K967">
        <v>200</v>
      </c>
      <c r="L967">
        <v>2</v>
      </c>
      <c r="M967">
        <v>0</v>
      </c>
      <c r="N967">
        <v>100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</v>
      </c>
      <c r="AI967">
        <v>0</v>
      </c>
      <c r="AJ967">
        <v>0</v>
      </c>
      <c r="AK967">
        <v>300</v>
      </c>
      <c r="AL967">
        <v>0</v>
      </c>
      <c r="AM967">
        <v>0</v>
      </c>
      <c r="AN967">
        <v>0</v>
      </c>
      <c r="AO967">
        <v>0</v>
      </c>
      <c r="AP967" s="2">
        <v>210</v>
      </c>
      <c r="AT967" t="str">
        <f>T("9791166067563")</f>
        <v>9791166067563</v>
      </c>
      <c r="AV967" t="str">
        <f t="shared" si="139"/>
        <v>판타지 웹소설 &gt; 현대 판타지</v>
      </c>
    </row>
    <row r="968" spans="1:48" x14ac:dyDescent="0.4">
      <c r="A968">
        <v>1525004030</v>
      </c>
      <c r="B968">
        <v>1525006883</v>
      </c>
      <c r="C968" t="str">
        <f>T("회귀의 전설 2부 766화")</f>
        <v>회귀의 전설 2부 766화</v>
      </c>
      <c r="D968" t="str">
        <f>T("766")</f>
        <v>766</v>
      </c>
      <c r="E968" t="str">
        <f>T("김광수")</f>
        <v>김광수</v>
      </c>
      <c r="H968" t="str">
        <f t="shared" si="137"/>
        <v>스토리위즈</v>
      </c>
      <c r="I968" t="str">
        <f>T("회귀의 전설")</f>
        <v>회귀의 전설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P968" s="2">
        <v>140</v>
      </c>
      <c r="AT968" t="str">
        <f>T("9791191102086")</f>
        <v>9791191102086</v>
      </c>
      <c r="AV968" t="str">
        <f t="shared" si="139"/>
        <v>판타지 웹소설 &gt; 현대 판타지</v>
      </c>
    </row>
    <row r="969" spans="1:48" x14ac:dyDescent="0.4">
      <c r="A969">
        <v>1525004030</v>
      </c>
      <c r="B969">
        <v>1525006691</v>
      </c>
      <c r="C969" t="str">
        <f>T("회귀의 전설 2부 574화")</f>
        <v>회귀의 전설 2부 574화</v>
      </c>
      <c r="D969" t="str">
        <f>T("574")</f>
        <v>574</v>
      </c>
      <c r="E969" t="str">
        <f>T("김광수")</f>
        <v>김광수</v>
      </c>
      <c r="H969" t="str">
        <f t="shared" si="137"/>
        <v>스토리위즈</v>
      </c>
      <c r="I969" t="str">
        <f>T("회귀의 전설")</f>
        <v>회귀의 전설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P969" s="2">
        <v>140</v>
      </c>
      <c r="AT969" t="str">
        <f>T("9791191102086")</f>
        <v>9791191102086</v>
      </c>
      <c r="AV969" t="str">
        <f t="shared" si="139"/>
        <v>판타지 웹소설 &gt; 현대 판타지</v>
      </c>
    </row>
    <row r="970" spans="1:48" x14ac:dyDescent="0.4">
      <c r="A970">
        <v>1525004030</v>
      </c>
      <c r="B970">
        <v>1525004096</v>
      </c>
      <c r="C970" t="str">
        <f>T("회귀의 전설 67화")</f>
        <v>회귀의 전설 67화</v>
      </c>
      <c r="D970" t="str">
        <f>T("67")</f>
        <v>67</v>
      </c>
      <c r="E970" t="str">
        <f>T("김광수")</f>
        <v>김광수</v>
      </c>
      <c r="H970" t="str">
        <f t="shared" si="137"/>
        <v>스토리위즈</v>
      </c>
      <c r="I970" t="str">
        <f>T("회귀의 전설")</f>
        <v>회귀의 전설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P970" s="2">
        <v>140</v>
      </c>
      <c r="AT970" t="str">
        <f>T("9788997946006")</f>
        <v>9788997946006</v>
      </c>
      <c r="AV970" t="str">
        <f t="shared" si="139"/>
        <v>판타지 웹소설 &gt; 현대 판타지</v>
      </c>
    </row>
    <row r="971" spans="1:48" x14ac:dyDescent="0.4">
      <c r="A971">
        <v>1525004030</v>
      </c>
      <c r="B971">
        <v>1525004248</v>
      </c>
      <c r="C971" t="str">
        <f>T("회귀의 전설 219화")</f>
        <v>회귀의 전설 219화</v>
      </c>
      <c r="D971" t="str">
        <f>T("219")</f>
        <v>219</v>
      </c>
      <c r="E971" t="str">
        <f>T("김광수")</f>
        <v>김광수</v>
      </c>
      <c r="H971" t="str">
        <f t="shared" si="137"/>
        <v>스토리위즈</v>
      </c>
      <c r="I971" t="str">
        <f>T("회귀의 전설")</f>
        <v>회귀의 전설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P971" s="2">
        <v>140</v>
      </c>
      <c r="AT971" t="str">
        <f>T("9788997946006")</f>
        <v>9788997946006</v>
      </c>
      <c r="AV971" t="str">
        <f t="shared" si="139"/>
        <v>판타지 웹소설 &gt; 현대 판타지</v>
      </c>
    </row>
    <row r="972" spans="1:48" x14ac:dyDescent="0.4">
      <c r="A972">
        <v>1525004030</v>
      </c>
      <c r="B972">
        <v>1525006844</v>
      </c>
      <c r="C972" t="str">
        <f>T("회귀의 전설 2부 727화")</f>
        <v>회귀의 전설 2부 727화</v>
      </c>
      <c r="D972" t="str">
        <f>T("727")</f>
        <v>727</v>
      </c>
      <c r="E972" t="str">
        <f>T("김광수")</f>
        <v>김광수</v>
      </c>
      <c r="H972" t="str">
        <f t="shared" si="137"/>
        <v>스토리위즈</v>
      </c>
      <c r="I972" t="str">
        <f>T("회귀의 전설")</f>
        <v>회귀의 전설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200</v>
      </c>
      <c r="AL972">
        <v>0</v>
      </c>
      <c r="AM972">
        <v>0</v>
      </c>
      <c r="AN972">
        <v>0</v>
      </c>
      <c r="AO972">
        <v>0</v>
      </c>
      <c r="AP972" s="2">
        <v>140</v>
      </c>
      <c r="AT972" t="str">
        <f>T("9791191102086")</f>
        <v>9791191102086</v>
      </c>
      <c r="AV972" t="str">
        <f t="shared" si="139"/>
        <v>판타지 웹소설 &gt; 현대 판타지</v>
      </c>
    </row>
    <row r="973" spans="1:48" x14ac:dyDescent="0.4">
      <c r="A973">
        <v>2313011400</v>
      </c>
      <c r="B973">
        <v>1525007594</v>
      </c>
      <c r="C973" t="str">
        <f>T("최종 보스 18권 20화")</f>
        <v>최종 보스 18권 20화</v>
      </c>
      <c r="D973" t="str">
        <f>T("372")</f>
        <v>372</v>
      </c>
      <c r="E973" t="str">
        <f>T("무장")</f>
        <v>무장</v>
      </c>
      <c r="H973" t="str">
        <f t="shared" si="137"/>
        <v>스토리위즈</v>
      </c>
      <c r="I973" t="str">
        <f>T("최종 보스 : 빛을 향해 달리는 그림자")</f>
        <v>최종 보스 : 빛을 향해 달리는 그림자</v>
      </c>
      <c r="J973">
        <v>100</v>
      </c>
      <c r="K973">
        <v>200</v>
      </c>
      <c r="L973">
        <v>2</v>
      </c>
      <c r="M973">
        <v>0</v>
      </c>
      <c r="N973">
        <v>100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300</v>
      </c>
      <c r="AH973">
        <v>3</v>
      </c>
      <c r="AI973">
        <v>0</v>
      </c>
      <c r="AJ973">
        <v>0</v>
      </c>
      <c r="AK973">
        <v>200</v>
      </c>
      <c r="AL973">
        <v>0</v>
      </c>
      <c r="AM973">
        <v>120.41</v>
      </c>
      <c r="AN973">
        <v>-36.119999999999997</v>
      </c>
      <c r="AO973">
        <v>0</v>
      </c>
      <c r="AP973" s="2">
        <v>199</v>
      </c>
      <c r="AT973" t="str">
        <f>T("9791166067563")</f>
        <v>9791166067563</v>
      </c>
      <c r="AV973" t="str">
        <f t="shared" si="139"/>
        <v>판타지 웹소설 &gt; 현대 판타지</v>
      </c>
    </row>
    <row r="974" spans="1:48" x14ac:dyDescent="0.4">
      <c r="A974">
        <v>1525004030</v>
      </c>
      <c r="B974">
        <v>1525006764</v>
      </c>
      <c r="C974" t="str">
        <f>T("회귀의 전설 2부 647화")</f>
        <v>회귀의 전설 2부 647화</v>
      </c>
      <c r="D974" t="str">
        <f>T("647")</f>
        <v>647</v>
      </c>
      <c r="E974" t="str">
        <f>T("김광수")</f>
        <v>김광수</v>
      </c>
      <c r="H974" t="str">
        <f t="shared" si="137"/>
        <v>스토리위즈</v>
      </c>
      <c r="I974" t="str">
        <f>T("회귀의 전설")</f>
        <v>회귀의 전설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P974" s="2">
        <v>140</v>
      </c>
      <c r="AT974" t="str">
        <f>T("9791191102086")</f>
        <v>9791191102086</v>
      </c>
      <c r="AV974" t="str">
        <f t="shared" si="139"/>
        <v>판타지 웹소설 &gt; 현대 판타지</v>
      </c>
    </row>
    <row r="975" spans="1:48" x14ac:dyDescent="0.4">
      <c r="A975">
        <v>1525004030</v>
      </c>
      <c r="B975">
        <v>1525006820</v>
      </c>
      <c r="C975" t="str">
        <f>T("회귀의 전설 2부 703화")</f>
        <v>회귀의 전설 2부 703화</v>
      </c>
      <c r="D975" t="str">
        <f>T("703")</f>
        <v>703</v>
      </c>
      <c r="E975" t="str">
        <f>T("김광수")</f>
        <v>김광수</v>
      </c>
      <c r="H975" t="str">
        <f t="shared" si="137"/>
        <v>스토리위즈</v>
      </c>
      <c r="I975" t="str">
        <f>T("회귀의 전설")</f>
        <v>회귀의 전설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P975" s="2">
        <v>140</v>
      </c>
      <c r="AT975" t="str">
        <f>T("9791191102086")</f>
        <v>9791191102086</v>
      </c>
      <c r="AV975" t="str">
        <f t="shared" si="139"/>
        <v>판타지 웹소설 &gt; 현대 판타지</v>
      </c>
    </row>
    <row r="976" spans="1:48" x14ac:dyDescent="0.4">
      <c r="A976">
        <v>2313011400</v>
      </c>
      <c r="B976">
        <v>1525007722</v>
      </c>
      <c r="C976" t="str">
        <f>T("최종 보스 25권 7화")</f>
        <v>최종 보스 25권 7화</v>
      </c>
      <c r="D976" t="str">
        <f>T("500")</f>
        <v>500</v>
      </c>
      <c r="E976" t="str">
        <f>T("무장")</f>
        <v>무장</v>
      </c>
      <c r="H976" t="str">
        <f t="shared" si="137"/>
        <v>스토리위즈</v>
      </c>
      <c r="I976" t="str">
        <f>T("최종 보스 : 빛을 향해 달리는 그림자")</f>
        <v>최종 보스 : 빛을 향해 달리는 그림자</v>
      </c>
      <c r="J976">
        <v>100</v>
      </c>
      <c r="K976">
        <v>200</v>
      </c>
      <c r="L976">
        <v>2</v>
      </c>
      <c r="M976">
        <v>0</v>
      </c>
      <c r="N976">
        <v>100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300</v>
      </c>
      <c r="AH976">
        <v>3</v>
      </c>
      <c r="AI976">
        <v>0</v>
      </c>
      <c r="AJ976">
        <v>0</v>
      </c>
      <c r="AK976">
        <v>300</v>
      </c>
      <c r="AL976">
        <v>0</v>
      </c>
      <c r="AM976">
        <v>0</v>
      </c>
      <c r="AN976">
        <v>0</v>
      </c>
      <c r="AO976">
        <v>0</v>
      </c>
      <c r="AP976" s="2">
        <v>210</v>
      </c>
      <c r="AT976" t="str">
        <f>T("9791166067563")</f>
        <v>9791166067563</v>
      </c>
      <c r="AV976" t="str">
        <f t="shared" si="139"/>
        <v>판타지 웹소설 &gt; 현대 판타지</v>
      </c>
    </row>
    <row r="977" spans="1:48" x14ac:dyDescent="0.4">
      <c r="A977">
        <v>1525004030</v>
      </c>
      <c r="B977">
        <v>1525006876</v>
      </c>
      <c r="C977" t="str">
        <f>T("회귀의 전설 2부 759화")</f>
        <v>회귀의 전설 2부 759화</v>
      </c>
      <c r="D977" t="str">
        <f>T("759")</f>
        <v>759</v>
      </c>
      <c r="E977" t="str">
        <f>T("김광수")</f>
        <v>김광수</v>
      </c>
      <c r="H977" t="str">
        <f t="shared" si="137"/>
        <v>스토리위즈</v>
      </c>
      <c r="I977" t="str">
        <f>T("회귀의 전설")</f>
        <v>회귀의 전설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P977" s="2">
        <v>140</v>
      </c>
      <c r="AT977" t="str">
        <f>T("9791191102086")</f>
        <v>9791191102086</v>
      </c>
      <c r="AV977" t="str">
        <f t="shared" si="139"/>
        <v>판타지 웹소설 &gt; 현대 판타지</v>
      </c>
    </row>
    <row r="978" spans="1:48" x14ac:dyDescent="0.4">
      <c r="A978">
        <v>2313011400</v>
      </c>
      <c r="B978">
        <v>1525007626</v>
      </c>
      <c r="C978" t="str">
        <f>T("최종 보스 20권 11화")</f>
        <v>최종 보스 20권 11화</v>
      </c>
      <c r="D978" t="str">
        <f>T("404")</f>
        <v>404</v>
      </c>
      <c r="E978" t="str">
        <f>T("무장")</f>
        <v>무장</v>
      </c>
      <c r="H978" t="str">
        <f t="shared" si="137"/>
        <v>스토리위즈</v>
      </c>
      <c r="I978" t="str">
        <f>T("최종 보스 : 빛을 향해 달리는 그림자")</f>
        <v>최종 보스 : 빛을 향해 달리는 그림자</v>
      </c>
      <c r="J978">
        <v>100</v>
      </c>
      <c r="K978">
        <v>200</v>
      </c>
      <c r="L978">
        <v>2</v>
      </c>
      <c r="M978">
        <v>0</v>
      </c>
      <c r="N978">
        <v>100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300</v>
      </c>
      <c r="AH978">
        <v>3</v>
      </c>
      <c r="AI978">
        <v>0</v>
      </c>
      <c r="AJ978">
        <v>0</v>
      </c>
      <c r="AK978">
        <v>300</v>
      </c>
      <c r="AL978">
        <v>0</v>
      </c>
      <c r="AM978">
        <v>0</v>
      </c>
      <c r="AN978">
        <v>0</v>
      </c>
      <c r="AO978">
        <v>0</v>
      </c>
      <c r="AP978" s="2">
        <v>210</v>
      </c>
      <c r="AT978" t="str">
        <f>T("9791166067563")</f>
        <v>9791166067563</v>
      </c>
      <c r="AV978" t="str">
        <f t="shared" si="139"/>
        <v>판타지 웹소설 &gt; 현대 판타지</v>
      </c>
    </row>
    <row r="979" spans="1:48" x14ac:dyDescent="0.4">
      <c r="A979">
        <v>1525004030</v>
      </c>
      <c r="B979">
        <v>1525006684</v>
      </c>
      <c r="C979" t="str">
        <f>T("회귀의 전설 2부 567화")</f>
        <v>회귀의 전설 2부 567화</v>
      </c>
      <c r="D979" t="str">
        <f>T("567")</f>
        <v>567</v>
      </c>
      <c r="E979" t="str">
        <f t="shared" ref="E979:E986" si="140">T("김광수")</f>
        <v>김광수</v>
      </c>
      <c r="H979" t="str">
        <f t="shared" si="137"/>
        <v>스토리위즈</v>
      </c>
      <c r="I979" t="str">
        <f t="shared" ref="I979:I986" si="141">T("회귀의 전설")</f>
        <v>회귀의 전설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2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P979" s="2">
        <v>140</v>
      </c>
      <c r="AT979" t="str">
        <f>T("9791191102086")</f>
        <v>9791191102086</v>
      </c>
      <c r="AV979" t="str">
        <f t="shared" si="139"/>
        <v>판타지 웹소설 &gt; 현대 판타지</v>
      </c>
    </row>
    <row r="980" spans="1:48" x14ac:dyDescent="0.4">
      <c r="A980">
        <v>1525004030</v>
      </c>
      <c r="B980">
        <v>1525006908</v>
      </c>
      <c r="C980" t="str">
        <f>T("회귀의 전설 2부 791화")</f>
        <v>회귀의 전설 2부 791화</v>
      </c>
      <c r="D980" t="str">
        <f>T("791")</f>
        <v>791</v>
      </c>
      <c r="E980" t="str">
        <f t="shared" si="140"/>
        <v>김광수</v>
      </c>
      <c r="H980" t="str">
        <f t="shared" si="137"/>
        <v>스토리위즈</v>
      </c>
      <c r="I980" t="str">
        <f t="shared" si="141"/>
        <v>회귀의 전설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 s="2">
        <v>140</v>
      </c>
      <c r="AT980" t="str">
        <f>T("9791191102086")</f>
        <v>9791191102086</v>
      </c>
      <c r="AV980" t="str">
        <f t="shared" si="139"/>
        <v>판타지 웹소설 &gt; 현대 판타지</v>
      </c>
    </row>
    <row r="981" spans="1:48" x14ac:dyDescent="0.4">
      <c r="A981">
        <v>1525004030</v>
      </c>
      <c r="B981">
        <v>1525006788</v>
      </c>
      <c r="C981" t="str">
        <f>T("회귀의 전설 2부 671화")</f>
        <v>회귀의 전설 2부 671화</v>
      </c>
      <c r="D981" t="str">
        <f>T("671")</f>
        <v>671</v>
      </c>
      <c r="E981" t="str">
        <f t="shared" si="140"/>
        <v>김광수</v>
      </c>
      <c r="H981" t="str">
        <f t="shared" si="137"/>
        <v>스토리위즈</v>
      </c>
      <c r="I981" t="str">
        <f t="shared" si="141"/>
        <v>회귀의 전설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 s="2">
        <v>140</v>
      </c>
      <c r="AT981" t="str">
        <f>T("9791191102086")</f>
        <v>9791191102086</v>
      </c>
      <c r="AV981" t="str">
        <f t="shared" si="139"/>
        <v>판타지 웹소설 &gt; 현대 판타지</v>
      </c>
    </row>
    <row r="982" spans="1:48" x14ac:dyDescent="0.4">
      <c r="A982">
        <v>1525004030</v>
      </c>
      <c r="B982">
        <v>1525006901</v>
      </c>
      <c r="C982" t="str">
        <f>T("회귀의 전설 2부 784화")</f>
        <v>회귀의 전설 2부 784화</v>
      </c>
      <c r="D982" t="str">
        <f>T("784")</f>
        <v>784</v>
      </c>
      <c r="E982" t="str">
        <f t="shared" si="140"/>
        <v>김광수</v>
      </c>
      <c r="H982" t="str">
        <f t="shared" si="137"/>
        <v>스토리위즈</v>
      </c>
      <c r="I982" t="str">
        <f t="shared" si="141"/>
        <v>회귀의 전설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 s="2">
        <v>140</v>
      </c>
      <c r="AT982" t="str">
        <f>T("9791191102086")</f>
        <v>9791191102086</v>
      </c>
      <c r="AV982" t="str">
        <f t="shared" si="139"/>
        <v>판타지 웹소설 &gt; 현대 판타지</v>
      </c>
    </row>
    <row r="983" spans="1:48" x14ac:dyDescent="0.4">
      <c r="A983">
        <v>1525004030</v>
      </c>
      <c r="B983">
        <v>1525004114</v>
      </c>
      <c r="C983" t="str">
        <f>T("회귀의 전설 85화")</f>
        <v>회귀의 전설 85화</v>
      </c>
      <c r="D983" t="str">
        <f>T("85")</f>
        <v>85</v>
      </c>
      <c r="E983" t="str">
        <f t="shared" si="140"/>
        <v>김광수</v>
      </c>
      <c r="H983" t="str">
        <f t="shared" si="137"/>
        <v>스토리위즈</v>
      </c>
      <c r="I983" t="str">
        <f t="shared" si="141"/>
        <v>회귀의 전설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P983" s="2">
        <v>140</v>
      </c>
      <c r="AT983" t="str">
        <f>T("9788997946006")</f>
        <v>9788997946006</v>
      </c>
      <c r="AV983" t="str">
        <f t="shared" si="139"/>
        <v>판타지 웹소설 &gt; 현대 판타지</v>
      </c>
    </row>
    <row r="984" spans="1:48" x14ac:dyDescent="0.4">
      <c r="A984">
        <v>1525004030</v>
      </c>
      <c r="B984">
        <v>1525006957</v>
      </c>
      <c r="C984" t="str">
        <f>T("회귀의 전설 2부 841화")</f>
        <v>회귀의 전설 2부 841화</v>
      </c>
      <c r="D984" t="str">
        <f>T("841")</f>
        <v>841</v>
      </c>
      <c r="E984" t="str">
        <f t="shared" si="140"/>
        <v>김광수</v>
      </c>
      <c r="H984" t="str">
        <f t="shared" si="137"/>
        <v>스토리위즈</v>
      </c>
      <c r="I984" t="str">
        <f t="shared" si="141"/>
        <v>회귀의 전설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P984" s="2">
        <v>140</v>
      </c>
      <c r="AT984" t="str">
        <f>T("9791191102086")</f>
        <v>9791191102086</v>
      </c>
      <c r="AV984" t="str">
        <f t="shared" si="139"/>
        <v>판타지 웹소설 &gt; 현대 판타지</v>
      </c>
    </row>
    <row r="985" spans="1:48" x14ac:dyDescent="0.4">
      <c r="A985">
        <v>1525004030</v>
      </c>
      <c r="B985">
        <v>1525004392</v>
      </c>
      <c r="C985" t="str">
        <f>T("회귀의 전설 364화")</f>
        <v>회귀의 전설 364화</v>
      </c>
      <c r="D985" t="str">
        <f>T("364")</f>
        <v>364</v>
      </c>
      <c r="E985" t="str">
        <f t="shared" si="140"/>
        <v>김광수</v>
      </c>
      <c r="H985" t="str">
        <f t="shared" si="137"/>
        <v>스토리위즈</v>
      </c>
      <c r="I985" t="str">
        <f t="shared" si="141"/>
        <v>회귀의 전설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P985" s="2">
        <v>140</v>
      </c>
      <c r="AT985" t="str">
        <f>T("9788997946006")</f>
        <v>9788997946006</v>
      </c>
      <c r="AV985" t="str">
        <f t="shared" si="139"/>
        <v>판타지 웹소설 &gt; 현대 판타지</v>
      </c>
    </row>
    <row r="986" spans="1:48" x14ac:dyDescent="0.4">
      <c r="A986">
        <v>1525004030</v>
      </c>
      <c r="B986">
        <v>1525006813</v>
      </c>
      <c r="C986" t="str">
        <f>T("회귀의 전설 2부 696화")</f>
        <v>회귀의 전설 2부 696화</v>
      </c>
      <c r="D986" t="str">
        <f>T("696")</f>
        <v>696</v>
      </c>
      <c r="E986" t="str">
        <f t="shared" si="140"/>
        <v>김광수</v>
      </c>
      <c r="H986" t="str">
        <f t="shared" si="137"/>
        <v>스토리위즈</v>
      </c>
      <c r="I986" t="str">
        <f t="shared" si="141"/>
        <v>회귀의 전설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200</v>
      </c>
      <c r="AH986">
        <v>2</v>
      </c>
      <c r="AI986">
        <v>0</v>
      </c>
      <c r="AJ986">
        <v>0</v>
      </c>
      <c r="AK986">
        <v>200</v>
      </c>
      <c r="AL986">
        <v>0</v>
      </c>
      <c r="AM986">
        <v>0</v>
      </c>
      <c r="AN986">
        <v>0</v>
      </c>
      <c r="AO986">
        <v>0</v>
      </c>
      <c r="AP986" s="2">
        <v>140</v>
      </c>
      <c r="AT986" t="str">
        <f>T("9791191102086")</f>
        <v>9791191102086</v>
      </c>
      <c r="AV986" t="str">
        <f t="shared" si="139"/>
        <v>판타지 웹소설 &gt; 현대 판타지</v>
      </c>
    </row>
    <row r="987" spans="1:48" x14ac:dyDescent="0.4">
      <c r="A987">
        <v>2313011400</v>
      </c>
      <c r="B987">
        <v>1525007715</v>
      </c>
      <c r="C987" t="str">
        <f>T("최종 보스 24권 20화")</f>
        <v>최종 보스 24권 20화</v>
      </c>
      <c r="D987" t="str">
        <f>T("493")</f>
        <v>493</v>
      </c>
      <c r="E987" t="str">
        <f>T("무장")</f>
        <v>무장</v>
      </c>
      <c r="H987" t="str">
        <f t="shared" si="137"/>
        <v>스토리위즈</v>
      </c>
      <c r="I987" t="str">
        <f>T("최종 보스 : 빛을 향해 달리는 그림자")</f>
        <v>최종 보스 : 빛을 향해 달리는 그림자</v>
      </c>
      <c r="J987">
        <v>100</v>
      </c>
      <c r="K987">
        <v>200</v>
      </c>
      <c r="L987">
        <v>2</v>
      </c>
      <c r="M987">
        <v>0</v>
      </c>
      <c r="N987">
        <v>100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300</v>
      </c>
      <c r="AH987">
        <v>3</v>
      </c>
      <c r="AI987">
        <v>0</v>
      </c>
      <c r="AJ987">
        <v>0</v>
      </c>
      <c r="AK987">
        <v>300</v>
      </c>
      <c r="AL987">
        <v>0</v>
      </c>
      <c r="AM987">
        <v>0</v>
      </c>
      <c r="AN987">
        <v>0</v>
      </c>
      <c r="AO987">
        <v>0</v>
      </c>
      <c r="AP987" s="2">
        <v>210</v>
      </c>
      <c r="AT987" t="str">
        <f>T("9791166067563")</f>
        <v>9791166067563</v>
      </c>
      <c r="AV987" t="str">
        <f t="shared" si="139"/>
        <v>판타지 웹소설 &gt; 현대 판타지</v>
      </c>
    </row>
    <row r="988" spans="1:48" x14ac:dyDescent="0.4">
      <c r="A988">
        <v>1525004030</v>
      </c>
      <c r="B988">
        <v>1525006869</v>
      </c>
      <c r="C988" t="str">
        <f>T("회귀의 전설 2부 752화")</f>
        <v>회귀의 전설 2부 752화</v>
      </c>
      <c r="D988" t="str">
        <f>T("752")</f>
        <v>752</v>
      </c>
      <c r="E988" t="str">
        <f t="shared" ref="E988:E993" si="142">T("김광수")</f>
        <v>김광수</v>
      </c>
      <c r="H988" t="str">
        <f t="shared" si="137"/>
        <v>스토리위즈</v>
      </c>
      <c r="I988" t="str">
        <f t="shared" ref="I988:I993" si="143">T("회귀의 전설")</f>
        <v>회귀의 전설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200</v>
      </c>
      <c r="AL988">
        <v>0</v>
      </c>
      <c r="AM988">
        <v>0</v>
      </c>
      <c r="AN988">
        <v>0</v>
      </c>
      <c r="AO988">
        <v>0</v>
      </c>
      <c r="AP988" s="2">
        <v>140</v>
      </c>
      <c r="AT988" t="str">
        <f>T("9791191102086")</f>
        <v>9791191102086</v>
      </c>
      <c r="AV988" t="str">
        <f t="shared" si="139"/>
        <v>판타지 웹소설 &gt; 현대 판타지</v>
      </c>
    </row>
    <row r="989" spans="1:48" x14ac:dyDescent="0.4">
      <c r="A989">
        <v>1525004030</v>
      </c>
      <c r="B989">
        <v>1525006677</v>
      </c>
      <c r="C989" t="str">
        <f>T("회귀의 전설 2부 560화")</f>
        <v>회귀의 전설 2부 560화</v>
      </c>
      <c r="D989" t="str">
        <f>T("560")</f>
        <v>560</v>
      </c>
      <c r="E989" t="str">
        <f t="shared" si="142"/>
        <v>김광수</v>
      </c>
      <c r="H989" t="str">
        <f t="shared" si="137"/>
        <v>스토리위즈</v>
      </c>
      <c r="I989" t="str">
        <f t="shared" si="143"/>
        <v>회귀의 전설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200</v>
      </c>
      <c r="AL989">
        <v>0</v>
      </c>
      <c r="AM989">
        <v>0</v>
      </c>
      <c r="AN989">
        <v>0</v>
      </c>
      <c r="AO989">
        <v>0</v>
      </c>
      <c r="AP989" s="2">
        <v>140</v>
      </c>
      <c r="AT989" t="str">
        <f>T("9791191102086")</f>
        <v>9791191102086</v>
      </c>
      <c r="AV989" t="str">
        <f t="shared" si="139"/>
        <v>판타지 웹소설 &gt; 현대 판타지</v>
      </c>
    </row>
    <row r="990" spans="1:48" x14ac:dyDescent="0.4">
      <c r="A990">
        <v>1525004030</v>
      </c>
      <c r="B990">
        <v>1525004305</v>
      </c>
      <c r="C990" t="str">
        <f>T("회귀의 전설 276화")</f>
        <v>회귀의 전설 276화</v>
      </c>
      <c r="D990" t="str">
        <f>T("276")</f>
        <v>276</v>
      </c>
      <c r="E990" t="str">
        <f t="shared" si="142"/>
        <v>김광수</v>
      </c>
      <c r="H990" t="str">
        <f t="shared" si="137"/>
        <v>스토리위즈</v>
      </c>
      <c r="I990" t="str">
        <f t="shared" si="143"/>
        <v>회귀의 전설</v>
      </c>
      <c r="J990">
        <v>100</v>
      </c>
      <c r="K990">
        <v>100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100</v>
      </c>
      <c r="AH990">
        <v>1</v>
      </c>
      <c r="AI990">
        <v>0</v>
      </c>
      <c r="AJ990">
        <v>0</v>
      </c>
      <c r="AK990">
        <v>100</v>
      </c>
      <c r="AL990">
        <v>0</v>
      </c>
      <c r="AM990">
        <v>0</v>
      </c>
      <c r="AN990">
        <v>0</v>
      </c>
      <c r="AO990">
        <v>0</v>
      </c>
      <c r="AP990" s="2">
        <v>70</v>
      </c>
      <c r="AT990" t="str">
        <f>T("9788997946006")</f>
        <v>9788997946006</v>
      </c>
      <c r="AV990" t="str">
        <f t="shared" si="139"/>
        <v>판타지 웹소설 &gt; 현대 판타지</v>
      </c>
    </row>
    <row r="991" spans="1:48" x14ac:dyDescent="0.4">
      <c r="A991">
        <v>1525004030</v>
      </c>
      <c r="B991">
        <v>1525004417</v>
      </c>
      <c r="C991" t="str">
        <f>T("회귀의 전설 401화")</f>
        <v>회귀의 전설 401화</v>
      </c>
      <c r="D991" t="str">
        <f>T("401")</f>
        <v>401</v>
      </c>
      <c r="E991" t="str">
        <f t="shared" si="142"/>
        <v>김광수</v>
      </c>
      <c r="H991" t="str">
        <f t="shared" si="137"/>
        <v>스토리위즈</v>
      </c>
      <c r="I991" t="str">
        <f t="shared" si="143"/>
        <v>회귀의 전설</v>
      </c>
      <c r="J991">
        <v>100</v>
      </c>
      <c r="K991">
        <v>100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100</v>
      </c>
      <c r="AH991">
        <v>1</v>
      </c>
      <c r="AI991">
        <v>0</v>
      </c>
      <c r="AJ991">
        <v>0</v>
      </c>
      <c r="AK991">
        <v>100</v>
      </c>
      <c r="AL991">
        <v>0</v>
      </c>
      <c r="AM991">
        <v>0</v>
      </c>
      <c r="AN991">
        <v>0</v>
      </c>
      <c r="AO991">
        <v>0</v>
      </c>
      <c r="AP991" s="2">
        <v>70</v>
      </c>
      <c r="AT991" t="str">
        <f>T("9788997946006")</f>
        <v>9788997946006</v>
      </c>
      <c r="AV991" t="str">
        <f t="shared" si="139"/>
        <v>판타지 웹소설 &gt; 현대 판타지</v>
      </c>
    </row>
    <row r="992" spans="1:48" x14ac:dyDescent="0.4">
      <c r="A992">
        <v>1525004030</v>
      </c>
      <c r="B992">
        <v>1525006750</v>
      </c>
      <c r="C992" t="str">
        <f>T("회귀의 전설 2부 633화")</f>
        <v>회귀의 전설 2부 633화</v>
      </c>
      <c r="D992" t="str">
        <f>T("633")</f>
        <v>633</v>
      </c>
      <c r="E992" t="str">
        <f t="shared" si="142"/>
        <v>김광수</v>
      </c>
      <c r="H992" t="str">
        <f t="shared" si="137"/>
        <v>스토리위즈</v>
      </c>
      <c r="I992" t="str">
        <f t="shared" si="143"/>
        <v>회귀의 전설</v>
      </c>
      <c r="J992">
        <v>100</v>
      </c>
      <c r="K992">
        <v>100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100</v>
      </c>
      <c r="AH992">
        <v>1</v>
      </c>
      <c r="AI992">
        <v>0</v>
      </c>
      <c r="AJ992">
        <v>0</v>
      </c>
      <c r="AK992">
        <v>100</v>
      </c>
      <c r="AL992">
        <v>0</v>
      </c>
      <c r="AM992">
        <v>0</v>
      </c>
      <c r="AN992">
        <v>0</v>
      </c>
      <c r="AO992">
        <v>0</v>
      </c>
      <c r="AP992" s="2">
        <v>70</v>
      </c>
      <c r="AT992" t="str">
        <f>T("9791191102086")</f>
        <v>9791191102086</v>
      </c>
      <c r="AV992" t="str">
        <f t="shared" si="139"/>
        <v>판타지 웹소설 &gt; 현대 판타지</v>
      </c>
    </row>
    <row r="993" spans="1:48" x14ac:dyDescent="0.4">
      <c r="A993">
        <v>1525004030</v>
      </c>
      <c r="B993">
        <v>1525004497</v>
      </c>
      <c r="C993" t="str">
        <f>T("회귀의 전설 481화")</f>
        <v>회귀의 전설 481화</v>
      </c>
      <c r="D993" t="str">
        <f>T("481")</f>
        <v>481</v>
      </c>
      <c r="E993" t="str">
        <f t="shared" si="142"/>
        <v>김광수</v>
      </c>
      <c r="H993" t="str">
        <f t="shared" si="137"/>
        <v>스토리위즈</v>
      </c>
      <c r="I993" t="str">
        <f t="shared" si="143"/>
        <v>회귀의 전설</v>
      </c>
      <c r="J993">
        <v>100</v>
      </c>
      <c r="K993">
        <v>100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100</v>
      </c>
      <c r="AH993">
        <v>1</v>
      </c>
      <c r="AI993">
        <v>0</v>
      </c>
      <c r="AJ993">
        <v>0</v>
      </c>
      <c r="AK993">
        <v>100</v>
      </c>
      <c r="AL993">
        <v>0</v>
      </c>
      <c r="AM993">
        <v>0</v>
      </c>
      <c r="AN993">
        <v>0</v>
      </c>
      <c r="AO993">
        <v>0</v>
      </c>
      <c r="AP993" s="2">
        <v>70</v>
      </c>
      <c r="AT993" t="str">
        <f>T("9788997946006")</f>
        <v>9788997946006</v>
      </c>
      <c r="AV993" t="str">
        <f t="shared" si="139"/>
        <v>판타지 웹소설 &gt; 현대 판타지</v>
      </c>
    </row>
    <row r="994" spans="1:48" x14ac:dyDescent="0.4">
      <c r="A994">
        <v>1525000569</v>
      </c>
      <c r="B994">
        <v>1525000621</v>
      </c>
      <c r="C994" t="str">
        <f>T("스트라이커 52화")</f>
        <v>스트라이커 52화</v>
      </c>
      <c r="D994" t="str">
        <f>T("52")</f>
        <v>52</v>
      </c>
      <c r="E994" t="str">
        <f>T("독고진")</f>
        <v>독고진</v>
      </c>
      <c r="H994" t="str">
        <f t="shared" si="137"/>
        <v>스토리위즈</v>
      </c>
      <c r="I994" t="str">
        <f>T("스트라이커")</f>
        <v>스트라이커</v>
      </c>
      <c r="J994">
        <v>100</v>
      </c>
      <c r="K994">
        <v>100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100</v>
      </c>
      <c r="AH994">
        <v>1</v>
      </c>
      <c r="AI994">
        <v>0</v>
      </c>
      <c r="AJ994">
        <v>0</v>
      </c>
      <c r="AK994">
        <v>100</v>
      </c>
      <c r="AL994">
        <v>0</v>
      </c>
      <c r="AM994">
        <v>0</v>
      </c>
      <c r="AN994">
        <v>0</v>
      </c>
      <c r="AO994">
        <v>0</v>
      </c>
      <c r="AP994" s="2">
        <v>70</v>
      </c>
      <c r="AT994" t="str">
        <f>T("9791170151678")</f>
        <v>9791170151678</v>
      </c>
      <c r="AV994" t="str">
        <f t="shared" si="139"/>
        <v>판타지 웹소설 &gt; 현대 판타지</v>
      </c>
    </row>
    <row r="995" spans="1:48" x14ac:dyDescent="0.4">
      <c r="A995">
        <v>1525007923</v>
      </c>
      <c r="B995">
        <v>1525007901</v>
      </c>
      <c r="C995" t="str">
        <f>T("운상연담: 화불능귀일락 102화")</f>
        <v>운상연담: 화불능귀일락 102화</v>
      </c>
      <c r="D995" t="str">
        <f>T("102")</f>
        <v>102</v>
      </c>
      <c r="E995" t="str">
        <f>T("피모")</f>
        <v>피모</v>
      </c>
      <c r="H995" t="str">
        <f>T("쉬라즈")</f>
        <v>쉬라즈</v>
      </c>
      <c r="I995" t="str">
        <f>T("운상연담: 화불능귀일락")</f>
        <v>운상연담: 화불능귀일락</v>
      </c>
      <c r="J995">
        <v>100</v>
      </c>
      <c r="K995">
        <v>100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100</v>
      </c>
      <c r="AH995">
        <v>1</v>
      </c>
      <c r="AI995">
        <v>0</v>
      </c>
      <c r="AJ995">
        <v>0</v>
      </c>
      <c r="AK995">
        <v>100</v>
      </c>
      <c r="AL995">
        <v>0</v>
      </c>
      <c r="AM995">
        <v>0</v>
      </c>
      <c r="AN995">
        <v>0</v>
      </c>
      <c r="AO995">
        <v>0</v>
      </c>
      <c r="AP995" s="2">
        <v>70</v>
      </c>
      <c r="AT995" t="str">
        <f>T("9791164896646")</f>
        <v>9791164896646</v>
      </c>
      <c r="AV995" t="str">
        <f>T("로맨스 웹소설 &gt; 역사/시대물")</f>
        <v>로맨스 웹소설 &gt; 역사/시대물</v>
      </c>
    </row>
    <row r="996" spans="1:48" x14ac:dyDescent="0.4">
      <c r="A996">
        <v>1525004030</v>
      </c>
      <c r="B996">
        <v>1525007066</v>
      </c>
      <c r="C996" t="str">
        <f>T("회귀의 전설 2부 950화")</f>
        <v>회귀의 전설 2부 950화</v>
      </c>
      <c r="D996" t="str">
        <f>T("950")</f>
        <v>950</v>
      </c>
      <c r="E996" t="str">
        <f>T("김광수")</f>
        <v>김광수</v>
      </c>
      <c r="H996" t="str">
        <f t="shared" ref="H996:H1004" si="144">T("스토리위즈")</f>
        <v>스토리위즈</v>
      </c>
      <c r="I996" t="str">
        <f>T("회귀의 전설")</f>
        <v>회귀의 전설</v>
      </c>
      <c r="J996">
        <v>100</v>
      </c>
      <c r="K996">
        <v>100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100</v>
      </c>
      <c r="AH996">
        <v>1</v>
      </c>
      <c r="AI996">
        <v>0</v>
      </c>
      <c r="AJ996">
        <v>0</v>
      </c>
      <c r="AK996">
        <v>100</v>
      </c>
      <c r="AL996">
        <v>0</v>
      </c>
      <c r="AM996">
        <v>0</v>
      </c>
      <c r="AN996">
        <v>0</v>
      </c>
      <c r="AO996">
        <v>0</v>
      </c>
      <c r="AP996" s="2">
        <v>70</v>
      </c>
      <c r="AT996" t="str">
        <f>T("9791191102086")</f>
        <v>9791191102086</v>
      </c>
      <c r="AV996" t="str">
        <f>T("판타지 웹소설 &gt; 현대 판타지")</f>
        <v>판타지 웹소설 &gt; 현대 판타지</v>
      </c>
    </row>
    <row r="997" spans="1:48" x14ac:dyDescent="0.4">
      <c r="A997">
        <v>1525004989</v>
      </c>
      <c r="B997">
        <v>1525005635</v>
      </c>
      <c r="C997" t="str">
        <f>T("신룡전설 146화")</f>
        <v>신룡전설 146화</v>
      </c>
      <c r="D997" t="str">
        <f>T("146")</f>
        <v>146</v>
      </c>
      <c r="E997" t="str">
        <f>T("가람검")</f>
        <v>가람검</v>
      </c>
      <c r="H997" t="str">
        <f t="shared" si="144"/>
        <v>스토리위즈</v>
      </c>
      <c r="I997" t="str">
        <f>T("신룡전설")</f>
        <v>신룡전설</v>
      </c>
      <c r="J997">
        <v>100</v>
      </c>
      <c r="K997">
        <v>100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100</v>
      </c>
      <c r="AH997">
        <v>1</v>
      </c>
      <c r="AI997">
        <v>0</v>
      </c>
      <c r="AJ997">
        <v>0</v>
      </c>
      <c r="AK997">
        <v>100</v>
      </c>
      <c r="AL997">
        <v>0</v>
      </c>
      <c r="AM997">
        <v>0</v>
      </c>
      <c r="AN997">
        <v>0</v>
      </c>
      <c r="AO997">
        <v>0</v>
      </c>
      <c r="AP997" s="2">
        <v>70</v>
      </c>
      <c r="AT997" t="str">
        <f>T("9791159283505")</f>
        <v>9791159283505</v>
      </c>
      <c r="AV997" t="str">
        <f>T("판타지 웹소설 &gt; 무협 소설")</f>
        <v>판타지 웹소설 &gt; 무협 소설</v>
      </c>
    </row>
    <row r="998" spans="1:48" x14ac:dyDescent="0.4">
      <c r="A998">
        <v>2313011400</v>
      </c>
      <c r="B998">
        <v>1525007612</v>
      </c>
      <c r="C998" t="str">
        <f>T("최종 보스 19권 18화")</f>
        <v>최종 보스 19권 18화</v>
      </c>
      <c r="D998" t="str">
        <f>T("390")</f>
        <v>390</v>
      </c>
      <c r="E998" t="str">
        <f>T("무장")</f>
        <v>무장</v>
      </c>
      <c r="H998" t="str">
        <f t="shared" si="144"/>
        <v>스토리위즈</v>
      </c>
      <c r="I998" t="str">
        <f>T("최종 보스 : 빛을 향해 달리는 그림자")</f>
        <v>최종 보스 : 빛을 향해 달리는 그림자</v>
      </c>
      <c r="J998">
        <v>100</v>
      </c>
      <c r="K998">
        <v>100</v>
      </c>
      <c r="L998">
        <v>1</v>
      </c>
      <c r="M998">
        <v>0</v>
      </c>
      <c r="N998">
        <v>100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P998" s="2">
        <v>140</v>
      </c>
      <c r="AT998" t="str">
        <f>T("9791166067563")</f>
        <v>9791166067563</v>
      </c>
      <c r="AV998" t="str">
        <f>T("판타지 웹소설 &gt; 현대 판타지")</f>
        <v>판타지 웹소설 &gt; 현대 판타지</v>
      </c>
    </row>
    <row r="999" spans="1:48" x14ac:dyDescent="0.4">
      <c r="A999">
        <v>1525004030</v>
      </c>
      <c r="B999">
        <v>1525004337</v>
      </c>
      <c r="C999" t="str">
        <f>T("회귀의 전설 308화")</f>
        <v>회귀의 전설 308화</v>
      </c>
      <c r="D999" t="str">
        <f>T("308")</f>
        <v>308</v>
      </c>
      <c r="E999" t="str">
        <f>T("김광수")</f>
        <v>김광수</v>
      </c>
      <c r="H999" t="str">
        <f t="shared" si="144"/>
        <v>스토리위즈</v>
      </c>
      <c r="I999" t="str">
        <f>T("회귀의 전설")</f>
        <v>회귀의 전설</v>
      </c>
      <c r="J999">
        <v>100</v>
      </c>
      <c r="K999">
        <v>100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100</v>
      </c>
      <c r="AH999">
        <v>1</v>
      </c>
      <c r="AI999">
        <v>0</v>
      </c>
      <c r="AJ999">
        <v>0</v>
      </c>
      <c r="AK999">
        <v>100</v>
      </c>
      <c r="AL999">
        <v>0</v>
      </c>
      <c r="AM999">
        <v>0</v>
      </c>
      <c r="AN999">
        <v>0</v>
      </c>
      <c r="AO999">
        <v>0</v>
      </c>
      <c r="AP999" s="2">
        <v>70</v>
      </c>
      <c r="AT999" t="str">
        <f>T("9788997946006")</f>
        <v>9788997946006</v>
      </c>
      <c r="AV999" t="str">
        <f>T("판타지 웹소설 &gt; 현대 판타지")</f>
        <v>판타지 웹소설 &gt; 현대 판타지</v>
      </c>
    </row>
    <row r="1000" spans="1:48" x14ac:dyDescent="0.4">
      <c r="A1000">
        <v>1525004030</v>
      </c>
      <c r="B1000">
        <v>1525007138</v>
      </c>
      <c r="C1000" t="str">
        <f>T("회귀의 전설 2부 1022화")</f>
        <v>회귀의 전설 2부 1022화</v>
      </c>
      <c r="D1000" t="str">
        <f>T("1022")</f>
        <v>1022</v>
      </c>
      <c r="E1000" t="str">
        <f>T("김광수")</f>
        <v>김광수</v>
      </c>
      <c r="H1000" t="str">
        <f t="shared" si="144"/>
        <v>스토리위즈</v>
      </c>
      <c r="I1000" t="str">
        <f>T("회귀의 전설")</f>
        <v>회귀의 전설</v>
      </c>
      <c r="J1000">
        <v>100</v>
      </c>
      <c r="K1000">
        <v>100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100</v>
      </c>
      <c r="AH1000">
        <v>1</v>
      </c>
      <c r="AI1000">
        <v>0</v>
      </c>
      <c r="AJ1000">
        <v>0</v>
      </c>
      <c r="AK1000">
        <v>100</v>
      </c>
      <c r="AL1000">
        <v>0</v>
      </c>
      <c r="AM1000">
        <v>0</v>
      </c>
      <c r="AN1000">
        <v>0</v>
      </c>
      <c r="AO1000">
        <v>0</v>
      </c>
      <c r="AP1000" s="2">
        <v>70</v>
      </c>
      <c r="AT1000" t="str">
        <f>T("9791191102086")</f>
        <v>9791191102086</v>
      </c>
      <c r="AV1000" t="str">
        <f>T("판타지 웹소설 &gt; 현대 판타지")</f>
        <v>판타지 웹소설 &gt; 현대 판타지</v>
      </c>
    </row>
    <row r="1001" spans="1:48" x14ac:dyDescent="0.4">
      <c r="A1001">
        <v>1525004030</v>
      </c>
      <c r="B1001">
        <v>1525004449</v>
      </c>
      <c r="C1001" t="str">
        <f>T("회귀의 전설 433화")</f>
        <v>회귀의 전설 433화</v>
      </c>
      <c r="D1001" t="str">
        <f>T("433")</f>
        <v>433</v>
      </c>
      <c r="E1001" t="str">
        <f>T("김광수")</f>
        <v>김광수</v>
      </c>
      <c r="H1001" t="str">
        <f t="shared" si="144"/>
        <v>스토리위즈</v>
      </c>
      <c r="I1001" t="str">
        <f>T("회귀의 전설")</f>
        <v>회귀의 전설</v>
      </c>
      <c r="J1001">
        <v>100</v>
      </c>
      <c r="K1001">
        <v>100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100</v>
      </c>
      <c r="AH1001">
        <v>1</v>
      </c>
      <c r="AI1001">
        <v>0</v>
      </c>
      <c r="AJ1001">
        <v>0</v>
      </c>
      <c r="AK1001">
        <v>100</v>
      </c>
      <c r="AL1001">
        <v>0</v>
      </c>
      <c r="AM1001">
        <v>0</v>
      </c>
      <c r="AN1001">
        <v>0</v>
      </c>
      <c r="AO1001">
        <v>0</v>
      </c>
      <c r="AP1001" s="2">
        <v>70</v>
      </c>
      <c r="AT1001" t="str">
        <f>T("9788997946006")</f>
        <v>9788997946006</v>
      </c>
      <c r="AV1001" t="str">
        <f>T("판타지 웹소설 &gt; 현대 판타지")</f>
        <v>판타지 웹소설 &gt; 현대 판타지</v>
      </c>
    </row>
    <row r="1002" spans="1:48" x14ac:dyDescent="0.4">
      <c r="A1002">
        <v>1525004030</v>
      </c>
      <c r="B1002">
        <v>1525004529</v>
      </c>
      <c r="C1002" t="str">
        <f>T("회귀의 전설 506화")</f>
        <v>회귀의 전설 506화</v>
      </c>
      <c r="D1002" t="str">
        <f>T("506")</f>
        <v>506</v>
      </c>
      <c r="E1002" t="str">
        <f>T("김광수")</f>
        <v>김광수</v>
      </c>
      <c r="H1002" t="str">
        <f t="shared" si="144"/>
        <v>스토리위즈</v>
      </c>
      <c r="I1002" t="str">
        <f>T("회귀의 전설")</f>
        <v>회귀의 전설</v>
      </c>
      <c r="J1002">
        <v>100</v>
      </c>
      <c r="K1002">
        <v>100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100</v>
      </c>
      <c r="AH1002">
        <v>1</v>
      </c>
      <c r="AI1002">
        <v>0</v>
      </c>
      <c r="AJ1002">
        <v>0</v>
      </c>
      <c r="AK1002">
        <v>100</v>
      </c>
      <c r="AL1002">
        <v>0</v>
      </c>
      <c r="AM1002">
        <v>0</v>
      </c>
      <c r="AN1002">
        <v>0</v>
      </c>
      <c r="AO1002">
        <v>0</v>
      </c>
      <c r="AP1002" s="2">
        <v>70</v>
      </c>
      <c r="AT1002" t="str">
        <f>T("9788997946006")</f>
        <v>9788997946006</v>
      </c>
      <c r="AV1002" t="str">
        <f>T("판타지 웹소설 &gt; 현대 판타지")</f>
        <v>판타지 웹소설 &gt; 현대 판타지</v>
      </c>
    </row>
    <row r="1003" spans="1:48" x14ac:dyDescent="0.4">
      <c r="A1003">
        <v>1525004989</v>
      </c>
      <c r="B1003">
        <v>1525005555</v>
      </c>
      <c r="C1003" t="str">
        <f>T("신룡전설 66화")</f>
        <v>신룡전설 66화</v>
      </c>
      <c r="D1003" t="str">
        <f>T("66")</f>
        <v>66</v>
      </c>
      <c r="E1003" t="str">
        <f>T("가람검")</f>
        <v>가람검</v>
      </c>
      <c r="H1003" t="str">
        <f t="shared" si="144"/>
        <v>스토리위즈</v>
      </c>
      <c r="I1003" t="str">
        <f>T("신룡전설")</f>
        <v>신룡전설</v>
      </c>
      <c r="J1003">
        <v>100</v>
      </c>
      <c r="K1003">
        <v>100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100</v>
      </c>
      <c r="AH1003">
        <v>1</v>
      </c>
      <c r="AI1003">
        <v>0</v>
      </c>
      <c r="AJ1003">
        <v>0</v>
      </c>
      <c r="AK1003">
        <v>100</v>
      </c>
      <c r="AL1003">
        <v>0</v>
      </c>
      <c r="AM1003">
        <v>0</v>
      </c>
      <c r="AN1003">
        <v>0</v>
      </c>
      <c r="AO1003">
        <v>0</v>
      </c>
      <c r="AP1003" s="2">
        <v>70</v>
      </c>
      <c r="AT1003" t="str">
        <f>T("9791159283505")</f>
        <v>9791159283505</v>
      </c>
      <c r="AV1003" t="str">
        <f>T("판타지 웹소설 &gt; 무협 소설")</f>
        <v>판타지 웹소설 &gt; 무협 소설</v>
      </c>
    </row>
    <row r="1004" spans="1:48" x14ac:dyDescent="0.4">
      <c r="A1004">
        <v>1525004030</v>
      </c>
      <c r="B1004">
        <v>1525007098</v>
      </c>
      <c r="C1004" t="str">
        <f>T("회귀의 전설 2부 982화")</f>
        <v>회귀의 전설 2부 982화</v>
      </c>
      <c r="D1004" t="str">
        <f>T("982")</f>
        <v>982</v>
      </c>
      <c r="E1004" t="str">
        <f>T("김광수")</f>
        <v>김광수</v>
      </c>
      <c r="H1004" t="str">
        <f t="shared" si="144"/>
        <v>스토리위즈</v>
      </c>
      <c r="I1004" t="str">
        <f>T("회귀의 전설")</f>
        <v>회귀의 전설</v>
      </c>
      <c r="J1004">
        <v>100</v>
      </c>
      <c r="K1004">
        <v>100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100</v>
      </c>
      <c r="AH1004">
        <v>1</v>
      </c>
      <c r="AI1004">
        <v>0</v>
      </c>
      <c r="AJ1004">
        <v>0</v>
      </c>
      <c r="AK1004">
        <v>100</v>
      </c>
      <c r="AL1004">
        <v>0</v>
      </c>
      <c r="AM1004">
        <v>0</v>
      </c>
      <c r="AN1004">
        <v>0</v>
      </c>
      <c r="AO1004">
        <v>0</v>
      </c>
      <c r="AP1004" s="2">
        <v>70</v>
      </c>
      <c r="AT1004" t="str">
        <f>T("9791191102086")</f>
        <v>9791191102086</v>
      </c>
      <c r="AV1004" t="str">
        <f>T("판타지 웹소설 &gt; 현대 판타지")</f>
        <v>판타지 웹소설 &gt; 현대 판타지</v>
      </c>
    </row>
    <row r="1005" spans="1:48" x14ac:dyDescent="0.4">
      <c r="A1005">
        <v>1525007923</v>
      </c>
      <c r="B1005">
        <v>1525007990</v>
      </c>
      <c r="C1005" t="str">
        <f>T("운상연담: 화불능귀일락 80화")</f>
        <v>운상연담: 화불능귀일락 80화</v>
      </c>
      <c r="D1005" t="str">
        <f>T("80")</f>
        <v>80</v>
      </c>
      <c r="E1005" t="str">
        <f>T("피모")</f>
        <v>피모</v>
      </c>
      <c r="H1005" t="str">
        <f>T("쉬라즈")</f>
        <v>쉬라즈</v>
      </c>
      <c r="I1005" t="str">
        <f>T("운상연담: 화불능귀일락")</f>
        <v>운상연담: 화불능귀일락</v>
      </c>
      <c r="J1005">
        <v>100</v>
      </c>
      <c r="K1005">
        <v>100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100</v>
      </c>
      <c r="AH1005">
        <v>1</v>
      </c>
      <c r="AI1005">
        <v>0</v>
      </c>
      <c r="AJ1005">
        <v>0</v>
      </c>
      <c r="AK1005">
        <v>100</v>
      </c>
      <c r="AL1005">
        <v>0</v>
      </c>
      <c r="AM1005">
        <v>0</v>
      </c>
      <c r="AN1005">
        <v>0</v>
      </c>
      <c r="AO1005">
        <v>0</v>
      </c>
      <c r="AP1005" s="2">
        <v>70</v>
      </c>
      <c r="AT1005" t="str">
        <f>T("9791164896646")</f>
        <v>9791164896646</v>
      </c>
      <c r="AV1005" t="str">
        <f>T("로맨스 웹소설 &gt; 역사/시대물")</f>
        <v>로맨스 웹소설 &gt; 역사/시대물</v>
      </c>
    </row>
    <row r="1006" spans="1:48" x14ac:dyDescent="0.4">
      <c r="A1006">
        <v>1525002864</v>
      </c>
      <c r="B1006">
        <v>1525002891</v>
      </c>
      <c r="C1006" t="str">
        <f>T("소드마스터의 환생 28화")</f>
        <v>소드마스터의 환생 28화</v>
      </c>
      <c r="D1006" t="str">
        <f>T("28")</f>
        <v>28</v>
      </c>
      <c r="E1006" t="str">
        <f>T("파란영")</f>
        <v>파란영</v>
      </c>
      <c r="H1006" t="str">
        <f>T("스토리위즈")</f>
        <v>스토리위즈</v>
      </c>
      <c r="I1006" t="str">
        <f>T("소드마스터의 환생")</f>
        <v>소드마스터의 환생</v>
      </c>
      <c r="J1006">
        <v>100</v>
      </c>
      <c r="K1006">
        <v>100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100</v>
      </c>
      <c r="AH1006">
        <v>1</v>
      </c>
      <c r="AI1006">
        <v>0</v>
      </c>
      <c r="AJ1006">
        <v>0</v>
      </c>
      <c r="AK1006">
        <v>100</v>
      </c>
      <c r="AL1006">
        <v>0</v>
      </c>
      <c r="AM1006">
        <v>0</v>
      </c>
      <c r="AN1006">
        <v>0</v>
      </c>
      <c r="AO1006">
        <v>0</v>
      </c>
      <c r="AP1006" s="2">
        <v>70</v>
      </c>
      <c r="AT1006" t="str">
        <f>T("9791159287527")</f>
        <v>9791159287527</v>
      </c>
      <c r="AV1006" t="str">
        <f>T("판타지 웹소설 &gt; 정통 판타지")</f>
        <v>판타지 웹소설 &gt; 정통 판타지</v>
      </c>
    </row>
    <row r="1007" spans="1:48" x14ac:dyDescent="0.4">
      <c r="A1007">
        <v>1525004030</v>
      </c>
      <c r="B1007">
        <v>1525004369</v>
      </c>
      <c r="C1007" t="str">
        <f>T("회귀의 전설 341화")</f>
        <v>회귀의 전설 341화</v>
      </c>
      <c r="D1007" t="str">
        <f>T("341")</f>
        <v>341</v>
      </c>
      <c r="E1007" t="str">
        <f>T("김광수")</f>
        <v>김광수</v>
      </c>
      <c r="H1007" t="str">
        <f>T("스토리위즈")</f>
        <v>스토리위즈</v>
      </c>
      <c r="I1007" t="str">
        <f>T("회귀의 전설")</f>
        <v>회귀의 전설</v>
      </c>
      <c r="J1007">
        <v>100</v>
      </c>
      <c r="K1007">
        <v>100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100</v>
      </c>
      <c r="AH1007">
        <v>1</v>
      </c>
      <c r="AI1007">
        <v>0</v>
      </c>
      <c r="AJ1007">
        <v>0</v>
      </c>
      <c r="AK1007">
        <v>100</v>
      </c>
      <c r="AL1007">
        <v>0</v>
      </c>
      <c r="AM1007">
        <v>0</v>
      </c>
      <c r="AN1007">
        <v>0</v>
      </c>
      <c r="AO1007">
        <v>0</v>
      </c>
      <c r="AP1007" s="2">
        <v>70</v>
      </c>
      <c r="AT1007" t="str">
        <f>T("9788997946006")</f>
        <v>9788997946006</v>
      </c>
      <c r="AV1007" t="str">
        <f>T("판타지 웹소설 &gt; 현대 판타지")</f>
        <v>판타지 웹소설 &gt; 현대 판타지</v>
      </c>
    </row>
    <row r="1008" spans="1:48" x14ac:dyDescent="0.4">
      <c r="A1008">
        <v>2313011400</v>
      </c>
      <c r="B1008">
        <v>1525007644</v>
      </c>
      <c r="C1008" t="str">
        <f>T("최종 보스 21권 9화")</f>
        <v>최종 보스 21권 9화</v>
      </c>
      <c r="D1008" t="str">
        <f>T("422")</f>
        <v>422</v>
      </c>
      <c r="E1008" t="str">
        <f>T("무장")</f>
        <v>무장</v>
      </c>
      <c r="H1008" t="str">
        <f>T("스토리위즈")</f>
        <v>스토리위즈</v>
      </c>
      <c r="I1008" t="str">
        <f>T("최종 보스 : 빛을 향해 달리는 그림자")</f>
        <v>최종 보스 : 빛을 향해 달리는 그림자</v>
      </c>
      <c r="J1008">
        <v>100</v>
      </c>
      <c r="K1008">
        <v>100</v>
      </c>
      <c r="L1008">
        <v>1</v>
      </c>
      <c r="M1008">
        <v>0</v>
      </c>
      <c r="N1008">
        <v>100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 s="2">
        <v>140</v>
      </c>
      <c r="AT1008" t="str">
        <f>T("9791166067563")</f>
        <v>9791166067563</v>
      </c>
      <c r="AV1008" t="str">
        <f>T("판타지 웹소설 &gt; 현대 판타지")</f>
        <v>판타지 웹소설 &gt; 현대 판타지</v>
      </c>
    </row>
    <row r="1009" spans="1:48" x14ac:dyDescent="0.4">
      <c r="A1009">
        <v>1525004030</v>
      </c>
      <c r="B1009">
        <v>1525004545</v>
      </c>
      <c r="C1009" t="str">
        <f>T("회귀의 전설 522화")</f>
        <v>회귀의 전설 522화</v>
      </c>
      <c r="D1009" t="str">
        <f>T("522")</f>
        <v>522</v>
      </c>
      <c r="E1009" t="str">
        <f>T("김광수")</f>
        <v>김광수</v>
      </c>
      <c r="H1009" t="str">
        <f>T("스토리위즈")</f>
        <v>스토리위즈</v>
      </c>
      <c r="I1009" t="str">
        <f>T("회귀의 전설")</f>
        <v>회귀의 전설</v>
      </c>
      <c r="J1009">
        <v>100</v>
      </c>
      <c r="K1009">
        <v>100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100</v>
      </c>
      <c r="AH1009">
        <v>1</v>
      </c>
      <c r="AI1009">
        <v>0</v>
      </c>
      <c r="AJ1009">
        <v>0</v>
      </c>
      <c r="AK1009">
        <v>100</v>
      </c>
      <c r="AL1009">
        <v>0</v>
      </c>
      <c r="AM1009">
        <v>0</v>
      </c>
      <c r="AN1009">
        <v>0</v>
      </c>
      <c r="AO1009">
        <v>0</v>
      </c>
      <c r="AP1009" s="2">
        <v>70</v>
      </c>
      <c r="AT1009" t="str">
        <f>T("9788997946006")</f>
        <v>9788997946006</v>
      </c>
      <c r="AV1009" t="str">
        <f>T("판타지 웹소설 &gt; 현대 판타지")</f>
        <v>판타지 웹소설 &gt; 현대 판타지</v>
      </c>
    </row>
    <row r="1010" spans="1:48" x14ac:dyDescent="0.4">
      <c r="A1010">
        <v>1525004030</v>
      </c>
      <c r="B1010">
        <v>1525004481</v>
      </c>
      <c r="C1010" t="str">
        <f>T("회귀의 전설 465화")</f>
        <v>회귀의 전설 465화</v>
      </c>
      <c r="D1010" t="str">
        <f>T("465")</f>
        <v>465</v>
      </c>
      <c r="E1010" t="str">
        <f>T("김광수")</f>
        <v>김광수</v>
      </c>
      <c r="H1010" t="str">
        <f>T("스토리위즈")</f>
        <v>스토리위즈</v>
      </c>
      <c r="I1010" t="str">
        <f>T("회귀의 전설")</f>
        <v>회귀의 전설</v>
      </c>
      <c r="J1010">
        <v>100</v>
      </c>
      <c r="K1010">
        <v>100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100</v>
      </c>
      <c r="AH1010">
        <v>1</v>
      </c>
      <c r="AI1010">
        <v>0</v>
      </c>
      <c r="AJ1010">
        <v>0</v>
      </c>
      <c r="AK1010">
        <v>100</v>
      </c>
      <c r="AL1010">
        <v>0</v>
      </c>
      <c r="AM1010">
        <v>0</v>
      </c>
      <c r="AN1010">
        <v>0</v>
      </c>
      <c r="AO1010">
        <v>0</v>
      </c>
      <c r="AP1010" s="2">
        <v>70</v>
      </c>
      <c r="AT1010" t="str">
        <f>T("9788997946006")</f>
        <v>9788997946006</v>
      </c>
      <c r="AV1010" t="str">
        <f>T("판타지 웹소설 &gt; 현대 판타지")</f>
        <v>판타지 웹소설 &gt; 현대 판타지</v>
      </c>
    </row>
    <row r="1011" spans="1:48" x14ac:dyDescent="0.4">
      <c r="A1011">
        <v>1525008545</v>
      </c>
      <c r="B1011">
        <v>1525008571</v>
      </c>
      <c r="C1011" t="str">
        <f>T("소년연애담 43화")</f>
        <v>소년연애담 43화</v>
      </c>
      <c r="D1011" t="str">
        <f>T("43")</f>
        <v>43</v>
      </c>
      <c r="E1011" t="str">
        <f>T("나나코")</f>
        <v>나나코</v>
      </c>
      <c r="H1011" t="str">
        <f>T("블러쉬")</f>
        <v>블러쉬</v>
      </c>
      <c r="I1011" t="str">
        <f>T("소년연애담")</f>
        <v>소년연애담</v>
      </c>
      <c r="J1011">
        <v>100</v>
      </c>
      <c r="K1011">
        <v>100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100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100</v>
      </c>
      <c r="AN1011">
        <v>0</v>
      </c>
      <c r="AO1011">
        <v>0</v>
      </c>
      <c r="AP1011" s="2">
        <v>70</v>
      </c>
      <c r="AR1011" t="str">
        <f>T("0000000000000")</f>
        <v>0000000000000</v>
      </c>
      <c r="AT1011" t="str">
        <f>T("9791164890729")</f>
        <v>9791164890729</v>
      </c>
      <c r="AU1011" t="str">
        <f>T("B12")</f>
        <v>B12</v>
      </c>
      <c r="AV1011" t="str">
        <f>T("BL 웹소설 &gt; 현대물")</f>
        <v>BL 웹소설 &gt; 현대물</v>
      </c>
    </row>
    <row r="1012" spans="1:48" x14ac:dyDescent="0.4">
      <c r="A1012">
        <v>1525010579</v>
      </c>
      <c r="B1012">
        <v>1525010189</v>
      </c>
      <c r="C1012" t="str">
        <f>T("법보다 주먹 389화")</f>
        <v>법보다 주먹 389화</v>
      </c>
      <c r="D1012" t="str">
        <f>T("389")</f>
        <v>389</v>
      </c>
      <c r="E1012" t="str">
        <f>T("백범(白帆)")</f>
        <v>백범(白帆)</v>
      </c>
      <c r="H1012" t="str">
        <f>T("에필로그")</f>
        <v>에필로그</v>
      </c>
      <c r="I1012" t="str">
        <f>T("법보다 주먹")</f>
        <v>법보다 주먹</v>
      </c>
      <c r="J1012">
        <v>100</v>
      </c>
      <c r="K1012">
        <v>100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100</v>
      </c>
      <c r="AH1012">
        <v>1</v>
      </c>
      <c r="AI1012">
        <v>0</v>
      </c>
      <c r="AJ1012">
        <v>0</v>
      </c>
      <c r="AK1012">
        <v>100</v>
      </c>
      <c r="AL1012">
        <v>0</v>
      </c>
      <c r="AM1012">
        <v>0</v>
      </c>
      <c r="AN1012">
        <v>0</v>
      </c>
      <c r="AO1012">
        <v>0</v>
      </c>
      <c r="AP1012" s="2">
        <v>70</v>
      </c>
      <c r="AT1012" t="str">
        <f>T("9791164489367")</f>
        <v>9791164489367</v>
      </c>
      <c r="AV1012" t="str">
        <f>T("판타지 웹소설 &gt; 현대 판타지")</f>
        <v>판타지 웹소설 &gt; 현대 판타지</v>
      </c>
    </row>
    <row r="1013" spans="1:48" x14ac:dyDescent="0.4">
      <c r="A1013">
        <v>1525004030</v>
      </c>
      <c r="B1013">
        <v>1525007130</v>
      </c>
      <c r="C1013" t="str">
        <f>T("회귀의 전설 2부 1014화")</f>
        <v>회귀의 전설 2부 1014화</v>
      </c>
      <c r="D1013" t="str">
        <f>T("1014")</f>
        <v>1014</v>
      </c>
      <c r="E1013" t="str">
        <f>T("김광수")</f>
        <v>김광수</v>
      </c>
      <c r="H1013" t="str">
        <f>T("스토리위즈")</f>
        <v>스토리위즈</v>
      </c>
      <c r="I1013" t="str">
        <f>T("회귀의 전설")</f>
        <v>회귀의 전설</v>
      </c>
      <c r="J1013">
        <v>100</v>
      </c>
      <c r="K1013">
        <v>100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100</v>
      </c>
      <c r="AH1013">
        <v>1</v>
      </c>
      <c r="AI1013">
        <v>0</v>
      </c>
      <c r="AJ1013">
        <v>0</v>
      </c>
      <c r="AK1013">
        <v>100</v>
      </c>
      <c r="AL1013">
        <v>0</v>
      </c>
      <c r="AM1013">
        <v>0</v>
      </c>
      <c r="AN1013">
        <v>0</v>
      </c>
      <c r="AO1013">
        <v>0</v>
      </c>
      <c r="AP1013" s="2">
        <v>70</v>
      </c>
      <c r="AT1013" t="str">
        <f>T("9791191102086")</f>
        <v>9791191102086</v>
      </c>
      <c r="AV1013" t="str">
        <f>T("판타지 웹소설 &gt; 현대 판타지")</f>
        <v>판타지 웹소설 &gt; 현대 판타지</v>
      </c>
    </row>
    <row r="1014" spans="1:48" x14ac:dyDescent="0.4">
      <c r="A1014">
        <v>1525002409</v>
      </c>
      <c r="B1014">
        <v>1525002611</v>
      </c>
      <c r="C1014" t="str">
        <f>T("스포트라이트 203화")</f>
        <v>스포트라이트 203화</v>
      </c>
      <c r="D1014" t="str">
        <f>T("203")</f>
        <v>203</v>
      </c>
      <c r="E1014" t="str">
        <f>T("전혁")</f>
        <v>전혁</v>
      </c>
      <c r="H1014" t="str">
        <f>T("스토리위즈")</f>
        <v>스토리위즈</v>
      </c>
      <c r="I1014" t="str">
        <f>T("스포트라이트")</f>
        <v>스포트라이트</v>
      </c>
      <c r="J1014">
        <v>100</v>
      </c>
      <c r="K1014">
        <v>100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100</v>
      </c>
      <c r="AH1014">
        <v>1</v>
      </c>
      <c r="AI1014">
        <v>0</v>
      </c>
      <c r="AJ1014">
        <v>0</v>
      </c>
      <c r="AK1014">
        <v>100</v>
      </c>
      <c r="AL1014">
        <v>0</v>
      </c>
      <c r="AM1014">
        <v>0</v>
      </c>
      <c r="AN1014">
        <v>0</v>
      </c>
      <c r="AO1014">
        <v>0</v>
      </c>
      <c r="AP1014" s="2">
        <v>70</v>
      </c>
      <c r="AT1014" t="str">
        <f>T("9791159286841")</f>
        <v>9791159286841</v>
      </c>
      <c r="AV1014" t="str">
        <f>T("판타지 웹소설 &gt; 현대 판타지")</f>
        <v>판타지 웹소설 &gt; 현대 판타지</v>
      </c>
    </row>
    <row r="1015" spans="1:48" x14ac:dyDescent="0.4">
      <c r="A1015">
        <v>1525007872</v>
      </c>
      <c r="B1015">
        <v>1525007868</v>
      </c>
      <c r="C1015" t="str">
        <f>T("아침이 오지 않아도 16화")</f>
        <v>아침이 오지 않아도 16화</v>
      </c>
      <c r="D1015" t="str">
        <f>T("16")</f>
        <v>16</v>
      </c>
      <c r="E1015" t="str">
        <f>T("홍영")</f>
        <v>홍영</v>
      </c>
      <c r="H1015" t="str">
        <f>T("러브스토리")</f>
        <v>러브스토리</v>
      </c>
      <c r="I1015" t="str">
        <f>T("아침이 오지 않아도")</f>
        <v>아침이 오지 않아도</v>
      </c>
      <c r="J1015">
        <v>100</v>
      </c>
      <c r="K1015">
        <v>100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100</v>
      </c>
      <c r="AH1015">
        <v>1</v>
      </c>
      <c r="AI1015">
        <v>0</v>
      </c>
      <c r="AJ1015">
        <v>0</v>
      </c>
      <c r="AK1015">
        <v>100</v>
      </c>
      <c r="AL1015">
        <v>0</v>
      </c>
      <c r="AM1015">
        <v>0</v>
      </c>
      <c r="AN1015">
        <v>0</v>
      </c>
      <c r="AO1015">
        <v>0</v>
      </c>
      <c r="AP1015" s="2">
        <v>70</v>
      </c>
      <c r="AR1015" t="str">
        <f>T("0000000000000")</f>
        <v>0000000000000</v>
      </c>
      <c r="AT1015" t="str">
        <f>T("9791164899708")</f>
        <v>9791164899708</v>
      </c>
      <c r="AV1015" t="str">
        <f>T("로맨스 웹소설 &gt; 현대물")</f>
        <v>로맨스 웹소설 &gt; 현대물</v>
      </c>
    </row>
    <row r="1016" spans="1:48" x14ac:dyDescent="0.4">
      <c r="A1016">
        <v>2313011400</v>
      </c>
      <c r="B1016">
        <v>1525007676</v>
      </c>
      <c r="C1016" t="str">
        <f>T("최종 보스 23권 1화")</f>
        <v>최종 보스 23권 1화</v>
      </c>
      <c r="D1016" t="str">
        <f>T("454")</f>
        <v>454</v>
      </c>
      <c r="E1016" t="str">
        <f>T("무장")</f>
        <v>무장</v>
      </c>
      <c r="H1016" t="str">
        <f t="shared" ref="H1016:H1021" si="145">T("스토리위즈")</f>
        <v>스토리위즈</v>
      </c>
      <c r="I1016" t="str">
        <f>T("최종 보스 : 빛을 향해 달리는 그림자")</f>
        <v>최종 보스 : 빛을 향해 달리는 그림자</v>
      </c>
      <c r="J1016">
        <v>100</v>
      </c>
      <c r="K1016">
        <v>100</v>
      </c>
      <c r="L1016">
        <v>1</v>
      </c>
      <c r="M1016">
        <v>0</v>
      </c>
      <c r="N1016">
        <v>100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P1016" s="2">
        <v>140</v>
      </c>
      <c r="AT1016" t="str">
        <f>T("9791166067563")</f>
        <v>9791166067563</v>
      </c>
      <c r="AV1016" t="str">
        <f>T("판타지 웹소설 &gt; 현대 판타지")</f>
        <v>판타지 웹소설 &gt; 현대 판타지</v>
      </c>
    </row>
    <row r="1017" spans="1:48" x14ac:dyDescent="0.4">
      <c r="A1017">
        <v>1525004030</v>
      </c>
      <c r="B1017">
        <v>1525007034</v>
      </c>
      <c r="C1017" t="str">
        <f>T("회귀의 전설 2부 918화")</f>
        <v>회귀의 전설 2부 918화</v>
      </c>
      <c r="D1017" t="str">
        <f>T("918")</f>
        <v>918</v>
      </c>
      <c r="E1017" t="str">
        <f>T("김광수")</f>
        <v>김광수</v>
      </c>
      <c r="H1017" t="str">
        <f t="shared" si="145"/>
        <v>스토리위즈</v>
      </c>
      <c r="I1017" t="str">
        <f>T("회귀의 전설")</f>
        <v>회귀의 전설</v>
      </c>
      <c r="J1017">
        <v>100</v>
      </c>
      <c r="K1017">
        <v>100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100</v>
      </c>
      <c r="AH1017">
        <v>1</v>
      </c>
      <c r="AI1017">
        <v>0</v>
      </c>
      <c r="AJ1017">
        <v>0</v>
      </c>
      <c r="AK1017">
        <v>100</v>
      </c>
      <c r="AL1017">
        <v>0</v>
      </c>
      <c r="AM1017">
        <v>0</v>
      </c>
      <c r="AN1017">
        <v>0</v>
      </c>
      <c r="AO1017">
        <v>0</v>
      </c>
      <c r="AP1017" s="2">
        <v>70</v>
      </c>
      <c r="AT1017" t="str">
        <f>T("9791191102086")</f>
        <v>9791191102086</v>
      </c>
      <c r="AV1017" t="str">
        <f>T("판타지 웹소설 &gt; 현대 판타지")</f>
        <v>판타지 웹소설 &gt; 현대 판타지</v>
      </c>
    </row>
    <row r="1018" spans="1:48" x14ac:dyDescent="0.4">
      <c r="A1018">
        <v>1525004989</v>
      </c>
      <c r="B1018">
        <v>1525005603</v>
      </c>
      <c r="C1018" t="str">
        <f>T("신룡전설 114화")</f>
        <v>신룡전설 114화</v>
      </c>
      <c r="D1018" t="str">
        <f>T("114")</f>
        <v>114</v>
      </c>
      <c r="E1018" t="str">
        <f>T("가람검")</f>
        <v>가람검</v>
      </c>
      <c r="H1018" t="str">
        <f t="shared" si="145"/>
        <v>스토리위즈</v>
      </c>
      <c r="I1018" t="str">
        <f>T("신룡전설")</f>
        <v>신룡전설</v>
      </c>
      <c r="J1018">
        <v>100</v>
      </c>
      <c r="K1018">
        <v>100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100</v>
      </c>
      <c r="AH1018">
        <v>1</v>
      </c>
      <c r="AI1018">
        <v>0</v>
      </c>
      <c r="AJ1018">
        <v>0</v>
      </c>
      <c r="AK1018">
        <v>100</v>
      </c>
      <c r="AL1018">
        <v>0</v>
      </c>
      <c r="AM1018">
        <v>0</v>
      </c>
      <c r="AN1018">
        <v>0</v>
      </c>
      <c r="AO1018">
        <v>0</v>
      </c>
      <c r="AP1018" s="2">
        <v>70</v>
      </c>
      <c r="AT1018" t="str">
        <f>T("9791159283505")</f>
        <v>9791159283505</v>
      </c>
      <c r="AV1018" t="str">
        <f>T("판타지 웹소설 &gt; 무협 소설")</f>
        <v>판타지 웹소설 &gt; 무협 소설</v>
      </c>
    </row>
    <row r="1019" spans="1:48" x14ac:dyDescent="0.4">
      <c r="A1019">
        <v>1525002409</v>
      </c>
      <c r="B1019">
        <v>1525002540</v>
      </c>
      <c r="C1019" t="str">
        <f>T("스포트라이트 132화")</f>
        <v>스포트라이트 132화</v>
      </c>
      <c r="D1019" t="str">
        <f>T("132")</f>
        <v>132</v>
      </c>
      <c r="E1019" t="str">
        <f>T("전혁")</f>
        <v>전혁</v>
      </c>
      <c r="H1019" t="str">
        <f t="shared" si="145"/>
        <v>스토리위즈</v>
      </c>
      <c r="I1019" t="str">
        <f>T("스포트라이트")</f>
        <v>스포트라이트</v>
      </c>
      <c r="J1019">
        <v>100</v>
      </c>
      <c r="K1019">
        <v>100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100</v>
      </c>
      <c r="AH1019">
        <v>1</v>
      </c>
      <c r="AI1019">
        <v>0</v>
      </c>
      <c r="AJ1019">
        <v>0</v>
      </c>
      <c r="AK1019">
        <v>100</v>
      </c>
      <c r="AL1019">
        <v>0</v>
      </c>
      <c r="AM1019">
        <v>0</v>
      </c>
      <c r="AN1019">
        <v>0</v>
      </c>
      <c r="AO1019">
        <v>0</v>
      </c>
      <c r="AP1019" s="2">
        <v>70</v>
      </c>
      <c r="AT1019" t="str">
        <f>T("9791159286841")</f>
        <v>9791159286841</v>
      </c>
      <c r="AV1019" t="str">
        <f>T("판타지 웹소설 &gt; 현대 판타지")</f>
        <v>판타지 웹소설 &gt; 현대 판타지</v>
      </c>
    </row>
    <row r="1020" spans="1:48" x14ac:dyDescent="0.4">
      <c r="A1020">
        <v>1525004030</v>
      </c>
      <c r="B1020">
        <v>1525006982</v>
      </c>
      <c r="C1020" t="str">
        <f>T("회귀의 전설 2부 866화")</f>
        <v>회귀의 전설 2부 866화</v>
      </c>
      <c r="D1020" t="str">
        <f>T("866")</f>
        <v>866</v>
      </c>
      <c r="E1020" t="str">
        <f>T("김광수")</f>
        <v>김광수</v>
      </c>
      <c r="H1020" t="str">
        <f t="shared" si="145"/>
        <v>스토리위즈</v>
      </c>
      <c r="I1020" t="str">
        <f>T("회귀의 전설")</f>
        <v>회귀의 전설</v>
      </c>
      <c r="J1020">
        <v>100</v>
      </c>
      <c r="K1020">
        <v>100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100</v>
      </c>
      <c r="AH1020">
        <v>1</v>
      </c>
      <c r="AI1020">
        <v>0</v>
      </c>
      <c r="AJ1020">
        <v>0</v>
      </c>
      <c r="AK1020">
        <v>100</v>
      </c>
      <c r="AL1020">
        <v>0</v>
      </c>
      <c r="AM1020">
        <v>0</v>
      </c>
      <c r="AN1020">
        <v>0</v>
      </c>
      <c r="AO1020">
        <v>0</v>
      </c>
      <c r="AP1020" s="2">
        <v>70</v>
      </c>
      <c r="AT1020" t="str">
        <f>T("9791191102086")</f>
        <v>9791191102086</v>
      </c>
      <c r="AV1020" t="str">
        <f>T("판타지 웹소설 &gt; 현대 판타지")</f>
        <v>판타지 웹소설 &gt; 현대 판타지</v>
      </c>
    </row>
    <row r="1021" spans="1:48" x14ac:dyDescent="0.4">
      <c r="A1021">
        <v>1525004030</v>
      </c>
      <c r="B1021">
        <v>1525007091</v>
      </c>
      <c r="C1021" t="str">
        <f>T("회귀의 전설 2부 975화")</f>
        <v>회귀의 전설 2부 975화</v>
      </c>
      <c r="D1021" t="str">
        <f>T("975")</f>
        <v>975</v>
      </c>
      <c r="E1021" t="str">
        <f>T("김광수")</f>
        <v>김광수</v>
      </c>
      <c r="H1021" t="str">
        <f t="shared" si="145"/>
        <v>스토리위즈</v>
      </c>
      <c r="I1021" t="str">
        <f>T("회귀의 전설")</f>
        <v>회귀의 전설</v>
      </c>
      <c r="J1021">
        <v>100</v>
      </c>
      <c r="K1021">
        <v>100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100</v>
      </c>
      <c r="AH1021">
        <v>1</v>
      </c>
      <c r="AI1021">
        <v>0</v>
      </c>
      <c r="AJ1021">
        <v>0</v>
      </c>
      <c r="AK1021">
        <v>100</v>
      </c>
      <c r="AL1021">
        <v>0</v>
      </c>
      <c r="AM1021">
        <v>0</v>
      </c>
      <c r="AN1021">
        <v>0</v>
      </c>
      <c r="AO1021">
        <v>0</v>
      </c>
      <c r="AP1021" s="2">
        <v>70</v>
      </c>
      <c r="AT1021" t="str">
        <f>T("9791191102086")</f>
        <v>9791191102086</v>
      </c>
      <c r="AV1021" t="str">
        <f>T("판타지 웹소설 &gt; 현대 판타지")</f>
        <v>판타지 웹소설 &gt; 현대 판타지</v>
      </c>
    </row>
    <row r="1022" spans="1:48" x14ac:dyDescent="0.4">
      <c r="A1022">
        <v>1525007923</v>
      </c>
      <c r="B1022">
        <v>1525007982</v>
      </c>
      <c r="C1022" t="str">
        <f>T("운상연담: 화불능귀일락 73화")</f>
        <v>운상연담: 화불능귀일락 73화</v>
      </c>
      <c r="D1022" t="str">
        <f>T("73")</f>
        <v>73</v>
      </c>
      <c r="E1022" t="str">
        <f>T("피모")</f>
        <v>피모</v>
      </c>
      <c r="H1022" t="str">
        <f>T("쉬라즈")</f>
        <v>쉬라즈</v>
      </c>
      <c r="I1022" t="str">
        <f>T("운상연담: 화불능귀일락")</f>
        <v>운상연담: 화불능귀일락</v>
      </c>
      <c r="J1022">
        <v>100</v>
      </c>
      <c r="K1022">
        <v>100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100</v>
      </c>
      <c r="AH1022">
        <v>1</v>
      </c>
      <c r="AI1022">
        <v>0</v>
      </c>
      <c r="AJ1022">
        <v>0</v>
      </c>
      <c r="AK1022">
        <v>100</v>
      </c>
      <c r="AL1022">
        <v>0</v>
      </c>
      <c r="AM1022">
        <v>0</v>
      </c>
      <c r="AN1022">
        <v>0</v>
      </c>
      <c r="AO1022">
        <v>0</v>
      </c>
      <c r="AP1022" s="2">
        <v>70</v>
      </c>
      <c r="AT1022" t="str">
        <f>T("9791164896646")</f>
        <v>9791164896646</v>
      </c>
      <c r="AV1022" t="str">
        <f>T("로맨스 웹소설 &gt; 역사/시대물")</f>
        <v>로맨스 웹소설 &gt; 역사/시대물</v>
      </c>
    </row>
    <row r="1023" spans="1:48" x14ac:dyDescent="0.4">
      <c r="A1023">
        <v>1525004030</v>
      </c>
      <c r="B1023">
        <v>1525004362</v>
      </c>
      <c r="C1023" t="str">
        <f>T("회귀의 전설 334화")</f>
        <v>회귀의 전설 334화</v>
      </c>
      <c r="D1023" t="str">
        <f>T("334")</f>
        <v>334</v>
      </c>
      <c r="E1023" t="str">
        <f>T("김광수")</f>
        <v>김광수</v>
      </c>
      <c r="H1023" t="str">
        <f>T("스토리위즈")</f>
        <v>스토리위즈</v>
      </c>
      <c r="I1023" t="str">
        <f>T("회귀의 전설")</f>
        <v>회귀의 전설</v>
      </c>
      <c r="J1023">
        <v>100</v>
      </c>
      <c r="K1023">
        <v>100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100</v>
      </c>
      <c r="AH1023">
        <v>1</v>
      </c>
      <c r="AI1023">
        <v>0</v>
      </c>
      <c r="AJ1023">
        <v>0</v>
      </c>
      <c r="AK1023">
        <v>100</v>
      </c>
      <c r="AL1023">
        <v>0</v>
      </c>
      <c r="AM1023">
        <v>0</v>
      </c>
      <c r="AN1023">
        <v>0</v>
      </c>
      <c r="AO1023">
        <v>0</v>
      </c>
      <c r="AP1023" s="2">
        <v>70</v>
      </c>
      <c r="AT1023" t="str">
        <f>T("9788997946006")</f>
        <v>9788997946006</v>
      </c>
      <c r="AV1023" t="str">
        <f>T("판타지 웹소설 &gt; 현대 판타지")</f>
        <v>판타지 웹소설 &gt; 현대 판타지</v>
      </c>
    </row>
    <row r="1024" spans="1:48" x14ac:dyDescent="0.4">
      <c r="A1024">
        <v>2313011400</v>
      </c>
      <c r="B1024">
        <v>1525007637</v>
      </c>
      <c r="C1024" t="str">
        <f>T("최종 보스 21권 2화")</f>
        <v>최종 보스 21권 2화</v>
      </c>
      <c r="D1024" t="str">
        <f>T("415")</f>
        <v>415</v>
      </c>
      <c r="E1024" t="str">
        <f>T("무장")</f>
        <v>무장</v>
      </c>
      <c r="H1024" t="str">
        <f>T("스토리위즈")</f>
        <v>스토리위즈</v>
      </c>
      <c r="I1024" t="str">
        <f>T("최종 보스 : 빛을 향해 달리는 그림자")</f>
        <v>최종 보스 : 빛을 향해 달리는 그림자</v>
      </c>
      <c r="J1024">
        <v>100</v>
      </c>
      <c r="K1024">
        <v>100</v>
      </c>
      <c r="L1024">
        <v>1</v>
      </c>
      <c r="M1024">
        <v>0</v>
      </c>
      <c r="N1024">
        <v>100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 s="2">
        <v>140</v>
      </c>
      <c r="AT1024" t="str">
        <f>T("9791166067563")</f>
        <v>9791166067563</v>
      </c>
      <c r="AV1024" t="str">
        <f>T("판타지 웹소설 &gt; 현대 판타지")</f>
        <v>판타지 웹소설 &gt; 현대 판타지</v>
      </c>
    </row>
    <row r="1025" spans="1:48" x14ac:dyDescent="0.4">
      <c r="A1025">
        <v>1525004030</v>
      </c>
      <c r="B1025">
        <v>1525004538</v>
      </c>
      <c r="C1025" t="str">
        <f>T("회귀의 전설 515화")</f>
        <v>회귀의 전설 515화</v>
      </c>
      <c r="D1025" t="str">
        <f>T("515")</f>
        <v>515</v>
      </c>
      <c r="E1025" t="str">
        <f>T("김광수")</f>
        <v>김광수</v>
      </c>
      <c r="H1025" t="str">
        <f>T("스토리위즈")</f>
        <v>스토리위즈</v>
      </c>
      <c r="I1025" t="str">
        <f>T("회귀의 전설")</f>
        <v>회귀의 전설</v>
      </c>
      <c r="J1025">
        <v>100</v>
      </c>
      <c r="K1025">
        <v>100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100</v>
      </c>
      <c r="AH1025">
        <v>1</v>
      </c>
      <c r="AI1025">
        <v>0</v>
      </c>
      <c r="AJ1025">
        <v>0</v>
      </c>
      <c r="AK1025">
        <v>100</v>
      </c>
      <c r="AL1025">
        <v>0</v>
      </c>
      <c r="AM1025">
        <v>0</v>
      </c>
      <c r="AN1025">
        <v>0</v>
      </c>
      <c r="AO1025">
        <v>0</v>
      </c>
      <c r="AP1025" s="2">
        <v>70</v>
      </c>
      <c r="AT1025" t="str">
        <f>T("9788997946006")</f>
        <v>9788997946006</v>
      </c>
      <c r="AV1025" t="str">
        <f>T("판타지 웹소설 &gt; 현대 판타지")</f>
        <v>판타지 웹소설 &gt; 현대 판타지</v>
      </c>
    </row>
    <row r="1026" spans="1:48" x14ac:dyDescent="0.4">
      <c r="A1026">
        <v>1525004030</v>
      </c>
      <c r="B1026">
        <v>1525004474</v>
      </c>
      <c r="C1026" t="str">
        <f>T("회귀의 전설 458화")</f>
        <v>회귀의 전설 458화</v>
      </c>
      <c r="D1026" t="str">
        <f>T("458")</f>
        <v>458</v>
      </c>
      <c r="E1026" t="str">
        <f>T("김광수")</f>
        <v>김광수</v>
      </c>
      <c r="H1026" t="str">
        <f>T("스토리위즈")</f>
        <v>스토리위즈</v>
      </c>
      <c r="I1026" t="str">
        <f>T("회귀의 전설")</f>
        <v>회귀의 전설</v>
      </c>
      <c r="J1026">
        <v>100</v>
      </c>
      <c r="K1026">
        <v>100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100</v>
      </c>
      <c r="AH1026">
        <v>1</v>
      </c>
      <c r="AI1026">
        <v>0</v>
      </c>
      <c r="AJ1026">
        <v>0</v>
      </c>
      <c r="AK1026">
        <v>100</v>
      </c>
      <c r="AL1026">
        <v>0</v>
      </c>
      <c r="AM1026">
        <v>0</v>
      </c>
      <c r="AN1026">
        <v>0</v>
      </c>
      <c r="AO1026">
        <v>0</v>
      </c>
      <c r="AP1026" s="2">
        <v>70</v>
      </c>
      <c r="AT1026" t="str">
        <f>T("9788997946006")</f>
        <v>9788997946006</v>
      </c>
      <c r="AV1026" t="str">
        <f>T("판타지 웹소설 &gt; 현대 판타지")</f>
        <v>판타지 웹소설 &gt; 현대 판타지</v>
      </c>
    </row>
    <row r="1027" spans="1:48" x14ac:dyDescent="0.4">
      <c r="A1027">
        <v>1525008545</v>
      </c>
      <c r="B1027">
        <v>1525008564</v>
      </c>
      <c r="C1027" t="str">
        <f>T("소년연애담 37화")</f>
        <v>소년연애담 37화</v>
      </c>
      <c r="D1027" t="str">
        <f>T("37")</f>
        <v>37</v>
      </c>
      <c r="E1027" t="str">
        <f>T("나나코")</f>
        <v>나나코</v>
      </c>
      <c r="H1027" t="str">
        <f>T("블러쉬")</f>
        <v>블러쉬</v>
      </c>
      <c r="I1027" t="str">
        <f>T("소년연애담")</f>
        <v>소년연애담</v>
      </c>
      <c r="J1027">
        <v>100</v>
      </c>
      <c r="K1027">
        <v>100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100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100</v>
      </c>
      <c r="AN1027">
        <v>0</v>
      </c>
      <c r="AO1027">
        <v>0</v>
      </c>
      <c r="AP1027" s="2">
        <v>70</v>
      </c>
      <c r="AR1027" t="str">
        <f>T("0000000000000")</f>
        <v>0000000000000</v>
      </c>
      <c r="AT1027" t="str">
        <f>T("9791164890729")</f>
        <v>9791164890729</v>
      </c>
      <c r="AU1027" t="str">
        <f>T("B12")</f>
        <v>B12</v>
      </c>
      <c r="AV1027" t="str">
        <f>T("BL 웹소설 &gt; 현대물")</f>
        <v>BL 웹소설 &gt; 현대물</v>
      </c>
    </row>
    <row r="1028" spans="1:48" x14ac:dyDescent="0.4">
      <c r="A1028">
        <v>1525010579</v>
      </c>
      <c r="B1028">
        <v>1525010182</v>
      </c>
      <c r="C1028" t="str">
        <f>T("법보다 주먹 396화")</f>
        <v>법보다 주먹 396화</v>
      </c>
      <c r="D1028" t="str">
        <f>T("396")</f>
        <v>396</v>
      </c>
      <c r="E1028" t="str">
        <f>T("백범(白帆)")</f>
        <v>백범(白帆)</v>
      </c>
      <c r="H1028" t="str">
        <f>T("에필로그")</f>
        <v>에필로그</v>
      </c>
      <c r="I1028" t="str">
        <f>T("법보다 주먹")</f>
        <v>법보다 주먹</v>
      </c>
      <c r="J1028">
        <v>100</v>
      </c>
      <c r="K1028">
        <v>100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100</v>
      </c>
      <c r="AH1028">
        <v>1</v>
      </c>
      <c r="AI1028">
        <v>0</v>
      </c>
      <c r="AJ1028">
        <v>0</v>
      </c>
      <c r="AK1028">
        <v>100</v>
      </c>
      <c r="AL1028">
        <v>0</v>
      </c>
      <c r="AM1028">
        <v>0</v>
      </c>
      <c r="AN1028">
        <v>0</v>
      </c>
      <c r="AO1028">
        <v>0</v>
      </c>
      <c r="AP1028" s="2">
        <v>70</v>
      </c>
      <c r="AT1028" t="str">
        <f>T("9791164489367")</f>
        <v>9791164489367</v>
      </c>
      <c r="AV1028" t="str">
        <f t="shared" ref="AV1028:AV1034" si="146">T("판타지 웹소설 &gt; 현대 판타지")</f>
        <v>판타지 웹소설 &gt; 현대 판타지</v>
      </c>
    </row>
    <row r="1029" spans="1:48" x14ac:dyDescent="0.4">
      <c r="A1029">
        <v>1525004030</v>
      </c>
      <c r="B1029">
        <v>1525007123</v>
      </c>
      <c r="C1029" t="str">
        <f>T("회귀의 전설 2부 1007화")</f>
        <v>회귀의 전설 2부 1007화</v>
      </c>
      <c r="D1029" t="str">
        <f>T("1007")</f>
        <v>1007</v>
      </c>
      <c r="E1029" t="str">
        <f>T("김광수")</f>
        <v>김광수</v>
      </c>
      <c r="H1029" t="str">
        <f t="shared" ref="H1029:H1041" si="147">T("스토리위즈")</f>
        <v>스토리위즈</v>
      </c>
      <c r="I1029" t="str">
        <f>T("회귀의 전설")</f>
        <v>회귀의 전설</v>
      </c>
      <c r="J1029">
        <v>100</v>
      </c>
      <c r="K1029">
        <v>100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100</v>
      </c>
      <c r="AH1029">
        <v>1</v>
      </c>
      <c r="AI1029">
        <v>0</v>
      </c>
      <c r="AJ1029">
        <v>0</v>
      </c>
      <c r="AK1029">
        <v>100</v>
      </c>
      <c r="AL1029">
        <v>0</v>
      </c>
      <c r="AM1029">
        <v>0</v>
      </c>
      <c r="AN1029">
        <v>0</v>
      </c>
      <c r="AO1029">
        <v>0</v>
      </c>
      <c r="AP1029" s="2">
        <v>70</v>
      </c>
      <c r="AT1029" t="str">
        <f>T("9791191102086")</f>
        <v>9791191102086</v>
      </c>
      <c r="AV1029" t="str">
        <f t="shared" si="146"/>
        <v>판타지 웹소설 &gt; 현대 판타지</v>
      </c>
    </row>
    <row r="1030" spans="1:48" x14ac:dyDescent="0.4">
      <c r="A1030">
        <v>1525004030</v>
      </c>
      <c r="B1030">
        <v>1525004378</v>
      </c>
      <c r="C1030" t="str">
        <f>T("회귀의 전설 350화")</f>
        <v>회귀의 전설 350화</v>
      </c>
      <c r="D1030" t="str">
        <f>T("350")</f>
        <v>350</v>
      </c>
      <c r="E1030" t="str">
        <f>T("김광수")</f>
        <v>김광수</v>
      </c>
      <c r="H1030" t="str">
        <f t="shared" si="147"/>
        <v>스토리위즈</v>
      </c>
      <c r="I1030" t="str">
        <f>T("회귀의 전설")</f>
        <v>회귀의 전설</v>
      </c>
      <c r="J1030">
        <v>100</v>
      </c>
      <c r="K1030">
        <v>100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100</v>
      </c>
      <c r="AH1030">
        <v>1</v>
      </c>
      <c r="AI1030">
        <v>0</v>
      </c>
      <c r="AJ1030">
        <v>0</v>
      </c>
      <c r="AK1030">
        <v>100</v>
      </c>
      <c r="AL1030">
        <v>0</v>
      </c>
      <c r="AM1030">
        <v>0</v>
      </c>
      <c r="AN1030">
        <v>0</v>
      </c>
      <c r="AO1030">
        <v>0</v>
      </c>
      <c r="AP1030" s="2">
        <v>70</v>
      </c>
      <c r="AT1030" t="str">
        <f>T("9788997946006")</f>
        <v>9788997946006</v>
      </c>
      <c r="AV1030" t="str">
        <f t="shared" si="146"/>
        <v>판타지 웹소설 &gt; 현대 판타지</v>
      </c>
    </row>
    <row r="1031" spans="1:48" x14ac:dyDescent="0.4">
      <c r="A1031">
        <v>1525000569</v>
      </c>
      <c r="B1031">
        <v>1525000718</v>
      </c>
      <c r="C1031" t="str">
        <f>T("스트라이커 148화")</f>
        <v>스트라이커 148화</v>
      </c>
      <c r="D1031" t="str">
        <f>T("148")</f>
        <v>148</v>
      </c>
      <c r="E1031" t="str">
        <f>T("독고진")</f>
        <v>독고진</v>
      </c>
      <c r="H1031" t="str">
        <f t="shared" si="147"/>
        <v>스토리위즈</v>
      </c>
      <c r="I1031" t="str">
        <f>T("스트라이커")</f>
        <v>스트라이커</v>
      </c>
      <c r="J1031">
        <v>100</v>
      </c>
      <c r="K1031">
        <v>100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100</v>
      </c>
      <c r="AH1031">
        <v>1</v>
      </c>
      <c r="AI1031">
        <v>0</v>
      </c>
      <c r="AJ1031">
        <v>0</v>
      </c>
      <c r="AK1031">
        <v>100</v>
      </c>
      <c r="AL1031">
        <v>0</v>
      </c>
      <c r="AM1031">
        <v>0</v>
      </c>
      <c r="AN1031">
        <v>0</v>
      </c>
      <c r="AO1031">
        <v>0</v>
      </c>
      <c r="AP1031" s="2">
        <v>70</v>
      </c>
      <c r="AT1031" t="str">
        <f>T("9791170151678")</f>
        <v>9791170151678</v>
      </c>
      <c r="AV1031" t="str">
        <f t="shared" si="146"/>
        <v>판타지 웹소설 &gt; 현대 판타지</v>
      </c>
    </row>
    <row r="1032" spans="1:48" x14ac:dyDescent="0.4">
      <c r="A1032">
        <v>1525002409</v>
      </c>
      <c r="B1032">
        <v>1525002601</v>
      </c>
      <c r="C1032" t="str">
        <f>T("스포트라이트 193화")</f>
        <v>스포트라이트 193화</v>
      </c>
      <c r="D1032" t="str">
        <f>T("193")</f>
        <v>193</v>
      </c>
      <c r="E1032" t="str">
        <f>T("전혁")</f>
        <v>전혁</v>
      </c>
      <c r="H1032" t="str">
        <f t="shared" si="147"/>
        <v>스토리위즈</v>
      </c>
      <c r="I1032" t="str">
        <f>T("스포트라이트")</f>
        <v>스포트라이트</v>
      </c>
      <c r="J1032">
        <v>100</v>
      </c>
      <c r="K1032">
        <v>100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100</v>
      </c>
      <c r="AH1032">
        <v>1</v>
      </c>
      <c r="AI1032">
        <v>0</v>
      </c>
      <c r="AJ1032">
        <v>0</v>
      </c>
      <c r="AK1032">
        <v>100</v>
      </c>
      <c r="AL1032">
        <v>0</v>
      </c>
      <c r="AM1032">
        <v>0</v>
      </c>
      <c r="AN1032">
        <v>0</v>
      </c>
      <c r="AO1032">
        <v>0</v>
      </c>
      <c r="AP1032" s="2">
        <v>70</v>
      </c>
      <c r="AT1032" t="str">
        <f>T("9791159286841")</f>
        <v>9791159286841</v>
      </c>
      <c r="AV1032" t="str">
        <f t="shared" si="146"/>
        <v>판타지 웹소설 &gt; 현대 판타지</v>
      </c>
    </row>
    <row r="1033" spans="1:48" x14ac:dyDescent="0.4">
      <c r="A1033">
        <v>2313011400</v>
      </c>
      <c r="B1033">
        <v>1525007669</v>
      </c>
      <c r="C1033" t="str">
        <f>T("최종 보스 22권 14화")</f>
        <v>최종 보스 22권 14화</v>
      </c>
      <c r="D1033" t="str">
        <f>T("447")</f>
        <v>447</v>
      </c>
      <c r="E1033" t="str">
        <f>T("무장")</f>
        <v>무장</v>
      </c>
      <c r="H1033" t="str">
        <f t="shared" si="147"/>
        <v>스토리위즈</v>
      </c>
      <c r="I1033" t="str">
        <f>T("최종 보스 : 빛을 향해 달리는 그림자")</f>
        <v>최종 보스 : 빛을 향해 달리는 그림자</v>
      </c>
      <c r="J1033">
        <v>100</v>
      </c>
      <c r="K1033">
        <v>100</v>
      </c>
      <c r="L1033">
        <v>1</v>
      </c>
      <c r="M1033">
        <v>0</v>
      </c>
      <c r="N1033">
        <v>100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P1033" s="2">
        <v>140</v>
      </c>
      <c r="AT1033" t="str">
        <f>T("9791166067563")</f>
        <v>9791166067563</v>
      </c>
      <c r="AV1033" t="str">
        <f t="shared" si="146"/>
        <v>판타지 웹소설 &gt; 현대 판타지</v>
      </c>
    </row>
    <row r="1034" spans="1:48" x14ac:dyDescent="0.4">
      <c r="A1034">
        <v>1525004030</v>
      </c>
      <c r="B1034">
        <v>1525007027</v>
      </c>
      <c r="C1034" t="str">
        <f>T("회귀의 전설 2부 911화")</f>
        <v>회귀의 전설 2부 911화</v>
      </c>
      <c r="D1034" t="str">
        <f>T("911")</f>
        <v>911</v>
      </c>
      <c r="E1034" t="str">
        <f>T("김광수")</f>
        <v>김광수</v>
      </c>
      <c r="H1034" t="str">
        <f t="shared" si="147"/>
        <v>스토리위즈</v>
      </c>
      <c r="I1034" t="str">
        <f>T("회귀의 전설")</f>
        <v>회귀의 전설</v>
      </c>
      <c r="J1034">
        <v>100</v>
      </c>
      <c r="K1034">
        <v>100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100</v>
      </c>
      <c r="AH1034">
        <v>1</v>
      </c>
      <c r="AI1034">
        <v>0</v>
      </c>
      <c r="AJ1034">
        <v>0</v>
      </c>
      <c r="AK1034">
        <v>100</v>
      </c>
      <c r="AL1034">
        <v>0</v>
      </c>
      <c r="AM1034">
        <v>0</v>
      </c>
      <c r="AN1034">
        <v>0</v>
      </c>
      <c r="AO1034">
        <v>0</v>
      </c>
      <c r="AP1034" s="2">
        <v>70</v>
      </c>
      <c r="AT1034" t="str">
        <f>T("9791191102086")</f>
        <v>9791191102086</v>
      </c>
      <c r="AV1034" t="str">
        <f t="shared" si="146"/>
        <v>판타지 웹소설 &gt; 현대 판타지</v>
      </c>
    </row>
    <row r="1035" spans="1:48" x14ac:dyDescent="0.4">
      <c r="A1035">
        <v>1525004989</v>
      </c>
      <c r="B1035">
        <v>1525005596</v>
      </c>
      <c r="C1035" t="str">
        <f>T("신룡전설 107화")</f>
        <v>신룡전설 107화</v>
      </c>
      <c r="D1035" t="str">
        <f>T("107")</f>
        <v>107</v>
      </c>
      <c r="E1035" t="str">
        <f>T("가람검")</f>
        <v>가람검</v>
      </c>
      <c r="H1035" t="str">
        <f t="shared" si="147"/>
        <v>스토리위즈</v>
      </c>
      <c r="I1035" t="str">
        <f>T("신룡전설")</f>
        <v>신룡전설</v>
      </c>
      <c r="J1035">
        <v>100</v>
      </c>
      <c r="K1035">
        <v>100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100</v>
      </c>
      <c r="AH1035">
        <v>1</v>
      </c>
      <c r="AI1035">
        <v>0</v>
      </c>
      <c r="AJ1035">
        <v>0</v>
      </c>
      <c r="AK1035">
        <v>100</v>
      </c>
      <c r="AL1035">
        <v>0</v>
      </c>
      <c r="AM1035">
        <v>0</v>
      </c>
      <c r="AN1035">
        <v>0</v>
      </c>
      <c r="AO1035">
        <v>0</v>
      </c>
      <c r="AP1035" s="2">
        <v>70</v>
      </c>
      <c r="AT1035" t="str">
        <f>T("9791159283505")</f>
        <v>9791159283505</v>
      </c>
      <c r="AV1035" t="str">
        <f>T("판타지 웹소설 &gt; 무협 소설")</f>
        <v>판타지 웹소설 &gt; 무협 소설</v>
      </c>
    </row>
    <row r="1036" spans="1:48" x14ac:dyDescent="0.4">
      <c r="A1036">
        <v>1525002409</v>
      </c>
      <c r="B1036">
        <v>1525002533</v>
      </c>
      <c r="C1036" t="str">
        <f>T("스포트라이트 125화")</f>
        <v>스포트라이트 125화</v>
      </c>
      <c r="D1036" t="str">
        <f>T("125")</f>
        <v>125</v>
      </c>
      <c r="E1036" t="str">
        <f>T("전혁")</f>
        <v>전혁</v>
      </c>
      <c r="H1036" t="str">
        <f t="shared" si="147"/>
        <v>스토리위즈</v>
      </c>
      <c r="I1036" t="str">
        <f>T("스포트라이트")</f>
        <v>스포트라이트</v>
      </c>
      <c r="J1036">
        <v>100</v>
      </c>
      <c r="K1036">
        <v>100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100</v>
      </c>
      <c r="AH1036">
        <v>1</v>
      </c>
      <c r="AI1036">
        <v>0</v>
      </c>
      <c r="AJ1036">
        <v>0</v>
      </c>
      <c r="AK1036">
        <v>100</v>
      </c>
      <c r="AL1036">
        <v>0</v>
      </c>
      <c r="AM1036">
        <v>0</v>
      </c>
      <c r="AN1036">
        <v>0</v>
      </c>
      <c r="AO1036">
        <v>0</v>
      </c>
      <c r="AP1036" s="2">
        <v>70</v>
      </c>
      <c r="AT1036" t="str">
        <f>T("9791159286841")</f>
        <v>9791159286841</v>
      </c>
      <c r="AV1036" t="str">
        <f t="shared" ref="AV1036:AV1041" si="148">T("판타지 웹소설 &gt; 현대 판타지")</f>
        <v>판타지 웹소설 &gt; 현대 판타지</v>
      </c>
    </row>
    <row r="1037" spans="1:48" x14ac:dyDescent="0.4">
      <c r="A1037">
        <v>1525004030</v>
      </c>
      <c r="B1037">
        <v>1525006975</v>
      </c>
      <c r="C1037" t="str">
        <f>T("회귀의 전설 2부 859화")</f>
        <v>회귀의 전설 2부 859화</v>
      </c>
      <c r="D1037" t="str">
        <f>T("859")</f>
        <v>859</v>
      </c>
      <c r="E1037" t="str">
        <f>T("김광수")</f>
        <v>김광수</v>
      </c>
      <c r="H1037" t="str">
        <f t="shared" si="147"/>
        <v>스토리위즈</v>
      </c>
      <c r="I1037" t="str">
        <f>T("회귀의 전설")</f>
        <v>회귀의 전설</v>
      </c>
      <c r="J1037">
        <v>100</v>
      </c>
      <c r="K1037">
        <v>100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100</v>
      </c>
      <c r="AH1037">
        <v>1</v>
      </c>
      <c r="AI1037">
        <v>0</v>
      </c>
      <c r="AJ1037">
        <v>0</v>
      </c>
      <c r="AK1037">
        <v>100</v>
      </c>
      <c r="AL1037">
        <v>0</v>
      </c>
      <c r="AM1037">
        <v>0</v>
      </c>
      <c r="AN1037">
        <v>0</v>
      </c>
      <c r="AO1037">
        <v>0</v>
      </c>
      <c r="AP1037" s="2">
        <v>70</v>
      </c>
      <c r="AT1037" t="str">
        <f>T("9791191102086")</f>
        <v>9791191102086</v>
      </c>
      <c r="AV1037" t="str">
        <f t="shared" si="148"/>
        <v>판타지 웹소설 &gt; 현대 판타지</v>
      </c>
    </row>
    <row r="1038" spans="1:48" x14ac:dyDescent="0.4">
      <c r="A1038">
        <v>1525004030</v>
      </c>
      <c r="B1038">
        <v>1525004298</v>
      </c>
      <c r="C1038" t="str">
        <f>T("회귀의 전설 269화")</f>
        <v>회귀의 전설 269화</v>
      </c>
      <c r="D1038" t="str">
        <f>T("269")</f>
        <v>269</v>
      </c>
      <c r="E1038" t="str">
        <f>T("김광수")</f>
        <v>김광수</v>
      </c>
      <c r="H1038" t="str">
        <f t="shared" si="147"/>
        <v>스토리위즈</v>
      </c>
      <c r="I1038" t="str">
        <f>T("회귀의 전설")</f>
        <v>회귀의 전설</v>
      </c>
      <c r="J1038">
        <v>100</v>
      </c>
      <c r="K1038">
        <v>100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100</v>
      </c>
      <c r="AH1038">
        <v>1</v>
      </c>
      <c r="AI1038">
        <v>0</v>
      </c>
      <c r="AJ1038">
        <v>0</v>
      </c>
      <c r="AK1038">
        <v>100</v>
      </c>
      <c r="AL1038">
        <v>0</v>
      </c>
      <c r="AM1038">
        <v>0</v>
      </c>
      <c r="AN1038">
        <v>0</v>
      </c>
      <c r="AO1038">
        <v>0</v>
      </c>
      <c r="AP1038" s="2">
        <v>70</v>
      </c>
      <c r="AT1038" t="str">
        <f>T("9788997946006")</f>
        <v>9788997946006</v>
      </c>
      <c r="AV1038" t="str">
        <f t="shared" si="148"/>
        <v>판타지 웹소설 &gt; 현대 판타지</v>
      </c>
    </row>
    <row r="1039" spans="1:48" x14ac:dyDescent="0.4">
      <c r="A1039">
        <v>1525004030</v>
      </c>
      <c r="B1039">
        <v>1525004410</v>
      </c>
      <c r="C1039" t="str">
        <f>T("회귀의 전설 382화")</f>
        <v>회귀의 전설 382화</v>
      </c>
      <c r="D1039" t="str">
        <f>T("382")</f>
        <v>382</v>
      </c>
      <c r="E1039" t="str">
        <f>T("김광수")</f>
        <v>김광수</v>
      </c>
      <c r="H1039" t="str">
        <f t="shared" si="147"/>
        <v>스토리위즈</v>
      </c>
      <c r="I1039" t="str">
        <f>T("회귀의 전설")</f>
        <v>회귀의 전설</v>
      </c>
      <c r="J1039">
        <v>100</v>
      </c>
      <c r="K1039">
        <v>100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100</v>
      </c>
      <c r="AH1039">
        <v>1</v>
      </c>
      <c r="AI1039">
        <v>0</v>
      </c>
      <c r="AJ1039">
        <v>0</v>
      </c>
      <c r="AK1039">
        <v>100</v>
      </c>
      <c r="AL1039">
        <v>0</v>
      </c>
      <c r="AM1039">
        <v>0</v>
      </c>
      <c r="AN1039">
        <v>0</v>
      </c>
      <c r="AO1039">
        <v>0</v>
      </c>
      <c r="AP1039" s="2">
        <v>70</v>
      </c>
      <c r="AT1039" t="str">
        <f>T("9788997946006")</f>
        <v>9788997946006</v>
      </c>
      <c r="AV1039" t="str">
        <f t="shared" si="148"/>
        <v>판타지 웹소설 &gt; 현대 판타지</v>
      </c>
    </row>
    <row r="1040" spans="1:48" x14ac:dyDescent="0.4">
      <c r="A1040">
        <v>1525004030</v>
      </c>
      <c r="B1040">
        <v>1525004490</v>
      </c>
      <c r="C1040" t="str">
        <f>T("회귀의 전설 474화")</f>
        <v>회귀의 전설 474화</v>
      </c>
      <c r="D1040" t="str">
        <f>T("474")</f>
        <v>474</v>
      </c>
      <c r="E1040" t="str">
        <f>T("김광수")</f>
        <v>김광수</v>
      </c>
      <c r="H1040" t="str">
        <f t="shared" si="147"/>
        <v>스토리위즈</v>
      </c>
      <c r="I1040" t="str">
        <f>T("회귀의 전설")</f>
        <v>회귀의 전설</v>
      </c>
      <c r="J1040">
        <v>100</v>
      </c>
      <c r="K1040">
        <v>100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100</v>
      </c>
      <c r="AH1040">
        <v>1</v>
      </c>
      <c r="AI1040">
        <v>0</v>
      </c>
      <c r="AJ1040">
        <v>0</v>
      </c>
      <c r="AK1040">
        <v>100</v>
      </c>
      <c r="AL1040">
        <v>0</v>
      </c>
      <c r="AM1040">
        <v>0</v>
      </c>
      <c r="AN1040">
        <v>0</v>
      </c>
      <c r="AO1040">
        <v>0</v>
      </c>
      <c r="AP1040" s="2">
        <v>70</v>
      </c>
      <c r="AT1040" t="str">
        <f>T("9788997946006")</f>
        <v>9788997946006</v>
      </c>
      <c r="AV1040" t="str">
        <f t="shared" si="148"/>
        <v>판타지 웹소설 &gt; 현대 판타지</v>
      </c>
    </row>
    <row r="1041" spans="1:48" x14ac:dyDescent="0.4">
      <c r="A1041">
        <v>1525000569</v>
      </c>
      <c r="B1041">
        <v>1525000607</v>
      </c>
      <c r="C1041" t="str">
        <f>T("스트라이커 39화")</f>
        <v>스트라이커 39화</v>
      </c>
      <c r="D1041" t="str">
        <f>T("39")</f>
        <v>39</v>
      </c>
      <c r="E1041" t="str">
        <f>T("독고진")</f>
        <v>독고진</v>
      </c>
      <c r="H1041" t="str">
        <f t="shared" si="147"/>
        <v>스토리위즈</v>
      </c>
      <c r="I1041" t="str">
        <f>T("스트라이커")</f>
        <v>스트라이커</v>
      </c>
      <c r="J1041">
        <v>100</v>
      </c>
      <c r="K1041">
        <v>100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100</v>
      </c>
      <c r="AH1041">
        <v>1</v>
      </c>
      <c r="AI1041">
        <v>0</v>
      </c>
      <c r="AJ1041">
        <v>0</v>
      </c>
      <c r="AK1041">
        <v>100</v>
      </c>
      <c r="AL1041">
        <v>0</v>
      </c>
      <c r="AM1041">
        <v>0</v>
      </c>
      <c r="AN1041">
        <v>0</v>
      </c>
      <c r="AO1041">
        <v>0</v>
      </c>
      <c r="AP1041" s="2">
        <v>70</v>
      </c>
      <c r="AT1041" t="str">
        <f>T("9791170151678")</f>
        <v>9791170151678</v>
      </c>
      <c r="AV1041" t="str">
        <f t="shared" si="148"/>
        <v>판타지 웹소설 &gt; 현대 판타지</v>
      </c>
    </row>
    <row r="1042" spans="1:48" x14ac:dyDescent="0.4">
      <c r="A1042">
        <v>1525007872</v>
      </c>
      <c r="B1042">
        <v>1525007894</v>
      </c>
      <c r="C1042" t="str">
        <f>T("아침이 오지 않아도 5화")</f>
        <v>아침이 오지 않아도 5화</v>
      </c>
      <c r="D1042" t="str">
        <f>T("5")</f>
        <v>5</v>
      </c>
      <c r="E1042" t="str">
        <f>T("홍영")</f>
        <v>홍영</v>
      </c>
      <c r="H1042" t="str">
        <f>T("러브스토리")</f>
        <v>러브스토리</v>
      </c>
      <c r="I1042" t="str">
        <f>T("아침이 오지 않아도")</f>
        <v>아침이 오지 않아도</v>
      </c>
      <c r="J1042">
        <v>100</v>
      </c>
      <c r="K1042">
        <v>100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100</v>
      </c>
      <c r="AH1042">
        <v>1</v>
      </c>
      <c r="AI1042">
        <v>0</v>
      </c>
      <c r="AJ1042">
        <v>0</v>
      </c>
      <c r="AK1042">
        <v>100</v>
      </c>
      <c r="AL1042">
        <v>0</v>
      </c>
      <c r="AM1042">
        <v>0</v>
      </c>
      <c r="AN1042">
        <v>0</v>
      </c>
      <c r="AO1042">
        <v>0</v>
      </c>
      <c r="AP1042" s="2">
        <v>70</v>
      </c>
      <c r="AR1042" t="str">
        <f>T("0000000000000")</f>
        <v>0000000000000</v>
      </c>
      <c r="AT1042" t="str">
        <f>T("9791164899708")</f>
        <v>9791164899708</v>
      </c>
      <c r="AV1042" t="str">
        <f>T("로맨스 웹소설 &gt; 현대물")</f>
        <v>로맨스 웹소설 &gt; 현대물</v>
      </c>
    </row>
    <row r="1043" spans="1:48" x14ac:dyDescent="0.4">
      <c r="A1043">
        <v>1525004030</v>
      </c>
      <c r="B1043">
        <v>1525007059</v>
      </c>
      <c r="C1043" t="str">
        <f>T("회귀의 전설 2부 943화")</f>
        <v>회귀의 전설 2부 943화</v>
      </c>
      <c r="D1043" t="str">
        <f>T("943")</f>
        <v>943</v>
      </c>
      <c r="E1043" t="str">
        <f>T("김광수")</f>
        <v>김광수</v>
      </c>
      <c r="H1043" t="str">
        <f t="shared" ref="H1043:H1052" si="149">T("스토리위즈")</f>
        <v>스토리위즈</v>
      </c>
      <c r="I1043" t="str">
        <f>T("회귀의 전설")</f>
        <v>회귀의 전설</v>
      </c>
      <c r="J1043">
        <v>100</v>
      </c>
      <c r="K1043">
        <v>100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100</v>
      </c>
      <c r="AH1043">
        <v>1</v>
      </c>
      <c r="AI1043">
        <v>0</v>
      </c>
      <c r="AJ1043">
        <v>0</v>
      </c>
      <c r="AK1043">
        <v>100</v>
      </c>
      <c r="AL1043">
        <v>0</v>
      </c>
      <c r="AM1043">
        <v>0</v>
      </c>
      <c r="AN1043">
        <v>0</v>
      </c>
      <c r="AO1043">
        <v>0</v>
      </c>
      <c r="AP1043" s="2">
        <v>70</v>
      </c>
      <c r="AT1043" t="str">
        <f>T("9791191102086")</f>
        <v>9791191102086</v>
      </c>
      <c r="AV1043" t="str">
        <f>T("판타지 웹소설 &gt; 현대 판타지")</f>
        <v>판타지 웹소설 &gt; 현대 판타지</v>
      </c>
    </row>
    <row r="1044" spans="1:48" x14ac:dyDescent="0.4">
      <c r="A1044">
        <v>1525004989</v>
      </c>
      <c r="B1044">
        <v>1525005628</v>
      </c>
      <c r="C1044" t="str">
        <f>T("신룡전설 139화")</f>
        <v>신룡전설 139화</v>
      </c>
      <c r="D1044" t="str">
        <f>T("139")</f>
        <v>139</v>
      </c>
      <c r="E1044" t="str">
        <f>T("가람검")</f>
        <v>가람검</v>
      </c>
      <c r="H1044" t="str">
        <f t="shared" si="149"/>
        <v>스토리위즈</v>
      </c>
      <c r="I1044" t="str">
        <f>T("신룡전설")</f>
        <v>신룡전설</v>
      </c>
      <c r="J1044">
        <v>100</v>
      </c>
      <c r="K1044">
        <v>100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100</v>
      </c>
      <c r="AH1044">
        <v>1</v>
      </c>
      <c r="AI1044">
        <v>0</v>
      </c>
      <c r="AJ1044">
        <v>0</v>
      </c>
      <c r="AK1044">
        <v>100</v>
      </c>
      <c r="AL1044">
        <v>0</v>
      </c>
      <c r="AM1044">
        <v>0</v>
      </c>
      <c r="AN1044">
        <v>0</v>
      </c>
      <c r="AO1044">
        <v>0</v>
      </c>
      <c r="AP1044" s="2">
        <v>70</v>
      </c>
      <c r="AT1044" t="str">
        <f>T("9791159283505")</f>
        <v>9791159283505</v>
      </c>
      <c r="AV1044" t="str">
        <f>T("판타지 웹소설 &gt; 무협 소설")</f>
        <v>판타지 웹소설 &gt; 무협 소설</v>
      </c>
    </row>
    <row r="1045" spans="1:48" x14ac:dyDescent="0.4">
      <c r="A1045">
        <v>2313011400</v>
      </c>
      <c r="B1045">
        <v>1525007701</v>
      </c>
      <c r="C1045" t="str">
        <f>T("최종 보스 24권 6화")</f>
        <v>최종 보스 24권 6화</v>
      </c>
      <c r="D1045" t="str">
        <f>T("479")</f>
        <v>479</v>
      </c>
      <c r="E1045" t="str">
        <f>T("무장")</f>
        <v>무장</v>
      </c>
      <c r="H1045" t="str">
        <f t="shared" si="149"/>
        <v>스토리위즈</v>
      </c>
      <c r="I1045" t="str">
        <f>T("최종 보스 : 빛을 향해 달리는 그림자")</f>
        <v>최종 보스 : 빛을 향해 달리는 그림자</v>
      </c>
      <c r="J1045">
        <v>100</v>
      </c>
      <c r="K1045">
        <v>100</v>
      </c>
      <c r="L1045">
        <v>1</v>
      </c>
      <c r="M1045">
        <v>0</v>
      </c>
      <c r="N1045">
        <v>100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 s="2">
        <v>140</v>
      </c>
      <c r="AT1045" t="str">
        <f>T("9791166067563")</f>
        <v>9791166067563</v>
      </c>
      <c r="AV1045" t="str">
        <f t="shared" ref="AV1045:AV1050" si="150">T("판타지 웹소설 &gt; 현대 판타지")</f>
        <v>판타지 웹소설 &gt; 현대 판타지</v>
      </c>
    </row>
    <row r="1046" spans="1:48" x14ac:dyDescent="0.4">
      <c r="A1046">
        <v>2313011400</v>
      </c>
      <c r="B1046">
        <v>1525007605</v>
      </c>
      <c r="C1046" t="str">
        <f>T("최종 보스 19권 11화")</f>
        <v>최종 보스 19권 11화</v>
      </c>
      <c r="D1046" t="str">
        <f>T("383")</f>
        <v>383</v>
      </c>
      <c r="E1046" t="str">
        <f>T("무장")</f>
        <v>무장</v>
      </c>
      <c r="H1046" t="str">
        <f t="shared" si="149"/>
        <v>스토리위즈</v>
      </c>
      <c r="I1046" t="str">
        <f>T("최종 보스 : 빛을 향해 달리는 그림자")</f>
        <v>최종 보스 : 빛을 향해 달리는 그림자</v>
      </c>
      <c r="J1046">
        <v>100</v>
      </c>
      <c r="K1046">
        <v>100</v>
      </c>
      <c r="L1046">
        <v>1</v>
      </c>
      <c r="M1046">
        <v>0</v>
      </c>
      <c r="N1046">
        <v>100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 s="2">
        <v>140</v>
      </c>
      <c r="AT1046" t="str">
        <f>T("9791166067563")</f>
        <v>9791166067563</v>
      </c>
      <c r="AV1046" t="str">
        <f t="shared" si="150"/>
        <v>판타지 웹소설 &gt; 현대 판타지</v>
      </c>
    </row>
    <row r="1047" spans="1:48" x14ac:dyDescent="0.4">
      <c r="A1047">
        <v>1525004030</v>
      </c>
      <c r="B1047">
        <v>1525004330</v>
      </c>
      <c r="C1047" t="str">
        <f>T("회귀의 전설 301화")</f>
        <v>회귀의 전설 301화</v>
      </c>
      <c r="D1047" t="str">
        <f>T("301")</f>
        <v>301</v>
      </c>
      <c r="E1047" t="str">
        <f>T("김광수")</f>
        <v>김광수</v>
      </c>
      <c r="H1047" t="str">
        <f t="shared" si="149"/>
        <v>스토리위즈</v>
      </c>
      <c r="I1047" t="str">
        <f>T("회귀의 전설")</f>
        <v>회귀의 전설</v>
      </c>
      <c r="J1047">
        <v>100</v>
      </c>
      <c r="K1047">
        <v>100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100</v>
      </c>
      <c r="AH1047">
        <v>1</v>
      </c>
      <c r="AI1047">
        <v>0</v>
      </c>
      <c r="AJ1047">
        <v>0</v>
      </c>
      <c r="AK1047">
        <v>100</v>
      </c>
      <c r="AL1047">
        <v>0</v>
      </c>
      <c r="AM1047">
        <v>0</v>
      </c>
      <c r="AN1047">
        <v>0</v>
      </c>
      <c r="AO1047">
        <v>0</v>
      </c>
      <c r="AP1047" s="2">
        <v>70</v>
      </c>
      <c r="AT1047" t="str">
        <f>T("9788997946006")</f>
        <v>9788997946006</v>
      </c>
      <c r="AV1047" t="str">
        <f t="shared" si="150"/>
        <v>판타지 웹소설 &gt; 현대 판타지</v>
      </c>
    </row>
    <row r="1048" spans="1:48" x14ac:dyDescent="0.4">
      <c r="A1048">
        <v>1525004030</v>
      </c>
      <c r="B1048">
        <v>1525007131</v>
      </c>
      <c r="C1048" t="str">
        <f>T("회귀의 전설 2부 1015화")</f>
        <v>회귀의 전설 2부 1015화</v>
      </c>
      <c r="D1048" t="str">
        <f>T("1015")</f>
        <v>1015</v>
      </c>
      <c r="E1048" t="str">
        <f>T("김광수")</f>
        <v>김광수</v>
      </c>
      <c r="H1048" t="str">
        <f t="shared" si="149"/>
        <v>스토리위즈</v>
      </c>
      <c r="I1048" t="str">
        <f>T("회귀의 전설")</f>
        <v>회귀의 전설</v>
      </c>
      <c r="J1048">
        <v>100</v>
      </c>
      <c r="K1048">
        <v>100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100</v>
      </c>
      <c r="AH1048">
        <v>1</v>
      </c>
      <c r="AI1048">
        <v>0</v>
      </c>
      <c r="AJ1048">
        <v>0</v>
      </c>
      <c r="AK1048">
        <v>100</v>
      </c>
      <c r="AL1048">
        <v>0</v>
      </c>
      <c r="AM1048">
        <v>0</v>
      </c>
      <c r="AN1048">
        <v>0</v>
      </c>
      <c r="AO1048">
        <v>0</v>
      </c>
      <c r="AP1048" s="2">
        <v>70</v>
      </c>
      <c r="AT1048" t="str">
        <f>T("9791191102086")</f>
        <v>9791191102086</v>
      </c>
      <c r="AV1048" t="str">
        <f t="shared" si="150"/>
        <v>판타지 웹소설 &gt; 현대 판타지</v>
      </c>
    </row>
    <row r="1049" spans="1:48" x14ac:dyDescent="0.4">
      <c r="A1049">
        <v>1525004030</v>
      </c>
      <c r="B1049">
        <v>1525004442</v>
      </c>
      <c r="C1049" t="str">
        <f>T("회귀의 전설 426화")</f>
        <v>회귀의 전설 426화</v>
      </c>
      <c r="D1049" t="str">
        <f>T("426")</f>
        <v>426</v>
      </c>
      <c r="E1049" t="str">
        <f>T("김광수")</f>
        <v>김광수</v>
      </c>
      <c r="H1049" t="str">
        <f t="shared" si="149"/>
        <v>스토리위즈</v>
      </c>
      <c r="I1049" t="str">
        <f>T("회귀의 전설")</f>
        <v>회귀의 전설</v>
      </c>
      <c r="J1049">
        <v>100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100</v>
      </c>
      <c r="AH1049">
        <v>1</v>
      </c>
      <c r="AI1049">
        <v>0</v>
      </c>
      <c r="AJ1049">
        <v>0</v>
      </c>
      <c r="AK1049">
        <v>100</v>
      </c>
      <c r="AL1049">
        <v>0</v>
      </c>
      <c r="AM1049">
        <v>0</v>
      </c>
      <c r="AN1049">
        <v>0</v>
      </c>
      <c r="AO1049">
        <v>0</v>
      </c>
      <c r="AP1049" s="2">
        <v>70</v>
      </c>
      <c r="AT1049" t="str">
        <f>T("9788997946006")</f>
        <v>9788997946006</v>
      </c>
      <c r="AV1049" t="str">
        <f t="shared" si="150"/>
        <v>판타지 웹소설 &gt; 현대 판타지</v>
      </c>
    </row>
    <row r="1050" spans="1:48" x14ac:dyDescent="0.4">
      <c r="A1050">
        <v>1525004030</v>
      </c>
      <c r="B1050">
        <v>1525004522</v>
      </c>
      <c r="C1050" t="str">
        <f>T("회귀의 전설 393화")</f>
        <v>회귀의 전설 393화</v>
      </c>
      <c r="D1050" t="str">
        <f>T("393")</f>
        <v>393</v>
      </c>
      <c r="E1050" t="str">
        <f>T("김광수")</f>
        <v>김광수</v>
      </c>
      <c r="H1050" t="str">
        <f t="shared" si="149"/>
        <v>스토리위즈</v>
      </c>
      <c r="I1050" t="str">
        <f>T("회귀의 전설")</f>
        <v>회귀의 전설</v>
      </c>
      <c r="J1050">
        <v>100</v>
      </c>
      <c r="K1050">
        <v>100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100</v>
      </c>
      <c r="AH1050">
        <v>1</v>
      </c>
      <c r="AI1050">
        <v>0</v>
      </c>
      <c r="AJ1050">
        <v>0</v>
      </c>
      <c r="AK1050">
        <v>100</v>
      </c>
      <c r="AL1050">
        <v>0</v>
      </c>
      <c r="AM1050">
        <v>0</v>
      </c>
      <c r="AN1050">
        <v>0</v>
      </c>
      <c r="AO1050">
        <v>0</v>
      </c>
      <c r="AP1050" s="2">
        <v>70</v>
      </c>
      <c r="AT1050" t="str">
        <f>T("9788997946006")</f>
        <v>9788997946006</v>
      </c>
      <c r="AV1050" t="str">
        <f t="shared" si="150"/>
        <v>판타지 웹소설 &gt; 현대 판타지</v>
      </c>
    </row>
    <row r="1051" spans="1:48" x14ac:dyDescent="0.4">
      <c r="A1051">
        <v>1525004989</v>
      </c>
      <c r="B1051">
        <v>1525005548</v>
      </c>
      <c r="C1051" t="str">
        <f>T("신룡전설 59화")</f>
        <v>신룡전설 59화</v>
      </c>
      <c r="D1051" t="str">
        <f>T("59")</f>
        <v>59</v>
      </c>
      <c r="E1051" t="str">
        <f>T("가람검")</f>
        <v>가람검</v>
      </c>
      <c r="H1051" t="str">
        <f t="shared" si="149"/>
        <v>스토리위즈</v>
      </c>
      <c r="I1051" t="str">
        <f>T("신룡전설")</f>
        <v>신룡전설</v>
      </c>
      <c r="J1051">
        <v>100</v>
      </c>
      <c r="K1051">
        <v>100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100</v>
      </c>
      <c r="AH1051">
        <v>1</v>
      </c>
      <c r="AI1051">
        <v>0</v>
      </c>
      <c r="AJ1051">
        <v>0</v>
      </c>
      <c r="AK1051">
        <v>100</v>
      </c>
      <c r="AL1051">
        <v>0</v>
      </c>
      <c r="AM1051">
        <v>0</v>
      </c>
      <c r="AN1051">
        <v>0</v>
      </c>
      <c r="AO1051">
        <v>0</v>
      </c>
      <c r="AP1051" s="2">
        <v>70</v>
      </c>
      <c r="AT1051" t="str">
        <f>T("9791159283505")</f>
        <v>9791159283505</v>
      </c>
      <c r="AV1051" t="str">
        <f>T("판타지 웹소설 &gt; 무협 소설")</f>
        <v>판타지 웹소설 &gt; 무협 소설</v>
      </c>
    </row>
    <row r="1052" spans="1:48" x14ac:dyDescent="0.4">
      <c r="A1052">
        <v>1525004030</v>
      </c>
      <c r="B1052">
        <v>1525004291</v>
      </c>
      <c r="C1052" t="str">
        <f>T("회귀의 전설 262화")</f>
        <v>회귀의 전설 262화</v>
      </c>
      <c r="D1052" t="str">
        <f>T("262")</f>
        <v>262</v>
      </c>
      <c r="E1052" t="str">
        <f>T("김광수")</f>
        <v>김광수</v>
      </c>
      <c r="H1052" t="str">
        <f t="shared" si="149"/>
        <v>스토리위즈</v>
      </c>
      <c r="I1052" t="str">
        <f>T("회귀의 전설")</f>
        <v>회귀의 전설</v>
      </c>
      <c r="J1052">
        <v>100</v>
      </c>
      <c r="K1052">
        <v>100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100</v>
      </c>
      <c r="AH1052">
        <v>1</v>
      </c>
      <c r="AI1052">
        <v>0</v>
      </c>
      <c r="AJ1052">
        <v>0</v>
      </c>
      <c r="AK1052">
        <v>100</v>
      </c>
      <c r="AL1052">
        <v>0</v>
      </c>
      <c r="AM1052">
        <v>0</v>
      </c>
      <c r="AN1052">
        <v>0</v>
      </c>
      <c r="AO1052">
        <v>0</v>
      </c>
      <c r="AP1052" s="2">
        <v>70</v>
      </c>
      <c r="AT1052" t="str">
        <f>T("9788997946006")</f>
        <v>9788997946006</v>
      </c>
      <c r="AV1052" t="str">
        <f>T("판타지 웹소설 &gt; 현대 판타지")</f>
        <v>판타지 웹소설 &gt; 현대 판타지</v>
      </c>
    </row>
    <row r="1053" spans="1:48" x14ac:dyDescent="0.4">
      <c r="A1053">
        <v>1525008545</v>
      </c>
      <c r="B1053">
        <v>1525008589</v>
      </c>
      <c r="C1053" t="str">
        <f>T("소년연애담 5화")</f>
        <v>소년연애담 5화</v>
      </c>
      <c r="D1053" t="str">
        <f>T("5")</f>
        <v>5</v>
      </c>
      <c r="E1053" t="str">
        <f>T("나나코")</f>
        <v>나나코</v>
      </c>
      <c r="H1053" t="str">
        <f>T("블러쉬")</f>
        <v>블러쉬</v>
      </c>
      <c r="I1053" t="str">
        <f>T("소년연애담")</f>
        <v>소년연애담</v>
      </c>
      <c r="J1053">
        <v>100</v>
      </c>
      <c r="K1053">
        <v>100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100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100</v>
      </c>
      <c r="AN1053">
        <v>0</v>
      </c>
      <c r="AO1053">
        <v>0</v>
      </c>
      <c r="AP1053" s="2">
        <v>70</v>
      </c>
      <c r="AR1053" t="str">
        <f>T("0000000000000")</f>
        <v>0000000000000</v>
      </c>
      <c r="AT1053" t="str">
        <f>T("9791164890729")</f>
        <v>9791164890729</v>
      </c>
      <c r="AU1053" t="str">
        <f>T("B12")</f>
        <v>B12</v>
      </c>
      <c r="AV1053" t="str">
        <f>T("BL 웹소설 &gt; 현대물")</f>
        <v>BL 웹소설 &gt; 현대물</v>
      </c>
    </row>
    <row r="1054" spans="1:48" x14ac:dyDescent="0.4">
      <c r="A1054">
        <v>1525010579</v>
      </c>
      <c r="B1054">
        <v>1525010216</v>
      </c>
      <c r="C1054" t="str">
        <f>T("법보다 주먹 362화")</f>
        <v>법보다 주먹 362화</v>
      </c>
      <c r="D1054" t="str">
        <f>T("362")</f>
        <v>362</v>
      </c>
      <c r="E1054" t="str">
        <f>T("백범(白帆)")</f>
        <v>백범(白帆)</v>
      </c>
      <c r="H1054" t="str">
        <f>T("에필로그")</f>
        <v>에필로그</v>
      </c>
      <c r="I1054" t="str">
        <f>T("법보다 주먹")</f>
        <v>법보다 주먹</v>
      </c>
      <c r="J1054">
        <v>100</v>
      </c>
      <c r="K1054">
        <v>100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100</v>
      </c>
      <c r="AH1054">
        <v>1</v>
      </c>
      <c r="AI1054">
        <v>0</v>
      </c>
      <c r="AJ1054">
        <v>0</v>
      </c>
      <c r="AK1054">
        <v>100</v>
      </c>
      <c r="AL1054">
        <v>0</v>
      </c>
      <c r="AM1054">
        <v>0</v>
      </c>
      <c r="AN1054">
        <v>0</v>
      </c>
      <c r="AO1054">
        <v>0</v>
      </c>
      <c r="AP1054" s="2">
        <v>70</v>
      </c>
      <c r="AT1054" t="str">
        <f>T("9791164489367")</f>
        <v>9791164489367</v>
      </c>
      <c r="AV1054" t="str">
        <f>T("판타지 웹소설 &gt; 현대 판타지")</f>
        <v>판타지 웹소설 &gt; 현대 판타지</v>
      </c>
    </row>
    <row r="1055" spans="1:48" x14ac:dyDescent="0.4">
      <c r="A1055">
        <v>1525004030</v>
      </c>
      <c r="B1055">
        <v>1525004403</v>
      </c>
      <c r="C1055" t="str">
        <f>T("회귀의 전설 375화")</f>
        <v>회귀의 전설 375화</v>
      </c>
      <c r="D1055" t="str">
        <f>T("375")</f>
        <v>375</v>
      </c>
      <c r="E1055" t="str">
        <f>T("김광수")</f>
        <v>김광수</v>
      </c>
      <c r="H1055" t="str">
        <f>T("스토리위즈")</f>
        <v>스토리위즈</v>
      </c>
      <c r="I1055" t="str">
        <f>T("회귀의 전설")</f>
        <v>회귀의 전설</v>
      </c>
      <c r="J1055">
        <v>100</v>
      </c>
      <c r="K1055">
        <v>100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100</v>
      </c>
      <c r="AH1055">
        <v>1</v>
      </c>
      <c r="AI1055">
        <v>0</v>
      </c>
      <c r="AJ1055">
        <v>0</v>
      </c>
      <c r="AK1055">
        <v>100</v>
      </c>
      <c r="AL1055">
        <v>0</v>
      </c>
      <c r="AM1055">
        <v>0</v>
      </c>
      <c r="AN1055">
        <v>0</v>
      </c>
      <c r="AO1055">
        <v>0</v>
      </c>
      <c r="AP1055" s="2">
        <v>70</v>
      </c>
      <c r="AT1055" t="str">
        <f>T("9788997946006")</f>
        <v>9788997946006</v>
      </c>
      <c r="AV1055" t="str">
        <f>T("판타지 웹소설 &gt; 현대 판타지")</f>
        <v>판타지 웹소설 &gt; 현대 판타지</v>
      </c>
    </row>
    <row r="1056" spans="1:48" x14ac:dyDescent="0.4">
      <c r="A1056">
        <v>1525004030</v>
      </c>
      <c r="B1056">
        <v>1525006736</v>
      </c>
      <c r="C1056" t="str">
        <f>T("회귀의 전설 2부 619화")</f>
        <v>회귀의 전설 2부 619화</v>
      </c>
      <c r="D1056" t="str">
        <f>T("619")</f>
        <v>619</v>
      </c>
      <c r="E1056" t="str">
        <f>T("김광수")</f>
        <v>김광수</v>
      </c>
      <c r="H1056" t="str">
        <f>T("스토리위즈")</f>
        <v>스토리위즈</v>
      </c>
      <c r="I1056" t="str">
        <f>T("회귀의 전설")</f>
        <v>회귀의 전설</v>
      </c>
      <c r="J1056">
        <v>100</v>
      </c>
      <c r="K1056">
        <v>100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100</v>
      </c>
      <c r="AH1056">
        <v>1</v>
      </c>
      <c r="AI1056">
        <v>0</v>
      </c>
      <c r="AJ1056">
        <v>0</v>
      </c>
      <c r="AK1056">
        <v>100</v>
      </c>
      <c r="AL1056">
        <v>0</v>
      </c>
      <c r="AM1056">
        <v>0</v>
      </c>
      <c r="AN1056">
        <v>0</v>
      </c>
      <c r="AO1056">
        <v>0</v>
      </c>
      <c r="AP1056" s="2">
        <v>70</v>
      </c>
      <c r="AT1056" t="str">
        <f>T("9791191102086")</f>
        <v>9791191102086</v>
      </c>
      <c r="AV1056" t="str">
        <f>T("판타지 웹소설 &gt; 현대 판타지")</f>
        <v>판타지 웹소설 &gt; 현대 판타지</v>
      </c>
    </row>
    <row r="1057" spans="1:48" x14ac:dyDescent="0.4">
      <c r="A1057">
        <v>1525004030</v>
      </c>
      <c r="B1057">
        <v>1525004483</v>
      </c>
      <c r="C1057" t="str">
        <f>T("회귀의 전설 467화")</f>
        <v>회귀의 전설 467화</v>
      </c>
      <c r="D1057" t="str">
        <f>T("467")</f>
        <v>467</v>
      </c>
      <c r="E1057" t="str">
        <f>T("김광수")</f>
        <v>김광수</v>
      </c>
      <c r="H1057" t="str">
        <f>T("스토리위즈")</f>
        <v>스토리위즈</v>
      </c>
      <c r="I1057" t="str">
        <f>T("회귀의 전설")</f>
        <v>회귀의 전설</v>
      </c>
      <c r="J1057">
        <v>100</v>
      </c>
      <c r="K1057">
        <v>100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100</v>
      </c>
      <c r="AH1057">
        <v>1</v>
      </c>
      <c r="AI1057">
        <v>0</v>
      </c>
      <c r="AJ1057">
        <v>0</v>
      </c>
      <c r="AK1057">
        <v>100</v>
      </c>
      <c r="AL1057">
        <v>0</v>
      </c>
      <c r="AM1057">
        <v>0</v>
      </c>
      <c r="AN1057">
        <v>0</v>
      </c>
      <c r="AO1057">
        <v>0</v>
      </c>
      <c r="AP1057" s="2">
        <v>70</v>
      </c>
      <c r="AT1057" t="str">
        <f>T("9788997946006")</f>
        <v>9788997946006</v>
      </c>
      <c r="AV1057" t="str">
        <f>T("판타지 웹소설 &gt; 현대 판타지")</f>
        <v>판타지 웹소설 &gt; 현대 판타지</v>
      </c>
    </row>
    <row r="1058" spans="1:48" x14ac:dyDescent="0.4">
      <c r="A1058">
        <v>1525007872</v>
      </c>
      <c r="B1058">
        <v>1525007887</v>
      </c>
      <c r="C1058" t="str">
        <f>T("아침이 오지 않아도 33화")</f>
        <v>아침이 오지 않아도 33화</v>
      </c>
      <c r="D1058" t="str">
        <f>T("33")</f>
        <v>33</v>
      </c>
      <c r="E1058" t="str">
        <f>T("홍영")</f>
        <v>홍영</v>
      </c>
      <c r="H1058" t="str">
        <f>T("러브스토리")</f>
        <v>러브스토리</v>
      </c>
      <c r="I1058" t="str">
        <f>T("아침이 오지 않아도")</f>
        <v>아침이 오지 않아도</v>
      </c>
      <c r="J1058">
        <v>100</v>
      </c>
      <c r="K1058">
        <v>100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100</v>
      </c>
      <c r="AH1058">
        <v>1</v>
      </c>
      <c r="AI1058">
        <v>0</v>
      </c>
      <c r="AJ1058">
        <v>0</v>
      </c>
      <c r="AK1058">
        <v>100</v>
      </c>
      <c r="AL1058">
        <v>0</v>
      </c>
      <c r="AM1058">
        <v>0</v>
      </c>
      <c r="AN1058">
        <v>0</v>
      </c>
      <c r="AO1058">
        <v>0</v>
      </c>
      <c r="AP1058" s="2">
        <v>70</v>
      </c>
      <c r="AR1058" t="str">
        <f>T("0000000000000")</f>
        <v>0000000000000</v>
      </c>
      <c r="AT1058" t="str">
        <f>T("9791164899708")</f>
        <v>9791164899708</v>
      </c>
      <c r="AV1058" t="str">
        <f>T("로맨스 웹소설 &gt; 현대물")</f>
        <v>로맨스 웹소설 &gt; 현대물</v>
      </c>
    </row>
    <row r="1059" spans="1:48" x14ac:dyDescent="0.4">
      <c r="A1059">
        <v>1525004030</v>
      </c>
      <c r="B1059">
        <v>1525007052</v>
      </c>
      <c r="C1059" t="str">
        <f>T("회귀의 전설 2부 936화")</f>
        <v>회귀의 전설 2부 936화</v>
      </c>
      <c r="D1059" t="str">
        <f>T("936")</f>
        <v>936</v>
      </c>
      <c r="E1059" t="str">
        <f>T("김광수")</f>
        <v>김광수</v>
      </c>
      <c r="H1059" t="str">
        <f t="shared" ref="H1059:H1068" si="151">T("스토리위즈")</f>
        <v>스토리위즈</v>
      </c>
      <c r="I1059" t="str">
        <f>T("회귀의 전설")</f>
        <v>회귀의 전설</v>
      </c>
      <c r="J1059">
        <v>100</v>
      </c>
      <c r="K1059">
        <v>100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100</v>
      </c>
      <c r="AH1059">
        <v>1</v>
      </c>
      <c r="AI1059">
        <v>0</v>
      </c>
      <c r="AJ1059">
        <v>0</v>
      </c>
      <c r="AK1059">
        <v>100</v>
      </c>
      <c r="AL1059">
        <v>0</v>
      </c>
      <c r="AM1059">
        <v>0</v>
      </c>
      <c r="AN1059">
        <v>0</v>
      </c>
      <c r="AO1059">
        <v>0</v>
      </c>
      <c r="AP1059" s="2">
        <v>70</v>
      </c>
      <c r="AT1059" t="str">
        <f>T("9791191102086")</f>
        <v>9791191102086</v>
      </c>
      <c r="AV1059" t="str">
        <f>T("판타지 웹소설 &gt; 현대 판타지")</f>
        <v>판타지 웹소설 &gt; 현대 판타지</v>
      </c>
    </row>
    <row r="1060" spans="1:48" x14ac:dyDescent="0.4">
      <c r="A1060">
        <v>1525004989</v>
      </c>
      <c r="B1060">
        <v>1525005621</v>
      </c>
      <c r="C1060" t="str">
        <f>T("신룡전설 132화")</f>
        <v>신룡전설 132화</v>
      </c>
      <c r="D1060" t="str">
        <f>T("132")</f>
        <v>132</v>
      </c>
      <c r="E1060" t="str">
        <f>T("가람검")</f>
        <v>가람검</v>
      </c>
      <c r="H1060" t="str">
        <f t="shared" si="151"/>
        <v>스토리위즈</v>
      </c>
      <c r="I1060" t="str">
        <f>T("신룡전설")</f>
        <v>신룡전설</v>
      </c>
      <c r="J1060">
        <v>100</v>
      </c>
      <c r="K1060">
        <v>100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100</v>
      </c>
      <c r="AH1060">
        <v>1</v>
      </c>
      <c r="AI1060">
        <v>0</v>
      </c>
      <c r="AJ1060">
        <v>0</v>
      </c>
      <c r="AK1060">
        <v>100</v>
      </c>
      <c r="AL1060">
        <v>0</v>
      </c>
      <c r="AM1060">
        <v>0</v>
      </c>
      <c r="AN1060">
        <v>0</v>
      </c>
      <c r="AO1060">
        <v>0</v>
      </c>
      <c r="AP1060" s="2">
        <v>70</v>
      </c>
      <c r="AT1060" t="str">
        <f>T("9791159283505")</f>
        <v>9791159283505</v>
      </c>
      <c r="AV1060" t="str">
        <f>T("판타지 웹소설 &gt; 무협 소설")</f>
        <v>판타지 웹소설 &gt; 무협 소설</v>
      </c>
    </row>
    <row r="1061" spans="1:48" x14ac:dyDescent="0.4">
      <c r="A1061">
        <v>2313011400</v>
      </c>
      <c r="B1061">
        <v>1525007694</v>
      </c>
      <c r="C1061" t="str">
        <f>T("최종 보스 23권 19화")</f>
        <v>최종 보스 23권 19화</v>
      </c>
      <c r="D1061" t="str">
        <f>T("472")</f>
        <v>472</v>
      </c>
      <c r="E1061" t="str">
        <f>T("무장")</f>
        <v>무장</v>
      </c>
      <c r="H1061" t="str">
        <f t="shared" si="151"/>
        <v>스토리위즈</v>
      </c>
      <c r="I1061" t="str">
        <f>T("최종 보스 : 빛을 향해 달리는 그림자")</f>
        <v>최종 보스 : 빛을 향해 달리는 그림자</v>
      </c>
      <c r="J1061">
        <v>100</v>
      </c>
      <c r="K1061">
        <v>100</v>
      </c>
      <c r="L1061">
        <v>1</v>
      </c>
      <c r="M1061">
        <v>0</v>
      </c>
      <c r="N1061">
        <v>100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P1061" s="2">
        <v>140</v>
      </c>
      <c r="AT1061" t="str">
        <f>T("9791166067563")</f>
        <v>9791166067563</v>
      </c>
      <c r="AV1061" t="str">
        <f>T("판타지 웹소설 &gt; 현대 판타지")</f>
        <v>판타지 웹소설 &gt; 현대 판타지</v>
      </c>
    </row>
    <row r="1062" spans="1:48" x14ac:dyDescent="0.4">
      <c r="A1062">
        <v>1525004030</v>
      </c>
      <c r="B1062">
        <v>1525007000</v>
      </c>
      <c r="C1062" t="str">
        <f>T("회귀의 전설 2부 884화")</f>
        <v>회귀의 전설 2부 884화</v>
      </c>
      <c r="D1062" t="str">
        <f>T("884")</f>
        <v>884</v>
      </c>
      <c r="E1062" t="str">
        <f>T("김광수")</f>
        <v>김광수</v>
      </c>
      <c r="H1062" t="str">
        <f t="shared" si="151"/>
        <v>스토리위즈</v>
      </c>
      <c r="I1062" t="str">
        <f>T("회귀의 전설")</f>
        <v>회귀의 전설</v>
      </c>
      <c r="J1062">
        <v>100</v>
      </c>
      <c r="K1062">
        <v>100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100</v>
      </c>
      <c r="AH1062">
        <v>1</v>
      </c>
      <c r="AI1062">
        <v>0</v>
      </c>
      <c r="AJ1062">
        <v>0</v>
      </c>
      <c r="AK1062">
        <v>100</v>
      </c>
      <c r="AL1062">
        <v>0</v>
      </c>
      <c r="AM1062">
        <v>0</v>
      </c>
      <c r="AN1062">
        <v>0</v>
      </c>
      <c r="AO1062">
        <v>0</v>
      </c>
      <c r="AP1062" s="2">
        <v>70</v>
      </c>
      <c r="AT1062" t="str">
        <f>T("9791191102086")</f>
        <v>9791191102086</v>
      </c>
      <c r="AV1062" t="str">
        <f>T("판타지 웹소설 &gt; 현대 판타지")</f>
        <v>판타지 웹소설 &gt; 현대 판타지</v>
      </c>
    </row>
    <row r="1063" spans="1:48" x14ac:dyDescent="0.4">
      <c r="A1063">
        <v>1525004030</v>
      </c>
      <c r="B1063">
        <v>1525004323</v>
      </c>
      <c r="C1063" t="str">
        <f>T("회귀의 전설 294화")</f>
        <v>회귀의 전설 294화</v>
      </c>
      <c r="D1063" t="str">
        <f>T("294")</f>
        <v>294</v>
      </c>
      <c r="E1063" t="str">
        <f>T("김광수")</f>
        <v>김광수</v>
      </c>
      <c r="H1063" t="str">
        <f t="shared" si="151"/>
        <v>스토리위즈</v>
      </c>
      <c r="I1063" t="str">
        <f>T("회귀의 전설")</f>
        <v>회귀의 전설</v>
      </c>
      <c r="J1063">
        <v>100</v>
      </c>
      <c r="K1063">
        <v>100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100</v>
      </c>
      <c r="AH1063">
        <v>1</v>
      </c>
      <c r="AI1063">
        <v>0</v>
      </c>
      <c r="AJ1063">
        <v>0</v>
      </c>
      <c r="AK1063">
        <v>100</v>
      </c>
      <c r="AL1063">
        <v>0</v>
      </c>
      <c r="AM1063">
        <v>0</v>
      </c>
      <c r="AN1063">
        <v>0</v>
      </c>
      <c r="AO1063">
        <v>0</v>
      </c>
      <c r="AP1063" s="2">
        <v>70</v>
      </c>
      <c r="AT1063" t="str">
        <f>T("9788997946006")</f>
        <v>9788997946006</v>
      </c>
      <c r="AV1063" t="str">
        <f>T("판타지 웹소설 &gt; 현대 판타지")</f>
        <v>판타지 웹소설 &gt; 현대 판타지</v>
      </c>
    </row>
    <row r="1064" spans="1:48" x14ac:dyDescent="0.4">
      <c r="A1064">
        <v>1525004988</v>
      </c>
      <c r="B1064">
        <v>1525005339</v>
      </c>
      <c r="C1064" t="str">
        <f>T("용무쌍 52화")</f>
        <v>용무쌍 52화</v>
      </c>
      <c r="D1064" t="str">
        <f>T("52")</f>
        <v>52</v>
      </c>
      <c r="E1064" t="str">
        <f>T("권용찬")</f>
        <v>권용찬</v>
      </c>
      <c r="H1064" t="str">
        <f t="shared" si="151"/>
        <v>스토리위즈</v>
      </c>
      <c r="I1064" t="str">
        <f>T("용무쌍")</f>
        <v>용무쌍</v>
      </c>
      <c r="J1064">
        <v>100</v>
      </c>
      <c r="K1064">
        <v>100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100</v>
      </c>
      <c r="AH1064">
        <v>1</v>
      </c>
      <c r="AI1064">
        <v>0</v>
      </c>
      <c r="AJ1064">
        <v>0</v>
      </c>
      <c r="AK1064">
        <v>100</v>
      </c>
      <c r="AL1064">
        <v>0</v>
      </c>
      <c r="AM1064">
        <v>0</v>
      </c>
      <c r="AN1064">
        <v>0</v>
      </c>
      <c r="AO1064">
        <v>0</v>
      </c>
      <c r="AP1064" s="2">
        <v>70</v>
      </c>
      <c r="AT1064" t="str">
        <f>T("9791159284861")</f>
        <v>9791159284861</v>
      </c>
      <c r="AV1064" t="str">
        <f>T("판타지 웹소설 &gt; 무협 소설")</f>
        <v>판타지 웹소설 &gt; 무협 소설</v>
      </c>
    </row>
    <row r="1065" spans="1:48" x14ac:dyDescent="0.4">
      <c r="A1065">
        <v>1525004030</v>
      </c>
      <c r="B1065">
        <v>1525004435</v>
      </c>
      <c r="C1065" t="str">
        <f>T("회귀의 전설 419화")</f>
        <v>회귀의 전설 419화</v>
      </c>
      <c r="D1065" t="str">
        <f>T("419")</f>
        <v>419</v>
      </c>
      <c r="E1065" t="str">
        <f>T("김광수")</f>
        <v>김광수</v>
      </c>
      <c r="H1065" t="str">
        <f t="shared" si="151"/>
        <v>스토리위즈</v>
      </c>
      <c r="I1065" t="str">
        <f>T("회귀의 전설")</f>
        <v>회귀의 전설</v>
      </c>
      <c r="J1065">
        <v>100</v>
      </c>
      <c r="K1065">
        <v>100</v>
      </c>
      <c r="L1065">
        <v>1</v>
      </c>
      <c r="M1065">
        <v>0</v>
      </c>
      <c r="N1065">
        <v>100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P1065" s="2">
        <v>140</v>
      </c>
      <c r="AT1065" t="str">
        <f>T("9788997946006")</f>
        <v>9788997946006</v>
      </c>
      <c r="AV1065" t="str">
        <f>T("판타지 웹소설 &gt; 현대 판타지")</f>
        <v>판타지 웹소설 &gt; 현대 판타지</v>
      </c>
    </row>
    <row r="1066" spans="1:48" x14ac:dyDescent="0.4">
      <c r="A1066">
        <v>1525004030</v>
      </c>
      <c r="B1066">
        <v>1525004515</v>
      </c>
      <c r="C1066" t="str">
        <f>T("회귀의 전설 386화")</f>
        <v>회귀의 전설 386화</v>
      </c>
      <c r="D1066" t="str">
        <f>T("386")</f>
        <v>386</v>
      </c>
      <c r="E1066" t="str">
        <f>T("김광수")</f>
        <v>김광수</v>
      </c>
      <c r="H1066" t="str">
        <f t="shared" si="151"/>
        <v>스토리위즈</v>
      </c>
      <c r="I1066" t="str">
        <f>T("회귀의 전설")</f>
        <v>회귀의 전설</v>
      </c>
      <c r="J1066">
        <v>100</v>
      </c>
      <c r="K1066">
        <v>100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100</v>
      </c>
      <c r="AH1066">
        <v>1</v>
      </c>
      <c r="AI1066">
        <v>0</v>
      </c>
      <c r="AJ1066">
        <v>0</v>
      </c>
      <c r="AK1066">
        <v>100</v>
      </c>
      <c r="AL1066">
        <v>0</v>
      </c>
      <c r="AM1066">
        <v>0</v>
      </c>
      <c r="AN1066">
        <v>0</v>
      </c>
      <c r="AO1066">
        <v>0</v>
      </c>
      <c r="AP1066" s="2">
        <v>70</v>
      </c>
      <c r="AT1066" t="str">
        <f>T("9788997946006")</f>
        <v>9788997946006</v>
      </c>
      <c r="AV1066" t="str">
        <f>T("판타지 웹소설 &gt; 현대 판타지")</f>
        <v>판타지 웹소설 &gt; 현대 판타지</v>
      </c>
    </row>
    <row r="1067" spans="1:48" x14ac:dyDescent="0.4">
      <c r="A1067">
        <v>1525004989</v>
      </c>
      <c r="B1067">
        <v>1525005541</v>
      </c>
      <c r="C1067" t="str">
        <f>T("신룡전설 52화")</f>
        <v>신룡전설 52화</v>
      </c>
      <c r="D1067" t="str">
        <f>T("52")</f>
        <v>52</v>
      </c>
      <c r="E1067" t="str">
        <f>T("가람검")</f>
        <v>가람검</v>
      </c>
      <c r="H1067" t="str">
        <f t="shared" si="151"/>
        <v>스토리위즈</v>
      </c>
      <c r="I1067" t="str">
        <f>T("신룡전설")</f>
        <v>신룡전설</v>
      </c>
      <c r="J1067">
        <v>100</v>
      </c>
      <c r="K1067">
        <v>100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100</v>
      </c>
      <c r="AH1067">
        <v>1</v>
      </c>
      <c r="AI1067">
        <v>0</v>
      </c>
      <c r="AJ1067">
        <v>0</v>
      </c>
      <c r="AK1067">
        <v>100</v>
      </c>
      <c r="AL1067">
        <v>0</v>
      </c>
      <c r="AM1067">
        <v>0</v>
      </c>
      <c r="AN1067">
        <v>0</v>
      </c>
      <c r="AO1067">
        <v>0</v>
      </c>
      <c r="AP1067" s="2">
        <v>70</v>
      </c>
      <c r="AT1067" t="str">
        <f>T("9791159283505")</f>
        <v>9791159283505</v>
      </c>
      <c r="AV1067" t="str">
        <f>T("판타지 웹소설 &gt; 무협 소설")</f>
        <v>판타지 웹소설 &gt; 무협 소설</v>
      </c>
    </row>
    <row r="1068" spans="1:48" x14ac:dyDescent="0.4">
      <c r="A1068">
        <v>1525004030</v>
      </c>
      <c r="B1068">
        <v>1525007084</v>
      </c>
      <c r="C1068" t="str">
        <f>T("회귀의 전설 2부 968화")</f>
        <v>회귀의 전설 2부 968화</v>
      </c>
      <c r="D1068" t="str">
        <f>T("968")</f>
        <v>968</v>
      </c>
      <c r="E1068" t="str">
        <f>T("김광수")</f>
        <v>김광수</v>
      </c>
      <c r="H1068" t="str">
        <f t="shared" si="151"/>
        <v>스토리위즈</v>
      </c>
      <c r="I1068" t="str">
        <f>T("회귀의 전설")</f>
        <v>회귀의 전설</v>
      </c>
      <c r="J1068">
        <v>100</v>
      </c>
      <c r="K1068">
        <v>100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100</v>
      </c>
      <c r="AH1068">
        <v>1</v>
      </c>
      <c r="AI1068">
        <v>0</v>
      </c>
      <c r="AJ1068">
        <v>0</v>
      </c>
      <c r="AK1068">
        <v>100</v>
      </c>
      <c r="AL1068">
        <v>0</v>
      </c>
      <c r="AM1068">
        <v>0</v>
      </c>
      <c r="AN1068">
        <v>0</v>
      </c>
      <c r="AO1068">
        <v>0</v>
      </c>
      <c r="AP1068" s="2">
        <v>70</v>
      </c>
      <c r="AT1068" t="str">
        <f>T("9791191102086")</f>
        <v>9791191102086</v>
      </c>
      <c r="AV1068" t="str">
        <f>T("판타지 웹소설 &gt; 현대 판타지")</f>
        <v>판타지 웹소설 &gt; 현대 판타지</v>
      </c>
    </row>
    <row r="1069" spans="1:48" x14ac:dyDescent="0.4">
      <c r="A1069">
        <v>1525007923</v>
      </c>
      <c r="B1069">
        <v>1525007974</v>
      </c>
      <c r="C1069" t="str">
        <f>T("운상연담: 화불능귀일락 66화")</f>
        <v>운상연담: 화불능귀일락 66화</v>
      </c>
      <c r="D1069" t="str">
        <f>T("66")</f>
        <v>66</v>
      </c>
      <c r="E1069" t="str">
        <f>T("피모")</f>
        <v>피모</v>
      </c>
      <c r="H1069" t="str">
        <f>T("쉬라즈")</f>
        <v>쉬라즈</v>
      </c>
      <c r="I1069" t="str">
        <f>T("운상연담: 화불능귀일락")</f>
        <v>운상연담: 화불능귀일락</v>
      </c>
      <c r="J1069">
        <v>100</v>
      </c>
      <c r="K1069">
        <v>100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100</v>
      </c>
      <c r="AH1069">
        <v>1</v>
      </c>
      <c r="AI1069">
        <v>0</v>
      </c>
      <c r="AJ1069">
        <v>0</v>
      </c>
      <c r="AK1069">
        <v>100</v>
      </c>
      <c r="AL1069">
        <v>0</v>
      </c>
      <c r="AM1069">
        <v>0</v>
      </c>
      <c r="AN1069">
        <v>0</v>
      </c>
      <c r="AO1069">
        <v>0</v>
      </c>
      <c r="AP1069" s="2">
        <v>70</v>
      </c>
      <c r="AT1069" t="str">
        <f>T("9791164896646")</f>
        <v>9791164896646</v>
      </c>
      <c r="AV1069" t="str">
        <f>T("로맨스 웹소설 &gt; 역사/시대물")</f>
        <v>로맨스 웹소설 &gt; 역사/시대물</v>
      </c>
    </row>
    <row r="1070" spans="1:48" x14ac:dyDescent="0.4">
      <c r="A1070">
        <v>2313011400</v>
      </c>
      <c r="B1070">
        <v>1525007630</v>
      </c>
      <c r="C1070" t="str">
        <f>T("최종 보스 20권 15화")</f>
        <v>최종 보스 20권 15화</v>
      </c>
      <c r="D1070" t="str">
        <f>T("408")</f>
        <v>408</v>
      </c>
      <c r="E1070" t="str">
        <f>T("무장")</f>
        <v>무장</v>
      </c>
      <c r="H1070" t="str">
        <f>T("스토리위즈")</f>
        <v>스토리위즈</v>
      </c>
      <c r="I1070" t="str">
        <f>T("최종 보스 : 빛을 향해 달리는 그림자")</f>
        <v>최종 보스 : 빛을 향해 달리는 그림자</v>
      </c>
      <c r="J1070">
        <v>100</v>
      </c>
      <c r="K1070">
        <v>100</v>
      </c>
      <c r="L1070">
        <v>1</v>
      </c>
      <c r="M1070">
        <v>0</v>
      </c>
      <c r="N1070">
        <v>100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P1070" s="2">
        <v>140</v>
      </c>
      <c r="AT1070" t="str">
        <f>T("9791166067563")</f>
        <v>9791166067563</v>
      </c>
      <c r="AV1070" t="str">
        <f>T("판타지 웹소설 &gt; 현대 판타지")</f>
        <v>판타지 웹소설 &gt; 현대 판타지</v>
      </c>
    </row>
    <row r="1071" spans="1:48" x14ac:dyDescent="0.4">
      <c r="A1071">
        <v>1525004030</v>
      </c>
      <c r="B1071">
        <v>1525004355</v>
      </c>
      <c r="C1071" t="str">
        <f>T("회귀의 전설 327화")</f>
        <v>회귀의 전설 327화</v>
      </c>
      <c r="D1071" t="str">
        <f>T("327")</f>
        <v>327</v>
      </c>
      <c r="E1071" t="str">
        <f>T("김광수")</f>
        <v>김광수</v>
      </c>
      <c r="H1071" t="str">
        <f>T("스토리위즈")</f>
        <v>스토리위즈</v>
      </c>
      <c r="I1071" t="str">
        <f>T("회귀의 전설")</f>
        <v>회귀의 전설</v>
      </c>
      <c r="J1071">
        <v>100</v>
      </c>
      <c r="K1071">
        <v>100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100</v>
      </c>
      <c r="AH1071">
        <v>1</v>
      </c>
      <c r="AI1071">
        <v>0</v>
      </c>
      <c r="AJ1071">
        <v>0</v>
      </c>
      <c r="AK1071">
        <v>100</v>
      </c>
      <c r="AL1071">
        <v>0</v>
      </c>
      <c r="AM1071">
        <v>0</v>
      </c>
      <c r="AN1071">
        <v>0</v>
      </c>
      <c r="AO1071">
        <v>0</v>
      </c>
      <c r="AP1071" s="2">
        <v>70</v>
      </c>
      <c r="AT1071" t="str">
        <f>T("9788997946006")</f>
        <v>9788997946006</v>
      </c>
      <c r="AV1071" t="str">
        <f>T("판타지 웹소설 &gt; 현대 판타지")</f>
        <v>판타지 웹소설 &gt; 현대 판타지</v>
      </c>
    </row>
    <row r="1072" spans="1:48" x14ac:dyDescent="0.4">
      <c r="A1072">
        <v>1525004989</v>
      </c>
      <c r="B1072">
        <v>1525005517</v>
      </c>
      <c r="C1072" t="str">
        <f>T("신룡전설 28화")</f>
        <v>신룡전설 28화</v>
      </c>
      <c r="D1072" t="str">
        <f>T("28")</f>
        <v>28</v>
      </c>
      <c r="E1072" t="str">
        <f>T("가람검")</f>
        <v>가람검</v>
      </c>
      <c r="H1072" t="str">
        <f>T("스토리위즈")</f>
        <v>스토리위즈</v>
      </c>
      <c r="I1072" t="str">
        <f>T("신룡전설")</f>
        <v>신룡전설</v>
      </c>
      <c r="J1072">
        <v>100</v>
      </c>
      <c r="K1072">
        <v>100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100</v>
      </c>
      <c r="AH1072">
        <v>1</v>
      </c>
      <c r="AI1072">
        <v>0</v>
      </c>
      <c r="AJ1072">
        <v>0</v>
      </c>
      <c r="AK1072">
        <v>100</v>
      </c>
      <c r="AL1072">
        <v>0</v>
      </c>
      <c r="AM1072">
        <v>0</v>
      </c>
      <c r="AN1072">
        <v>0</v>
      </c>
      <c r="AO1072">
        <v>0</v>
      </c>
      <c r="AP1072" s="2">
        <v>70</v>
      </c>
      <c r="AT1072" t="str">
        <f>T("9791159283505")</f>
        <v>9791159283505</v>
      </c>
      <c r="AV1072" t="str">
        <f>T("판타지 웹소설 &gt; 무협 소설")</f>
        <v>판타지 웹소설 &gt; 무협 소설</v>
      </c>
    </row>
    <row r="1073" spans="1:48" x14ac:dyDescent="0.4">
      <c r="A1073">
        <v>1525004030</v>
      </c>
      <c r="B1073">
        <v>1525007156</v>
      </c>
      <c r="C1073" t="str">
        <f>T("회귀의 전설 2부 1039화")</f>
        <v>회귀의 전설 2부 1039화</v>
      </c>
      <c r="D1073" t="str">
        <f>T("1039")</f>
        <v>1039</v>
      </c>
      <c r="E1073" t="str">
        <f>T("김광수")</f>
        <v>김광수</v>
      </c>
      <c r="H1073" t="str">
        <f>T("스토리위즈")</f>
        <v>스토리위즈</v>
      </c>
      <c r="I1073" t="str">
        <f>T("회귀의 전설")</f>
        <v>회귀의 전설</v>
      </c>
      <c r="J1073">
        <v>100</v>
      </c>
      <c r="K1073">
        <v>100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100</v>
      </c>
      <c r="AH1073">
        <v>1</v>
      </c>
      <c r="AI1073">
        <v>0</v>
      </c>
      <c r="AJ1073">
        <v>0</v>
      </c>
      <c r="AK1073">
        <v>100</v>
      </c>
      <c r="AL1073">
        <v>0</v>
      </c>
      <c r="AM1073">
        <v>0</v>
      </c>
      <c r="AN1073">
        <v>0</v>
      </c>
      <c r="AO1073">
        <v>0</v>
      </c>
      <c r="AP1073" s="2">
        <v>70</v>
      </c>
      <c r="AT1073" t="str">
        <f>T("9791191102086")</f>
        <v>9791191102086</v>
      </c>
      <c r="AV1073" t="str">
        <f>T("판타지 웹소설 &gt; 현대 판타지")</f>
        <v>판타지 웹소설 &gt; 현대 판타지</v>
      </c>
    </row>
    <row r="1074" spans="1:48" x14ac:dyDescent="0.4">
      <c r="A1074">
        <v>1525004030</v>
      </c>
      <c r="B1074">
        <v>1525004467</v>
      </c>
      <c r="C1074" t="str">
        <f>T("회귀의 전설 451화")</f>
        <v>회귀의 전설 451화</v>
      </c>
      <c r="D1074" t="str">
        <f>T("451")</f>
        <v>451</v>
      </c>
      <c r="E1074" t="str">
        <f>T("김광수")</f>
        <v>김광수</v>
      </c>
      <c r="H1074" t="str">
        <f>T("스토리위즈")</f>
        <v>스토리위즈</v>
      </c>
      <c r="I1074" t="str">
        <f>T("회귀의 전설")</f>
        <v>회귀의 전설</v>
      </c>
      <c r="J1074">
        <v>100</v>
      </c>
      <c r="K1074">
        <v>100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100</v>
      </c>
      <c r="AH1074">
        <v>1</v>
      </c>
      <c r="AI1074">
        <v>0</v>
      </c>
      <c r="AJ1074">
        <v>0</v>
      </c>
      <c r="AK1074">
        <v>100</v>
      </c>
      <c r="AL1074">
        <v>0</v>
      </c>
      <c r="AM1074">
        <v>0</v>
      </c>
      <c r="AN1074">
        <v>0</v>
      </c>
      <c r="AO1074">
        <v>0</v>
      </c>
      <c r="AP1074" s="2">
        <v>70</v>
      </c>
      <c r="AT1074" t="str">
        <f>T("9788997946006")</f>
        <v>9788997946006</v>
      </c>
      <c r="AV1074" t="str">
        <f>T("판타지 웹소설 &gt; 현대 판타지")</f>
        <v>판타지 웹소설 &gt; 현대 판타지</v>
      </c>
    </row>
    <row r="1075" spans="1:48" x14ac:dyDescent="0.4">
      <c r="A1075">
        <v>1525008545</v>
      </c>
      <c r="B1075">
        <v>1525008557</v>
      </c>
      <c r="C1075" t="str">
        <f>T("소년연애담 30화")</f>
        <v>소년연애담 30화</v>
      </c>
      <c r="D1075" t="str">
        <f>T("30")</f>
        <v>30</v>
      </c>
      <c r="E1075" t="str">
        <f>T("나나코")</f>
        <v>나나코</v>
      </c>
      <c r="H1075" t="str">
        <f>T("블러쉬")</f>
        <v>블러쉬</v>
      </c>
      <c r="I1075" t="str">
        <f>T("소년연애담")</f>
        <v>소년연애담</v>
      </c>
      <c r="J1075">
        <v>100</v>
      </c>
      <c r="K1075">
        <v>100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100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100</v>
      </c>
      <c r="AN1075">
        <v>0</v>
      </c>
      <c r="AO1075">
        <v>0</v>
      </c>
      <c r="AP1075" s="2">
        <v>70</v>
      </c>
      <c r="AR1075" t="str">
        <f>T("0000000000000")</f>
        <v>0000000000000</v>
      </c>
      <c r="AT1075" t="str">
        <f>T("9791164890729")</f>
        <v>9791164890729</v>
      </c>
      <c r="AU1075" t="str">
        <f>T("B12")</f>
        <v>B12</v>
      </c>
      <c r="AV1075" t="str">
        <f>T("BL 웹소설 &gt; 현대물")</f>
        <v>BL 웹소설 &gt; 현대물</v>
      </c>
    </row>
    <row r="1076" spans="1:48" x14ac:dyDescent="0.4">
      <c r="A1076">
        <v>1525004989</v>
      </c>
      <c r="B1076">
        <v>1525005573</v>
      </c>
      <c r="C1076" t="str">
        <f>T("신룡전설 84화")</f>
        <v>신룡전설 84화</v>
      </c>
      <c r="D1076" t="str">
        <f>T("84")</f>
        <v>84</v>
      </c>
      <c r="E1076" t="str">
        <f>T("가람검")</f>
        <v>가람검</v>
      </c>
      <c r="H1076" t="str">
        <f>T("스토리위즈")</f>
        <v>스토리위즈</v>
      </c>
      <c r="I1076" t="str">
        <f>T("신룡전설")</f>
        <v>신룡전설</v>
      </c>
      <c r="J1076">
        <v>100</v>
      </c>
      <c r="K1076">
        <v>100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100</v>
      </c>
      <c r="AH1076">
        <v>1</v>
      </c>
      <c r="AI1076">
        <v>0</v>
      </c>
      <c r="AJ1076">
        <v>0</v>
      </c>
      <c r="AK1076">
        <v>100</v>
      </c>
      <c r="AL1076">
        <v>0</v>
      </c>
      <c r="AM1076">
        <v>0</v>
      </c>
      <c r="AN1076">
        <v>0</v>
      </c>
      <c r="AO1076">
        <v>0</v>
      </c>
      <c r="AP1076" s="2">
        <v>70</v>
      </c>
      <c r="AT1076" t="str">
        <f>T("9791159283505")</f>
        <v>9791159283505</v>
      </c>
      <c r="AV1076" t="str">
        <f>T("판타지 웹소설 &gt; 무협 소설")</f>
        <v>판타지 웹소설 &gt; 무협 소설</v>
      </c>
    </row>
    <row r="1077" spans="1:48" x14ac:dyDescent="0.4">
      <c r="A1077">
        <v>1525004030</v>
      </c>
      <c r="B1077">
        <v>1525007116</v>
      </c>
      <c r="C1077" t="str">
        <f>T("회귀의 전설 2부 1000화")</f>
        <v>회귀의 전설 2부 1000화</v>
      </c>
      <c r="D1077" t="str">
        <f>T("1000")</f>
        <v>1000</v>
      </c>
      <c r="E1077" t="str">
        <f>T("김광수")</f>
        <v>김광수</v>
      </c>
      <c r="H1077" t="str">
        <f>T("스토리위즈")</f>
        <v>스토리위즈</v>
      </c>
      <c r="I1077" t="str">
        <f>T("회귀의 전설")</f>
        <v>회귀의 전설</v>
      </c>
      <c r="J1077">
        <v>100</v>
      </c>
      <c r="K1077">
        <v>100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100</v>
      </c>
      <c r="AH1077">
        <v>1</v>
      </c>
      <c r="AI1077">
        <v>0</v>
      </c>
      <c r="AJ1077">
        <v>0</v>
      </c>
      <c r="AK1077">
        <v>100</v>
      </c>
      <c r="AL1077">
        <v>0</v>
      </c>
      <c r="AM1077">
        <v>0</v>
      </c>
      <c r="AN1077">
        <v>0</v>
      </c>
      <c r="AO1077">
        <v>0</v>
      </c>
      <c r="AP1077" s="2">
        <v>70</v>
      </c>
      <c r="AT1077" t="str">
        <f>T("9791191102086")</f>
        <v>9791191102086</v>
      </c>
      <c r="AV1077" t="str">
        <f>T("판타지 웹소설 &gt; 현대 판타지")</f>
        <v>판타지 웹소설 &gt; 현대 판타지</v>
      </c>
    </row>
    <row r="1078" spans="1:48" x14ac:dyDescent="0.4">
      <c r="A1078">
        <v>1525007923</v>
      </c>
      <c r="B1078">
        <v>1525008009</v>
      </c>
      <c r="C1078" t="str">
        <f>T("운상연담: 화불능귀일락 98화")</f>
        <v>운상연담: 화불능귀일락 98화</v>
      </c>
      <c r="D1078" t="str">
        <f>T("98")</f>
        <v>98</v>
      </c>
      <c r="E1078" t="str">
        <f>T("피모")</f>
        <v>피모</v>
      </c>
      <c r="H1078" t="str">
        <f>T("쉬라즈")</f>
        <v>쉬라즈</v>
      </c>
      <c r="I1078" t="str">
        <f>T("운상연담: 화불능귀일락")</f>
        <v>운상연담: 화불능귀일락</v>
      </c>
      <c r="J1078">
        <v>100</v>
      </c>
      <c r="K1078">
        <v>100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100</v>
      </c>
      <c r="AH1078">
        <v>1</v>
      </c>
      <c r="AI1078">
        <v>0</v>
      </c>
      <c r="AJ1078">
        <v>0</v>
      </c>
      <c r="AK1078">
        <v>100</v>
      </c>
      <c r="AL1078">
        <v>0</v>
      </c>
      <c r="AM1078">
        <v>0</v>
      </c>
      <c r="AN1078">
        <v>0</v>
      </c>
      <c r="AO1078">
        <v>0</v>
      </c>
      <c r="AP1078" s="2">
        <v>70</v>
      </c>
      <c r="AT1078" t="str">
        <f>T("9791164896646")</f>
        <v>9791164896646</v>
      </c>
      <c r="AV1078" t="str">
        <f>T("로맨스 웹소설 &gt; 역사/시대물")</f>
        <v>로맨스 웹소설 &gt; 역사/시대물</v>
      </c>
    </row>
    <row r="1079" spans="1:48" x14ac:dyDescent="0.4">
      <c r="A1079">
        <v>1525004030</v>
      </c>
      <c r="B1079">
        <v>1525004371</v>
      </c>
      <c r="C1079" t="str">
        <f>T("회귀의 전설 343화")</f>
        <v>회귀의 전설 343화</v>
      </c>
      <c r="D1079" t="str">
        <f>T("343")</f>
        <v>343</v>
      </c>
      <c r="E1079" t="str">
        <f>T("김광수")</f>
        <v>김광수</v>
      </c>
      <c r="H1079" t="str">
        <f t="shared" ref="H1079:H1085" si="152">T("스토리위즈")</f>
        <v>스토리위즈</v>
      </c>
      <c r="I1079" t="str">
        <f>T("회귀의 전설")</f>
        <v>회귀의 전설</v>
      </c>
      <c r="J1079">
        <v>100</v>
      </c>
      <c r="K1079">
        <v>100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100</v>
      </c>
      <c r="AH1079">
        <v>1</v>
      </c>
      <c r="AI1079">
        <v>0</v>
      </c>
      <c r="AJ1079">
        <v>0</v>
      </c>
      <c r="AK1079">
        <v>100</v>
      </c>
      <c r="AL1079">
        <v>0</v>
      </c>
      <c r="AM1079">
        <v>0</v>
      </c>
      <c r="AN1079">
        <v>0</v>
      </c>
      <c r="AO1079">
        <v>0</v>
      </c>
      <c r="AP1079" s="2">
        <v>70</v>
      </c>
      <c r="AT1079" t="str">
        <f>T("9788997946006")</f>
        <v>9788997946006</v>
      </c>
      <c r="AV1079" t="str">
        <f>T("판타지 웹소설 &gt; 현대 판타지")</f>
        <v>판타지 웹소설 &gt; 현대 판타지</v>
      </c>
    </row>
    <row r="1080" spans="1:48" x14ac:dyDescent="0.4">
      <c r="A1080">
        <v>1525002864</v>
      </c>
      <c r="B1080">
        <v>1525002909</v>
      </c>
      <c r="C1080" t="str">
        <f>T("소드마스터의 환생 46화")</f>
        <v>소드마스터의 환생 46화</v>
      </c>
      <c r="D1080" t="str">
        <f>T("46")</f>
        <v>46</v>
      </c>
      <c r="E1080" t="str">
        <f>T("파란영")</f>
        <v>파란영</v>
      </c>
      <c r="H1080" t="str">
        <f t="shared" si="152"/>
        <v>스토리위즈</v>
      </c>
      <c r="I1080" t="str">
        <f>T("소드마스터의 환생")</f>
        <v>소드마스터의 환생</v>
      </c>
      <c r="J1080">
        <v>100</v>
      </c>
      <c r="K1080">
        <v>100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100</v>
      </c>
      <c r="AH1080">
        <v>1</v>
      </c>
      <c r="AI1080">
        <v>0</v>
      </c>
      <c r="AJ1080">
        <v>0</v>
      </c>
      <c r="AK1080">
        <v>100</v>
      </c>
      <c r="AL1080">
        <v>0</v>
      </c>
      <c r="AM1080">
        <v>0</v>
      </c>
      <c r="AN1080">
        <v>0</v>
      </c>
      <c r="AO1080">
        <v>0</v>
      </c>
      <c r="AP1080" s="2">
        <v>70</v>
      </c>
      <c r="AT1080" t="str">
        <f>T("9791159287527")</f>
        <v>9791159287527</v>
      </c>
      <c r="AV1080" t="str">
        <f>T("판타지 웹소설 &gt; 정통 판타지")</f>
        <v>판타지 웹소설 &gt; 정통 판타지</v>
      </c>
    </row>
    <row r="1081" spans="1:48" x14ac:dyDescent="0.4">
      <c r="A1081">
        <v>1525002409</v>
      </c>
      <c r="B1081">
        <v>1525002590</v>
      </c>
      <c r="C1081" t="str">
        <f>T("스포트라이트 182화")</f>
        <v>스포트라이트 182화</v>
      </c>
      <c r="D1081" t="str">
        <f>T("182")</f>
        <v>182</v>
      </c>
      <c r="E1081" t="str">
        <f>T("전혁")</f>
        <v>전혁</v>
      </c>
      <c r="H1081" t="str">
        <f t="shared" si="152"/>
        <v>스토리위즈</v>
      </c>
      <c r="I1081" t="str">
        <f>T("스포트라이트")</f>
        <v>스포트라이트</v>
      </c>
      <c r="J1081">
        <v>100</v>
      </c>
      <c r="K1081">
        <v>100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100</v>
      </c>
      <c r="AH1081">
        <v>1</v>
      </c>
      <c r="AI1081">
        <v>0</v>
      </c>
      <c r="AJ1081">
        <v>0</v>
      </c>
      <c r="AK1081">
        <v>100</v>
      </c>
      <c r="AL1081">
        <v>0</v>
      </c>
      <c r="AM1081">
        <v>0</v>
      </c>
      <c r="AN1081">
        <v>0</v>
      </c>
      <c r="AO1081">
        <v>0</v>
      </c>
      <c r="AP1081" s="2">
        <v>70</v>
      </c>
      <c r="AT1081" t="str">
        <f>T("9791159286841")</f>
        <v>9791159286841</v>
      </c>
      <c r="AV1081" t="str">
        <f>T("판타지 웹소설 &gt; 현대 판타지")</f>
        <v>판타지 웹소설 &gt; 현대 판타지</v>
      </c>
    </row>
    <row r="1082" spans="1:48" x14ac:dyDescent="0.4">
      <c r="A1082">
        <v>2313011400</v>
      </c>
      <c r="B1082">
        <v>1525007662</v>
      </c>
      <c r="C1082" t="str">
        <f>T("최종 보스 22권 7화")</f>
        <v>최종 보스 22권 7화</v>
      </c>
      <c r="D1082" t="str">
        <f>T("440")</f>
        <v>440</v>
      </c>
      <c r="E1082" t="str">
        <f>T("무장")</f>
        <v>무장</v>
      </c>
      <c r="H1082" t="str">
        <f t="shared" si="152"/>
        <v>스토리위즈</v>
      </c>
      <c r="I1082" t="str">
        <f>T("최종 보스 : 빛을 향해 달리는 그림자")</f>
        <v>최종 보스 : 빛을 향해 달리는 그림자</v>
      </c>
      <c r="J1082">
        <v>100</v>
      </c>
      <c r="K1082">
        <v>100</v>
      </c>
      <c r="L1082">
        <v>1</v>
      </c>
      <c r="M1082">
        <v>0</v>
      </c>
      <c r="N1082">
        <v>100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P1082" s="2">
        <v>140</v>
      </c>
      <c r="AT1082" t="str">
        <f>T("9791166067563")</f>
        <v>9791166067563</v>
      </c>
      <c r="AV1082" t="str">
        <f>T("판타지 웹소설 &gt; 현대 판타지")</f>
        <v>판타지 웹소설 &gt; 현대 판타지</v>
      </c>
    </row>
    <row r="1083" spans="1:48" x14ac:dyDescent="0.4">
      <c r="A1083">
        <v>1525004030</v>
      </c>
      <c r="B1083">
        <v>1525007020</v>
      </c>
      <c r="C1083" t="str">
        <f>T("회귀의 전설 2부 904화")</f>
        <v>회귀의 전설 2부 904화</v>
      </c>
      <c r="D1083" t="str">
        <f>T("904")</f>
        <v>904</v>
      </c>
      <c r="E1083" t="str">
        <f>T("김광수")</f>
        <v>김광수</v>
      </c>
      <c r="H1083" t="str">
        <f t="shared" si="152"/>
        <v>스토리위즈</v>
      </c>
      <c r="I1083" t="str">
        <f>T("회귀의 전설")</f>
        <v>회귀의 전설</v>
      </c>
      <c r="J1083">
        <v>100</v>
      </c>
      <c r="K1083">
        <v>100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100</v>
      </c>
      <c r="AH1083">
        <v>1</v>
      </c>
      <c r="AI1083">
        <v>0</v>
      </c>
      <c r="AJ1083">
        <v>0</v>
      </c>
      <c r="AK1083">
        <v>100</v>
      </c>
      <c r="AL1083">
        <v>0</v>
      </c>
      <c r="AM1083">
        <v>0</v>
      </c>
      <c r="AN1083">
        <v>0</v>
      </c>
      <c r="AO1083">
        <v>0</v>
      </c>
      <c r="AP1083" s="2">
        <v>70</v>
      </c>
      <c r="AT1083" t="str">
        <f>T("9791191102086")</f>
        <v>9791191102086</v>
      </c>
      <c r="AV1083" t="str">
        <f>T("판타지 웹소설 &gt; 현대 판타지")</f>
        <v>판타지 웹소설 &gt; 현대 판타지</v>
      </c>
    </row>
    <row r="1084" spans="1:48" x14ac:dyDescent="0.4">
      <c r="A1084">
        <v>1525004030</v>
      </c>
      <c r="B1084">
        <v>1525006720</v>
      </c>
      <c r="C1084" t="str">
        <f>T("회귀의 전설 2부 603화")</f>
        <v>회귀의 전설 2부 603화</v>
      </c>
      <c r="D1084" t="str">
        <f>T("603")</f>
        <v>603</v>
      </c>
      <c r="E1084" t="str">
        <f>T("김광수")</f>
        <v>김광수</v>
      </c>
      <c r="H1084" t="str">
        <f t="shared" si="152"/>
        <v>스토리위즈</v>
      </c>
      <c r="I1084" t="str">
        <f>T("회귀의 전설")</f>
        <v>회귀의 전설</v>
      </c>
      <c r="J1084">
        <v>100</v>
      </c>
      <c r="K1084">
        <v>100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100</v>
      </c>
      <c r="AH1084">
        <v>1</v>
      </c>
      <c r="AI1084">
        <v>0</v>
      </c>
      <c r="AJ1084">
        <v>0</v>
      </c>
      <c r="AK1084">
        <v>100</v>
      </c>
      <c r="AL1084">
        <v>0</v>
      </c>
      <c r="AM1084">
        <v>0</v>
      </c>
      <c r="AN1084">
        <v>0</v>
      </c>
      <c r="AO1084">
        <v>0</v>
      </c>
      <c r="AP1084" s="2">
        <v>70</v>
      </c>
      <c r="AT1084" t="str">
        <f>T("9791191102086")</f>
        <v>9791191102086</v>
      </c>
      <c r="AV1084" t="str">
        <f>T("판타지 웹소설 &gt; 현대 판타지")</f>
        <v>판타지 웹소설 &gt; 현대 판타지</v>
      </c>
    </row>
    <row r="1085" spans="1:48" x14ac:dyDescent="0.4">
      <c r="A1085">
        <v>1525004989</v>
      </c>
      <c r="B1085">
        <v>1525005589</v>
      </c>
      <c r="C1085" t="str">
        <f>T("신룡전설 100화")</f>
        <v>신룡전설 100화</v>
      </c>
      <c r="D1085" t="str">
        <f>T("100")</f>
        <v>100</v>
      </c>
      <c r="E1085" t="str">
        <f>T("가람검")</f>
        <v>가람검</v>
      </c>
      <c r="H1085" t="str">
        <f t="shared" si="152"/>
        <v>스토리위즈</v>
      </c>
      <c r="I1085" t="str">
        <f>T("신룡전설")</f>
        <v>신룡전설</v>
      </c>
      <c r="J1085">
        <v>100</v>
      </c>
      <c r="K1085">
        <v>100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100</v>
      </c>
      <c r="AH1085">
        <v>1</v>
      </c>
      <c r="AI1085">
        <v>0</v>
      </c>
      <c r="AJ1085">
        <v>0</v>
      </c>
      <c r="AK1085">
        <v>100</v>
      </c>
      <c r="AL1085">
        <v>0</v>
      </c>
      <c r="AM1085">
        <v>0</v>
      </c>
      <c r="AN1085">
        <v>0</v>
      </c>
      <c r="AO1085">
        <v>0</v>
      </c>
      <c r="AP1085" s="2">
        <v>70</v>
      </c>
      <c r="AT1085" t="str">
        <f>T("9791159283505")</f>
        <v>9791159283505</v>
      </c>
      <c r="AV1085" t="str">
        <f>T("판타지 웹소설 &gt; 무협 소설")</f>
        <v>판타지 웹소설 &gt; 무협 소설</v>
      </c>
    </row>
    <row r="1086" spans="1:48" x14ac:dyDescent="0.4">
      <c r="A1086">
        <v>1525008276</v>
      </c>
      <c r="B1086">
        <v>1525008342</v>
      </c>
      <c r="C1086" t="str">
        <f>T("달보드레 외전 9")</f>
        <v>달보드레 외전 9</v>
      </c>
      <c r="D1086" t="str">
        <f>T("76")</f>
        <v>76</v>
      </c>
      <c r="E1086" t="str">
        <f>T("시아")</f>
        <v>시아</v>
      </c>
      <c r="H1086" t="str">
        <f>T("비엘스토리")</f>
        <v>비엘스토리</v>
      </c>
      <c r="I1086" t="str">
        <f>T("달보드레")</f>
        <v>달보드레</v>
      </c>
      <c r="J1086">
        <v>100</v>
      </c>
      <c r="K1086">
        <v>100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100</v>
      </c>
      <c r="AH1086">
        <v>1</v>
      </c>
      <c r="AI1086">
        <v>0</v>
      </c>
      <c r="AJ1086">
        <v>0</v>
      </c>
      <c r="AK1086">
        <v>100</v>
      </c>
      <c r="AL1086">
        <v>0</v>
      </c>
      <c r="AM1086">
        <v>0</v>
      </c>
      <c r="AN1086">
        <v>0</v>
      </c>
      <c r="AO1086">
        <v>0</v>
      </c>
      <c r="AP1086" s="2">
        <v>70</v>
      </c>
      <c r="AR1086" t="str">
        <f>T("0000000000000")</f>
        <v>0000000000000</v>
      </c>
      <c r="AT1086" t="str">
        <f>T("9791164899715")</f>
        <v>9791164899715</v>
      </c>
      <c r="AV1086" t="str">
        <f>T("BL 웹소설 &gt; 현대물")</f>
        <v>BL 웹소설 &gt; 현대물</v>
      </c>
    </row>
    <row r="1087" spans="1:48" x14ac:dyDescent="0.4">
      <c r="A1087">
        <v>1525004030</v>
      </c>
      <c r="B1087">
        <v>1525006968</v>
      </c>
      <c r="C1087" t="str">
        <f>T("회귀의 전설 2부 852화")</f>
        <v>회귀의 전설 2부 852화</v>
      </c>
      <c r="D1087" t="str">
        <f>T("852")</f>
        <v>852</v>
      </c>
      <c r="E1087" t="str">
        <f>T("김광수")</f>
        <v>김광수</v>
      </c>
      <c r="H1087" t="str">
        <f>T("스토리위즈")</f>
        <v>스토리위즈</v>
      </c>
      <c r="I1087" t="str">
        <f>T("회귀의 전설")</f>
        <v>회귀의 전설</v>
      </c>
      <c r="J1087">
        <v>100</v>
      </c>
      <c r="K1087">
        <v>100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100</v>
      </c>
      <c r="AH1087">
        <v>1</v>
      </c>
      <c r="AI1087">
        <v>0</v>
      </c>
      <c r="AJ1087">
        <v>0</v>
      </c>
      <c r="AK1087">
        <v>100</v>
      </c>
      <c r="AL1087">
        <v>0</v>
      </c>
      <c r="AM1087">
        <v>0</v>
      </c>
      <c r="AN1087">
        <v>0</v>
      </c>
      <c r="AO1087">
        <v>0</v>
      </c>
      <c r="AP1087" s="2">
        <v>70</v>
      </c>
      <c r="AT1087" t="str">
        <f>T("9791191102086")</f>
        <v>9791191102086</v>
      </c>
      <c r="AV1087" t="str">
        <f>T("판타지 웹소설 &gt; 현대 판타지")</f>
        <v>판타지 웹소설 &gt; 현대 판타지</v>
      </c>
    </row>
    <row r="1088" spans="1:48" x14ac:dyDescent="0.4">
      <c r="A1088">
        <v>1525000569</v>
      </c>
      <c r="B1088">
        <v>1525000656</v>
      </c>
      <c r="C1088" t="str">
        <f>T("스트라이커 87화")</f>
        <v>스트라이커 87화</v>
      </c>
      <c r="D1088" t="str">
        <f>T("87")</f>
        <v>87</v>
      </c>
      <c r="E1088" t="str">
        <f>T("독고진")</f>
        <v>독고진</v>
      </c>
      <c r="H1088" t="str">
        <f>T("스토리위즈")</f>
        <v>스토리위즈</v>
      </c>
      <c r="I1088" t="str">
        <f>T("스트라이커")</f>
        <v>스트라이커</v>
      </c>
      <c r="J1088">
        <v>100</v>
      </c>
      <c r="K1088">
        <v>100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100</v>
      </c>
      <c r="AH1088">
        <v>1</v>
      </c>
      <c r="AI1088">
        <v>0</v>
      </c>
      <c r="AJ1088">
        <v>0</v>
      </c>
      <c r="AK1088">
        <v>100</v>
      </c>
      <c r="AL1088">
        <v>0</v>
      </c>
      <c r="AM1088">
        <v>0</v>
      </c>
      <c r="AN1088">
        <v>0</v>
      </c>
      <c r="AO1088">
        <v>0</v>
      </c>
      <c r="AP1088" s="2">
        <v>70</v>
      </c>
      <c r="AT1088" t="str">
        <f>T("9791170151678")</f>
        <v>9791170151678</v>
      </c>
      <c r="AV1088" t="str">
        <f>T("판타지 웹소설 &gt; 현대 판타지")</f>
        <v>판타지 웹소설 &gt; 현대 판타지</v>
      </c>
    </row>
    <row r="1089" spans="1:48" x14ac:dyDescent="0.4">
      <c r="A1089">
        <v>1525004030</v>
      </c>
      <c r="B1089">
        <v>1525007077</v>
      </c>
      <c r="C1089" t="str">
        <f>T("회귀의 전설 2부 961화")</f>
        <v>회귀의 전설 2부 961화</v>
      </c>
      <c r="D1089" t="str">
        <f>T("961")</f>
        <v>961</v>
      </c>
      <c r="E1089" t="str">
        <f>T("김광수")</f>
        <v>김광수</v>
      </c>
      <c r="H1089" t="str">
        <f>T("스토리위즈")</f>
        <v>스토리위즈</v>
      </c>
      <c r="I1089" t="str">
        <f>T("회귀의 전설")</f>
        <v>회귀의 전설</v>
      </c>
      <c r="J1089">
        <v>100</v>
      </c>
      <c r="K1089">
        <v>100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100</v>
      </c>
      <c r="AH1089">
        <v>1</v>
      </c>
      <c r="AI1089">
        <v>0</v>
      </c>
      <c r="AJ1089">
        <v>0</v>
      </c>
      <c r="AK1089">
        <v>100</v>
      </c>
      <c r="AL1089">
        <v>0</v>
      </c>
      <c r="AM1089">
        <v>0</v>
      </c>
      <c r="AN1089">
        <v>0</v>
      </c>
      <c r="AO1089">
        <v>0</v>
      </c>
      <c r="AP1089" s="2">
        <v>70</v>
      </c>
      <c r="AT1089" t="str">
        <f>T("9791191102086")</f>
        <v>9791191102086</v>
      </c>
      <c r="AV1089" t="str">
        <f>T("판타지 웹소설 &gt; 현대 판타지")</f>
        <v>판타지 웹소설 &gt; 현대 판타지</v>
      </c>
    </row>
    <row r="1090" spans="1:48" x14ac:dyDescent="0.4">
      <c r="A1090">
        <v>1525007923</v>
      </c>
      <c r="B1090">
        <v>1525007913</v>
      </c>
      <c r="C1090" t="str">
        <f>T("운상연담: 화불능귀일락 113화 (완결)")</f>
        <v>운상연담: 화불능귀일락 113화 (완결)</v>
      </c>
      <c r="D1090" t="str">
        <f>T("113")</f>
        <v>113</v>
      </c>
      <c r="E1090" t="str">
        <f>T("피모")</f>
        <v>피모</v>
      </c>
      <c r="H1090" t="str">
        <f>T("쉬라즈")</f>
        <v>쉬라즈</v>
      </c>
      <c r="I1090" t="str">
        <f>T("운상연담: 화불능귀일락")</f>
        <v>운상연담: 화불능귀일락</v>
      </c>
      <c r="J1090">
        <v>100</v>
      </c>
      <c r="K1090">
        <v>100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100</v>
      </c>
      <c r="AH1090">
        <v>1</v>
      </c>
      <c r="AI1090">
        <v>0</v>
      </c>
      <c r="AJ1090">
        <v>0</v>
      </c>
      <c r="AK1090">
        <v>100</v>
      </c>
      <c r="AL1090">
        <v>0</v>
      </c>
      <c r="AM1090">
        <v>0</v>
      </c>
      <c r="AN1090">
        <v>0</v>
      </c>
      <c r="AO1090">
        <v>0</v>
      </c>
      <c r="AP1090" s="2">
        <v>70</v>
      </c>
      <c r="AT1090" t="str">
        <f>T("9791164896646")</f>
        <v>9791164896646</v>
      </c>
      <c r="AV1090" t="str">
        <f>T("로맨스 웹소설 &gt; 역사/시대물")</f>
        <v>로맨스 웹소설 &gt; 역사/시대물</v>
      </c>
    </row>
    <row r="1091" spans="1:48" x14ac:dyDescent="0.4">
      <c r="A1091">
        <v>2313011400</v>
      </c>
      <c r="B1091">
        <v>1525007623</v>
      </c>
      <c r="C1091" t="str">
        <f>T("최종 보스 20권 8화")</f>
        <v>최종 보스 20권 8화</v>
      </c>
      <c r="D1091" t="str">
        <f>T("401")</f>
        <v>401</v>
      </c>
      <c r="E1091" t="str">
        <f>T("무장")</f>
        <v>무장</v>
      </c>
      <c r="H1091" t="str">
        <f>T("스토리위즈")</f>
        <v>스토리위즈</v>
      </c>
      <c r="I1091" t="str">
        <f>T("최종 보스 : 빛을 향해 달리는 그림자")</f>
        <v>최종 보스 : 빛을 향해 달리는 그림자</v>
      </c>
      <c r="J1091">
        <v>100</v>
      </c>
      <c r="K1091">
        <v>100</v>
      </c>
      <c r="L1091">
        <v>1</v>
      </c>
      <c r="M1091">
        <v>0</v>
      </c>
      <c r="N1091">
        <v>100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P1091" s="2">
        <v>140</v>
      </c>
      <c r="AT1091" t="str">
        <f>T("9791166067563")</f>
        <v>9791166067563</v>
      </c>
      <c r="AV1091" t="str">
        <f>T("판타지 웹소설 &gt; 현대 판타지")</f>
        <v>판타지 웹소설 &gt; 현대 판타지</v>
      </c>
    </row>
    <row r="1092" spans="1:48" x14ac:dyDescent="0.4">
      <c r="A1092">
        <v>1525004030</v>
      </c>
      <c r="B1092">
        <v>1525004348</v>
      </c>
      <c r="C1092" t="str">
        <f>T("회귀의 전설 320화")</f>
        <v>회귀의 전설 320화</v>
      </c>
      <c r="D1092" t="str">
        <f>T("320")</f>
        <v>320</v>
      </c>
      <c r="E1092" t="str">
        <f>T("김광수")</f>
        <v>김광수</v>
      </c>
      <c r="H1092" t="str">
        <f>T("스토리위즈")</f>
        <v>스토리위즈</v>
      </c>
      <c r="I1092" t="str">
        <f>T("회귀의 전설")</f>
        <v>회귀의 전설</v>
      </c>
      <c r="J1092">
        <v>100</v>
      </c>
      <c r="K1092">
        <v>100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100</v>
      </c>
      <c r="AH1092">
        <v>1</v>
      </c>
      <c r="AI1092">
        <v>0</v>
      </c>
      <c r="AJ1092">
        <v>0</v>
      </c>
      <c r="AK1092">
        <v>100</v>
      </c>
      <c r="AL1092">
        <v>0</v>
      </c>
      <c r="AM1092">
        <v>0</v>
      </c>
      <c r="AN1092">
        <v>0</v>
      </c>
      <c r="AO1092">
        <v>0</v>
      </c>
      <c r="AP1092" s="2">
        <v>70</v>
      </c>
      <c r="AT1092" t="str">
        <f>T("9788997946006")</f>
        <v>9788997946006</v>
      </c>
      <c r="AV1092" t="str">
        <f>T("판타지 웹소설 &gt; 현대 판타지")</f>
        <v>판타지 웹소설 &gt; 현대 판타지</v>
      </c>
    </row>
    <row r="1093" spans="1:48" x14ac:dyDescent="0.4">
      <c r="A1093">
        <v>1525004030</v>
      </c>
      <c r="B1093">
        <v>1525007149</v>
      </c>
      <c r="C1093" t="str">
        <f>T("회귀의 전설 2부 1032화")</f>
        <v>회귀의 전설 2부 1032화</v>
      </c>
      <c r="D1093" t="str">
        <f>T("1032")</f>
        <v>1032</v>
      </c>
      <c r="E1093" t="str">
        <f>T("김광수")</f>
        <v>김광수</v>
      </c>
      <c r="H1093" t="str">
        <f>T("스토리위즈")</f>
        <v>스토리위즈</v>
      </c>
      <c r="I1093" t="str">
        <f>T("회귀의 전설")</f>
        <v>회귀의 전설</v>
      </c>
      <c r="J1093">
        <v>100</v>
      </c>
      <c r="K1093">
        <v>100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100</v>
      </c>
      <c r="AH1093">
        <v>1</v>
      </c>
      <c r="AI1093">
        <v>0</v>
      </c>
      <c r="AJ1093">
        <v>0</v>
      </c>
      <c r="AK1093">
        <v>100</v>
      </c>
      <c r="AL1093">
        <v>0</v>
      </c>
      <c r="AM1093">
        <v>0</v>
      </c>
      <c r="AN1093">
        <v>0</v>
      </c>
      <c r="AO1093">
        <v>0</v>
      </c>
      <c r="AP1093" s="2">
        <v>70</v>
      </c>
      <c r="AT1093" t="str">
        <f>T("9791191102086")</f>
        <v>9791191102086</v>
      </c>
      <c r="AV1093" t="str">
        <f>T("판타지 웹소설 &gt; 현대 판타지")</f>
        <v>판타지 웹소설 &gt; 현대 판타지</v>
      </c>
    </row>
    <row r="1094" spans="1:48" x14ac:dyDescent="0.4">
      <c r="A1094">
        <v>1525004030</v>
      </c>
      <c r="B1094">
        <v>1525004460</v>
      </c>
      <c r="C1094" t="str">
        <f>T("회귀의 전설 444화")</f>
        <v>회귀의 전설 444화</v>
      </c>
      <c r="D1094" t="str">
        <f>T("444")</f>
        <v>444</v>
      </c>
      <c r="E1094" t="str">
        <f>T("김광수")</f>
        <v>김광수</v>
      </c>
      <c r="H1094" t="str">
        <f>T("스토리위즈")</f>
        <v>스토리위즈</v>
      </c>
      <c r="I1094" t="str">
        <f>T("회귀의 전설")</f>
        <v>회귀의 전설</v>
      </c>
      <c r="J1094">
        <v>100</v>
      </c>
      <c r="K1094">
        <v>100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100</v>
      </c>
      <c r="AH1094">
        <v>1</v>
      </c>
      <c r="AI1094">
        <v>0</v>
      </c>
      <c r="AJ1094">
        <v>0</v>
      </c>
      <c r="AK1094">
        <v>100</v>
      </c>
      <c r="AL1094">
        <v>0</v>
      </c>
      <c r="AM1094">
        <v>0</v>
      </c>
      <c r="AN1094">
        <v>0</v>
      </c>
      <c r="AO1094">
        <v>0</v>
      </c>
      <c r="AP1094" s="2">
        <v>70</v>
      </c>
      <c r="AT1094" t="str">
        <f>T("9788997946006")</f>
        <v>9788997946006</v>
      </c>
      <c r="AV1094" t="str">
        <f>T("판타지 웹소설 &gt; 현대 판타지")</f>
        <v>판타지 웹소설 &gt; 현대 판타지</v>
      </c>
    </row>
    <row r="1095" spans="1:48" x14ac:dyDescent="0.4">
      <c r="A1095">
        <v>1525008545</v>
      </c>
      <c r="B1095">
        <v>1525008550</v>
      </c>
      <c r="C1095" t="str">
        <f>T("소년연애담 24화")</f>
        <v>소년연애담 24화</v>
      </c>
      <c r="D1095" t="str">
        <f>T("24")</f>
        <v>24</v>
      </c>
      <c r="E1095" t="str">
        <f>T("나나코")</f>
        <v>나나코</v>
      </c>
      <c r="H1095" t="str">
        <f>T("블러쉬")</f>
        <v>블러쉬</v>
      </c>
      <c r="I1095" t="str">
        <f>T("소년연애담")</f>
        <v>소년연애담</v>
      </c>
      <c r="J1095">
        <v>100</v>
      </c>
      <c r="K1095">
        <v>100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100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100</v>
      </c>
      <c r="AN1095">
        <v>0</v>
      </c>
      <c r="AO1095">
        <v>0</v>
      </c>
      <c r="AP1095" s="2">
        <v>70</v>
      </c>
      <c r="AR1095" t="str">
        <f>T("0000000000000")</f>
        <v>0000000000000</v>
      </c>
      <c r="AT1095" t="str">
        <f>T("9791164890729")</f>
        <v>9791164890729</v>
      </c>
      <c r="AU1095" t="str">
        <f>T("B12")</f>
        <v>B12</v>
      </c>
      <c r="AV1095" t="str">
        <f>T("BL 웹소설 &gt; 현대물")</f>
        <v>BL 웹소설 &gt; 현대물</v>
      </c>
    </row>
    <row r="1096" spans="1:48" x14ac:dyDescent="0.4">
      <c r="A1096">
        <v>1525004989</v>
      </c>
      <c r="B1096">
        <v>1525005566</v>
      </c>
      <c r="C1096" t="str">
        <f>T("신룡전설 77화")</f>
        <v>신룡전설 77화</v>
      </c>
      <c r="D1096" t="str">
        <f>T("77")</f>
        <v>77</v>
      </c>
      <c r="E1096" t="str">
        <f>T("가람검")</f>
        <v>가람검</v>
      </c>
      <c r="H1096" t="str">
        <f>T("스토리위즈")</f>
        <v>스토리위즈</v>
      </c>
      <c r="I1096" t="str">
        <f>T("신룡전설")</f>
        <v>신룡전설</v>
      </c>
      <c r="J1096">
        <v>100</v>
      </c>
      <c r="K1096">
        <v>100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100</v>
      </c>
      <c r="AH1096">
        <v>1</v>
      </c>
      <c r="AI1096">
        <v>0</v>
      </c>
      <c r="AJ1096">
        <v>0</v>
      </c>
      <c r="AK1096">
        <v>100</v>
      </c>
      <c r="AL1096">
        <v>0</v>
      </c>
      <c r="AM1096">
        <v>0</v>
      </c>
      <c r="AN1096">
        <v>0</v>
      </c>
      <c r="AO1096">
        <v>0</v>
      </c>
      <c r="AP1096" s="2">
        <v>70</v>
      </c>
      <c r="AT1096" t="str">
        <f>T("9791159283505")</f>
        <v>9791159283505</v>
      </c>
      <c r="AV1096" t="str">
        <f>T("판타지 웹소설 &gt; 무협 소설")</f>
        <v>판타지 웹소설 &gt; 무협 소설</v>
      </c>
    </row>
    <row r="1097" spans="1:48" x14ac:dyDescent="0.4">
      <c r="A1097">
        <v>1525004030</v>
      </c>
      <c r="B1097">
        <v>1525007109</v>
      </c>
      <c r="C1097" t="str">
        <f>T("회귀의 전설 2부 993화")</f>
        <v>회귀의 전설 2부 993화</v>
      </c>
      <c r="D1097" t="str">
        <f>T("993")</f>
        <v>993</v>
      </c>
      <c r="E1097" t="str">
        <f>T("김광수")</f>
        <v>김광수</v>
      </c>
      <c r="H1097" t="str">
        <f>T("스토리위즈")</f>
        <v>스토리위즈</v>
      </c>
      <c r="I1097" t="str">
        <f>T("회귀의 전설")</f>
        <v>회귀의 전설</v>
      </c>
      <c r="J1097">
        <v>100</v>
      </c>
      <c r="K1097">
        <v>100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100</v>
      </c>
      <c r="AH1097">
        <v>1</v>
      </c>
      <c r="AI1097">
        <v>0</v>
      </c>
      <c r="AJ1097">
        <v>0</v>
      </c>
      <c r="AK1097">
        <v>100</v>
      </c>
      <c r="AL1097">
        <v>0</v>
      </c>
      <c r="AM1097">
        <v>0</v>
      </c>
      <c r="AN1097">
        <v>0</v>
      </c>
      <c r="AO1097">
        <v>0</v>
      </c>
      <c r="AP1097" s="2">
        <v>70</v>
      </c>
      <c r="AT1097" t="str">
        <f>T("9791191102086")</f>
        <v>9791191102086</v>
      </c>
      <c r="AV1097" t="str">
        <f>T("판타지 웹소설 &gt; 현대 판타지")</f>
        <v>판타지 웹소설 &gt; 현대 판타지</v>
      </c>
    </row>
    <row r="1098" spans="1:48" x14ac:dyDescent="0.4">
      <c r="A1098">
        <v>1525007923</v>
      </c>
      <c r="B1098">
        <v>1525008002</v>
      </c>
      <c r="C1098" t="str">
        <f>T("운상연담: 화불능귀일락 91화")</f>
        <v>운상연담: 화불능귀일락 91화</v>
      </c>
      <c r="D1098" t="str">
        <f>T("91")</f>
        <v>91</v>
      </c>
      <c r="E1098" t="str">
        <f>T("피모")</f>
        <v>피모</v>
      </c>
      <c r="H1098" t="str">
        <f>T("쉬라즈")</f>
        <v>쉬라즈</v>
      </c>
      <c r="I1098" t="str">
        <f>T("운상연담: 화불능귀일락")</f>
        <v>운상연담: 화불능귀일락</v>
      </c>
      <c r="J1098">
        <v>100</v>
      </c>
      <c r="K1098">
        <v>100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100</v>
      </c>
      <c r="AH1098">
        <v>1</v>
      </c>
      <c r="AI1098">
        <v>0</v>
      </c>
      <c r="AJ1098">
        <v>0</v>
      </c>
      <c r="AK1098">
        <v>100</v>
      </c>
      <c r="AL1098">
        <v>0</v>
      </c>
      <c r="AM1098">
        <v>0</v>
      </c>
      <c r="AN1098">
        <v>0</v>
      </c>
      <c r="AO1098">
        <v>0</v>
      </c>
      <c r="AP1098" s="2">
        <v>70</v>
      </c>
      <c r="AT1098" t="str">
        <f>T("9791164896646")</f>
        <v>9791164896646</v>
      </c>
      <c r="AV1098" t="str">
        <f>T("로맨스 웹소설 &gt; 역사/시대물")</f>
        <v>로맨스 웹소설 &gt; 역사/시대물</v>
      </c>
    </row>
    <row r="1099" spans="1:48" x14ac:dyDescent="0.4">
      <c r="A1099">
        <v>1525002864</v>
      </c>
      <c r="B1099">
        <v>1525002902</v>
      </c>
      <c r="C1099" t="str">
        <f>T("소드마스터의 환생 39화")</f>
        <v>소드마스터의 환생 39화</v>
      </c>
      <c r="D1099" t="str">
        <f>T("39")</f>
        <v>39</v>
      </c>
      <c r="E1099" t="str">
        <f>T("파란영")</f>
        <v>파란영</v>
      </c>
      <c r="H1099" t="str">
        <f>T("스토리위즈")</f>
        <v>스토리위즈</v>
      </c>
      <c r="I1099" t="str">
        <f>T("소드마스터의 환생")</f>
        <v>소드마스터의 환생</v>
      </c>
      <c r="J1099">
        <v>100</v>
      </c>
      <c r="K1099">
        <v>100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100</v>
      </c>
      <c r="AH1099">
        <v>1</v>
      </c>
      <c r="AI1099">
        <v>0</v>
      </c>
      <c r="AJ1099">
        <v>0</v>
      </c>
      <c r="AK1099">
        <v>100</v>
      </c>
      <c r="AL1099">
        <v>0</v>
      </c>
      <c r="AM1099">
        <v>0</v>
      </c>
      <c r="AN1099">
        <v>0</v>
      </c>
      <c r="AO1099">
        <v>0</v>
      </c>
      <c r="AP1099" s="2">
        <v>70</v>
      </c>
      <c r="AT1099" t="str">
        <f>T("9791159287527")</f>
        <v>9791159287527</v>
      </c>
      <c r="AV1099" t="str">
        <f>T("판타지 웹소설 &gt; 정통 판타지")</f>
        <v>판타지 웹소설 &gt; 정통 판타지</v>
      </c>
    </row>
    <row r="1100" spans="1:48" x14ac:dyDescent="0.4">
      <c r="A1100">
        <v>1525002409</v>
      </c>
      <c r="B1100">
        <v>1525002575</v>
      </c>
      <c r="C1100" t="str">
        <f>T("스포트라이트 167화")</f>
        <v>스포트라이트 167화</v>
      </c>
      <c r="D1100" t="str">
        <f>T("167")</f>
        <v>167</v>
      </c>
      <c r="E1100" t="str">
        <f>T("전혁")</f>
        <v>전혁</v>
      </c>
      <c r="H1100" t="str">
        <f>T("스토리위즈")</f>
        <v>스토리위즈</v>
      </c>
      <c r="I1100" t="str">
        <f>T("스포트라이트")</f>
        <v>스포트라이트</v>
      </c>
      <c r="J1100">
        <v>100</v>
      </c>
      <c r="K1100">
        <v>100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100</v>
      </c>
      <c r="AH1100">
        <v>1</v>
      </c>
      <c r="AI1100">
        <v>0</v>
      </c>
      <c r="AJ1100">
        <v>0</v>
      </c>
      <c r="AK1100">
        <v>100</v>
      </c>
      <c r="AL1100">
        <v>0</v>
      </c>
      <c r="AM1100">
        <v>0</v>
      </c>
      <c r="AN1100">
        <v>0</v>
      </c>
      <c r="AO1100">
        <v>0</v>
      </c>
      <c r="AP1100" s="2">
        <v>70</v>
      </c>
      <c r="AT1100" t="str">
        <f>T("9791159286841")</f>
        <v>9791159286841</v>
      </c>
      <c r="AV1100" t="str">
        <f>T("판타지 웹소설 &gt; 현대 판타지")</f>
        <v>판타지 웹소설 &gt; 현대 판타지</v>
      </c>
    </row>
    <row r="1101" spans="1:48" x14ac:dyDescent="0.4">
      <c r="A1101">
        <v>2313011400</v>
      </c>
      <c r="B1101">
        <v>1525007655</v>
      </c>
      <c r="C1101" t="str">
        <f>T("최종 보스 21권 20화")</f>
        <v>최종 보스 21권 20화</v>
      </c>
      <c r="D1101" t="str">
        <f>T("433")</f>
        <v>433</v>
      </c>
      <c r="E1101" t="str">
        <f>T("무장")</f>
        <v>무장</v>
      </c>
      <c r="H1101" t="str">
        <f>T("스토리위즈")</f>
        <v>스토리위즈</v>
      </c>
      <c r="I1101" t="str">
        <f>T("최종 보스 : 빛을 향해 달리는 그림자")</f>
        <v>최종 보스 : 빛을 향해 달리는 그림자</v>
      </c>
      <c r="J1101">
        <v>100</v>
      </c>
      <c r="K1101">
        <v>100</v>
      </c>
      <c r="L1101">
        <v>1</v>
      </c>
      <c r="M1101">
        <v>0</v>
      </c>
      <c r="N1101">
        <v>100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200</v>
      </c>
      <c r="AL1101">
        <v>0</v>
      </c>
      <c r="AM1101">
        <v>0</v>
      </c>
      <c r="AN1101">
        <v>0</v>
      </c>
      <c r="AO1101">
        <v>0</v>
      </c>
      <c r="AP1101" s="2">
        <v>140</v>
      </c>
      <c r="AT1101" t="str">
        <f>T("9791166067563")</f>
        <v>9791166067563</v>
      </c>
      <c r="AV1101" t="str">
        <f>T("판타지 웹소설 &gt; 현대 판타지")</f>
        <v>판타지 웹소설 &gt; 현대 판타지</v>
      </c>
    </row>
    <row r="1102" spans="1:48" x14ac:dyDescent="0.4">
      <c r="A1102">
        <v>1525004030</v>
      </c>
      <c r="B1102">
        <v>1525006713</v>
      </c>
      <c r="C1102" t="str">
        <f>T("회귀의 전설 2부 596화")</f>
        <v>회귀의 전설 2부 596화</v>
      </c>
      <c r="D1102" t="str">
        <f>T("596")</f>
        <v>596</v>
      </c>
      <c r="E1102" t="str">
        <f>T("김광수")</f>
        <v>김광수</v>
      </c>
      <c r="H1102" t="str">
        <f>T("스토리위즈")</f>
        <v>스토리위즈</v>
      </c>
      <c r="I1102" t="str">
        <f>T("회귀의 전설")</f>
        <v>회귀의 전설</v>
      </c>
      <c r="J1102">
        <v>100</v>
      </c>
      <c r="K1102">
        <v>100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100</v>
      </c>
      <c r="AH1102">
        <v>1</v>
      </c>
      <c r="AI1102">
        <v>0</v>
      </c>
      <c r="AJ1102">
        <v>0</v>
      </c>
      <c r="AK1102">
        <v>100</v>
      </c>
      <c r="AL1102">
        <v>0</v>
      </c>
      <c r="AM1102">
        <v>0</v>
      </c>
      <c r="AN1102">
        <v>0</v>
      </c>
      <c r="AO1102">
        <v>0</v>
      </c>
      <c r="AP1102" s="2">
        <v>70</v>
      </c>
      <c r="AT1102" t="str">
        <f>T("9791191102086")</f>
        <v>9791191102086</v>
      </c>
      <c r="AV1102" t="str">
        <f>T("판타지 웹소설 &gt; 현대 판타지")</f>
        <v>판타지 웹소설 &gt; 현대 판타지</v>
      </c>
    </row>
    <row r="1103" spans="1:48" x14ac:dyDescent="0.4">
      <c r="A1103">
        <v>1525004989</v>
      </c>
      <c r="B1103">
        <v>1525005582</v>
      </c>
      <c r="C1103" t="str">
        <f>T("신룡전설 93화")</f>
        <v>신룡전설 93화</v>
      </c>
      <c r="D1103" t="str">
        <f>T("93")</f>
        <v>93</v>
      </c>
      <c r="E1103" t="str">
        <f>T("가람검")</f>
        <v>가람검</v>
      </c>
      <c r="H1103" t="str">
        <f>T("스토리위즈")</f>
        <v>스토리위즈</v>
      </c>
      <c r="I1103" t="str">
        <f>T("신룡전설")</f>
        <v>신룡전설</v>
      </c>
      <c r="J1103">
        <v>100</v>
      </c>
      <c r="K1103">
        <v>100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100</v>
      </c>
      <c r="AH1103">
        <v>1</v>
      </c>
      <c r="AI1103">
        <v>0</v>
      </c>
      <c r="AJ1103">
        <v>0</v>
      </c>
      <c r="AK1103">
        <v>100</v>
      </c>
      <c r="AL1103">
        <v>0</v>
      </c>
      <c r="AM1103">
        <v>0</v>
      </c>
      <c r="AN1103">
        <v>0</v>
      </c>
      <c r="AO1103">
        <v>0</v>
      </c>
      <c r="AP1103" s="2">
        <v>70</v>
      </c>
      <c r="AT1103" t="str">
        <f>T("9791159283505")</f>
        <v>9791159283505</v>
      </c>
      <c r="AV1103" t="str">
        <f>T("판타지 웹소설 &gt; 무협 소설")</f>
        <v>판타지 웹소설 &gt; 무협 소설</v>
      </c>
    </row>
    <row r="1104" spans="1:48" x14ac:dyDescent="0.4">
      <c r="A1104">
        <v>1525008276</v>
      </c>
      <c r="B1104">
        <v>1525008335</v>
      </c>
      <c r="C1104" t="str">
        <f>T("달보드레 외전 2")</f>
        <v>달보드레 외전 2</v>
      </c>
      <c r="D1104" t="str">
        <f>T("69")</f>
        <v>69</v>
      </c>
      <c r="E1104" t="str">
        <f>T("시아")</f>
        <v>시아</v>
      </c>
      <c r="H1104" t="str">
        <f>T("비엘스토리")</f>
        <v>비엘스토리</v>
      </c>
      <c r="I1104" t="str">
        <f>T("달보드레")</f>
        <v>달보드레</v>
      </c>
      <c r="J1104">
        <v>100</v>
      </c>
      <c r="K1104">
        <v>100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100</v>
      </c>
      <c r="AH1104">
        <v>1</v>
      </c>
      <c r="AI1104">
        <v>0</v>
      </c>
      <c r="AJ1104">
        <v>0</v>
      </c>
      <c r="AK1104">
        <v>100</v>
      </c>
      <c r="AL1104">
        <v>0</v>
      </c>
      <c r="AM1104">
        <v>0</v>
      </c>
      <c r="AN1104">
        <v>0</v>
      </c>
      <c r="AO1104">
        <v>0</v>
      </c>
      <c r="AP1104" s="2">
        <v>70</v>
      </c>
      <c r="AR1104" t="str">
        <f>T("0000000000000")</f>
        <v>0000000000000</v>
      </c>
      <c r="AT1104" t="str">
        <f>T("9791164899715")</f>
        <v>9791164899715</v>
      </c>
      <c r="AV1104" t="str">
        <f>T("BL 웹소설 &gt; 현대물")</f>
        <v>BL 웹소설 &gt; 현대물</v>
      </c>
    </row>
    <row r="1105" spans="1:48" x14ac:dyDescent="0.4">
      <c r="A1105">
        <v>1525004989</v>
      </c>
      <c r="B1105">
        <v>1525005638</v>
      </c>
      <c r="C1105" t="str">
        <f>T("신룡전설 149화")</f>
        <v>신룡전설 149화</v>
      </c>
      <c r="D1105" t="str">
        <f>T("149")</f>
        <v>149</v>
      </c>
      <c r="E1105" t="str">
        <f>T("가람검")</f>
        <v>가람검</v>
      </c>
      <c r="H1105" t="str">
        <f>T("스토리위즈")</f>
        <v>스토리위즈</v>
      </c>
      <c r="I1105" t="str">
        <f>T("신룡전설")</f>
        <v>신룡전설</v>
      </c>
      <c r="J1105">
        <v>100</v>
      </c>
      <c r="K1105">
        <v>100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100</v>
      </c>
      <c r="AH1105">
        <v>1</v>
      </c>
      <c r="AI1105">
        <v>0</v>
      </c>
      <c r="AJ1105">
        <v>0</v>
      </c>
      <c r="AK1105">
        <v>100</v>
      </c>
      <c r="AL1105">
        <v>0</v>
      </c>
      <c r="AM1105">
        <v>0</v>
      </c>
      <c r="AN1105">
        <v>0</v>
      </c>
      <c r="AO1105">
        <v>0</v>
      </c>
      <c r="AP1105" s="2">
        <v>70</v>
      </c>
      <c r="AT1105" t="str">
        <f>T("9791159283505")</f>
        <v>9791159283505</v>
      </c>
      <c r="AV1105" t="str">
        <f>T("판타지 웹소설 &gt; 무협 소설")</f>
        <v>판타지 웹소설 &gt; 무협 소설</v>
      </c>
    </row>
    <row r="1106" spans="1:48" x14ac:dyDescent="0.4">
      <c r="A1106">
        <v>1525004030</v>
      </c>
      <c r="B1106">
        <v>1525004284</v>
      </c>
      <c r="C1106" t="str">
        <f>T("회귀의 전설 255화")</f>
        <v>회귀의 전설 255화</v>
      </c>
      <c r="D1106" t="str">
        <f>T("255")</f>
        <v>255</v>
      </c>
      <c r="E1106" t="str">
        <f>T("김광수")</f>
        <v>김광수</v>
      </c>
      <c r="H1106" t="str">
        <f>T("스토리위즈")</f>
        <v>스토리위즈</v>
      </c>
      <c r="I1106" t="str">
        <f>T("회귀의 전설")</f>
        <v>회귀의 전설</v>
      </c>
      <c r="J1106">
        <v>100</v>
      </c>
      <c r="K1106">
        <v>100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100</v>
      </c>
      <c r="AH1106">
        <v>1</v>
      </c>
      <c r="AI1106">
        <v>0</v>
      </c>
      <c r="AJ1106">
        <v>0</v>
      </c>
      <c r="AK1106">
        <v>100</v>
      </c>
      <c r="AL1106">
        <v>0</v>
      </c>
      <c r="AM1106">
        <v>0</v>
      </c>
      <c r="AN1106">
        <v>0</v>
      </c>
      <c r="AO1106">
        <v>0</v>
      </c>
      <c r="AP1106" s="2">
        <v>70</v>
      </c>
      <c r="AT1106" t="str">
        <f>T("9788997946006")</f>
        <v>9788997946006</v>
      </c>
      <c r="AV1106" t="str">
        <f>T("판타지 웹소설 &gt; 현대 판타지")</f>
        <v>판타지 웹소설 &gt; 현대 판타지</v>
      </c>
    </row>
    <row r="1107" spans="1:48" x14ac:dyDescent="0.4">
      <c r="A1107">
        <v>1525008545</v>
      </c>
      <c r="B1107">
        <v>1525008582</v>
      </c>
      <c r="C1107" t="str">
        <f>T("소년연애담 53화")</f>
        <v>소년연애담 53화</v>
      </c>
      <c r="D1107" t="str">
        <f>T("53")</f>
        <v>53</v>
      </c>
      <c r="E1107" t="str">
        <f>T("나나코")</f>
        <v>나나코</v>
      </c>
      <c r="H1107" t="str">
        <f>T("블러쉬")</f>
        <v>블러쉬</v>
      </c>
      <c r="I1107" t="str">
        <f>T("소년연애담")</f>
        <v>소년연애담</v>
      </c>
      <c r="J1107">
        <v>100</v>
      </c>
      <c r="K1107">
        <v>100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100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100</v>
      </c>
      <c r="AN1107">
        <v>0</v>
      </c>
      <c r="AO1107">
        <v>0</v>
      </c>
      <c r="AP1107" s="2">
        <v>70</v>
      </c>
      <c r="AR1107" t="str">
        <f>T("0000000000000")</f>
        <v>0000000000000</v>
      </c>
      <c r="AT1107" t="str">
        <f>T("9791164890729")</f>
        <v>9791164890729</v>
      </c>
      <c r="AU1107" t="str">
        <f>T("B12")</f>
        <v>B12</v>
      </c>
      <c r="AV1107" t="str">
        <f>T("BL 웹소설 &gt; 현대물")</f>
        <v>BL 웹소설 &gt; 현대물</v>
      </c>
    </row>
    <row r="1108" spans="1:48" x14ac:dyDescent="0.4">
      <c r="A1108">
        <v>1525010579</v>
      </c>
      <c r="B1108">
        <v>1525010206</v>
      </c>
      <c r="C1108" t="str">
        <f>T("법보다 주먹 372화")</f>
        <v>법보다 주먹 372화</v>
      </c>
      <c r="D1108" t="str">
        <f>T("372")</f>
        <v>372</v>
      </c>
      <c r="E1108" t="str">
        <f>T("백범(白帆)")</f>
        <v>백범(白帆)</v>
      </c>
      <c r="H1108" t="str">
        <f>T("에필로그")</f>
        <v>에필로그</v>
      </c>
      <c r="I1108" t="str">
        <f>T("법보다 주먹")</f>
        <v>법보다 주먹</v>
      </c>
      <c r="J1108">
        <v>100</v>
      </c>
      <c r="K1108">
        <v>100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100</v>
      </c>
      <c r="AH1108">
        <v>1</v>
      </c>
      <c r="AI1108">
        <v>0</v>
      </c>
      <c r="AJ1108">
        <v>0</v>
      </c>
      <c r="AK1108">
        <v>100</v>
      </c>
      <c r="AL1108">
        <v>0</v>
      </c>
      <c r="AM1108">
        <v>0</v>
      </c>
      <c r="AN1108">
        <v>0</v>
      </c>
      <c r="AO1108">
        <v>0</v>
      </c>
      <c r="AP1108" s="2">
        <v>70</v>
      </c>
      <c r="AT1108" t="str">
        <f>T("9791164489367")</f>
        <v>9791164489367</v>
      </c>
      <c r="AV1108" t="str">
        <f>T("판타지 웹소설 &gt; 현대 판타지")</f>
        <v>판타지 웹소설 &gt; 현대 판타지</v>
      </c>
    </row>
    <row r="1109" spans="1:48" x14ac:dyDescent="0.4">
      <c r="A1109">
        <v>1525004030</v>
      </c>
      <c r="B1109">
        <v>1525012858</v>
      </c>
      <c r="C1109" t="str">
        <f>T("회귀의 전설 1163화")</f>
        <v>회귀의 전설 1163화</v>
      </c>
      <c r="D1109" t="str">
        <f>T("1163")</f>
        <v>1163</v>
      </c>
      <c r="E1109" t="str">
        <f>T("김광수")</f>
        <v>김광수</v>
      </c>
      <c r="H1109" t="str">
        <f>T("스토리위즈")</f>
        <v>스토리위즈</v>
      </c>
      <c r="I1109" t="str">
        <f>T("회귀의 전설")</f>
        <v>회귀의 전설</v>
      </c>
      <c r="J1109">
        <v>100</v>
      </c>
      <c r="K1109">
        <v>100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100</v>
      </c>
      <c r="AH1109">
        <v>1</v>
      </c>
      <c r="AI1109">
        <v>0</v>
      </c>
      <c r="AJ1109">
        <v>0</v>
      </c>
      <c r="AK1109">
        <v>100</v>
      </c>
      <c r="AL1109">
        <v>0</v>
      </c>
      <c r="AM1109">
        <v>0</v>
      </c>
      <c r="AN1109">
        <v>0</v>
      </c>
      <c r="AO1109">
        <v>0</v>
      </c>
      <c r="AP1109" s="2">
        <v>70</v>
      </c>
      <c r="AT1109" t="str">
        <f>T("9791191102086")</f>
        <v>9791191102086</v>
      </c>
      <c r="AV1109" t="str">
        <f>T("판타지 웹소설 &gt; 현대 판타지")</f>
        <v>판타지 웹소설 &gt; 현대 판타지</v>
      </c>
    </row>
    <row r="1110" spans="1:48" x14ac:dyDescent="0.4">
      <c r="A1110">
        <v>1525004030</v>
      </c>
      <c r="B1110">
        <v>1525004396</v>
      </c>
      <c r="C1110" t="str">
        <f>T("회귀의 전설 368화")</f>
        <v>회귀의 전설 368화</v>
      </c>
      <c r="D1110" t="str">
        <f>T("368")</f>
        <v>368</v>
      </c>
      <c r="E1110" t="str">
        <f>T("김광수")</f>
        <v>김광수</v>
      </c>
      <c r="H1110" t="str">
        <f>T("스토리위즈")</f>
        <v>스토리위즈</v>
      </c>
      <c r="I1110" t="str">
        <f>T("회귀의 전설")</f>
        <v>회귀의 전설</v>
      </c>
      <c r="J1110">
        <v>100</v>
      </c>
      <c r="K1110">
        <v>100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100</v>
      </c>
      <c r="AH1110">
        <v>1</v>
      </c>
      <c r="AI1110">
        <v>0</v>
      </c>
      <c r="AJ1110">
        <v>0</v>
      </c>
      <c r="AK1110">
        <v>100</v>
      </c>
      <c r="AL1110">
        <v>0</v>
      </c>
      <c r="AM1110">
        <v>0</v>
      </c>
      <c r="AN1110">
        <v>0</v>
      </c>
      <c r="AO1110">
        <v>0</v>
      </c>
      <c r="AP1110" s="2">
        <v>70</v>
      </c>
      <c r="AT1110" t="str">
        <f>T("9788997946006")</f>
        <v>9788997946006</v>
      </c>
      <c r="AV1110" t="str">
        <f>T("판타지 웹소설 &gt; 현대 판타지")</f>
        <v>판타지 웹소설 &gt; 현대 판타지</v>
      </c>
    </row>
    <row r="1111" spans="1:48" x14ac:dyDescent="0.4">
      <c r="A1111">
        <v>1525004030</v>
      </c>
      <c r="B1111">
        <v>1525006729</v>
      </c>
      <c r="C1111" t="str">
        <f>T("회귀의 전설 2부 612화")</f>
        <v>회귀의 전설 2부 612화</v>
      </c>
      <c r="D1111" t="str">
        <f>T("612")</f>
        <v>612</v>
      </c>
      <c r="E1111" t="str">
        <f>T("김광수")</f>
        <v>김광수</v>
      </c>
      <c r="H1111" t="str">
        <f>T("스토리위즈")</f>
        <v>스토리위즈</v>
      </c>
      <c r="I1111" t="str">
        <f>T("회귀의 전설")</f>
        <v>회귀의 전설</v>
      </c>
      <c r="J1111">
        <v>100</v>
      </c>
      <c r="K1111">
        <v>100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100</v>
      </c>
      <c r="AH1111">
        <v>1</v>
      </c>
      <c r="AI1111">
        <v>0</v>
      </c>
      <c r="AJ1111">
        <v>0</v>
      </c>
      <c r="AK1111">
        <v>100</v>
      </c>
      <c r="AL1111">
        <v>0</v>
      </c>
      <c r="AM1111">
        <v>0</v>
      </c>
      <c r="AN1111">
        <v>0</v>
      </c>
      <c r="AO1111">
        <v>0</v>
      </c>
      <c r="AP1111" s="2">
        <v>70</v>
      </c>
      <c r="AT1111" t="str">
        <f>T("9791191102086")</f>
        <v>9791191102086</v>
      </c>
      <c r="AV1111" t="str">
        <f>T("판타지 웹소설 &gt; 현대 판타지")</f>
        <v>판타지 웹소설 &gt; 현대 판타지</v>
      </c>
    </row>
    <row r="1112" spans="1:48" x14ac:dyDescent="0.4">
      <c r="A1112">
        <v>1525007872</v>
      </c>
      <c r="B1112">
        <v>1525007880</v>
      </c>
      <c r="C1112" t="str">
        <f>T("아침이 오지 않아도 27화")</f>
        <v>아침이 오지 않아도 27화</v>
      </c>
      <c r="D1112" t="str">
        <f>T("27")</f>
        <v>27</v>
      </c>
      <c r="E1112" t="str">
        <f>T("홍영")</f>
        <v>홍영</v>
      </c>
      <c r="H1112" t="str">
        <f>T("러브스토리")</f>
        <v>러브스토리</v>
      </c>
      <c r="I1112" t="str">
        <f>T("아침이 오지 않아도")</f>
        <v>아침이 오지 않아도</v>
      </c>
      <c r="J1112">
        <v>100</v>
      </c>
      <c r="K1112">
        <v>100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100</v>
      </c>
      <c r="AH1112">
        <v>1</v>
      </c>
      <c r="AI1112">
        <v>0</v>
      </c>
      <c r="AJ1112">
        <v>0</v>
      </c>
      <c r="AK1112">
        <v>100</v>
      </c>
      <c r="AL1112">
        <v>0</v>
      </c>
      <c r="AM1112">
        <v>0</v>
      </c>
      <c r="AN1112">
        <v>0</v>
      </c>
      <c r="AO1112">
        <v>0</v>
      </c>
      <c r="AP1112" s="2">
        <v>70</v>
      </c>
      <c r="AR1112" t="str">
        <f>T("0000000000000")</f>
        <v>0000000000000</v>
      </c>
      <c r="AT1112" t="str">
        <f>T("9791164899708")</f>
        <v>9791164899708</v>
      </c>
      <c r="AV1112" t="str">
        <f>T("로맨스 웹소설 &gt; 현대물")</f>
        <v>로맨스 웹소설 &gt; 현대물</v>
      </c>
    </row>
    <row r="1113" spans="1:48" x14ac:dyDescent="0.4">
      <c r="A1113">
        <v>1525004030</v>
      </c>
      <c r="B1113">
        <v>1525007045</v>
      </c>
      <c r="C1113" t="str">
        <f>T("회귀의 전설 2부 929화")</f>
        <v>회귀의 전설 2부 929화</v>
      </c>
      <c r="D1113" t="str">
        <f>T("929")</f>
        <v>929</v>
      </c>
      <c r="E1113" t="str">
        <f>T("김광수")</f>
        <v>김광수</v>
      </c>
      <c r="H1113" t="str">
        <f t="shared" ref="H1113:H1125" si="153">T("스토리위즈")</f>
        <v>스토리위즈</v>
      </c>
      <c r="I1113" t="str">
        <f>T("회귀의 전설")</f>
        <v>회귀의 전설</v>
      </c>
      <c r="J1113">
        <v>100</v>
      </c>
      <c r="K1113">
        <v>100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100</v>
      </c>
      <c r="AH1113">
        <v>1</v>
      </c>
      <c r="AI1113">
        <v>0</v>
      </c>
      <c r="AJ1113">
        <v>0</v>
      </c>
      <c r="AK1113">
        <v>100</v>
      </c>
      <c r="AL1113">
        <v>0</v>
      </c>
      <c r="AM1113">
        <v>0</v>
      </c>
      <c r="AN1113">
        <v>0</v>
      </c>
      <c r="AO1113">
        <v>0</v>
      </c>
      <c r="AP1113" s="2">
        <v>70</v>
      </c>
      <c r="AT1113" t="str">
        <f>T("9791191102086")</f>
        <v>9791191102086</v>
      </c>
      <c r="AV1113" t="str">
        <f>T("판타지 웹소설 &gt; 현대 판타지")</f>
        <v>판타지 웹소설 &gt; 현대 판타지</v>
      </c>
    </row>
    <row r="1114" spans="1:48" x14ac:dyDescent="0.4">
      <c r="A1114">
        <v>2313011400</v>
      </c>
      <c r="B1114">
        <v>1525007687</v>
      </c>
      <c r="C1114" t="str">
        <f>T("최종 보스 23권 12화")</f>
        <v>최종 보스 23권 12화</v>
      </c>
      <c r="D1114" t="str">
        <f>T("465")</f>
        <v>465</v>
      </c>
      <c r="E1114" t="str">
        <f>T("무장")</f>
        <v>무장</v>
      </c>
      <c r="H1114" t="str">
        <f t="shared" si="153"/>
        <v>스토리위즈</v>
      </c>
      <c r="I1114" t="str">
        <f>T("최종 보스 : 빛을 향해 달리는 그림자")</f>
        <v>최종 보스 : 빛을 향해 달리는 그림자</v>
      </c>
      <c r="J1114">
        <v>100</v>
      </c>
      <c r="K1114">
        <v>100</v>
      </c>
      <c r="L1114">
        <v>1</v>
      </c>
      <c r="M1114">
        <v>0</v>
      </c>
      <c r="N1114">
        <v>100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200</v>
      </c>
      <c r="AL1114">
        <v>0</v>
      </c>
      <c r="AM1114">
        <v>0</v>
      </c>
      <c r="AN1114">
        <v>0</v>
      </c>
      <c r="AO1114">
        <v>0</v>
      </c>
      <c r="AP1114" s="2">
        <v>140</v>
      </c>
      <c r="AT1114" t="str">
        <f>T("9791166067563")</f>
        <v>9791166067563</v>
      </c>
      <c r="AV1114" t="str">
        <f>T("판타지 웹소설 &gt; 현대 판타지")</f>
        <v>판타지 웹소설 &gt; 현대 판타지</v>
      </c>
    </row>
    <row r="1115" spans="1:48" x14ac:dyDescent="0.4">
      <c r="A1115">
        <v>1525004988</v>
      </c>
      <c r="B1115">
        <v>1525005316</v>
      </c>
      <c r="C1115" t="str">
        <f>T("용무쌍 29화")</f>
        <v>용무쌍 29화</v>
      </c>
      <c r="D1115" t="str">
        <f>T("29")</f>
        <v>29</v>
      </c>
      <c r="E1115" t="str">
        <f>T("권용찬")</f>
        <v>권용찬</v>
      </c>
      <c r="H1115" t="str">
        <f t="shared" si="153"/>
        <v>스토리위즈</v>
      </c>
      <c r="I1115" t="str">
        <f>T("용무쌍")</f>
        <v>용무쌍</v>
      </c>
      <c r="J1115">
        <v>100</v>
      </c>
      <c r="K1115">
        <v>100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100</v>
      </c>
      <c r="AH1115">
        <v>1</v>
      </c>
      <c r="AI1115">
        <v>0</v>
      </c>
      <c r="AJ1115">
        <v>0</v>
      </c>
      <c r="AK1115">
        <v>100</v>
      </c>
      <c r="AL1115">
        <v>0</v>
      </c>
      <c r="AM1115">
        <v>0</v>
      </c>
      <c r="AN1115">
        <v>0</v>
      </c>
      <c r="AO1115">
        <v>0</v>
      </c>
      <c r="AP1115" s="2">
        <v>70</v>
      </c>
      <c r="AT1115" t="str">
        <f>T("9791159284861")</f>
        <v>9791159284861</v>
      </c>
      <c r="AV1115" t="str">
        <f>T("판타지 웹소설 &gt; 무협 소설")</f>
        <v>판타지 웹소설 &gt; 무협 소설</v>
      </c>
    </row>
    <row r="1116" spans="1:48" x14ac:dyDescent="0.4">
      <c r="A1116">
        <v>1525004989</v>
      </c>
      <c r="B1116">
        <v>1525005614</v>
      </c>
      <c r="C1116" t="str">
        <f>T("신룡전설 125화")</f>
        <v>신룡전설 125화</v>
      </c>
      <c r="D1116" t="str">
        <f>T("125")</f>
        <v>125</v>
      </c>
      <c r="E1116" t="str">
        <f>T("가람검")</f>
        <v>가람검</v>
      </c>
      <c r="H1116" t="str">
        <f t="shared" si="153"/>
        <v>스토리위즈</v>
      </c>
      <c r="I1116" t="str">
        <f>T("신룡전설")</f>
        <v>신룡전설</v>
      </c>
      <c r="J1116">
        <v>100</v>
      </c>
      <c r="K1116">
        <v>100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100</v>
      </c>
      <c r="AH1116">
        <v>1</v>
      </c>
      <c r="AI1116">
        <v>0</v>
      </c>
      <c r="AJ1116">
        <v>0</v>
      </c>
      <c r="AK1116">
        <v>100</v>
      </c>
      <c r="AL1116">
        <v>0</v>
      </c>
      <c r="AM1116">
        <v>0</v>
      </c>
      <c r="AN1116">
        <v>0</v>
      </c>
      <c r="AO1116">
        <v>0</v>
      </c>
      <c r="AP1116" s="2">
        <v>70</v>
      </c>
      <c r="AT1116" t="str">
        <f>T("9791159283505")</f>
        <v>9791159283505</v>
      </c>
      <c r="AV1116" t="str">
        <f>T("판타지 웹소설 &gt; 무협 소설")</f>
        <v>판타지 웹소설 &gt; 무협 소설</v>
      </c>
    </row>
    <row r="1117" spans="1:48" x14ac:dyDescent="0.4">
      <c r="A1117">
        <v>1525002409</v>
      </c>
      <c r="B1117">
        <v>1525002563</v>
      </c>
      <c r="C1117" t="str">
        <f>T("스포트라이트 155화")</f>
        <v>스포트라이트 155화</v>
      </c>
      <c r="D1117" t="str">
        <f>T("155")</f>
        <v>155</v>
      </c>
      <c r="E1117" t="str">
        <f>T("전혁")</f>
        <v>전혁</v>
      </c>
      <c r="H1117" t="str">
        <f t="shared" si="153"/>
        <v>스토리위즈</v>
      </c>
      <c r="I1117" t="str">
        <f>T("스포트라이트")</f>
        <v>스포트라이트</v>
      </c>
      <c r="J1117">
        <v>100</v>
      </c>
      <c r="K1117">
        <v>100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100</v>
      </c>
      <c r="AH1117">
        <v>1</v>
      </c>
      <c r="AI1117">
        <v>0</v>
      </c>
      <c r="AJ1117">
        <v>0</v>
      </c>
      <c r="AK1117">
        <v>100</v>
      </c>
      <c r="AL1117">
        <v>0</v>
      </c>
      <c r="AM1117">
        <v>0</v>
      </c>
      <c r="AN1117">
        <v>0</v>
      </c>
      <c r="AO1117">
        <v>0</v>
      </c>
      <c r="AP1117" s="2">
        <v>70</v>
      </c>
      <c r="AT1117" t="str">
        <f>T("9791159286841")</f>
        <v>9791159286841</v>
      </c>
      <c r="AV1117" t="str">
        <f>T("판타지 웹소설 &gt; 현대 판타지")</f>
        <v>판타지 웹소설 &gt; 현대 판타지</v>
      </c>
    </row>
    <row r="1118" spans="1:48" x14ac:dyDescent="0.4">
      <c r="A1118">
        <v>1525004030</v>
      </c>
      <c r="B1118">
        <v>1525006993</v>
      </c>
      <c r="C1118" t="str">
        <f>T("회귀의 전설 2부 877화")</f>
        <v>회귀의 전설 2부 877화</v>
      </c>
      <c r="D1118" t="str">
        <f>T("877")</f>
        <v>877</v>
      </c>
      <c r="E1118" t="str">
        <f>T("김광수")</f>
        <v>김광수</v>
      </c>
      <c r="H1118" t="str">
        <f t="shared" si="153"/>
        <v>스토리위즈</v>
      </c>
      <c r="I1118" t="str">
        <f>T("회귀의 전설")</f>
        <v>회귀의 전설</v>
      </c>
      <c r="J1118">
        <v>100</v>
      </c>
      <c r="K1118">
        <v>100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100</v>
      </c>
      <c r="AH1118">
        <v>1</v>
      </c>
      <c r="AI1118">
        <v>0</v>
      </c>
      <c r="AJ1118">
        <v>0</v>
      </c>
      <c r="AK1118">
        <v>100</v>
      </c>
      <c r="AL1118">
        <v>0</v>
      </c>
      <c r="AM1118">
        <v>0</v>
      </c>
      <c r="AN1118">
        <v>0</v>
      </c>
      <c r="AO1118">
        <v>0</v>
      </c>
      <c r="AP1118" s="2">
        <v>70</v>
      </c>
      <c r="AT1118" t="str">
        <f>T("9791191102086")</f>
        <v>9791191102086</v>
      </c>
      <c r="AV1118" t="str">
        <f>T("판타지 웹소설 &gt; 현대 판타지")</f>
        <v>판타지 웹소설 &gt; 현대 판타지</v>
      </c>
    </row>
    <row r="1119" spans="1:48" x14ac:dyDescent="0.4">
      <c r="A1119">
        <v>1525004030</v>
      </c>
      <c r="B1119">
        <v>1525006649</v>
      </c>
      <c r="C1119" t="str">
        <f>T("회귀의 전설 2부 532화")</f>
        <v>회귀의 전설 2부 532화</v>
      </c>
      <c r="D1119" t="str">
        <f>T("532")</f>
        <v>532</v>
      </c>
      <c r="E1119" t="str">
        <f>T("김광수")</f>
        <v>김광수</v>
      </c>
      <c r="H1119" t="str">
        <f t="shared" si="153"/>
        <v>스토리위즈</v>
      </c>
      <c r="I1119" t="str">
        <f>T("회귀의 전설")</f>
        <v>회귀의 전설</v>
      </c>
      <c r="J1119">
        <v>100</v>
      </c>
      <c r="K1119">
        <v>100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100</v>
      </c>
      <c r="AH1119">
        <v>1</v>
      </c>
      <c r="AI1119">
        <v>0</v>
      </c>
      <c r="AJ1119">
        <v>0</v>
      </c>
      <c r="AK1119">
        <v>100</v>
      </c>
      <c r="AL1119">
        <v>0</v>
      </c>
      <c r="AM1119">
        <v>0</v>
      </c>
      <c r="AN1119">
        <v>0</v>
      </c>
      <c r="AO1119">
        <v>0</v>
      </c>
      <c r="AP1119" s="2">
        <v>70</v>
      </c>
      <c r="AT1119" t="str">
        <f>T("9791191102086")</f>
        <v>9791191102086</v>
      </c>
      <c r="AV1119" t="str">
        <f>T("판타지 웹소설 &gt; 현대 판타지")</f>
        <v>판타지 웹소설 &gt; 현대 판타지</v>
      </c>
    </row>
    <row r="1120" spans="1:48" x14ac:dyDescent="0.4">
      <c r="A1120">
        <v>1525004030</v>
      </c>
      <c r="B1120">
        <v>1525004316</v>
      </c>
      <c r="C1120" t="str">
        <f>T("회귀의 전설 287화")</f>
        <v>회귀의 전설 287화</v>
      </c>
      <c r="D1120" t="str">
        <f>T("287")</f>
        <v>287</v>
      </c>
      <c r="E1120" t="str">
        <f>T("김광수")</f>
        <v>김광수</v>
      </c>
      <c r="H1120" t="str">
        <f t="shared" si="153"/>
        <v>스토리위즈</v>
      </c>
      <c r="I1120" t="str">
        <f>T("회귀의 전설")</f>
        <v>회귀의 전설</v>
      </c>
      <c r="J1120">
        <v>100</v>
      </c>
      <c r="K1120">
        <v>100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100</v>
      </c>
      <c r="AH1120">
        <v>1</v>
      </c>
      <c r="AI1120">
        <v>0</v>
      </c>
      <c r="AJ1120">
        <v>0</v>
      </c>
      <c r="AK1120">
        <v>100</v>
      </c>
      <c r="AL1120">
        <v>0</v>
      </c>
      <c r="AM1120">
        <v>0</v>
      </c>
      <c r="AN1120">
        <v>0</v>
      </c>
      <c r="AO1120">
        <v>0</v>
      </c>
      <c r="AP1120" s="2">
        <v>70</v>
      </c>
      <c r="AT1120" t="str">
        <f>T("9788997946006")</f>
        <v>9788997946006</v>
      </c>
      <c r="AV1120" t="str">
        <f>T("판타지 웹소설 &gt; 현대 판타지")</f>
        <v>판타지 웹소설 &gt; 현대 판타지</v>
      </c>
    </row>
    <row r="1121" spans="1:48" x14ac:dyDescent="0.4">
      <c r="A1121">
        <v>1525004988</v>
      </c>
      <c r="B1121">
        <v>1525005332</v>
      </c>
      <c r="C1121" t="str">
        <f>T("용무쌍 45화")</f>
        <v>용무쌍 45화</v>
      </c>
      <c r="D1121" t="str">
        <f>T("45")</f>
        <v>45</v>
      </c>
      <c r="E1121" t="str">
        <f>T("권용찬")</f>
        <v>권용찬</v>
      </c>
      <c r="H1121" t="str">
        <f t="shared" si="153"/>
        <v>스토리위즈</v>
      </c>
      <c r="I1121" t="str">
        <f>T("용무쌍")</f>
        <v>용무쌍</v>
      </c>
      <c r="J1121">
        <v>100</v>
      </c>
      <c r="K1121">
        <v>100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100</v>
      </c>
      <c r="AH1121">
        <v>1</v>
      </c>
      <c r="AI1121">
        <v>0</v>
      </c>
      <c r="AJ1121">
        <v>0</v>
      </c>
      <c r="AK1121">
        <v>100</v>
      </c>
      <c r="AL1121">
        <v>0</v>
      </c>
      <c r="AM1121">
        <v>0</v>
      </c>
      <c r="AN1121">
        <v>0</v>
      </c>
      <c r="AO1121">
        <v>0</v>
      </c>
      <c r="AP1121" s="2">
        <v>70</v>
      </c>
      <c r="AT1121" t="str">
        <f>T("9791159284861")</f>
        <v>9791159284861</v>
      </c>
      <c r="AV1121" t="str">
        <f>T("판타지 웹소설 &gt; 무협 소설")</f>
        <v>판타지 웹소설 &gt; 무협 소설</v>
      </c>
    </row>
    <row r="1122" spans="1:48" x14ac:dyDescent="0.4">
      <c r="A1122">
        <v>1525004030</v>
      </c>
      <c r="B1122">
        <v>1525004428</v>
      </c>
      <c r="C1122" t="str">
        <f>T("회귀의 전설 412화")</f>
        <v>회귀의 전설 412화</v>
      </c>
      <c r="D1122" t="str">
        <f>T("412")</f>
        <v>412</v>
      </c>
      <c r="E1122" t="str">
        <f>T("김광수")</f>
        <v>김광수</v>
      </c>
      <c r="H1122" t="str">
        <f t="shared" si="153"/>
        <v>스토리위즈</v>
      </c>
      <c r="I1122" t="str">
        <f>T("회귀의 전설")</f>
        <v>회귀의 전설</v>
      </c>
      <c r="J1122">
        <v>100</v>
      </c>
      <c r="K1122">
        <v>100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100</v>
      </c>
      <c r="AH1122">
        <v>1</v>
      </c>
      <c r="AI1122">
        <v>0</v>
      </c>
      <c r="AJ1122">
        <v>0</v>
      </c>
      <c r="AK1122">
        <v>100</v>
      </c>
      <c r="AL1122">
        <v>0</v>
      </c>
      <c r="AM1122">
        <v>0</v>
      </c>
      <c r="AN1122">
        <v>0</v>
      </c>
      <c r="AO1122">
        <v>0</v>
      </c>
      <c r="AP1122" s="2">
        <v>70</v>
      </c>
      <c r="AT1122" t="str">
        <f>T("9788997946006")</f>
        <v>9788997946006</v>
      </c>
      <c r="AV1122" t="str">
        <f>T("판타지 웹소설 &gt; 현대 판타지")</f>
        <v>판타지 웹소설 &gt; 현대 판타지</v>
      </c>
    </row>
    <row r="1123" spans="1:48" x14ac:dyDescent="0.4">
      <c r="A1123">
        <v>1525004030</v>
      </c>
      <c r="B1123">
        <v>1525004508</v>
      </c>
      <c r="C1123" t="str">
        <f>T("회귀의 전설 497화")</f>
        <v>회귀의 전설 497화</v>
      </c>
      <c r="D1123" t="str">
        <f>T("497")</f>
        <v>497</v>
      </c>
      <c r="E1123" t="str">
        <f>T("김광수")</f>
        <v>김광수</v>
      </c>
      <c r="H1123" t="str">
        <f t="shared" si="153"/>
        <v>스토리위즈</v>
      </c>
      <c r="I1123" t="str">
        <f>T("회귀의 전설")</f>
        <v>회귀의 전설</v>
      </c>
      <c r="J1123">
        <v>100</v>
      </c>
      <c r="K1123">
        <v>100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100</v>
      </c>
      <c r="AH1123">
        <v>1</v>
      </c>
      <c r="AI1123">
        <v>0</v>
      </c>
      <c r="AJ1123">
        <v>0</v>
      </c>
      <c r="AK1123">
        <v>100</v>
      </c>
      <c r="AL1123">
        <v>0</v>
      </c>
      <c r="AM1123">
        <v>0</v>
      </c>
      <c r="AN1123">
        <v>0</v>
      </c>
      <c r="AO1123">
        <v>0</v>
      </c>
      <c r="AP1123" s="2">
        <v>70</v>
      </c>
      <c r="AT1123" t="str">
        <f>T("9788997946006")</f>
        <v>9788997946006</v>
      </c>
      <c r="AV1123" t="str">
        <f>T("판타지 웹소설 &gt; 현대 판타지")</f>
        <v>판타지 웹소설 &gt; 현대 판타지</v>
      </c>
    </row>
    <row r="1124" spans="1:48" x14ac:dyDescent="0.4">
      <c r="A1124">
        <v>1525004989</v>
      </c>
      <c r="B1124">
        <v>1525005534</v>
      </c>
      <c r="C1124" t="str">
        <f>T("신룡전설 45화")</f>
        <v>신룡전설 45화</v>
      </c>
      <c r="D1124" t="str">
        <f>T("45")</f>
        <v>45</v>
      </c>
      <c r="E1124" t="str">
        <f>T("가람검")</f>
        <v>가람검</v>
      </c>
      <c r="H1124" t="str">
        <f t="shared" si="153"/>
        <v>스토리위즈</v>
      </c>
      <c r="I1124" t="str">
        <f>T("신룡전설")</f>
        <v>신룡전설</v>
      </c>
      <c r="J1124">
        <v>100</v>
      </c>
      <c r="K1124">
        <v>100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100</v>
      </c>
      <c r="AH1124">
        <v>1</v>
      </c>
      <c r="AI1124">
        <v>0</v>
      </c>
      <c r="AJ1124">
        <v>0</v>
      </c>
      <c r="AK1124">
        <v>100</v>
      </c>
      <c r="AL1124">
        <v>0</v>
      </c>
      <c r="AM1124">
        <v>0</v>
      </c>
      <c r="AN1124">
        <v>0</v>
      </c>
      <c r="AO1124">
        <v>0</v>
      </c>
      <c r="AP1124" s="2">
        <v>70</v>
      </c>
      <c r="AT1124" t="str">
        <f>T("9791159283505")</f>
        <v>9791159283505</v>
      </c>
      <c r="AV1124" t="str">
        <f>T("판타지 웹소설 &gt; 무협 소설")</f>
        <v>판타지 웹소설 &gt; 무협 소설</v>
      </c>
    </row>
    <row r="1125" spans="1:48" x14ac:dyDescent="0.4">
      <c r="A1125">
        <v>1525004030</v>
      </c>
      <c r="B1125">
        <v>1525004265</v>
      </c>
      <c r="C1125" t="str">
        <f>T("회귀의 전설 236화")</f>
        <v>회귀의 전설 236화</v>
      </c>
      <c r="D1125" t="str">
        <f>T("236")</f>
        <v>236</v>
      </c>
      <c r="E1125" t="str">
        <f>T("김광수")</f>
        <v>김광수</v>
      </c>
      <c r="H1125" t="str">
        <f t="shared" si="153"/>
        <v>스토리위즈</v>
      </c>
      <c r="I1125" t="str">
        <f>T("회귀의 전설")</f>
        <v>회귀의 전설</v>
      </c>
      <c r="J1125">
        <v>100</v>
      </c>
      <c r="K1125">
        <v>100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100</v>
      </c>
      <c r="AH1125">
        <v>1</v>
      </c>
      <c r="AI1125">
        <v>0</v>
      </c>
      <c r="AJ1125">
        <v>0</v>
      </c>
      <c r="AK1125">
        <v>100</v>
      </c>
      <c r="AL1125">
        <v>0</v>
      </c>
      <c r="AM1125">
        <v>0</v>
      </c>
      <c r="AN1125">
        <v>0</v>
      </c>
      <c r="AO1125">
        <v>0</v>
      </c>
      <c r="AP1125" s="2">
        <v>70</v>
      </c>
      <c r="AT1125" t="str">
        <f>T("9788997946006")</f>
        <v>9788997946006</v>
      </c>
      <c r="AV1125" t="str">
        <f>T("판타지 웹소설 &gt; 현대 판타지")</f>
        <v>판타지 웹소설 &gt; 현대 판타지</v>
      </c>
    </row>
    <row r="1126" spans="1:48" x14ac:dyDescent="0.4">
      <c r="A1126">
        <v>1525008545</v>
      </c>
      <c r="B1126">
        <v>1525008575</v>
      </c>
      <c r="C1126" t="str">
        <f>T("소년연애담 47화")</f>
        <v>소년연애담 47화</v>
      </c>
      <c r="D1126" t="str">
        <f>T("47")</f>
        <v>47</v>
      </c>
      <c r="E1126" t="str">
        <f>T("나나코")</f>
        <v>나나코</v>
      </c>
      <c r="H1126" t="str">
        <f>T("블러쉬")</f>
        <v>블러쉬</v>
      </c>
      <c r="I1126" t="str">
        <f>T("소년연애담")</f>
        <v>소년연애담</v>
      </c>
      <c r="J1126">
        <v>100</v>
      </c>
      <c r="K1126">
        <v>100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100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100</v>
      </c>
      <c r="AN1126">
        <v>0</v>
      </c>
      <c r="AO1126">
        <v>0</v>
      </c>
      <c r="AP1126" s="2">
        <v>70</v>
      </c>
      <c r="AR1126" t="str">
        <f>T("0000000000000")</f>
        <v>0000000000000</v>
      </c>
      <c r="AT1126" t="str">
        <f>T("9791164890729")</f>
        <v>9791164890729</v>
      </c>
      <c r="AU1126" t="str">
        <f>T("B12")</f>
        <v>B12</v>
      </c>
      <c r="AV1126" t="str">
        <f>T("BL 웹소설 &gt; 현대물")</f>
        <v>BL 웹소설 &gt; 현대물</v>
      </c>
    </row>
    <row r="1127" spans="1:48" x14ac:dyDescent="0.4">
      <c r="A1127">
        <v>1525010579</v>
      </c>
      <c r="B1127">
        <v>1525010193</v>
      </c>
      <c r="C1127" t="str">
        <f>T("법보다 주먹 385화")</f>
        <v>법보다 주먹 385화</v>
      </c>
      <c r="D1127" t="str">
        <f>T("385")</f>
        <v>385</v>
      </c>
      <c r="E1127" t="str">
        <f>T("백범(白帆)")</f>
        <v>백범(白帆)</v>
      </c>
      <c r="H1127" t="str">
        <f>T("에필로그")</f>
        <v>에필로그</v>
      </c>
      <c r="I1127" t="str">
        <f>T("법보다 주먹")</f>
        <v>법보다 주먹</v>
      </c>
      <c r="J1127">
        <v>100</v>
      </c>
      <c r="K1127">
        <v>100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100</v>
      </c>
      <c r="AH1127">
        <v>1</v>
      </c>
      <c r="AI1127">
        <v>0</v>
      </c>
      <c r="AJ1127">
        <v>0</v>
      </c>
      <c r="AK1127">
        <v>100</v>
      </c>
      <c r="AL1127">
        <v>0</v>
      </c>
      <c r="AM1127">
        <v>0</v>
      </c>
      <c r="AN1127">
        <v>0</v>
      </c>
      <c r="AO1127">
        <v>0</v>
      </c>
      <c r="AP1127" s="2">
        <v>70</v>
      </c>
      <c r="AT1127" t="str">
        <f>T("9791164489367")</f>
        <v>9791164489367</v>
      </c>
      <c r="AV1127" t="str">
        <f>T("판타지 웹소설 &gt; 현대 판타지")</f>
        <v>판타지 웹소설 &gt; 현대 판타지</v>
      </c>
    </row>
    <row r="1128" spans="1:48" x14ac:dyDescent="0.4">
      <c r="A1128">
        <v>1525004030</v>
      </c>
      <c r="B1128">
        <v>1525012787</v>
      </c>
      <c r="C1128" t="str">
        <f>T("회귀의 전설 1092화")</f>
        <v>회귀의 전설 1092화</v>
      </c>
      <c r="D1128" t="str">
        <f>T("1092")</f>
        <v>1092</v>
      </c>
      <c r="E1128" t="str">
        <f>T("김광수")</f>
        <v>김광수</v>
      </c>
      <c r="H1128" t="str">
        <f>T("스토리위즈")</f>
        <v>스토리위즈</v>
      </c>
      <c r="I1128" t="str">
        <f>T("회귀의 전설")</f>
        <v>회귀의 전설</v>
      </c>
      <c r="J1128">
        <v>100</v>
      </c>
      <c r="K1128">
        <v>100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100</v>
      </c>
      <c r="AH1128">
        <v>1</v>
      </c>
      <c r="AI1128">
        <v>0</v>
      </c>
      <c r="AJ1128">
        <v>0</v>
      </c>
      <c r="AK1128">
        <v>100</v>
      </c>
      <c r="AL1128">
        <v>0</v>
      </c>
      <c r="AM1128">
        <v>0</v>
      </c>
      <c r="AN1128">
        <v>0</v>
      </c>
      <c r="AO1128">
        <v>0</v>
      </c>
      <c r="AP1128" s="2">
        <v>70</v>
      </c>
      <c r="AT1128" t="str">
        <f>T("9791191102086")</f>
        <v>9791191102086</v>
      </c>
      <c r="AV1128" t="str">
        <f>T("판타지 웹소설 &gt; 현대 판타지")</f>
        <v>판타지 웹소설 &gt; 현대 판타지</v>
      </c>
    </row>
    <row r="1129" spans="1:48" x14ac:dyDescent="0.4">
      <c r="A1129">
        <v>1525007872</v>
      </c>
      <c r="B1129">
        <v>1525007873</v>
      </c>
      <c r="C1129" t="str">
        <f>T("아침이 오지 않아도 20화")</f>
        <v>아침이 오지 않아도 20화</v>
      </c>
      <c r="D1129" t="str">
        <f>T("20")</f>
        <v>20</v>
      </c>
      <c r="E1129" t="str">
        <f>T("홍영")</f>
        <v>홍영</v>
      </c>
      <c r="H1129" t="str">
        <f>T("러브스토리")</f>
        <v>러브스토리</v>
      </c>
      <c r="I1129" t="str">
        <f>T("아침이 오지 않아도")</f>
        <v>아침이 오지 않아도</v>
      </c>
      <c r="J1129">
        <v>100</v>
      </c>
      <c r="K1129">
        <v>100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100</v>
      </c>
      <c r="AH1129">
        <v>1</v>
      </c>
      <c r="AI1129">
        <v>0</v>
      </c>
      <c r="AJ1129">
        <v>0</v>
      </c>
      <c r="AK1129">
        <v>100</v>
      </c>
      <c r="AL1129">
        <v>0</v>
      </c>
      <c r="AM1129">
        <v>0</v>
      </c>
      <c r="AN1129">
        <v>0</v>
      </c>
      <c r="AO1129">
        <v>0</v>
      </c>
      <c r="AP1129" s="2">
        <v>70</v>
      </c>
      <c r="AR1129" t="str">
        <f>T("0000000000000")</f>
        <v>0000000000000</v>
      </c>
      <c r="AT1129" t="str">
        <f>T("9791164899708")</f>
        <v>9791164899708</v>
      </c>
      <c r="AV1129" t="str">
        <f>T("로맨스 웹소설 &gt; 현대물")</f>
        <v>로맨스 웹소설 &gt; 현대물</v>
      </c>
    </row>
    <row r="1130" spans="1:48" x14ac:dyDescent="0.4">
      <c r="A1130">
        <v>1525004030</v>
      </c>
      <c r="B1130">
        <v>1525007038</v>
      </c>
      <c r="C1130" t="str">
        <f>T("회귀의 전설 2부 922화")</f>
        <v>회귀의 전설 2부 922화</v>
      </c>
      <c r="D1130" t="str">
        <f>T("922")</f>
        <v>922</v>
      </c>
      <c r="E1130" t="str">
        <f>T("김광수")</f>
        <v>김광수</v>
      </c>
      <c r="H1130" t="str">
        <f t="shared" ref="H1130:H1143" si="154">T("스토리위즈")</f>
        <v>스토리위즈</v>
      </c>
      <c r="I1130" t="str">
        <f>T("회귀의 전설")</f>
        <v>회귀의 전설</v>
      </c>
      <c r="J1130">
        <v>100</v>
      </c>
      <c r="K1130">
        <v>100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100</v>
      </c>
      <c r="AH1130">
        <v>1</v>
      </c>
      <c r="AI1130">
        <v>0</v>
      </c>
      <c r="AJ1130">
        <v>0</v>
      </c>
      <c r="AK1130">
        <v>100</v>
      </c>
      <c r="AL1130">
        <v>0</v>
      </c>
      <c r="AM1130">
        <v>0</v>
      </c>
      <c r="AN1130">
        <v>0</v>
      </c>
      <c r="AO1130">
        <v>0</v>
      </c>
      <c r="AP1130" s="2">
        <v>70</v>
      </c>
      <c r="AT1130" t="str">
        <f>T("9791191102086")</f>
        <v>9791191102086</v>
      </c>
      <c r="AV1130" t="str">
        <f>T("판타지 웹소설 &gt; 현대 판타지")</f>
        <v>판타지 웹소설 &gt; 현대 판타지</v>
      </c>
    </row>
    <row r="1131" spans="1:48" x14ac:dyDescent="0.4">
      <c r="A1131">
        <v>2313011400</v>
      </c>
      <c r="B1131">
        <v>1525007680</v>
      </c>
      <c r="C1131" t="str">
        <f>T("최종 보스 23권 5화")</f>
        <v>최종 보스 23권 5화</v>
      </c>
      <c r="D1131" t="str">
        <f>T("458")</f>
        <v>458</v>
      </c>
      <c r="E1131" t="str">
        <f>T("무장")</f>
        <v>무장</v>
      </c>
      <c r="H1131" t="str">
        <f t="shared" si="154"/>
        <v>스토리위즈</v>
      </c>
      <c r="I1131" t="str">
        <f>T("최종 보스 : 빛을 향해 달리는 그림자")</f>
        <v>최종 보스 : 빛을 향해 달리는 그림자</v>
      </c>
      <c r="J1131">
        <v>100</v>
      </c>
      <c r="K1131">
        <v>100</v>
      </c>
      <c r="L1131">
        <v>1</v>
      </c>
      <c r="M1131">
        <v>0</v>
      </c>
      <c r="N1131">
        <v>100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 s="2">
        <v>140</v>
      </c>
      <c r="AT1131" t="str">
        <f>T("9791166067563")</f>
        <v>9791166067563</v>
      </c>
      <c r="AV1131" t="str">
        <f>T("판타지 웹소설 &gt; 현대 판타지")</f>
        <v>판타지 웹소설 &gt; 현대 판타지</v>
      </c>
    </row>
    <row r="1132" spans="1:48" x14ac:dyDescent="0.4">
      <c r="A1132">
        <v>1525004989</v>
      </c>
      <c r="B1132">
        <v>1525005607</v>
      </c>
      <c r="C1132" t="str">
        <f>T("신룡전설 118화")</f>
        <v>신룡전설 118화</v>
      </c>
      <c r="D1132" t="str">
        <f>T("118")</f>
        <v>118</v>
      </c>
      <c r="E1132" t="str">
        <f>T("가람검")</f>
        <v>가람검</v>
      </c>
      <c r="H1132" t="str">
        <f t="shared" si="154"/>
        <v>스토리위즈</v>
      </c>
      <c r="I1132" t="str">
        <f>T("신룡전설")</f>
        <v>신룡전설</v>
      </c>
      <c r="J1132">
        <v>100</v>
      </c>
      <c r="K1132">
        <v>100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100</v>
      </c>
      <c r="AH1132">
        <v>1</v>
      </c>
      <c r="AI1132">
        <v>0</v>
      </c>
      <c r="AJ1132">
        <v>0</v>
      </c>
      <c r="AK1132">
        <v>100</v>
      </c>
      <c r="AL1132">
        <v>0</v>
      </c>
      <c r="AM1132">
        <v>0</v>
      </c>
      <c r="AN1132">
        <v>0</v>
      </c>
      <c r="AO1132">
        <v>0</v>
      </c>
      <c r="AP1132" s="2">
        <v>70</v>
      </c>
      <c r="AT1132" t="str">
        <f>T("9791159283505")</f>
        <v>9791159283505</v>
      </c>
      <c r="AV1132" t="str">
        <f>T("판타지 웹소설 &gt; 무협 소설")</f>
        <v>판타지 웹소설 &gt; 무협 소설</v>
      </c>
    </row>
    <row r="1133" spans="1:48" x14ac:dyDescent="0.4">
      <c r="A1133">
        <v>1525002409</v>
      </c>
      <c r="B1133">
        <v>1525002544</v>
      </c>
      <c r="C1133" t="str">
        <f>T("스포트라이트 136화")</f>
        <v>스포트라이트 136화</v>
      </c>
      <c r="D1133" t="str">
        <f>T("136")</f>
        <v>136</v>
      </c>
      <c r="E1133" t="str">
        <f>T("전혁")</f>
        <v>전혁</v>
      </c>
      <c r="H1133" t="str">
        <f t="shared" si="154"/>
        <v>스토리위즈</v>
      </c>
      <c r="I1133" t="str">
        <f>T("스포트라이트")</f>
        <v>스포트라이트</v>
      </c>
      <c r="J1133">
        <v>100</v>
      </c>
      <c r="K1133">
        <v>100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100</v>
      </c>
      <c r="AH1133">
        <v>1</v>
      </c>
      <c r="AI1133">
        <v>0</v>
      </c>
      <c r="AJ1133">
        <v>0</v>
      </c>
      <c r="AK1133">
        <v>100</v>
      </c>
      <c r="AL1133">
        <v>0</v>
      </c>
      <c r="AM1133">
        <v>0</v>
      </c>
      <c r="AN1133">
        <v>0</v>
      </c>
      <c r="AO1133">
        <v>0</v>
      </c>
      <c r="AP1133" s="2">
        <v>70</v>
      </c>
      <c r="AT1133" t="str">
        <f>T("9791159286841")</f>
        <v>9791159286841</v>
      </c>
      <c r="AV1133" t="str">
        <f>T("판타지 웹소설 &gt; 현대 판타지")</f>
        <v>판타지 웹소설 &gt; 현대 판타지</v>
      </c>
    </row>
    <row r="1134" spans="1:48" x14ac:dyDescent="0.4">
      <c r="A1134">
        <v>1525004030</v>
      </c>
      <c r="B1134">
        <v>1525006986</v>
      </c>
      <c r="C1134" t="str">
        <f>T("회귀의 전설 2부 870화")</f>
        <v>회귀의 전설 2부 870화</v>
      </c>
      <c r="D1134" t="str">
        <f>T("870")</f>
        <v>870</v>
      </c>
      <c r="E1134" t="str">
        <f>T("김광수")</f>
        <v>김광수</v>
      </c>
      <c r="H1134" t="str">
        <f t="shared" si="154"/>
        <v>스토리위즈</v>
      </c>
      <c r="I1134" t="str">
        <f>T("회귀의 전설")</f>
        <v>회귀의 전설</v>
      </c>
      <c r="J1134">
        <v>100</v>
      </c>
      <c r="K1134">
        <v>100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100</v>
      </c>
      <c r="AH1134">
        <v>1</v>
      </c>
      <c r="AI1134">
        <v>0</v>
      </c>
      <c r="AJ1134">
        <v>0</v>
      </c>
      <c r="AK1134">
        <v>100</v>
      </c>
      <c r="AL1134">
        <v>0</v>
      </c>
      <c r="AM1134">
        <v>0</v>
      </c>
      <c r="AN1134">
        <v>0</v>
      </c>
      <c r="AO1134">
        <v>0</v>
      </c>
      <c r="AP1134" s="2">
        <v>70</v>
      </c>
      <c r="AT1134" t="str">
        <f>T("9791191102086")</f>
        <v>9791191102086</v>
      </c>
      <c r="AV1134" t="str">
        <f>T("판타지 웹소설 &gt; 현대 판타지")</f>
        <v>판타지 웹소설 &gt; 현대 판타지</v>
      </c>
    </row>
    <row r="1135" spans="1:48" x14ac:dyDescent="0.4">
      <c r="A1135">
        <v>2313011400</v>
      </c>
      <c r="B1135">
        <v>1525007584</v>
      </c>
      <c r="C1135" t="str">
        <f>T("최종 보스 18권 10화")</f>
        <v>최종 보스 18권 10화</v>
      </c>
      <c r="D1135" t="str">
        <f>T("362")</f>
        <v>362</v>
      </c>
      <c r="E1135" t="str">
        <f>T("무장")</f>
        <v>무장</v>
      </c>
      <c r="H1135" t="str">
        <f t="shared" si="154"/>
        <v>스토리위즈</v>
      </c>
      <c r="I1135" t="str">
        <f>T("최종 보스 : 빛을 향해 달리는 그림자")</f>
        <v>최종 보스 : 빛을 향해 달리는 그림자</v>
      </c>
      <c r="J1135">
        <v>100</v>
      </c>
      <c r="K1135">
        <v>100</v>
      </c>
      <c r="L1135">
        <v>1</v>
      </c>
      <c r="M1135">
        <v>0</v>
      </c>
      <c r="N1135">
        <v>100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 s="2">
        <v>140</v>
      </c>
      <c r="AT1135" t="str">
        <f>T("9791166067563")</f>
        <v>9791166067563</v>
      </c>
      <c r="AV1135" t="str">
        <f>T("판타지 웹소설 &gt; 현대 판타지")</f>
        <v>판타지 웹소설 &gt; 현대 판타지</v>
      </c>
    </row>
    <row r="1136" spans="1:48" x14ac:dyDescent="0.4">
      <c r="A1136">
        <v>1525004030</v>
      </c>
      <c r="B1136">
        <v>1525004309</v>
      </c>
      <c r="C1136" t="str">
        <f>T("회귀의 전설 280화")</f>
        <v>회귀의 전설 280화</v>
      </c>
      <c r="D1136" t="str">
        <f>T("280")</f>
        <v>280</v>
      </c>
      <c r="E1136" t="str">
        <f>T("김광수")</f>
        <v>김광수</v>
      </c>
      <c r="H1136" t="str">
        <f t="shared" si="154"/>
        <v>스토리위즈</v>
      </c>
      <c r="I1136" t="str">
        <f>T("회귀의 전설")</f>
        <v>회귀의 전설</v>
      </c>
      <c r="J1136">
        <v>100</v>
      </c>
      <c r="K1136">
        <v>100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100</v>
      </c>
      <c r="AH1136">
        <v>1</v>
      </c>
      <c r="AI1136">
        <v>0</v>
      </c>
      <c r="AJ1136">
        <v>0</v>
      </c>
      <c r="AK1136">
        <v>100</v>
      </c>
      <c r="AL1136">
        <v>0</v>
      </c>
      <c r="AM1136">
        <v>0</v>
      </c>
      <c r="AN1136">
        <v>0</v>
      </c>
      <c r="AO1136">
        <v>0</v>
      </c>
      <c r="AP1136" s="2">
        <v>70</v>
      </c>
      <c r="AT1136" t="str">
        <f>T("9788997946006")</f>
        <v>9788997946006</v>
      </c>
      <c r="AV1136" t="str">
        <f>T("판타지 웹소설 &gt; 현대 판타지")</f>
        <v>판타지 웹소설 &gt; 현대 판타지</v>
      </c>
    </row>
    <row r="1137" spans="1:48" x14ac:dyDescent="0.4">
      <c r="A1137">
        <v>1525004030</v>
      </c>
      <c r="B1137">
        <v>1525004421</v>
      </c>
      <c r="C1137" t="str">
        <f>T("회귀의 전설 405화")</f>
        <v>회귀의 전설 405화</v>
      </c>
      <c r="D1137" t="str">
        <f>T("405")</f>
        <v>405</v>
      </c>
      <c r="E1137" t="str">
        <f>T("김광수")</f>
        <v>김광수</v>
      </c>
      <c r="H1137" t="str">
        <f t="shared" si="154"/>
        <v>스토리위즈</v>
      </c>
      <c r="I1137" t="str">
        <f>T("회귀의 전설")</f>
        <v>회귀의 전설</v>
      </c>
      <c r="J1137">
        <v>100</v>
      </c>
      <c r="K1137">
        <v>100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100</v>
      </c>
      <c r="AH1137">
        <v>1</v>
      </c>
      <c r="AI1137">
        <v>0</v>
      </c>
      <c r="AJ1137">
        <v>0</v>
      </c>
      <c r="AK1137">
        <v>100</v>
      </c>
      <c r="AL1137">
        <v>0</v>
      </c>
      <c r="AM1137">
        <v>0</v>
      </c>
      <c r="AN1137">
        <v>0</v>
      </c>
      <c r="AO1137">
        <v>0</v>
      </c>
      <c r="AP1137" s="2">
        <v>70</v>
      </c>
      <c r="AT1137" t="str">
        <f>T("9788997946006")</f>
        <v>9788997946006</v>
      </c>
      <c r="AV1137" t="str">
        <f>T("판타지 웹소설 &gt; 현대 판타지")</f>
        <v>판타지 웹소설 &gt; 현대 판타지</v>
      </c>
    </row>
    <row r="1138" spans="1:48" x14ac:dyDescent="0.4">
      <c r="A1138">
        <v>1525004988</v>
      </c>
      <c r="B1138">
        <v>1525005325</v>
      </c>
      <c r="C1138" t="str">
        <f>T("용무쌍 38화")</f>
        <v>용무쌍 38화</v>
      </c>
      <c r="D1138" t="str">
        <f>T("38")</f>
        <v>38</v>
      </c>
      <c r="E1138" t="str">
        <f>T("권용찬")</f>
        <v>권용찬</v>
      </c>
      <c r="H1138" t="str">
        <f t="shared" si="154"/>
        <v>스토리위즈</v>
      </c>
      <c r="I1138" t="str">
        <f>T("용무쌍")</f>
        <v>용무쌍</v>
      </c>
      <c r="J1138">
        <v>100</v>
      </c>
      <c r="K1138">
        <v>100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100</v>
      </c>
      <c r="AH1138">
        <v>1</v>
      </c>
      <c r="AI1138">
        <v>0</v>
      </c>
      <c r="AJ1138">
        <v>0</v>
      </c>
      <c r="AK1138">
        <v>100</v>
      </c>
      <c r="AL1138">
        <v>0</v>
      </c>
      <c r="AM1138">
        <v>0</v>
      </c>
      <c r="AN1138">
        <v>0</v>
      </c>
      <c r="AO1138">
        <v>0</v>
      </c>
      <c r="AP1138" s="2">
        <v>70</v>
      </c>
      <c r="AT1138" t="str">
        <f>T("9791159284861")</f>
        <v>9791159284861</v>
      </c>
      <c r="AV1138" t="str">
        <f>T("판타지 웹소설 &gt; 무협 소설")</f>
        <v>판타지 웹소설 &gt; 무협 소설</v>
      </c>
    </row>
    <row r="1139" spans="1:48" x14ac:dyDescent="0.4">
      <c r="A1139">
        <v>1525004030</v>
      </c>
      <c r="B1139">
        <v>1525006754</v>
      </c>
      <c r="C1139" t="str">
        <f>T("회귀의 전설 2부 637화")</f>
        <v>회귀의 전설 2부 637화</v>
      </c>
      <c r="D1139" t="str">
        <f>T("637")</f>
        <v>637</v>
      </c>
      <c r="E1139" t="str">
        <f>T("김광수")</f>
        <v>김광수</v>
      </c>
      <c r="H1139" t="str">
        <f t="shared" si="154"/>
        <v>스토리위즈</v>
      </c>
      <c r="I1139" t="str">
        <f>T("회귀의 전설")</f>
        <v>회귀의 전설</v>
      </c>
      <c r="J1139">
        <v>100</v>
      </c>
      <c r="K1139">
        <v>100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100</v>
      </c>
      <c r="AH1139">
        <v>1</v>
      </c>
      <c r="AI1139">
        <v>0</v>
      </c>
      <c r="AJ1139">
        <v>0</v>
      </c>
      <c r="AK1139">
        <v>100</v>
      </c>
      <c r="AL1139">
        <v>0</v>
      </c>
      <c r="AM1139">
        <v>0</v>
      </c>
      <c r="AN1139">
        <v>0</v>
      </c>
      <c r="AO1139">
        <v>0</v>
      </c>
      <c r="AP1139" s="2">
        <v>70</v>
      </c>
      <c r="AT1139" t="str">
        <f>T("9791191102086")</f>
        <v>9791191102086</v>
      </c>
      <c r="AV1139" t="str">
        <f>T("판타지 웹소설 &gt; 현대 판타지")</f>
        <v>판타지 웹소설 &gt; 현대 판타지</v>
      </c>
    </row>
    <row r="1140" spans="1:48" x14ac:dyDescent="0.4">
      <c r="A1140">
        <v>1525004030</v>
      </c>
      <c r="B1140">
        <v>1525004501</v>
      </c>
      <c r="C1140" t="str">
        <f>T("회귀의 전설 485화")</f>
        <v>회귀의 전설 485화</v>
      </c>
      <c r="D1140" t="str">
        <f>T("485")</f>
        <v>485</v>
      </c>
      <c r="E1140" t="str">
        <f>T("김광수")</f>
        <v>김광수</v>
      </c>
      <c r="H1140" t="str">
        <f t="shared" si="154"/>
        <v>스토리위즈</v>
      </c>
      <c r="I1140" t="str">
        <f>T("회귀의 전설")</f>
        <v>회귀의 전설</v>
      </c>
      <c r="J1140">
        <v>100</v>
      </c>
      <c r="K1140">
        <v>100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100</v>
      </c>
      <c r="AH1140">
        <v>1</v>
      </c>
      <c r="AI1140">
        <v>0</v>
      </c>
      <c r="AJ1140">
        <v>0</v>
      </c>
      <c r="AK1140">
        <v>100</v>
      </c>
      <c r="AL1140">
        <v>0</v>
      </c>
      <c r="AM1140">
        <v>0</v>
      </c>
      <c r="AN1140">
        <v>0</v>
      </c>
      <c r="AO1140">
        <v>0</v>
      </c>
      <c r="AP1140" s="2">
        <v>70</v>
      </c>
      <c r="AT1140" t="str">
        <f>T("9788997946006")</f>
        <v>9788997946006</v>
      </c>
      <c r="AV1140" t="str">
        <f>T("판타지 웹소설 &gt; 현대 판타지")</f>
        <v>판타지 웹소설 &gt; 현대 판타지</v>
      </c>
    </row>
    <row r="1141" spans="1:48" x14ac:dyDescent="0.4">
      <c r="A1141">
        <v>1525004989</v>
      </c>
      <c r="B1141">
        <v>1525005527</v>
      </c>
      <c r="C1141" t="str">
        <f>T("신룡전설 38화")</f>
        <v>신룡전설 38화</v>
      </c>
      <c r="D1141" t="str">
        <f>T("38")</f>
        <v>38</v>
      </c>
      <c r="E1141" t="str">
        <f>T("가람검")</f>
        <v>가람검</v>
      </c>
      <c r="H1141" t="str">
        <f t="shared" si="154"/>
        <v>스토리위즈</v>
      </c>
      <c r="I1141" t="str">
        <f>T("신룡전설")</f>
        <v>신룡전설</v>
      </c>
      <c r="J1141">
        <v>100</v>
      </c>
      <c r="K1141">
        <v>100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100</v>
      </c>
      <c r="AH1141">
        <v>1</v>
      </c>
      <c r="AI1141">
        <v>0</v>
      </c>
      <c r="AJ1141">
        <v>0</v>
      </c>
      <c r="AK1141">
        <v>100</v>
      </c>
      <c r="AL1141">
        <v>0</v>
      </c>
      <c r="AM1141">
        <v>0</v>
      </c>
      <c r="AN1141">
        <v>0</v>
      </c>
      <c r="AO1141">
        <v>0</v>
      </c>
      <c r="AP1141" s="2">
        <v>70</v>
      </c>
      <c r="AT1141" t="str">
        <f>T("9791159283505")</f>
        <v>9791159283505</v>
      </c>
      <c r="AV1141" t="str">
        <f>T("판타지 웹소설 &gt; 무협 소설")</f>
        <v>판타지 웹소설 &gt; 무협 소설</v>
      </c>
    </row>
    <row r="1142" spans="1:48" x14ac:dyDescent="0.4">
      <c r="A1142">
        <v>1525000569</v>
      </c>
      <c r="B1142">
        <v>1525000628</v>
      </c>
      <c r="C1142" t="str">
        <f>T("스트라이커 59화")</f>
        <v>스트라이커 59화</v>
      </c>
      <c r="D1142" t="str">
        <f>T("59")</f>
        <v>59</v>
      </c>
      <c r="E1142" t="str">
        <f>T("독고진")</f>
        <v>독고진</v>
      </c>
      <c r="H1142" t="str">
        <f t="shared" si="154"/>
        <v>스토리위즈</v>
      </c>
      <c r="I1142" t="str">
        <f>T("스트라이커")</f>
        <v>스트라이커</v>
      </c>
      <c r="J1142">
        <v>100</v>
      </c>
      <c r="K1142">
        <v>100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100</v>
      </c>
      <c r="AH1142">
        <v>1</v>
      </c>
      <c r="AI1142">
        <v>0</v>
      </c>
      <c r="AJ1142">
        <v>0</v>
      </c>
      <c r="AK1142">
        <v>100</v>
      </c>
      <c r="AL1142">
        <v>0</v>
      </c>
      <c r="AM1142">
        <v>0</v>
      </c>
      <c r="AN1142">
        <v>0</v>
      </c>
      <c r="AO1142">
        <v>0</v>
      </c>
      <c r="AP1142" s="2">
        <v>70</v>
      </c>
      <c r="AT1142" t="str">
        <f>T("9791170151678")</f>
        <v>9791170151678</v>
      </c>
      <c r="AV1142" t="str">
        <f>T("판타지 웹소설 &gt; 현대 판타지")</f>
        <v>판타지 웹소설 &gt; 현대 판타지</v>
      </c>
    </row>
    <row r="1143" spans="1:48" x14ac:dyDescent="0.4">
      <c r="A1143">
        <v>1525004030</v>
      </c>
      <c r="B1143">
        <v>1525007070</v>
      </c>
      <c r="C1143" t="str">
        <f>T("회귀의 전설 2부 954화")</f>
        <v>회귀의 전설 2부 954화</v>
      </c>
      <c r="D1143" t="str">
        <f>T("954")</f>
        <v>954</v>
      </c>
      <c r="E1143" t="str">
        <f>T("김광수")</f>
        <v>김광수</v>
      </c>
      <c r="H1143" t="str">
        <f t="shared" si="154"/>
        <v>스토리위즈</v>
      </c>
      <c r="I1143" t="str">
        <f>T("회귀의 전설")</f>
        <v>회귀의 전설</v>
      </c>
      <c r="J1143">
        <v>100</v>
      </c>
      <c r="K1143">
        <v>100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100</v>
      </c>
      <c r="AH1143">
        <v>1</v>
      </c>
      <c r="AI1143">
        <v>0</v>
      </c>
      <c r="AJ1143">
        <v>0</v>
      </c>
      <c r="AK1143">
        <v>100</v>
      </c>
      <c r="AL1143">
        <v>0</v>
      </c>
      <c r="AM1143">
        <v>0</v>
      </c>
      <c r="AN1143">
        <v>0</v>
      </c>
      <c r="AO1143">
        <v>0</v>
      </c>
      <c r="AP1143" s="2">
        <v>70</v>
      </c>
      <c r="AT1143" t="str">
        <f>T("9791191102086")</f>
        <v>9791191102086</v>
      </c>
      <c r="AV1143" t="str">
        <f>T("판타지 웹소설 &gt; 현대 판타지")</f>
        <v>판타지 웹소설 &gt; 현대 판타지</v>
      </c>
    </row>
    <row r="1144" spans="1:48" x14ac:dyDescent="0.4">
      <c r="A1144">
        <v>1525007923</v>
      </c>
      <c r="B1144">
        <v>1525007905</v>
      </c>
      <c r="C1144" t="str">
        <f>T("운상연담: 화불능귀일락 106화")</f>
        <v>운상연담: 화불능귀일락 106화</v>
      </c>
      <c r="D1144" t="str">
        <f>T("106")</f>
        <v>106</v>
      </c>
      <c r="E1144" t="str">
        <f>T("피모")</f>
        <v>피모</v>
      </c>
      <c r="H1144" t="str">
        <f>T("쉬라즈")</f>
        <v>쉬라즈</v>
      </c>
      <c r="I1144" t="str">
        <f>T("운상연담: 화불능귀일락")</f>
        <v>운상연담: 화불능귀일락</v>
      </c>
      <c r="J1144">
        <v>100</v>
      </c>
      <c r="K1144">
        <v>100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100</v>
      </c>
      <c r="AH1144">
        <v>1</v>
      </c>
      <c r="AI1144">
        <v>0</v>
      </c>
      <c r="AJ1144">
        <v>0</v>
      </c>
      <c r="AK1144">
        <v>100</v>
      </c>
      <c r="AL1144">
        <v>0</v>
      </c>
      <c r="AM1144">
        <v>0</v>
      </c>
      <c r="AN1144">
        <v>0</v>
      </c>
      <c r="AO1144">
        <v>0</v>
      </c>
      <c r="AP1144" s="2">
        <v>70</v>
      </c>
      <c r="AT1144" t="str">
        <f>T("9791164896646")</f>
        <v>9791164896646</v>
      </c>
      <c r="AV1144" t="str">
        <f>T("로맨스 웹소설 &gt; 역사/시대물")</f>
        <v>로맨스 웹소설 &gt; 역사/시대물</v>
      </c>
    </row>
    <row r="1145" spans="1:48" x14ac:dyDescent="0.4">
      <c r="A1145">
        <v>2313011400</v>
      </c>
      <c r="B1145">
        <v>1525007616</v>
      </c>
      <c r="C1145" t="str">
        <f>T("최종 보스 20권 1화")</f>
        <v>최종 보스 20권 1화</v>
      </c>
      <c r="D1145" t="str">
        <f>T("394")</f>
        <v>394</v>
      </c>
      <c r="E1145" t="str">
        <f>T("무장")</f>
        <v>무장</v>
      </c>
      <c r="H1145" t="str">
        <f>T("스토리위즈")</f>
        <v>스토리위즈</v>
      </c>
      <c r="I1145" t="str">
        <f>T("최종 보스 : 빛을 향해 달리는 그림자")</f>
        <v>최종 보스 : 빛을 향해 달리는 그림자</v>
      </c>
      <c r="J1145">
        <v>100</v>
      </c>
      <c r="K1145">
        <v>100</v>
      </c>
      <c r="L1145">
        <v>1</v>
      </c>
      <c r="M1145">
        <v>0</v>
      </c>
      <c r="N1145">
        <v>100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 s="2">
        <v>140</v>
      </c>
      <c r="AT1145" t="str">
        <f>T("9791166067563")</f>
        <v>9791166067563</v>
      </c>
      <c r="AV1145" t="str">
        <f>T("판타지 웹소설 &gt; 현대 판타지")</f>
        <v>판타지 웹소설 &gt; 현대 판타지</v>
      </c>
    </row>
    <row r="1146" spans="1:48" x14ac:dyDescent="0.4">
      <c r="A1146">
        <v>1525004030</v>
      </c>
      <c r="B1146">
        <v>1525004341</v>
      </c>
      <c r="C1146" t="str">
        <f>T("회귀의 전설 313화")</f>
        <v>회귀의 전설 313화</v>
      </c>
      <c r="D1146" t="str">
        <f>T("313")</f>
        <v>313</v>
      </c>
      <c r="E1146" t="str">
        <f>T("김광수")</f>
        <v>김광수</v>
      </c>
      <c r="H1146" t="str">
        <f>T("스토리위즈")</f>
        <v>스토리위즈</v>
      </c>
      <c r="I1146" t="str">
        <f>T("회귀의 전설")</f>
        <v>회귀의 전설</v>
      </c>
      <c r="J1146">
        <v>100</v>
      </c>
      <c r="K1146">
        <v>100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100</v>
      </c>
      <c r="AH1146">
        <v>1</v>
      </c>
      <c r="AI1146">
        <v>0</v>
      </c>
      <c r="AJ1146">
        <v>0</v>
      </c>
      <c r="AK1146">
        <v>100</v>
      </c>
      <c r="AL1146">
        <v>0</v>
      </c>
      <c r="AM1146">
        <v>0</v>
      </c>
      <c r="AN1146">
        <v>0</v>
      </c>
      <c r="AO1146">
        <v>0</v>
      </c>
      <c r="AP1146" s="2">
        <v>70</v>
      </c>
      <c r="AT1146" t="str">
        <f>T("9788997946006")</f>
        <v>9788997946006</v>
      </c>
      <c r="AV1146" t="str">
        <f>T("판타지 웹소설 &gt; 현대 판타지")</f>
        <v>판타지 웹소설 &gt; 현대 판타지</v>
      </c>
    </row>
    <row r="1147" spans="1:48" x14ac:dyDescent="0.4">
      <c r="A1147">
        <v>1525004030</v>
      </c>
      <c r="B1147">
        <v>1525007142</v>
      </c>
      <c r="C1147" t="str">
        <f>T("회귀의 전설 2부 1025화")</f>
        <v>회귀의 전설 2부 1025화</v>
      </c>
      <c r="D1147" t="str">
        <f>T("1025")</f>
        <v>1025</v>
      </c>
      <c r="E1147" t="str">
        <f>T("김광수")</f>
        <v>김광수</v>
      </c>
      <c r="H1147" t="str">
        <f>T("스토리위즈")</f>
        <v>스토리위즈</v>
      </c>
      <c r="I1147" t="str">
        <f>T("회귀의 전설")</f>
        <v>회귀의 전설</v>
      </c>
      <c r="J1147">
        <v>100</v>
      </c>
      <c r="K1147">
        <v>100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100</v>
      </c>
      <c r="AH1147">
        <v>1</v>
      </c>
      <c r="AI1147">
        <v>0</v>
      </c>
      <c r="AJ1147">
        <v>0</v>
      </c>
      <c r="AK1147">
        <v>100</v>
      </c>
      <c r="AL1147">
        <v>0</v>
      </c>
      <c r="AM1147">
        <v>0</v>
      </c>
      <c r="AN1147">
        <v>0</v>
      </c>
      <c r="AO1147">
        <v>0</v>
      </c>
      <c r="AP1147" s="2">
        <v>70</v>
      </c>
      <c r="AT1147" t="str">
        <f>T("9791191102086")</f>
        <v>9791191102086</v>
      </c>
      <c r="AV1147" t="str">
        <f>T("판타지 웹소설 &gt; 현대 판타지")</f>
        <v>판타지 웹소설 &gt; 현대 판타지</v>
      </c>
    </row>
    <row r="1148" spans="1:48" x14ac:dyDescent="0.4">
      <c r="A1148">
        <v>1525004030</v>
      </c>
      <c r="B1148">
        <v>1525004453</v>
      </c>
      <c r="C1148" t="str">
        <f>T("회귀의 전설 437화")</f>
        <v>회귀의 전설 437화</v>
      </c>
      <c r="D1148" t="str">
        <f>T("437")</f>
        <v>437</v>
      </c>
      <c r="E1148" t="str">
        <f>T("김광수")</f>
        <v>김광수</v>
      </c>
      <c r="H1148" t="str">
        <f>T("스토리위즈")</f>
        <v>스토리위즈</v>
      </c>
      <c r="I1148" t="str">
        <f>T("회귀의 전설")</f>
        <v>회귀의 전설</v>
      </c>
      <c r="J1148">
        <v>100</v>
      </c>
      <c r="K1148">
        <v>100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100</v>
      </c>
      <c r="AH1148">
        <v>1</v>
      </c>
      <c r="AI1148">
        <v>0</v>
      </c>
      <c r="AJ1148">
        <v>0</v>
      </c>
      <c r="AK1148">
        <v>100</v>
      </c>
      <c r="AL1148">
        <v>0</v>
      </c>
      <c r="AM1148">
        <v>0</v>
      </c>
      <c r="AN1148">
        <v>0</v>
      </c>
      <c r="AO1148">
        <v>0</v>
      </c>
      <c r="AP1148" s="2">
        <v>70</v>
      </c>
      <c r="AT1148" t="str">
        <f>T("9788997946006")</f>
        <v>9788997946006</v>
      </c>
      <c r="AV1148" t="str">
        <f>T("판타지 웹소설 &gt; 현대 판타지")</f>
        <v>판타지 웹소설 &gt; 현대 판타지</v>
      </c>
    </row>
    <row r="1149" spans="1:48" x14ac:dyDescent="0.4">
      <c r="A1149">
        <v>1525004030</v>
      </c>
      <c r="B1149">
        <v>1525004533</v>
      </c>
      <c r="C1149" t="str">
        <f>T("회귀의 전설 510화")</f>
        <v>회귀의 전설 510화</v>
      </c>
      <c r="D1149" t="str">
        <f>T("510")</f>
        <v>510</v>
      </c>
      <c r="E1149" t="str">
        <f>T("김광수")</f>
        <v>김광수</v>
      </c>
      <c r="H1149" t="str">
        <f>T("스토리위즈")</f>
        <v>스토리위즈</v>
      </c>
      <c r="I1149" t="str">
        <f>T("회귀의 전설")</f>
        <v>회귀의 전설</v>
      </c>
      <c r="J1149">
        <v>100</v>
      </c>
      <c r="K1149">
        <v>100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100</v>
      </c>
      <c r="AH1149">
        <v>1</v>
      </c>
      <c r="AI1149">
        <v>0</v>
      </c>
      <c r="AJ1149">
        <v>0</v>
      </c>
      <c r="AK1149">
        <v>100</v>
      </c>
      <c r="AL1149">
        <v>0</v>
      </c>
      <c r="AM1149">
        <v>0</v>
      </c>
      <c r="AN1149">
        <v>0</v>
      </c>
      <c r="AO1149">
        <v>0</v>
      </c>
      <c r="AP1149" s="2">
        <v>70</v>
      </c>
      <c r="AT1149" t="str">
        <f>T("9788997946006")</f>
        <v>9788997946006</v>
      </c>
      <c r="AV1149" t="str">
        <f>T("판타지 웹소설 &gt; 현대 판타지")</f>
        <v>판타지 웹소설 &gt; 현대 판타지</v>
      </c>
    </row>
    <row r="1150" spans="1:48" x14ac:dyDescent="0.4">
      <c r="A1150">
        <v>1525008545</v>
      </c>
      <c r="B1150">
        <v>1525008543</v>
      </c>
      <c r="C1150" t="str">
        <f>T("소년연애담 18화")</f>
        <v>소년연애담 18화</v>
      </c>
      <c r="D1150" t="str">
        <f>T("18")</f>
        <v>18</v>
      </c>
      <c r="E1150" t="str">
        <f>T("나나코")</f>
        <v>나나코</v>
      </c>
      <c r="H1150" t="str">
        <f>T("블러쉬")</f>
        <v>블러쉬</v>
      </c>
      <c r="I1150" t="str">
        <f>T("소년연애담")</f>
        <v>소년연애담</v>
      </c>
      <c r="J1150">
        <v>100</v>
      </c>
      <c r="K1150">
        <v>100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100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100</v>
      </c>
      <c r="AN1150">
        <v>0</v>
      </c>
      <c r="AO1150">
        <v>0</v>
      </c>
      <c r="AP1150" s="2">
        <v>70</v>
      </c>
      <c r="AR1150" t="str">
        <f>T("0000000000000")</f>
        <v>0000000000000</v>
      </c>
      <c r="AT1150" t="str">
        <f>T("9791164890729")</f>
        <v>9791164890729</v>
      </c>
      <c r="AU1150" t="str">
        <f>T("B12")</f>
        <v>B12</v>
      </c>
      <c r="AV1150" t="str">
        <f>T("BL 웹소설 &gt; 현대물")</f>
        <v>BL 웹소설 &gt; 현대물</v>
      </c>
    </row>
    <row r="1151" spans="1:48" x14ac:dyDescent="0.4">
      <c r="A1151">
        <v>1525004989</v>
      </c>
      <c r="B1151">
        <v>1525005559</v>
      </c>
      <c r="C1151" t="str">
        <f>T("신룡전설 70화")</f>
        <v>신룡전설 70화</v>
      </c>
      <c r="D1151" t="str">
        <f>T("70")</f>
        <v>70</v>
      </c>
      <c r="E1151" t="str">
        <f>T("가람검")</f>
        <v>가람검</v>
      </c>
      <c r="H1151" t="str">
        <f>T("스토리위즈")</f>
        <v>스토리위즈</v>
      </c>
      <c r="I1151" t="str">
        <f>T("신룡전설")</f>
        <v>신룡전설</v>
      </c>
      <c r="J1151">
        <v>100</v>
      </c>
      <c r="K1151">
        <v>100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100</v>
      </c>
      <c r="AH1151">
        <v>1</v>
      </c>
      <c r="AI1151">
        <v>0</v>
      </c>
      <c r="AJ1151">
        <v>0</v>
      </c>
      <c r="AK1151">
        <v>100</v>
      </c>
      <c r="AL1151">
        <v>0</v>
      </c>
      <c r="AM1151">
        <v>0</v>
      </c>
      <c r="AN1151">
        <v>0</v>
      </c>
      <c r="AO1151">
        <v>0</v>
      </c>
      <c r="AP1151" s="2">
        <v>70</v>
      </c>
      <c r="AT1151" t="str">
        <f>T("9791159283505")</f>
        <v>9791159283505</v>
      </c>
      <c r="AV1151" t="str">
        <f>T("판타지 웹소설 &gt; 무협 소설")</f>
        <v>판타지 웹소설 &gt; 무협 소설</v>
      </c>
    </row>
    <row r="1152" spans="1:48" x14ac:dyDescent="0.4">
      <c r="A1152">
        <v>1525008604</v>
      </c>
      <c r="B1152">
        <v>1525008599</v>
      </c>
      <c r="C1152" t="str">
        <f>T("우아한 곡선 15화")</f>
        <v>우아한 곡선 15화</v>
      </c>
      <c r="D1152" t="str">
        <f>T("15")</f>
        <v>15</v>
      </c>
      <c r="E1152" t="str">
        <f>T("용가리맛쿠키")</f>
        <v>용가리맛쿠키</v>
      </c>
      <c r="H1152" t="str">
        <f>T("블러쉬")</f>
        <v>블러쉬</v>
      </c>
      <c r="I1152" t="str">
        <f>T("우아한 곡선")</f>
        <v>우아한 곡선</v>
      </c>
      <c r="J1152">
        <v>100</v>
      </c>
      <c r="K1152">
        <v>100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100</v>
      </c>
      <c r="AH1152">
        <v>1</v>
      </c>
      <c r="AI1152">
        <v>0</v>
      </c>
      <c r="AJ1152">
        <v>0</v>
      </c>
      <c r="AK1152">
        <v>100</v>
      </c>
      <c r="AL1152">
        <v>0</v>
      </c>
      <c r="AM1152">
        <v>0</v>
      </c>
      <c r="AN1152">
        <v>0</v>
      </c>
      <c r="AO1152">
        <v>0</v>
      </c>
      <c r="AP1152" s="2">
        <v>70</v>
      </c>
      <c r="AR1152" t="str">
        <f>T("0000000000000")</f>
        <v>0000000000000</v>
      </c>
      <c r="AT1152" t="str">
        <f>T("9791164896615")</f>
        <v>9791164896615</v>
      </c>
      <c r="AV1152" t="str">
        <f>T("BL 웹소설 &gt; 현대물")</f>
        <v>BL 웹소설 &gt; 현대물</v>
      </c>
    </row>
    <row r="1153" spans="1:48" x14ac:dyDescent="0.4">
      <c r="A1153">
        <v>1525004030</v>
      </c>
      <c r="B1153">
        <v>1525007102</v>
      </c>
      <c r="C1153" t="str">
        <f>T("회귀의 전설 2부 986화")</f>
        <v>회귀의 전설 2부 986화</v>
      </c>
      <c r="D1153" t="str">
        <f>T("986")</f>
        <v>986</v>
      </c>
      <c r="E1153" t="str">
        <f>T("김광수")</f>
        <v>김광수</v>
      </c>
      <c r="H1153" t="str">
        <f>T("스토리위즈")</f>
        <v>스토리위즈</v>
      </c>
      <c r="I1153" t="str">
        <f>T("회귀의 전설")</f>
        <v>회귀의 전설</v>
      </c>
      <c r="J1153">
        <v>100</v>
      </c>
      <c r="K1153">
        <v>100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100</v>
      </c>
      <c r="AH1153">
        <v>1</v>
      </c>
      <c r="AI1153">
        <v>0</v>
      </c>
      <c r="AJ1153">
        <v>0</v>
      </c>
      <c r="AK1153">
        <v>100</v>
      </c>
      <c r="AL1153">
        <v>0</v>
      </c>
      <c r="AM1153">
        <v>0</v>
      </c>
      <c r="AN1153">
        <v>0</v>
      </c>
      <c r="AO1153">
        <v>0</v>
      </c>
      <c r="AP1153" s="2">
        <v>70</v>
      </c>
      <c r="AT1153" t="str">
        <f>T("9791191102086")</f>
        <v>9791191102086</v>
      </c>
      <c r="AV1153" t="str">
        <f>T("판타지 웹소설 &gt; 현대 판타지")</f>
        <v>판타지 웹소설 &gt; 현대 판타지</v>
      </c>
    </row>
    <row r="1154" spans="1:48" x14ac:dyDescent="0.4">
      <c r="A1154">
        <v>1525007923</v>
      </c>
      <c r="B1154">
        <v>1525007994</v>
      </c>
      <c r="C1154" t="str">
        <f>T("운상연담: 화불능귀일락 84화")</f>
        <v>운상연담: 화불능귀일락 84화</v>
      </c>
      <c r="D1154" t="str">
        <f>T("84")</f>
        <v>84</v>
      </c>
      <c r="E1154" t="str">
        <f>T("피모")</f>
        <v>피모</v>
      </c>
      <c r="H1154" t="str">
        <f>T("쉬라즈")</f>
        <v>쉬라즈</v>
      </c>
      <c r="I1154" t="str">
        <f>T("운상연담: 화불능귀일락")</f>
        <v>운상연담: 화불능귀일락</v>
      </c>
      <c r="J1154">
        <v>100</v>
      </c>
      <c r="K1154">
        <v>100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100</v>
      </c>
      <c r="AH1154">
        <v>1</v>
      </c>
      <c r="AI1154">
        <v>0</v>
      </c>
      <c r="AJ1154">
        <v>0</v>
      </c>
      <c r="AK1154">
        <v>100</v>
      </c>
      <c r="AL1154">
        <v>0</v>
      </c>
      <c r="AM1154">
        <v>0</v>
      </c>
      <c r="AN1154">
        <v>0</v>
      </c>
      <c r="AO1154">
        <v>0</v>
      </c>
      <c r="AP1154" s="2">
        <v>70</v>
      </c>
      <c r="AT1154" t="str">
        <f>T("9791164896646")</f>
        <v>9791164896646</v>
      </c>
      <c r="AV1154" t="str">
        <f>T("로맨스 웹소설 &gt; 역사/시대물")</f>
        <v>로맨스 웹소설 &gt; 역사/시대물</v>
      </c>
    </row>
    <row r="1155" spans="1:48" x14ac:dyDescent="0.4">
      <c r="A1155">
        <v>1525010579</v>
      </c>
      <c r="B1155">
        <v>1525010237</v>
      </c>
      <c r="C1155" t="str">
        <f>T("법보다 주먹 341화")</f>
        <v>법보다 주먹 341화</v>
      </c>
      <c r="D1155" t="str">
        <f>T("341")</f>
        <v>341</v>
      </c>
      <c r="E1155" t="str">
        <f>T("백범(白帆)")</f>
        <v>백범(白帆)</v>
      </c>
      <c r="H1155" t="str">
        <f>T("에필로그")</f>
        <v>에필로그</v>
      </c>
      <c r="I1155" t="str">
        <f>T("법보다 주먹")</f>
        <v>법보다 주먹</v>
      </c>
      <c r="J1155">
        <v>100</v>
      </c>
      <c r="K1155">
        <v>100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100</v>
      </c>
      <c r="AH1155">
        <v>1</v>
      </c>
      <c r="AI1155">
        <v>0</v>
      </c>
      <c r="AJ1155">
        <v>0</v>
      </c>
      <c r="AK1155">
        <v>100</v>
      </c>
      <c r="AL1155">
        <v>0</v>
      </c>
      <c r="AM1155">
        <v>0</v>
      </c>
      <c r="AN1155">
        <v>0</v>
      </c>
      <c r="AO1155">
        <v>0</v>
      </c>
      <c r="AP1155" s="2">
        <v>70</v>
      </c>
      <c r="AT1155" t="str">
        <f>T("9791164489367")</f>
        <v>9791164489367</v>
      </c>
      <c r="AV1155" t="str">
        <f>T("판타지 웹소설 &gt; 현대 판타지")</f>
        <v>판타지 웹소설 &gt; 현대 판타지</v>
      </c>
    </row>
    <row r="1156" spans="1:48" x14ac:dyDescent="0.4">
      <c r="A1156">
        <v>1525002864</v>
      </c>
      <c r="B1156">
        <v>1525002895</v>
      </c>
      <c r="C1156" t="str">
        <f>T("소드마스터의 환생 32화")</f>
        <v>소드마스터의 환생 32화</v>
      </c>
      <c r="D1156" t="str">
        <f>T("32")</f>
        <v>32</v>
      </c>
      <c r="E1156" t="str">
        <f>T("파란영")</f>
        <v>파란영</v>
      </c>
      <c r="H1156" t="str">
        <f>T("스토리위즈")</f>
        <v>스토리위즈</v>
      </c>
      <c r="I1156" t="str">
        <f>T("소드마스터의 환생")</f>
        <v>소드마스터의 환생</v>
      </c>
      <c r="J1156">
        <v>100</v>
      </c>
      <c r="K1156">
        <v>100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100</v>
      </c>
      <c r="AH1156">
        <v>1</v>
      </c>
      <c r="AI1156">
        <v>0</v>
      </c>
      <c r="AJ1156">
        <v>0</v>
      </c>
      <c r="AK1156">
        <v>100</v>
      </c>
      <c r="AL1156">
        <v>0</v>
      </c>
      <c r="AM1156">
        <v>0</v>
      </c>
      <c r="AN1156">
        <v>0</v>
      </c>
      <c r="AO1156">
        <v>0</v>
      </c>
      <c r="AP1156" s="2">
        <v>70</v>
      </c>
      <c r="AT1156" t="str">
        <f>T("9791159287527")</f>
        <v>9791159287527</v>
      </c>
      <c r="AV1156" t="str">
        <f>T("판타지 웹소설 &gt; 정통 판타지")</f>
        <v>판타지 웹소설 &gt; 정통 판타지</v>
      </c>
    </row>
    <row r="1157" spans="1:48" x14ac:dyDescent="0.4">
      <c r="A1157">
        <v>2313011400</v>
      </c>
      <c r="B1157">
        <v>1525007648</v>
      </c>
      <c r="C1157" t="str">
        <f>T("최종 보스 21권 13화")</f>
        <v>최종 보스 21권 13화</v>
      </c>
      <c r="D1157" t="str">
        <f>T("426")</f>
        <v>426</v>
      </c>
      <c r="E1157" t="str">
        <f>T("무장")</f>
        <v>무장</v>
      </c>
      <c r="H1157" t="str">
        <f>T("스토리위즈")</f>
        <v>스토리위즈</v>
      </c>
      <c r="I1157" t="str">
        <f>T("최종 보스 : 빛을 향해 달리는 그림자")</f>
        <v>최종 보스 : 빛을 향해 달리는 그림자</v>
      </c>
      <c r="J1157">
        <v>100</v>
      </c>
      <c r="K1157">
        <v>100</v>
      </c>
      <c r="L1157">
        <v>1</v>
      </c>
      <c r="M1157">
        <v>0</v>
      </c>
      <c r="N1157">
        <v>100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 s="2">
        <v>140</v>
      </c>
      <c r="AT1157" t="str">
        <f>T("9791166067563")</f>
        <v>9791166067563</v>
      </c>
      <c r="AV1157" t="str">
        <f>T("판타지 웹소설 &gt; 현대 판타지")</f>
        <v>판타지 웹소설 &gt; 현대 판타지</v>
      </c>
    </row>
    <row r="1158" spans="1:48" x14ac:dyDescent="0.4">
      <c r="A1158">
        <v>1525004030</v>
      </c>
      <c r="B1158">
        <v>1525004549</v>
      </c>
      <c r="C1158" t="str">
        <f>T("회귀의 전설 492화")</f>
        <v>회귀의 전설 492화</v>
      </c>
      <c r="D1158" t="str">
        <f>T("492")</f>
        <v>492</v>
      </c>
      <c r="E1158" t="str">
        <f>T("김광수")</f>
        <v>김광수</v>
      </c>
      <c r="H1158" t="str">
        <f>T("스토리위즈")</f>
        <v>스토리위즈</v>
      </c>
      <c r="I1158" t="str">
        <f>T("회귀의 전설")</f>
        <v>회귀의 전설</v>
      </c>
      <c r="J1158">
        <v>100</v>
      </c>
      <c r="K1158">
        <v>100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100</v>
      </c>
      <c r="AH1158">
        <v>1</v>
      </c>
      <c r="AI1158">
        <v>0</v>
      </c>
      <c r="AJ1158">
        <v>0</v>
      </c>
      <c r="AK1158">
        <v>100</v>
      </c>
      <c r="AL1158">
        <v>0</v>
      </c>
      <c r="AM1158">
        <v>0</v>
      </c>
      <c r="AN1158">
        <v>0</v>
      </c>
      <c r="AO1158">
        <v>0</v>
      </c>
      <c r="AP1158" s="2">
        <v>70</v>
      </c>
      <c r="AT1158" t="str">
        <f>T("9788997946006")</f>
        <v>9788997946006</v>
      </c>
      <c r="AV1158" t="str">
        <f>T("판타지 웹소설 &gt; 현대 판타지")</f>
        <v>판타지 웹소설 &gt; 현대 판타지</v>
      </c>
    </row>
    <row r="1159" spans="1:48" x14ac:dyDescent="0.4">
      <c r="A1159">
        <v>1525004030</v>
      </c>
      <c r="B1159">
        <v>1525006706</v>
      </c>
      <c r="C1159" t="str">
        <f>T("회귀의 전설 2부 589화")</f>
        <v>회귀의 전설 2부 589화</v>
      </c>
      <c r="D1159" t="str">
        <f>T("589")</f>
        <v>589</v>
      </c>
      <c r="E1159" t="str">
        <f>T("김광수")</f>
        <v>김광수</v>
      </c>
      <c r="H1159" t="str">
        <f>T("스토리위즈")</f>
        <v>스토리위즈</v>
      </c>
      <c r="I1159" t="str">
        <f>T("회귀의 전설")</f>
        <v>회귀의 전설</v>
      </c>
      <c r="J1159">
        <v>100</v>
      </c>
      <c r="K1159">
        <v>100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100</v>
      </c>
      <c r="AH1159">
        <v>1</v>
      </c>
      <c r="AI1159">
        <v>0</v>
      </c>
      <c r="AJ1159">
        <v>0</v>
      </c>
      <c r="AK1159">
        <v>100</v>
      </c>
      <c r="AL1159">
        <v>0</v>
      </c>
      <c r="AM1159">
        <v>0</v>
      </c>
      <c r="AN1159">
        <v>0</v>
      </c>
      <c r="AO1159">
        <v>0</v>
      </c>
      <c r="AP1159" s="2">
        <v>70</v>
      </c>
      <c r="AT1159" t="str">
        <f>T("9791191102086")</f>
        <v>9791191102086</v>
      </c>
      <c r="AV1159" t="str">
        <f>T("판타지 웹소설 &gt; 현대 판타지")</f>
        <v>판타지 웹소설 &gt; 현대 판타지</v>
      </c>
    </row>
    <row r="1160" spans="1:48" x14ac:dyDescent="0.4">
      <c r="A1160">
        <v>1525000569</v>
      </c>
      <c r="B1160">
        <v>1525000615</v>
      </c>
      <c r="C1160" t="str">
        <f>T("스트라이커 47화")</f>
        <v>스트라이커 47화</v>
      </c>
      <c r="D1160" t="str">
        <f>T("47")</f>
        <v>47</v>
      </c>
      <c r="E1160" t="str">
        <f>T("독고진")</f>
        <v>독고진</v>
      </c>
      <c r="H1160" t="str">
        <f>T("스토리위즈")</f>
        <v>스토리위즈</v>
      </c>
      <c r="I1160" t="str">
        <f>T("스트라이커")</f>
        <v>스트라이커</v>
      </c>
      <c r="J1160">
        <v>100</v>
      </c>
      <c r="K1160">
        <v>100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100</v>
      </c>
      <c r="AH1160">
        <v>1</v>
      </c>
      <c r="AI1160">
        <v>0</v>
      </c>
      <c r="AJ1160">
        <v>0</v>
      </c>
      <c r="AK1160">
        <v>100</v>
      </c>
      <c r="AL1160">
        <v>0</v>
      </c>
      <c r="AM1160">
        <v>0</v>
      </c>
      <c r="AN1160">
        <v>0</v>
      </c>
      <c r="AO1160">
        <v>0</v>
      </c>
      <c r="AP1160" s="2">
        <v>70</v>
      </c>
      <c r="AT1160" t="str">
        <f>T("9791170151678")</f>
        <v>9791170151678</v>
      </c>
      <c r="AV1160" t="str">
        <f>T("판타지 웹소설 &gt; 현대 판타지")</f>
        <v>판타지 웹소설 &gt; 현대 판타지</v>
      </c>
    </row>
    <row r="1161" spans="1:48" x14ac:dyDescent="0.4">
      <c r="A1161">
        <v>1525007872</v>
      </c>
      <c r="B1161">
        <v>1525007898</v>
      </c>
      <c r="C1161" t="str">
        <f>T("아침이 오지 않아도 9화")</f>
        <v>아침이 오지 않아도 9화</v>
      </c>
      <c r="D1161" t="str">
        <f>T("9")</f>
        <v>9</v>
      </c>
      <c r="E1161" t="str">
        <f>T("홍영")</f>
        <v>홍영</v>
      </c>
      <c r="H1161" t="str">
        <f>T("러브스토리")</f>
        <v>러브스토리</v>
      </c>
      <c r="I1161" t="str">
        <f>T("아침이 오지 않아도")</f>
        <v>아침이 오지 않아도</v>
      </c>
      <c r="J1161">
        <v>100</v>
      </c>
      <c r="K1161">
        <v>100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100</v>
      </c>
      <c r="AH1161">
        <v>1</v>
      </c>
      <c r="AI1161">
        <v>0</v>
      </c>
      <c r="AJ1161">
        <v>0</v>
      </c>
      <c r="AK1161">
        <v>100</v>
      </c>
      <c r="AL1161">
        <v>0</v>
      </c>
      <c r="AM1161">
        <v>0</v>
      </c>
      <c r="AN1161">
        <v>0</v>
      </c>
      <c r="AO1161">
        <v>0</v>
      </c>
      <c r="AP1161" s="2">
        <v>70</v>
      </c>
      <c r="AR1161" t="str">
        <f>T("0000000000000")</f>
        <v>0000000000000</v>
      </c>
      <c r="AT1161" t="str">
        <f>T("9791164899708")</f>
        <v>9791164899708</v>
      </c>
      <c r="AV1161" t="str">
        <f>T("로맨스 웹소설 &gt; 현대물")</f>
        <v>로맨스 웹소설 &gt; 현대물</v>
      </c>
    </row>
    <row r="1162" spans="1:48" x14ac:dyDescent="0.4">
      <c r="A1162">
        <v>1525004030</v>
      </c>
      <c r="B1162">
        <v>1525007063</v>
      </c>
      <c r="C1162" t="str">
        <f>T("회귀의 전설 2부 947화")</f>
        <v>회귀의 전설 2부 947화</v>
      </c>
      <c r="D1162" t="str">
        <f>T("947")</f>
        <v>947</v>
      </c>
      <c r="E1162" t="str">
        <f>T("김광수")</f>
        <v>김광수</v>
      </c>
      <c r="H1162" t="str">
        <f t="shared" ref="H1162:H1170" si="155">T("스토리위즈")</f>
        <v>스토리위즈</v>
      </c>
      <c r="I1162" t="str">
        <f>T("회귀의 전설")</f>
        <v>회귀의 전설</v>
      </c>
      <c r="J1162">
        <v>100</v>
      </c>
      <c r="K1162">
        <v>100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100</v>
      </c>
      <c r="AH1162">
        <v>1</v>
      </c>
      <c r="AI1162">
        <v>0</v>
      </c>
      <c r="AJ1162">
        <v>0</v>
      </c>
      <c r="AK1162">
        <v>100</v>
      </c>
      <c r="AL1162">
        <v>0</v>
      </c>
      <c r="AM1162">
        <v>0</v>
      </c>
      <c r="AN1162">
        <v>0</v>
      </c>
      <c r="AO1162">
        <v>0</v>
      </c>
      <c r="AP1162" s="2">
        <v>70</v>
      </c>
      <c r="AT1162" t="str">
        <f>T("9791191102086")</f>
        <v>9791191102086</v>
      </c>
      <c r="AV1162" t="str">
        <f>T("판타지 웹소설 &gt; 현대 판타지")</f>
        <v>판타지 웹소설 &gt; 현대 판타지</v>
      </c>
    </row>
    <row r="1163" spans="1:48" x14ac:dyDescent="0.4">
      <c r="A1163">
        <v>1525004989</v>
      </c>
      <c r="B1163">
        <v>1525005632</v>
      </c>
      <c r="C1163" t="str">
        <f>T("신룡전설 143화")</f>
        <v>신룡전설 143화</v>
      </c>
      <c r="D1163" t="str">
        <f>T("143")</f>
        <v>143</v>
      </c>
      <c r="E1163" t="str">
        <f>T("가람검")</f>
        <v>가람검</v>
      </c>
      <c r="H1163" t="str">
        <f t="shared" si="155"/>
        <v>스토리위즈</v>
      </c>
      <c r="I1163" t="str">
        <f>T("신룡전설")</f>
        <v>신룡전설</v>
      </c>
      <c r="J1163">
        <v>100</v>
      </c>
      <c r="K1163">
        <v>100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100</v>
      </c>
      <c r="AH1163">
        <v>1</v>
      </c>
      <c r="AI1163">
        <v>0</v>
      </c>
      <c r="AJ1163">
        <v>0</v>
      </c>
      <c r="AK1163">
        <v>100</v>
      </c>
      <c r="AL1163">
        <v>0</v>
      </c>
      <c r="AM1163">
        <v>0</v>
      </c>
      <c r="AN1163">
        <v>0</v>
      </c>
      <c r="AO1163">
        <v>0</v>
      </c>
      <c r="AP1163" s="2">
        <v>70</v>
      </c>
      <c r="AT1163" t="str">
        <f>T("9791159283505")</f>
        <v>9791159283505</v>
      </c>
      <c r="AV1163" t="str">
        <f>T("판타지 웹소설 &gt; 무협 소설")</f>
        <v>판타지 웹소설 &gt; 무협 소설</v>
      </c>
    </row>
    <row r="1164" spans="1:48" x14ac:dyDescent="0.4">
      <c r="A1164">
        <v>2313011400</v>
      </c>
      <c r="B1164">
        <v>1525007609</v>
      </c>
      <c r="C1164" t="str">
        <f>T("최종 보스 19권 15화")</f>
        <v>최종 보스 19권 15화</v>
      </c>
      <c r="D1164" t="str">
        <f>T("387")</f>
        <v>387</v>
      </c>
      <c r="E1164" t="str">
        <f>T("무장")</f>
        <v>무장</v>
      </c>
      <c r="H1164" t="str">
        <f t="shared" si="155"/>
        <v>스토리위즈</v>
      </c>
      <c r="I1164" t="str">
        <f>T("최종 보스 : 빛을 향해 달리는 그림자")</f>
        <v>최종 보스 : 빛을 향해 달리는 그림자</v>
      </c>
      <c r="J1164">
        <v>100</v>
      </c>
      <c r="K1164">
        <v>100</v>
      </c>
      <c r="L1164">
        <v>1</v>
      </c>
      <c r="M1164">
        <v>0</v>
      </c>
      <c r="N1164">
        <v>100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 s="2">
        <v>140</v>
      </c>
      <c r="AT1164" t="str">
        <f>T("9791166067563")</f>
        <v>9791166067563</v>
      </c>
      <c r="AV1164" t="str">
        <f>T("판타지 웹소설 &gt; 현대 판타지")</f>
        <v>판타지 웹소설 &gt; 현대 판타지</v>
      </c>
    </row>
    <row r="1165" spans="1:48" x14ac:dyDescent="0.4">
      <c r="A1165">
        <v>1525004030</v>
      </c>
      <c r="B1165">
        <v>1525004334</v>
      </c>
      <c r="C1165" t="str">
        <f>T("회귀의 전설 305화")</f>
        <v>회귀의 전설 305화</v>
      </c>
      <c r="D1165" t="str">
        <f>T("305")</f>
        <v>305</v>
      </c>
      <c r="E1165" t="str">
        <f>T("김광수")</f>
        <v>김광수</v>
      </c>
      <c r="H1165" t="str">
        <f t="shared" si="155"/>
        <v>스토리위즈</v>
      </c>
      <c r="I1165" t="str">
        <f>T("회귀의 전설")</f>
        <v>회귀의 전설</v>
      </c>
      <c r="J1165">
        <v>100</v>
      </c>
      <c r="K1165">
        <v>100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100</v>
      </c>
      <c r="AH1165">
        <v>1</v>
      </c>
      <c r="AI1165">
        <v>0</v>
      </c>
      <c r="AJ1165">
        <v>0</v>
      </c>
      <c r="AK1165">
        <v>100</v>
      </c>
      <c r="AL1165">
        <v>0</v>
      </c>
      <c r="AM1165">
        <v>0</v>
      </c>
      <c r="AN1165">
        <v>0</v>
      </c>
      <c r="AO1165">
        <v>0</v>
      </c>
      <c r="AP1165" s="2">
        <v>70</v>
      </c>
      <c r="AT1165" t="str">
        <f>T("9788997946006")</f>
        <v>9788997946006</v>
      </c>
      <c r="AV1165" t="str">
        <f>T("판타지 웹소설 &gt; 현대 판타지")</f>
        <v>판타지 웹소설 &gt; 현대 판타지</v>
      </c>
    </row>
    <row r="1166" spans="1:48" x14ac:dyDescent="0.4">
      <c r="A1166">
        <v>1525004030</v>
      </c>
      <c r="B1166">
        <v>1525007135</v>
      </c>
      <c r="C1166" t="str">
        <f>T("회귀의 전설 2부 1019화")</f>
        <v>회귀의 전설 2부 1019화</v>
      </c>
      <c r="D1166" t="str">
        <f>T("1019")</f>
        <v>1019</v>
      </c>
      <c r="E1166" t="str">
        <f>T("김광수")</f>
        <v>김광수</v>
      </c>
      <c r="H1166" t="str">
        <f t="shared" si="155"/>
        <v>스토리위즈</v>
      </c>
      <c r="I1166" t="str">
        <f>T("회귀의 전설")</f>
        <v>회귀의 전설</v>
      </c>
      <c r="J1166">
        <v>100</v>
      </c>
      <c r="K1166">
        <v>100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100</v>
      </c>
      <c r="AH1166">
        <v>1</v>
      </c>
      <c r="AI1166">
        <v>0</v>
      </c>
      <c r="AJ1166">
        <v>0</v>
      </c>
      <c r="AK1166">
        <v>100</v>
      </c>
      <c r="AL1166">
        <v>0</v>
      </c>
      <c r="AM1166">
        <v>0</v>
      </c>
      <c r="AN1166">
        <v>0</v>
      </c>
      <c r="AO1166">
        <v>0</v>
      </c>
      <c r="AP1166" s="2">
        <v>70</v>
      </c>
      <c r="AT1166" t="str">
        <f>T("9791191102086")</f>
        <v>9791191102086</v>
      </c>
      <c r="AV1166" t="str">
        <f>T("판타지 웹소설 &gt; 현대 판타지")</f>
        <v>판타지 웹소설 &gt; 현대 판타지</v>
      </c>
    </row>
    <row r="1167" spans="1:48" x14ac:dyDescent="0.4">
      <c r="A1167">
        <v>1525004030</v>
      </c>
      <c r="B1167">
        <v>1525004446</v>
      </c>
      <c r="C1167" t="str">
        <f>T("회귀의 전설 430화")</f>
        <v>회귀의 전설 430화</v>
      </c>
      <c r="D1167" t="str">
        <f>T("430")</f>
        <v>430</v>
      </c>
      <c r="E1167" t="str">
        <f>T("김광수")</f>
        <v>김광수</v>
      </c>
      <c r="H1167" t="str">
        <f t="shared" si="155"/>
        <v>스토리위즈</v>
      </c>
      <c r="I1167" t="str">
        <f>T("회귀의 전설")</f>
        <v>회귀의 전설</v>
      </c>
      <c r="J1167">
        <v>100</v>
      </c>
      <c r="K1167">
        <v>100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100</v>
      </c>
      <c r="AH1167">
        <v>1</v>
      </c>
      <c r="AI1167">
        <v>0</v>
      </c>
      <c r="AJ1167">
        <v>0</v>
      </c>
      <c r="AK1167">
        <v>100</v>
      </c>
      <c r="AL1167">
        <v>0</v>
      </c>
      <c r="AM1167">
        <v>0</v>
      </c>
      <c r="AN1167">
        <v>0</v>
      </c>
      <c r="AO1167">
        <v>0</v>
      </c>
      <c r="AP1167" s="2">
        <v>70</v>
      </c>
      <c r="AT1167" t="str">
        <f>T("9788997946006")</f>
        <v>9788997946006</v>
      </c>
      <c r="AV1167" t="str">
        <f>T("판타지 웹소설 &gt; 현대 판타지")</f>
        <v>판타지 웹소설 &gt; 현대 판타지</v>
      </c>
    </row>
    <row r="1168" spans="1:48" x14ac:dyDescent="0.4">
      <c r="A1168">
        <v>1525004030</v>
      </c>
      <c r="B1168">
        <v>1525004526</v>
      </c>
      <c r="C1168" t="str">
        <f>T("회귀의 전설 493화")</f>
        <v>회귀의 전설 493화</v>
      </c>
      <c r="D1168" t="str">
        <f>T("493")</f>
        <v>493</v>
      </c>
      <c r="E1168" t="str">
        <f>T("김광수")</f>
        <v>김광수</v>
      </c>
      <c r="H1168" t="str">
        <f t="shared" si="155"/>
        <v>스토리위즈</v>
      </c>
      <c r="I1168" t="str">
        <f>T("회귀의 전설")</f>
        <v>회귀의 전설</v>
      </c>
      <c r="J1168">
        <v>100</v>
      </c>
      <c r="K1168">
        <v>100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100</v>
      </c>
      <c r="AH1168">
        <v>1</v>
      </c>
      <c r="AI1168">
        <v>0</v>
      </c>
      <c r="AJ1168">
        <v>0</v>
      </c>
      <c r="AK1168">
        <v>100</v>
      </c>
      <c r="AL1168">
        <v>0</v>
      </c>
      <c r="AM1168">
        <v>0</v>
      </c>
      <c r="AN1168">
        <v>0</v>
      </c>
      <c r="AO1168">
        <v>0</v>
      </c>
      <c r="AP1168" s="2">
        <v>70</v>
      </c>
      <c r="AT1168" t="str">
        <f>T("9788997946006")</f>
        <v>9788997946006</v>
      </c>
      <c r="AV1168" t="str">
        <f>T("판타지 웹소설 &gt; 현대 판타지")</f>
        <v>판타지 웹소설 &gt; 현대 판타지</v>
      </c>
    </row>
    <row r="1169" spans="1:48" x14ac:dyDescent="0.4">
      <c r="A1169">
        <v>1525004989</v>
      </c>
      <c r="B1169">
        <v>1525005552</v>
      </c>
      <c r="C1169" t="str">
        <f>T("신룡전설 63화")</f>
        <v>신룡전설 63화</v>
      </c>
      <c r="D1169" t="str">
        <f>T("63")</f>
        <v>63</v>
      </c>
      <c r="E1169" t="str">
        <f>T("가람검")</f>
        <v>가람검</v>
      </c>
      <c r="H1169" t="str">
        <f t="shared" si="155"/>
        <v>스토리위즈</v>
      </c>
      <c r="I1169" t="str">
        <f>T("신룡전설")</f>
        <v>신룡전설</v>
      </c>
      <c r="J1169">
        <v>100</v>
      </c>
      <c r="K1169">
        <v>100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100</v>
      </c>
      <c r="AH1169">
        <v>1</v>
      </c>
      <c r="AI1169">
        <v>0</v>
      </c>
      <c r="AJ1169">
        <v>0</v>
      </c>
      <c r="AK1169">
        <v>100</v>
      </c>
      <c r="AL1169">
        <v>0</v>
      </c>
      <c r="AM1169">
        <v>0</v>
      </c>
      <c r="AN1169">
        <v>0</v>
      </c>
      <c r="AO1169">
        <v>0</v>
      </c>
      <c r="AP1169" s="2">
        <v>70</v>
      </c>
      <c r="AT1169" t="str">
        <f>T("9791159283505")</f>
        <v>9791159283505</v>
      </c>
      <c r="AV1169" t="str">
        <f>T("판타지 웹소설 &gt; 무협 소설")</f>
        <v>판타지 웹소설 &gt; 무협 소설</v>
      </c>
    </row>
    <row r="1170" spans="1:48" x14ac:dyDescent="0.4">
      <c r="A1170">
        <v>1525004030</v>
      </c>
      <c r="B1170">
        <v>1525007095</v>
      </c>
      <c r="C1170" t="str">
        <f>T("회귀의 전설 2부 979화")</f>
        <v>회귀의 전설 2부 979화</v>
      </c>
      <c r="D1170" t="str">
        <f>T("979")</f>
        <v>979</v>
      </c>
      <c r="E1170" t="str">
        <f>T("김광수")</f>
        <v>김광수</v>
      </c>
      <c r="H1170" t="str">
        <f t="shared" si="155"/>
        <v>스토리위즈</v>
      </c>
      <c r="I1170" t="str">
        <f>T("회귀의 전설")</f>
        <v>회귀의 전설</v>
      </c>
      <c r="J1170">
        <v>100</v>
      </c>
      <c r="K1170">
        <v>100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100</v>
      </c>
      <c r="AH1170">
        <v>1</v>
      </c>
      <c r="AI1170">
        <v>0</v>
      </c>
      <c r="AJ1170">
        <v>0</v>
      </c>
      <c r="AK1170">
        <v>100</v>
      </c>
      <c r="AL1170">
        <v>0</v>
      </c>
      <c r="AM1170">
        <v>0</v>
      </c>
      <c r="AN1170">
        <v>0</v>
      </c>
      <c r="AO1170">
        <v>0</v>
      </c>
      <c r="AP1170" s="2">
        <v>70</v>
      </c>
      <c r="AT1170" t="str">
        <f>T("9791191102086")</f>
        <v>9791191102086</v>
      </c>
      <c r="AV1170" t="str">
        <f>T("판타지 웹소설 &gt; 현대 판타지")</f>
        <v>판타지 웹소설 &gt; 현대 판타지</v>
      </c>
    </row>
    <row r="1171" spans="1:48" x14ac:dyDescent="0.4">
      <c r="A1171">
        <v>1525007923</v>
      </c>
      <c r="B1171">
        <v>1525007986</v>
      </c>
      <c r="C1171" t="str">
        <f>T("운상연담: 화불능귀일락 77화")</f>
        <v>운상연담: 화불능귀일락 77화</v>
      </c>
      <c r="D1171" t="str">
        <f>T("77")</f>
        <v>77</v>
      </c>
      <c r="E1171" t="str">
        <f>T("피모")</f>
        <v>피모</v>
      </c>
      <c r="H1171" t="str">
        <f>T("쉬라즈")</f>
        <v>쉬라즈</v>
      </c>
      <c r="I1171" t="str">
        <f>T("운상연담: 화불능귀일락")</f>
        <v>운상연담: 화불능귀일락</v>
      </c>
      <c r="J1171">
        <v>100</v>
      </c>
      <c r="K1171">
        <v>100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100</v>
      </c>
      <c r="AH1171">
        <v>1</v>
      </c>
      <c r="AI1171">
        <v>0</v>
      </c>
      <c r="AJ1171">
        <v>0</v>
      </c>
      <c r="AK1171">
        <v>100</v>
      </c>
      <c r="AL1171">
        <v>0</v>
      </c>
      <c r="AM1171">
        <v>0</v>
      </c>
      <c r="AN1171">
        <v>0</v>
      </c>
      <c r="AO1171">
        <v>0</v>
      </c>
      <c r="AP1171" s="2">
        <v>70</v>
      </c>
      <c r="AT1171" t="str">
        <f>T("9791164896646")</f>
        <v>9791164896646</v>
      </c>
      <c r="AV1171" t="str">
        <f>T("로맨스 웹소설 &gt; 역사/시대물")</f>
        <v>로맨스 웹소설 &gt; 역사/시대물</v>
      </c>
    </row>
    <row r="1172" spans="1:48" x14ac:dyDescent="0.4">
      <c r="A1172">
        <v>1525004030</v>
      </c>
      <c r="B1172">
        <v>1525004366</v>
      </c>
      <c r="C1172" t="str">
        <f>T("회귀의 전설 338화")</f>
        <v>회귀의 전설 338화</v>
      </c>
      <c r="D1172" t="str">
        <f>T("338")</f>
        <v>338</v>
      </c>
      <c r="E1172" t="str">
        <f>T("김광수")</f>
        <v>김광수</v>
      </c>
      <c r="H1172" t="str">
        <f>T("스토리위즈")</f>
        <v>스토리위즈</v>
      </c>
      <c r="I1172" t="str">
        <f>T("회귀의 전설")</f>
        <v>회귀의 전설</v>
      </c>
      <c r="J1172">
        <v>100</v>
      </c>
      <c r="K1172">
        <v>100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100</v>
      </c>
      <c r="AH1172">
        <v>1</v>
      </c>
      <c r="AI1172">
        <v>0</v>
      </c>
      <c r="AJ1172">
        <v>0</v>
      </c>
      <c r="AK1172">
        <v>100</v>
      </c>
      <c r="AL1172">
        <v>0</v>
      </c>
      <c r="AM1172">
        <v>0</v>
      </c>
      <c r="AN1172">
        <v>0</v>
      </c>
      <c r="AO1172">
        <v>0</v>
      </c>
      <c r="AP1172" s="2">
        <v>70</v>
      </c>
      <c r="AT1172" t="str">
        <f>T("9788997946006")</f>
        <v>9788997946006</v>
      </c>
      <c r="AV1172" t="str">
        <f>T("판타지 웹소설 &gt; 현대 판타지")</f>
        <v>판타지 웹소설 &gt; 현대 판타지</v>
      </c>
    </row>
    <row r="1173" spans="1:48" x14ac:dyDescent="0.4">
      <c r="A1173">
        <v>2313011400</v>
      </c>
      <c r="B1173">
        <v>1525007641</v>
      </c>
      <c r="C1173" t="str">
        <f>T("최종 보스 21권 6화")</f>
        <v>최종 보스 21권 6화</v>
      </c>
      <c r="D1173" t="str">
        <f>T("419")</f>
        <v>419</v>
      </c>
      <c r="E1173" t="str">
        <f>T("무장")</f>
        <v>무장</v>
      </c>
      <c r="H1173" t="str">
        <f>T("스토리위즈")</f>
        <v>스토리위즈</v>
      </c>
      <c r="I1173" t="str">
        <f>T("최종 보스 : 빛을 향해 달리는 그림자")</f>
        <v>최종 보스 : 빛을 향해 달리는 그림자</v>
      </c>
      <c r="J1173">
        <v>100</v>
      </c>
      <c r="K1173">
        <v>100</v>
      </c>
      <c r="L1173">
        <v>1</v>
      </c>
      <c r="M1173">
        <v>0</v>
      </c>
      <c r="N1173">
        <v>100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 s="2">
        <v>140</v>
      </c>
      <c r="AT1173" t="str">
        <f>T("9791166067563")</f>
        <v>9791166067563</v>
      </c>
      <c r="AV1173" t="str">
        <f>T("판타지 웹소설 &gt; 현대 판타지")</f>
        <v>판타지 웹소설 &gt; 현대 판타지</v>
      </c>
    </row>
    <row r="1174" spans="1:48" x14ac:dyDescent="0.4">
      <c r="A1174">
        <v>1525004030</v>
      </c>
      <c r="B1174">
        <v>1525004542</v>
      </c>
      <c r="C1174" t="str">
        <f>T("회귀의 전설 519화")</f>
        <v>회귀의 전설 519화</v>
      </c>
      <c r="D1174" t="str">
        <f>T("519")</f>
        <v>519</v>
      </c>
      <c r="E1174" t="str">
        <f>T("김광수")</f>
        <v>김광수</v>
      </c>
      <c r="H1174" t="str">
        <f>T("스토리위즈")</f>
        <v>스토리위즈</v>
      </c>
      <c r="I1174" t="str">
        <f>T("회귀의 전설")</f>
        <v>회귀의 전설</v>
      </c>
      <c r="J1174">
        <v>100</v>
      </c>
      <c r="K1174">
        <v>100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100</v>
      </c>
      <c r="AH1174">
        <v>1</v>
      </c>
      <c r="AI1174">
        <v>0</v>
      </c>
      <c r="AJ1174">
        <v>0</v>
      </c>
      <c r="AK1174">
        <v>100</v>
      </c>
      <c r="AL1174">
        <v>0</v>
      </c>
      <c r="AM1174">
        <v>0</v>
      </c>
      <c r="AN1174">
        <v>0</v>
      </c>
      <c r="AO1174">
        <v>0</v>
      </c>
      <c r="AP1174" s="2">
        <v>70</v>
      </c>
      <c r="AT1174" t="str">
        <f>T("9788997946006")</f>
        <v>9788997946006</v>
      </c>
      <c r="AV1174" t="str">
        <f>T("판타지 웹소설 &gt; 현대 판타지")</f>
        <v>판타지 웹소설 &gt; 현대 판타지</v>
      </c>
    </row>
    <row r="1175" spans="1:48" x14ac:dyDescent="0.4">
      <c r="A1175">
        <v>1525004030</v>
      </c>
      <c r="B1175">
        <v>1525004478</v>
      </c>
      <c r="C1175" t="str">
        <f>T("회귀의 전설 462화")</f>
        <v>회귀의 전설 462화</v>
      </c>
      <c r="D1175" t="str">
        <f>T("462")</f>
        <v>462</v>
      </c>
      <c r="E1175" t="str">
        <f>T("김광수")</f>
        <v>김광수</v>
      </c>
      <c r="H1175" t="str">
        <f>T("스토리위즈")</f>
        <v>스토리위즈</v>
      </c>
      <c r="I1175" t="str">
        <f>T("회귀의 전설")</f>
        <v>회귀의 전설</v>
      </c>
      <c r="J1175">
        <v>100</v>
      </c>
      <c r="K1175">
        <v>100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100</v>
      </c>
      <c r="AH1175">
        <v>1</v>
      </c>
      <c r="AI1175">
        <v>0</v>
      </c>
      <c r="AJ1175">
        <v>0</v>
      </c>
      <c r="AK1175">
        <v>100</v>
      </c>
      <c r="AL1175">
        <v>0</v>
      </c>
      <c r="AM1175">
        <v>0</v>
      </c>
      <c r="AN1175">
        <v>0</v>
      </c>
      <c r="AO1175">
        <v>0</v>
      </c>
      <c r="AP1175" s="2">
        <v>70</v>
      </c>
      <c r="AT1175" t="str">
        <f>T("9788997946006")</f>
        <v>9788997946006</v>
      </c>
      <c r="AV1175" t="str">
        <f>T("판타지 웹소설 &gt; 현대 판타지")</f>
        <v>판타지 웹소설 &gt; 현대 판타지</v>
      </c>
    </row>
    <row r="1176" spans="1:48" x14ac:dyDescent="0.4">
      <c r="A1176">
        <v>1525008545</v>
      </c>
      <c r="B1176">
        <v>1525008568</v>
      </c>
      <c r="C1176" t="str">
        <f>T("소년연애담 40화")</f>
        <v>소년연애담 40화</v>
      </c>
      <c r="D1176" t="str">
        <f>T("40")</f>
        <v>40</v>
      </c>
      <c r="E1176" t="str">
        <f>T("나나코")</f>
        <v>나나코</v>
      </c>
      <c r="H1176" t="str">
        <f>T("블러쉬")</f>
        <v>블러쉬</v>
      </c>
      <c r="I1176" t="str">
        <f>T("소년연애담")</f>
        <v>소년연애담</v>
      </c>
      <c r="J1176">
        <v>100</v>
      </c>
      <c r="K1176">
        <v>100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100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100</v>
      </c>
      <c r="AN1176">
        <v>0</v>
      </c>
      <c r="AO1176">
        <v>0</v>
      </c>
      <c r="AP1176" s="2">
        <v>70</v>
      </c>
      <c r="AR1176" t="str">
        <f>T("0000000000000")</f>
        <v>0000000000000</v>
      </c>
      <c r="AT1176" t="str">
        <f>T("9791164890729")</f>
        <v>9791164890729</v>
      </c>
      <c r="AU1176" t="str">
        <f>T("B12")</f>
        <v>B12</v>
      </c>
      <c r="AV1176" t="str">
        <f>T("BL 웹소설 &gt; 현대물")</f>
        <v>BL 웹소설 &gt; 현대물</v>
      </c>
    </row>
    <row r="1177" spans="1:48" x14ac:dyDescent="0.4">
      <c r="A1177">
        <v>1525010579</v>
      </c>
      <c r="B1177">
        <v>1525010186</v>
      </c>
      <c r="C1177" t="str">
        <f>T("법보다 주먹 392화")</f>
        <v>법보다 주먹 392화</v>
      </c>
      <c r="D1177" t="str">
        <f>T("392")</f>
        <v>392</v>
      </c>
      <c r="E1177" t="str">
        <f>T("백범(白帆)")</f>
        <v>백범(白帆)</v>
      </c>
      <c r="H1177" t="str">
        <f>T("에필로그")</f>
        <v>에필로그</v>
      </c>
      <c r="I1177" t="str">
        <f>T("법보다 주먹")</f>
        <v>법보다 주먹</v>
      </c>
      <c r="J1177">
        <v>100</v>
      </c>
      <c r="K1177">
        <v>100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100</v>
      </c>
      <c r="AH1177">
        <v>1</v>
      </c>
      <c r="AI1177">
        <v>0</v>
      </c>
      <c r="AJ1177">
        <v>0</v>
      </c>
      <c r="AK1177">
        <v>100</v>
      </c>
      <c r="AL1177">
        <v>0</v>
      </c>
      <c r="AM1177">
        <v>0</v>
      </c>
      <c r="AN1177">
        <v>0</v>
      </c>
      <c r="AO1177">
        <v>0</v>
      </c>
      <c r="AP1177" s="2">
        <v>70</v>
      </c>
      <c r="AT1177" t="str">
        <f>T("9791164489367")</f>
        <v>9791164489367</v>
      </c>
      <c r="AV1177" t="str">
        <f>T("판타지 웹소설 &gt; 현대 판타지")</f>
        <v>판타지 웹소설 &gt; 현대 판타지</v>
      </c>
    </row>
    <row r="1178" spans="1:48" x14ac:dyDescent="0.4">
      <c r="A1178">
        <v>1525004030</v>
      </c>
      <c r="B1178">
        <v>1525007127</v>
      </c>
      <c r="C1178" t="str">
        <f>T("회귀의 전설 2부 1011화")</f>
        <v>회귀의 전설 2부 1011화</v>
      </c>
      <c r="D1178" t="str">
        <f>T("1011")</f>
        <v>1011</v>
      </c>
      <c r="E1178" t="str">
        <f>T("김광수")</f>
        <v>김광수</v>
      </c>
      <c r="H1178" t="str">
        <f>T("스토리위즈")</f>
        <v>스토리위즈</v>
      </c>
      <c r="I1178" t="str">
        <f>T("회귀의 전설")</f>
        <v>회귀의 전설</v>
      </c>
      <c r="J1178">
        <v>100</v>
      </c>
      <c r="K1178">
        <v>100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100</v>
      </c>
      <c r="AH1178">
        <v>1</v>
      </c>
      <c r="AI1178">
        <v>0</v>
      </c>
      <c r="AJ1178">
        <v>0</v>
      </c>
      <c r="AK1178">
        <v>100</v>
      </c>
      <c r="AL1178">
        <v>0</v>
      </c>
      <c r="AM1178">
        <v>0</v>
      </c>
      <c r="AN1178">
        <v>0</v>
      </c>
      <c r="AO1178">
        <v>0</v>
      </c>
      <c r="AP1178" s="2">
        <v>70</v>
      </c>
      <c r="AT1178" t="str">
        <f>T("9791191102086")</f>
        <v>9791191102086</v>
      </c>
      <c r="AV1178" t="str">
        <f>T("판타지 웹소설 &gt; 현대 판타지")</f>
        <v>판타지 웹소설 &gt; 현대 판타지</v>
      </c>
    </row>
    <row r="1179" spans="1:48" x14ac:dyDescent="0.4">
      <c r="A1179">
        <v>1525000569</v>
      </c>
      <c r="B1179">
        <v>1525000764</v>
      </c>
      <c r="C1179" t="str">
        <f>T("스트라이커 193화")</f>
        <v>스트라이커 193화</v>
      </c>
      <c r="D1179" t="str">
        <f>T("193")</f>
        <v>193</v>
      </c>
      <c r="E1179" t="str">
        <f>T("독고진")</f>
        <v>독고진</v>
      </c>
      <c r="H1179" t="str">
        <f>T("스토리위즈")</f>
        <v>스토리위즈</v>
      </c>
      <c r="I1179" t="str">
        <f>T("스트라이커")</f>
        <v>스트라이커</v>
      </c>
      <c r="J1179">
        <v>100</v>
      </c>
      <c r="K1179">
        <v>100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100</v>
      </c>
      <c r="AH1179">
        <v>1</v>
      </c>
      <c r="AI1179">
        <v>0</v>
      </c>
      <c r="AJ1179">
        <v>0</v>
      </c>
      <c r="AK1179">
        <v>100</v>
      </c>
      <c r="AL1179">
        <v>0</v>
      </c>
      <c r="AM1179">
        <v>0</v>
      </c>
      <c r="AN1179">
        <v>0</v>
      </c>
      <c r="AO1179">
        <v>0</v>
      </c>
      <c r="AP1179" s="2">
        <v>70</v>
      </c>
      <c r="AT1179" t="str">
        <f>T("9791170151678")</f>
        <v>9791170151678</v>
      </c>
      <c r="AV1179" t="str">
        <f>T("판타지 웹소설 &gt; 현대 판타지")</f>
        <v>판타지 웹소설 &gt; 현대 판타지</v>
      </c>
    </row>
    <row r="1180" spans="1:48" x14ac:dyDescent="0.4">
      <c r="A1180">
        <v>1525002409</v>
      </c>
      <c r="B1180">
        <v>1525002607</v>
      </c>
      <c r="C1180" t="str">
        <f>T("스포트라이트 199화")</f>
        <v>스포트라이트 199화</v>
      </c>
      <c r="D1180" t="str">
        <f>T("199")</f>
        <v>199</v>
      </c>
      <c r="E1180" t="str">
        <f>T("전혁")</f>
        <v>전혁</v>
      </c>
      <c r="H1180" t="str">
        <f>T("스토리위즈")</f>
        <v>스토리위즈</v>
      </c>
      <c r="I1180" t="str">
        <f>T("스포트라이트")</f>
        <v>스포트라이트</v>
      </c>
      <c r="J1180">
        <v>100</v>
      </c>
      <c r="K1180">
        <v>100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100</v>
      </c>
      <c r="AH1180">
        <v>1</v>
      </c>
      <c r="AI1180">
        <v>0</v>
      </c>
      <c r="AJ1180">
        <v>0</v>
      </c>
      <c r="AK1180">
        <v>100</v>
      </c>
      <c r="AL1180">
        <v>0</v>
      </c>
      <c r="AM1180">
        <v>0</v>
      </c>
      <c r="AN1180">
        <v>0</v>
      </c>
      <c r="AO1180">
        <v>0</v>
      </c>
      <c r="AP1180" s="2">
        <v>70</v>
      </c>
      <c r="AT1180" t="str">
        <f>T("9791159286841")</f>
        <v>9791159286841</v>
      </c>
      <c r="AV1180" t="str">
        <f>T("판타지 웹소설 &gt; 현대 판타지")</f>
        <v>판타지 웹소설 &gt; 현대 판타지</v>
      </c>
    </row>
    <row r="1181" spans="1:48" x14ac:dyDescent="0.4">
      <c r="A1181">
        <v>1525007872</v>
      </c>
      <c r="B1181">
        <v>1525007865</v>
      </c>
      <c r="C1181" t="str">
        <f>T("아침이 오지 않아도 13화")</f>
        <v>아침이 오지 않아도 13화</v>
      </c>
      <c r="D1181" t="str">
        <f>T("13")</f>
        <v>13</v>
      </c>
      <c r="E1181" t="str">
        <f>T("홍영")</f>
        <v>홍영</v>
      </c>
      <c r="H1181" t="str">
        <f>T("러브스토리")</f>
        <v>러브스토리</v>
      </c>
      <c r="I1181" t="str">
        <f>T("아침이 오지 않아도")</f>
        <v>아침이 오지 않아도</v>
      </c>
      <c r="J1181">
        <v>100</v>
      </c>
      <c r="K1181">
        <v>100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100</v>
      </c>
      <c r="AH1181">
        <v>1</v>
      </c>
      <c r="AI1181">
        <v>0</v>
      </c>
      <c r="AJ1181">
        <v>0</v>
      </c>
      <c r="AK1181">
        <v>100</v>
      </c>
      <c r="AL1181">
        <v>0</v>
      </c>
      <c r="AM1181">
        <v>0</v>
      </c>
      <c r="AN1181">
        <v>0</v>
      </c>
      <c r="AO1181">
        <v>0</v>
      </c>
      <c r="AP1181" s="2">
        <v>70</v>
      </c>
      <c r="AR1181" t="str">
        <f>T("0000000000000")</f>
        <v>0000000000000</v>
      </c>
      <c r="AT1181" t="str">
        <f>T("9791164899708")</f>
        <v>9791164899708</v>
      </c>
      <c r="AV1181" t="str">
        <f>T("로맨스 웹소설 &gt; 현대물")</f>
        <v>로맨스 웹소설 &gt; 현대물</v>
      </c>
    </row>
    <row r="1182" spans="1:48" x14ac:dyDescent="0.4">
      <c r="A1182">
        <v>2313011400</v>
      </c>
      <c r="B1182">
        <v>1525007673</v>
      </c>
      <c r="C1182" t="str">
        <f>T("최종 보스 22권 18화")</f>
        <v>최종 보스 22권 18화</v>
      </c>
      <c r="D1182" t="str">
        <f>T("451")</f>
        <v>451</v>
      </c>
      <c r="E1182" t="str">
        <f>T("무장")</f>
        <v>무장</v>
      </c>
      <c r="H1182" t="str">
        <f t="shared" ref="H1182:H1187" si="156">T("스토리위즈")</f>
        <v>스토리위즈</v>
      </c>
      <c r="I1182" t="str">
        <f>T("최종 보스 : 빛을 향해 달리는 그림자")</f>
        <v>최종 보스 : 빛을 향해 달리는 그림자</v>
      </c>
      <c r="J1182">
        <v>100</v>
      </c>
      <c r="K1182">
        <v>100</v>
      </c>
      <c r="L1182">
        <v>1</v>
      </c>
      <c r="M1182">
        <v>0</v>
      </c>
      <c r="N1182">
        <v>100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 s="2">
        <v>140</v>
      </c>
      <c r="AT1182" t="str">
        <f>T("9791166067563")</f>
        <v>9791166067563</v>
      </c>
      <c r="AV1182" t="str">
        <f>T("판타지 웹소설 &gt; 현대 판타지")</f>
        <v>판타지 웹소설 &gt; 현대 판타지</v>
      </c>
    </row>
    <row r="1183" spans="1:48" x14ac:dyDescent="0.4">
      <c r="A1183">
        <v>1525004030</v>
      </c>
      <c r="B1183">
        <v>1525007031</v>
      </c>
      <c r="C1183" t="str">
        <f>T("회귀의 전설 2부 915화")</f>
        <v>회귀의 전설 2부 915화</v>
      </c>
      <c r="D1183" t="str">
        <f>T("915")</f>
        <v>915</v>
      </c>
      <c r="E1183" t="str">
        <f>T("김광수")</f>
        <v>김광수</v>
      </c>
      <c r="H1183" t="str">
        <f t="shared" si="156"/>
        <v>스토리위즈</v>
      </c>
      <c r="I1183" t="str">
        <f>T("회귀의 전설")</f>
        <v>회귀의 전설</v>
      </c>
      <c r="J1183">
        <v>100</v>
      </c>
      <c r="K1183">
        <v>100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100</v>
      </c>
      <c r="AH1183">
        <v>1</v>
      </c>
      <c r="AI1183">
        <v>0</v>
      </c>
      <c r="AJ1183">
        <v>0</v>
      </c>
      <c r="AK1183">
        <v>100</v>
      </c>
      <c r="AL1183">
        <v>0</v>
      </c>
      <c r="AM1183">
        <v>0</v>
      </c>
      <c r="AN1183">
        <v>0</v>
      </c>
      <c r="AO1183">
        <v>0</v>
      </c>
      <c r="AP1183" s="2">
        <v>70</v>
      </c>
      <c r="AT1183" t="str">
        <f>T("9791191102086")</f>
        <v>9791191102086</v>
      </c>
      <c r="AV1183" t="str">
        <f>T("판타지 웹소설 &gt; 현대 판타지")</f>
        <v>판타지 웹소설 &gt; 현대 판타지</v>
      </c>
    </row>
    <row r="1184" spans="1:48" x14ac:dyDescent="0.4">
      <c r="A1184">
        <v>1525004989</v>
      </c>
      <c r="B1184">
        <v>1525005600</v>
      </c>
      <c r="C1184" t="str">
        <f>T("신룡전설 111화")</f>
        <v>신룡전설 111화</v>
      </c>
      <c r="D1184" t="str">
        <f>T("111")</f>
        <v>111</v>
      </c>
      <c r="E1184" t="str">
        <f>T("가람검")</f>
        <v>가람검</v>
      </c>
      <c r="H1184" t="str">
        <f t="shared" si="156"/>
        <v>스토리위즈</v>
      </c>
      <c r="I1184" t="str">
        <f>T("신룡전설")</f>
        <v>신룡전설</v>
      </c>
      <c r="J1184">
        <v>100</v>
      </c>
      <c r="K1184">
        <v>100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100</v>
      </c>
      <c r="AH1184">
        <v>1</v>
      </c>
      <c r="AI1184">
        <v>0</v>
      </c>
      <c r="AJ1184">
        <v>0</v>
      </c>
      <c r="AK1184">
        <v>100</v>
      </c>
      <c r="AL1184">
        <v>0</v>
      </c>
      <c r="AM1184">
        <v>0</v>
      </c>
      <c r="AN1184">
        <v>0</v>
      </c>
      <c r="AO1184">
        <v>0</v>
      </c>
      <c r="AP1184" s="2">
        <v>70</v>
      </c>
      <c r="AT1184" t="str">
        <f>T("9791159283505")</f>
        <v>9791159283505</v>
      </c>
      <c r="AV1184" t="str">
        <f>T("판타지 웹소설 &gt; 무협 소설")</f>
        <v>판타지 웹소설 &gt; 무협 소설</v>
      </c>
    </row>
    <row r="1185" spans="1:48" x14ac:dyDescent="0.4">
      <c r="A1185">
        <v>1525002409</v>
      </c>
      <c r="B1185">
        <v>1525002537</v>
      </c>
      <c r="C1185" t="str">
        <f>T("스포트라이트 129화")</f>
        <v>스포트라이트 129화</v>
      </c>
      <c r="D1185" t="str">
        <f>T("129")</f>
        <v>129</v>
      </c>
      <c r="E1185" t="str">
        <f>T("전혁")</f>
        <v>전혁</v>
      </c>
      <c r="H1185" t="str">
        <f t="shared" si="156"/>
        <v>스토리위즈</v>
      </c>
      <c r="I1185" t="str">
        <f>T("스포트라이트")</f>
        <v>스포트라이트</v>
      </c>
      <c r="J1185">
        <v>100</v>
      </c>
      <c r="K1185">
        <v>100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100</v>
      </c>
      <c r="AH1185">
        <v>1</v>
      </c>
      <c r="AI1185">
        <v>0</v>
      </c>
      <c r="AJ1185">
        <v>0</v>
      </c>
      <c r="AK1185">
        <v>100</v>
      </c>
      <c r="AL1185">
        <v>0</v>
      </c>
      <c r="AM1185">
        <v>0</v>
      </c>
      <c r="AN1185">
        <v>0</v>
      </c>
      <c r="AO1185">
        <v>0</v>
      </c>
      <c r="AP1185" s="2">
        <v>70</v>
      </c>
      <c r="AT1185" t="str">
        <f>T("9791159286841")</f>
        <v>9791159286841</v>
      </c>
      <c r="AV1185" t="str">
        <f>T("판타지 웹소설 &gt; 현대 판타지")</f>
        <v>판타지 웹소설 &gt; 현대 판타지</v>
      </c>
    </row>
    <row r="1186" spans="1:48" x14ac:dyDescent="0.4">
      <c r="A1186">
        <v>1525004030</v>
      </c>
      <c r="B1186">
        <v>1525006979</v>
      </c>
      <c r="C1186" t="str">
        <f>T("회귀의 전설 2부 863화")</f>
        <v>회귀의 전설 2부 863화</v>
      </c>
      <c r="D1186" t="str">
        <f>T("863")</f>
        <v>863</v>
      </c>
      <c r="E1186" t="str">
        <f>T("김광수")</f>
        <v>김광수</v>
      </c>
      <c r="H1186" t="str">
        <f t="shared" si="156"/>
        <v>스토리위즈</v>
      </c>
      <c r="I1186" t="str">
        <f>T("회귀의 전설")</f>
        <v>회귀의 전설</v>
      </c>
      <c r="J1186">
        <v>100</v>
      </c>
      <c r="K1186">
        <v>100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100</v>
      </c>
      <c r="AH1186">
        <v>1</v>
      </c>
      <c r="AI1186">
        <v>0</v>
      </c>
      <c r="AJ1186">
        <v>0</v>
      </c>
      <c r="AK1186">
        <v>100</v>
      </c>
      <c r="AL1186">
        <v>0</v>
      </c>
      <c r="AM1186">
        <v>0</v>
      </c>
      <c r="AN1186">
        <v>0</v>
      </c>
      <c r="AO1186">
        <v>0</v>
      </c>
      <c r="AP1186" s="2">
        <v>70</v>
      </c>
      <c r="AT1186" t="str">
        <f>T("9791191102086")</f>
        <v>9791191102086</v>
      </c>
      <c r="AV1186" t="str">
        <f>T("판타지 웹소설 &gt; 현대 판타지")</f>
        <v>판타지 웹소설 &gt; 현대 판타지</v>
      </c>
    </row>
    <row r="1187" spans="1:48" x14ac:dyDescent="0.4">
      <c r="A1187">
        <v>1525004030</v>
      </c>
      <c r="B1187">
        <v>1525004302</v>
      </c>
      <c r="C1187" t="str">
        <f>T("회귀의 전설 273화")</f>
        <v>회귀의 전설 273화</v>
      </c>
      <c r="D1187" t="str">
        <f>T("273")</f>
        <v>273</v>
      </c>
      <c r="E1187" t="str">
        <f>T("김광수")</f>
        <v>김광수</v>
      </c>
      <c r="H1187" t="str">
        <f t="shared" si="156"/>
        <v>스토리위즈</v>
      </c>
      <c r="I1187" t="str">
        <f>T("회귀의 전설")</f>
        <v>회귀의 전설</v>
      </c>
      <c r="J1187">
        <v>100</v>
      </c>
      <c r="K1187">
        <v>100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100</v>
      </c>
      <c r="AH1187">
        <v>1</v>
      </c>
      <c r="AI1187">
        <v>0</v>
      </c>
      <c r="AJ1187">
        <v>0</v>
      </c>
      <c r="AK1187">
        <v>100</v>
      </c>
      <c r="AL1187">
        <v>0</v>
      </c>
      <c r="AM1187">
        <v>0</v>
      </c>
      <c r="AN1187">
        <v>0</v>
      </c>
      <c r="AO1187">
        <v>0</v>
      </c>
      <c r="AP1187" s="2">
        <v>70</v>
      </c>
      <c r="AT1187" t="str">
        <f>T("9788997946006")</f>
        <v>9788997946006</v>
      </c>
      <c r="AV1187" t="str">
        <f>T("판타지 웹소설 &gt; 현대 판타지")</f>
        <v>판타지 웹소설 &gt; 현대 판타지</v>
      </c>
    </row>
    <row r="1188" spans="1:48" x14ac:dyDescent="0.4">
      <c r="A1188">
        <v>1525011523</v>
      </c>
      <c r="B1188">
        <v>1525011498</v>
      </c>
      <c r="C1188" t="str">
        <f>T("남창목가 26화")</f>
        <v>남창목가 26화</v>
      </c>
      <c r="D1188" t="str">
        <f>T("26")</f>
        <v>26</v>
      </c>
      <c r="E1188" t="str">
        <f>T("최재봉")</f>
        <v>최재봉</v>
      </c>
      <c r="H1188" t="str">
        <f>T("에필로그")</f>
        <v>에필로그</v>
      </c>
      <c r="I1188" t="str">
        <f>T("남창목가")</f>
        <v>남창목가</v>
      </c>
      <c r="J1188">
        <v>100</v>
      </c>
      <c r="K1188">
        <v>100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100</v>
      </c>
      <c r="AH1188">
        <v>1</v>
      </c>
      <c r="AI1188">
        <v>0</v>
      </c>
      <c r="AJ1188">
        <v>0</v>
      </c>
      <c r="AK1188">
        <v>100</v>
      </c>
      <c r="AL1188">
        <v>0</v>
      </c>
      <c r="AM1188">
        <v>0</v>
      </c>
      <c r="AN1188">
        <v>0</v>
      </c>
      <c r="AO1188">
        <v>0</v>
      </c>
      <c r="AP1188" s="2">
        <v>70</v>
      </c>
      <c r="AT1188" t="str">
        <f>T("9791164482849")</f>
        <v>9791164482849</v>
      </c>
      <c r="AV1188" t="str">
        <f>T("판타지 웹소설 &gt; 무협 소설")</f>
        <v>판타지 웹소설 &gt; 무협 소설</v>
      </c>
    </row>
    <row r="1189" spans="1:48" x14ac:dyDescent="0.4">
      <c r="A1189">
        <v>1525004030</v>
      </c>
      <c r="B1189">
        <v>1525004414</v>
      </c>
      <c r="C1189" t="str">
        <f>T("회귀의 전설 398화")</f>
        <v>회귀의 전설 398화</v>
      </c>
      <c r="D1189" t="str">
        <f>T("398")</f>
        <v>398</v>
      </c>
      <c r="E1189" t="str">
        <f>T("김광수")</f>
        <v>김광수</v>
      </c>
      <c r="H1189" t="str">
        <f>T("스토리위즈")</f>
        <v>스토리위즈</v>
      </c>
      <c r="I1189" t="str">
        <f>T("회귀의 전설")</f>
        <v>회귀의 전설</v>
      </c>
      <c r="J1189">
        <v>100</v>
      </c>
      <c r="K1189">
        <v>100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100</v>
      </c>
      <c r="AH1189">
        <v>1</v>
      </c>
      <c r="AI1189">
        <v>0</v>
      </c>
      <c r="AJ1189">
        <v>0</v>
      </c>
      <c r="AK1189">
        <v>100</v>
      </c>
      <c r="AL1189">
        <v>0</v>
      </c>
      <c r="AM1189">
        <v>0</v>
      </c>
      <c r="AN1189">
        <v>0</v>
      </c>
      <c r="AO1189">
        <v>0</v>
      </c>
      <c r="AP1189" s="2">
        <v>70</v>
      </c>
      <c r="AT1189" t="str">
        <f>T("9788997946006")</f>
        <v>9788997946006</v>
      </c>
      <c r="AV1189" t="str">
        <f>T("판타지 웹소설 &gt; 현대 판타지")</f>
        <v>판타지 웹소설 &gt; 현대 판타지</v>
      </c>
    </row>
    <row r="1190" spans="1:48" x14ac:dyDescent="0.4">
      <c r="A1190">
        <v>1525004030</v>
      </c>
      <c r="B1190">
        <v>1525004494</v>
      </c>
      <c r="C1190" t="str">
        <f>T("회귀의 전설 478화")</f>
        <v>회귀의 전설 478화</v>
      </c>
      <c r="D1190" t="str">
        <f>T("478")</f>
        <v>478</v>
      </c>
      <c r="E1190" t="str">
        <f>T("김광수")</f>
        <v>김광수</v>
      </c>
      <c r="H1190" t="str">
        <f>T("스토리위즈")</f>
        <v>스토리위즈</v>
      </c>
      <c r="I1190" t="str">
        <f>T("회귀의 전설")</f>
        <v>회귀의 전설</v>
      </c>
      <c r="J1190">
        <v>100</v>
      </c>
      <c r="K1190">
        <v>100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100</v>
      </c>
      <c r="AH1190">
        <v>1</v>
      </c>
      <c r="AI1190">
        <v>0</v>
      </c>
      <c r="AJ1190">
        <v>0</v>
      </c>
      <c r="AK1190">
        <v>100</v>
      </c>
      <c r="AL1190">
        <v>0</v>
      </c>
      <c r="AM1190">
        <v>0</v>
      </c>
      <c r="AN1190">
        <v>0</v>
      </c>
      <c r="AO1190">
        <v>0</v>
      </c>
      <c r="AP1190" s="2">
        <v>70</v>
      </c>
      <c r="AT1190" t="str">
        <f>T("9788997946006")</f>
        <v>9788997946006</v>
      </c>
      <c r="AV1190" t="str">
        <f>T("판타지 웹소설 &gt; 현대 판타지")</f>
        <v>판타지 웹소설 &gt; 현대 판타지</v>
      </c>
    </row>
    <row r="1191" spans="1:48" x14ac:dyDescent="0.4">
      <c r="A1191">
        <v>1525004989</v>
      </c>
      <c r="B1191">
        <v>1525005521</v>
      </c>
      <c r="C1191" t="str">
        <f>T("신룡전설 32화")</f>
        <v>신룡전설 32화</v>
      </c>
      <c r="D1191" t="str">
        <f>T("32")</f>
        <v>32</v>
      </c>
      <c r="E1191" t="str">
        <f>T("가람검")</f>
        <v>가람검</v>
      </c>
      <c r="H1191" t="str">
        <f>T("스토리위즈")</f>
        <v>스토리위즈</v>
      </c>
      <c r="I1191" t="str">
        <f>T("신룡전설")</f>
        <v>신룡전설</v>
      </c>
      <c r="J1191">
        <v>100</v>
      </c>
      <c r="K1191">
        <v>100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100</v>
      </c>
      <c r="AH1191">
        <v>1</v>
      </c>
      <c r="AI1191">
        <v>0</v>
      </c>
      <c r="AJ1191">
        <v>0</v>
      </c>
      <c r="AK1191">
        <v>100</v>
      </c>
      <c r="AL1191">
        <v>0</v>
      </c>
      <c r="AM1191">
        <v>0</v>
      </c>
      <c r="AN1191">
        <v>0</v>
      </c>
      <c r="AO1191">
        <v>0</v>
      </c>
      <c r="AP1191" s="2">
        <v>70</v>
      </c>
      <c r="AT1191" t="str">
        <f>T("9791159283505")</f>
        <v>9791159283505</v>
      </c>
      <c r="AV1191" t="str">
        <f>T("판타지 웹소설 &gt; 무협 소설")</f>
        <v>판타지 웹소설 &gt; 무협 소설</v>
      </c>
    </row>
    <row r="1192" spans="1:48" x14ac:dyDescent="0.4">
      <c r="A1192">
        <v>1525004030</v>
      </c>
      <c r="B1192">
        <v>1525004471</v>
      </c>
      <c r="C1192" t="str">
        <f>T("회귀의 전설 455화")</f>
        <v>회귀의 전설 455화</v>
      </c>
      <c r="D1192" t="str">
        <f>T("455")</f>
        <v>455</v>
      </c>
      <c r="E1192" t="str">
        <f>T("김광수")</f>
        <v>김광수</v>
      </c>
      <c r="H1192" t="str">
        <f>T("스토리위즈")</f>
        <v>스토리위즈</v>
      </c>
      <c r="I1192" t="str">
        <f>T("회귀의 전설")</f>
        <v>회귀의 전설</v>
      </c>
      <c r="J1192">
        <v>100</v>
      </c>
      <c r="K1192">
        <v>100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100</v>
      </c>
      <c r="AH1192">
        <v>1</v>
      </c>
      <c r="AI1192">
        <v>0</v>
      </c>
      <c r="AJ1192">
        <v>0</v>
      </c>
      <c r="AK1192">
        <v>100</v>
      </c>
      <c r="AL1192">
        <v>0</v>
      </c>
      <c r="AM1192">
        <v>0</v>
      </c>
      <c r="AN1192">
        <v>0</v>
      </c>
      <c r="AO1192">
        <v>0</v>
      </c>
      <c r="AP1192" s="2">
        <v>70</v>
      </c>
      <c r="AT1192" t="str">
        <f>T("9788997946006")</f>
        <v>9788997946006</v>
      </c>
      <c r="AV1192" t="str">
        <f>T("판타지 웹소설 &gt; 현대 판타지")</f>
        <v>판타지 웹소설 &gt; 현대 판타지</v>
      </c>
    </row>
    <row r="1193" spans="1:48" x14ac:dyDescent="0.4">
      <c r="A1193">
        <v>1525008545</v>
      </c>
      <c r="B1193">
        <v>1525008561</v>
      </c>
      <c r="C1193" t="str">
        <f>T("소년연애담 34화")</f>
        <v>소년연애담 34화</v>
      </c>
      <c r="D1193" t="str">
        <f>T("34")</f>
        <v>34</v>
      </c>
      <c r="E1193" t="str">
        <f>T("나나코")</f>
        <v>나나코</v>
      </c>
      <c r="H1193" t="str">
        <f>T("블러쉬")</f>
        <v>블러쉬</v>
      </c>
      <c r="I1193" t="str">
        <f>T("소년연애담")</f>
        <v>소년연애담</v>
      </c>
      <c r="J1193">
        <v>100</v>
      </c>
      <c r="K1193">
        <v>100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100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100</v>
      </c>
      <c r="AN1193">
        <v>0</v>
      </c>
      <c r="AO1193">
        <v>0</v>
      </c>
      <c r="AP1193" s="2">
        <v>70</v>
      </c>
      <c r="AR1193" t="str">
        <f>T("0000000000000")</f>
        <v>0000000000000</v>
      </c>
      <c r="AT1193" t="str">
        <f>T("9791164890729")</f>
        <v>9791164890729</v>
      </c>
      <c r="AU1193" t="str">
        <f>T("B12")</f>
        <v>B12</v>
      </c>
      <c r="AV1193" t="str">
        <f>T("BL 웹소설 &gt; 현대물")</f>
        <v>BL 웹소설 &gt; 현대물</v>
      </c>
    </row>
    <row r="1194" spans="1:48" x14ac:dyDescent="0.4">
      <c r="A1194">
        <v>1525004989</v>
      </c>
      <c r="B1194">
        <v>1525005577</v>
      </c>
      <c r="C1194" t="str">
        <f>T("신룡전설 88화")</f>
        <v>신룡전설 88화</v>
      </c>
      <c r="D1194" t="str">
        <f>T("88")</f>
        <v>88</v>
      </c>
      <c r="E1194" t="str">
        <f>T("가람검")</f>
        <v>가람검</v>
      </c>
      <c r="H1194" t="str">
        <f>T("스토리위즈")</f>
        <v>스토리위즈</v>
      </c>
      <c r="I1194" t="str">
        <f>T("신룡전설")</f>
        <v>신룡전설</v>
      </c>
      <c r="J1194">
        <v>100</v>
      </c>
      <c r="K1194">
        <v>100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100</v>
      </c>
      <c r="AH1194">
        <v>1</v>
      </c>
      <c r="AI1194">
        <v>0</v>
      </c>
      <c r="AJ1194">
        <v>0</v>
      </c>
      <c r="AK1194">
        <v>100</v>
      </c>
      <c r="AL1194">
        <v>0</v>
      </c>
      <c r="AM1194">
        <v>0</v>
      </c>
      <c r="AN1194">
        <v>0</v>
      </c>
      <c r="AO1194">
        <v>0</v>
      </c>
      <c r="AP1194" s="2">
        <v>70</v>
      </c>
      <c r="AT1194" t="str">
        <f>T("9791159283505")</f>
        <v>9791159283505</v>
      </c>
      <c r="AV1194" t="str">
        <f>T("판타지 웹소설 &gt; 무협 소설")</f>
        <v>판타지 웹소설 &gt; 무협 소설</v>
      </c>
    </row>
    <row r="1195" spans="1:48" x14ac:dyDescent="0.4">
      <c r="A1195">
        <v>1525010579</v>
      </c>
      <c r="B1195">
        <v>1525010173</v>
      </c>
      <c r="C1195" t="str">
        <f>T("법보다 주먹 405화")</f>
        <v>법보다 주먹 405화</v>
      </c>
      <c r="D1195" t="str">
        <f>T("405")</f>
        <v>405</v>
      </c>
      <c r="E1195" t="str">
        <f>T("백범(白帆)")</f>
        <v>백범(白帆)</v>
      </c>
      <c r="H1195" t="str">
        <f>T("에필로그")</f>
        <v>에필로그</v>
      </c>
      <c r="I1195" t="str">
        <f>T("법보다 주먹")</f>
        <v>법보다 주먹</v>
      </c>
      <c r="J1195">
        <v>100</v>
      </c>
      <c r="K1195">
        <v>100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100</v>
      </c>
      <c r="AH1195">
        <v>1</v>
      </c>
      <c r="AI1195">
        <v>0</v>
      </c>
      <c r="AJ1195">
        <v>0</v>
      </c>
      <c r="AK1195">
        <v>100</v>
      </c>
      <c r="AL1195">
        <v>0</v>
      </c>
      <c r="AM1195">
        <v>0</v>
      </c>
      <c r="AN1195">
        <v>0</v>
      </c>
      <c r="AO1195">
        <v>0</v>
      </c>
      <c r="AP1195" s="2">
        <v>70</v>
      </c>
      <c r="AT1195" t="str">
        <f>T("9791164489367")</f>
        <v>9791164489367</v>
      </c>
      <c r="AV1195" t="str">
        <f>T("판타지 웹소설 &gt; 현대 판타지")</f>
        <v>판타지 웹소설 &gt; 현대 판타지</v>
      </c>
    </row>
    <row r="1196" spans="1:48" x14ac:dyDescent="0.4">
      <c r="A1196">
        <v>1525004030</v>
      </c>
      <c r="B1196">
        <v>1525007120</v>
      </c>
      <c r="C1196" t="str">
        <f>T("회귀의 전설 2부 1004화")</f>
        <v>회귀의 전설 2부 1004화</v>
      </c>
      <c r="D1196" t="str">
        <f>T("1004")</f>
        <v>1004</v>
      </c>
      <c r="E1196" t="str">
        <f>T("김광수")</f>
        <v>김광수</v>
      </c>
      <c r="H1196" t="str">
        <f t="shared" ref="H1196:H1203" si="157">T("스토리위즈")</f>
        <v>스토리위즈</v>
      </c>
      <c r="I1196" t="str">
        <f>T("회귀의 전설")</f>
        <v>회귀의 전설</v>
      </c>
      <c r="J1196">
        <v>100</v>
      </c>
      <c r="K1196">
        <v>100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100</v>
      </c>
      <c r="AH1196">
        <v>1</v>
      </c>
      <c r="AI1196">
        <v>0</v>
      </c>
      <c r="AJ1196">
        <v>0</v>
      </c>
      <c r="AK1196">
        <v>100</v>
      </c>
      <c r="AL1196">
        <v>0</v>
      </c>
      <c r="AM1196">
        <v>0</v>
      </c>
      <c r="AN1196">
        <v>0</v>
      </c>
      <c r="AO1196">
        <v>0</v>
      </c>
      <c r="AP1196" s="2">
        <v>70</v>
      </c>
      <c r="AT1196" t="str">
        <f>T("9791191102086")</f>
        <v>9791191102086</v>
      </c>
      <c r="AV1196" t="str">
        <f>T("판타지 웹소설 &gt; 현대 판타지")</f>
        <v>판타지 웹소설 &gt; 현대 판타지</v>
      </c>
    </row>
    <row r="1197" spans="1:48" x14ac:dyDescent="0.4">
      <c r="A1197">
        <v>1525004030</v>
      </c>
      <c r="B1197">
        <v>1525004375</v>
      </c>
      <c r="C1197" t="str">
        <f>T("회귀의 전설 347화")</f>
        <v>회귀의 전설 347화</v>
      </c>
      <c r="D1197" t="str">
        <f>T("347")</f>
        <v>347</v>
      </c>
      <c r="E1197" t="str">
        <f>T("김광수")</f>
        <v>김광수</v>
      </c>
      <c r="H1197" t="str">
        <f t="shared" si="157"/>
        <v>스토리위즈</v>
      </c>
      <c r="I1197" t="str">
        <f>T("회귀의 전설")</f>
        <v>회귀의 전설</v>
      </c>
      <c r="J1197">
        <v>100</v>
      </c>
      <c r="K1197">
        <v>100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100</v>
      </c>
      <c r="AH1197">
        <v>1</v>
      </c>
      <c r="AI1197">
        <v>0</v>
      </c>
      <c r="AJ1197">
        <v>0</v>
      </c>
      <c r="AK1197">
        <v>100</v>
      </c>
      <c r="AL1197">
        <v>0</v>
      </c>
      <c r="AM1197">
        <v>0</v>
      </c>
      <c r="AN1197">
        <v>0</v>
      </c>
      <c r="AO1197">
        <v>0</v>
      </c>
      <c r="AP1197" s="2">
        <v>70</v>
      </c>
      <c r="AT1197" t="str">
        <f>T("9788997946006")</f>
        <v>9788997946006</v>
      </c>
      <c r="AV1197" t="str">
        <f>T("판타지 웹소설 &gt; 현대 판타지")</f>
        <v>판타지 웹소설 &gt; 현대 판타지</v>
      </c>
    </row>
    <row r="1198" spans="1:48" x14ac:dyDescent="0.4">
      <c r="A1198">
        <v>1525002864</v>
      </c>
      <c r="B1198">
        <v>1525002913</v>
      </c>
      <c r="C1198" t="str">
        <f>T("소드마스터의 환생 50화")</f>
        <v>소드마스터의 환생 50화</v>
      </c>
      <c r="D1198" t="str">
        <f>T("50")</f>
        <v>50</v>
      </c>
      <c r="E1198" t="str">
        <f>T("파란영")</f>
        <v>파란영</v>
      </c>
      <c r="H1198" t="str">
        <f t="shared" si="157"/>
        <v>스토리위즈</v>
      </c>
      <c r="I1198" t="str">
        <f>T("소드마스터의 환생")</f>
        <v>소드마스터의 환생</v>
      </c>
      <c r="J1198">
        <v>100</v>
      </c>
      <c r="K1198">
        <v>100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100</v>
      </c>
      <c r="AH1198">
        <v>1</v>
      </c>
      <c r="AI1198">
        <v>0</v>
      </c>
      <c r="AJ1198">
        <v>0</v>
      </c>
      <c r="AK1198">
        <v>100</v>
      </c>
      <c r="AL1198">
        <v>0</v>
      </c>
      <c r="AM1198">
        <v>0</v>
      </c>
      <c r="AN1198">
        <v>0</v>
      </c>
      <c r="AO1198">
        <v>0</v>
      </c>
      <c r="AP1198" s="2">
        <v>70</v>
      </c>
      <c r="AT1198" t="str">
        <f>T("9791159287527")</f>
        <v>9791159287527</v>
      </c>
      <c r="AV1198" t="str">
        <f>T("판타지 웹소설 &gt; 정통 판타지")</f>
        <v>판타지 웹소설 &gt; 정통 판타지</v>
      </c>
    </row>
    <row r="1199" spans="1:48" x14ac:dyDescent="0.4">
      <c r="A1199">
        <v>1525002409</v>
      </c>
      <c r="B1199">
        <v>1525002597</v>
      </c>
      <c r="C1199" t="str">
        <f>T("스포트라이트 189화")</f>
        <v>스포트라이트 189화</v>
      </c>
      <c r="D1199" t="str">
        <f>T("189")</f>
        <v>189</v>
      </c>
      <c r="E1199" t="str">
        <f>T("전혁")</f>
        <v>전혁</v>
      </c>
      <c r="H1199" t="str">
        <f t="shared" si="157"/>
        <v>스토리위즈</v>
      </c>
      <c r="I1199" t="str">
        <f>T("스포트라이트")</f>
        <v>스포트라이트</v>
      </c>
      <c r="J1199">
        <v>100</v>
      </c>
      <c r="K1199">
        <v>100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100</v>
      </c>
      <c r="AH1199">
        <v>1</v>
      </c>
      <c r="AI1199">
        <v>0</v>
      </c>
      <c r="AJ1199">
        <v>0</v>
      </c>
      <c r="AK1199">
        <v>100</v>
      </c>
      <c r="AL1199">
        <v>0</v>
      </c>
      <c r="AM1199">
        <v>0</v>
      </c>
      <c r="AN1199">
        <v>0</v>
      </c>
      <c r="AO1199">
        <v>0</v>
      </c>
      <c r="AP1199" s="2">
        <v>70</v>
      </c>
      <c r="AT1199" t="str">
        <f>T("9791159286841")</f>
        <v>9791159286841</v>
      </c>
      <c r="AV1199" t="str">
        <f>T("판타지 웹소설 &gt; 현대 판타지")</f>
        <v>판타지 웹소설 &gt; 현대 판타지</v>
      </c>
    </row>
    <row r="1200" spans="1:48" x14ac:dyDescent="0.4">
      <c r="A1200">
        <v>2313011400</v>
      </c>
      <c r="B1200">
        <v>1525007666</v>
      </c>
      <c r="C1200" t="str">
        <f>T("최종 보스 22권 11화")</f>
        <v>최종 보스 22권 11화</v>
      </c>
      <c r="D1200" t="str">
        <f>T("444")</f>
        <v>444</v>
      </c>
      <c r="E1200" t="str">
        <f>T("무장")</f>
        <v>무장</v>
      </c>
      <c r="H1200" t="str">
        <f t="shared" si="157"/>
        <v>스토리위즈</v>
      </c>
      <c r="I1200" t="str">
        <f>T("최종 보스 : 빛을 향해 달리는 그림자")</f>
        <v>최종 보스 : 빛을 향해 달리는 그림자</v>
      </c>
      <c r="J1200">
        <v>100</v>
      </c>
      <c r="K1200">
        <v>100</v>
      </c>
      <c r="L1200">
        <v>1</v>
      </c>
      <c r="M1200">
        <v>0</v>
      </c>
      <c r="N1200">
        <v>200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300</v>
      </c>
      <c r="AH1200">
        <v>3</v>
      </c>
      <c r="AI1200">
        <v>0</v>
      </c>
      <c r="AJ1200">
        <v>0</v>
      </c>
      <c r="AK1200">
        <v>300</v>
      </c>
      <c r="AL1200">
        <v>0</v>
      </c>
      <c r="AM1200">
        <v>0</v>
      </c>
      <c r="AN1200">
        <v>0</v>
      </c>
      <c r="AO1200">
        <v>0</v>
      </c>
      <c r="AP1200" s="2">
        <v>210</v>
      </c>
      <c r="AT1200" t="str">
        <f>T("9791166067563")</f>
        <v>9791166067563</v>
      </c>
      <c r="AV1200" t="str">
        <f>T("판타지 웹소설 &gt; 현대 판타지")</f>
        <v>판타지 웹소설 &gt; 현대 판타지</v>
      </c>
    </row>
    <row r="1201" spans="1:48" x14ac:dyDescent="0.4">
      <c r="A1201">
        <v>1525004030</v>
      </c>
      <c r="B1201">
        <v>1525007024</v>
      </c>
      <c r="C1201" t="str">
        <f>T("회귀의 전설 2부 908화")</f>
        <v>회귀의 전설 2부 908화</v>
      </c>
      <c r="D1201" t="str">
        <f>T("908")</f>
        <v>908</v>
      </c>
      <c r="E1201" t="str">
        <f>T("김광수")</f>
        <v>김광수</v>
      </c>
      <c r="H1201" t="str">
        <f t="shared" si="157"/>
        <v>스토리위즈</v>
      </c>
      <c r="I1201" t="str">
        <f>T("회귀의 전설")</f>
        <v>회귀의 전설</v>
      </c>
      <c r="J1201">
        <v>100</v>
      </c>
      <c r="K1201">
        <v>100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100</v>
      </c>
      <c r="AH1201">
        <v>1</v>
      </c>
      <c r="AI1201">
        <v>0</v>
      </c>
      <c r="AJ1201">
        <v>0</v>
      </c>
      <c r="AK1201">
        <v>100</v>
      </c>
      <c r="AL1201">
        <v>0</v>
      </c>
      <c r="AM1201">
        <v>0</v>
      </c>
      <c r="AN1201">
        <v>0</v>
      </c>
      <c r="AO1201">
        <v>0</v>
      </c>
      <c r="AP1201" s="2">
        <v>70</v>
      </c>
      <c r="AT1201" t="str">
        <f>T("9791191102086")</f>
        <v>9791191102086</v>
      </c>
      <c r="AV1201" t="str">
        <f>T("판타지 웹소설 &gt; 현대 판타지")</f>
        <v>판타지 웹소설 &gt; 현대 판타지</v>
      </c>
    </row>
    <row r="1202" spans="1:48" x14ac:dyDescent="0.4">
      <c r="A1202">
        <v>1525004030</v>
      </c>
      <c r="B1202">
        <v>1525006724</v>
      </c>
      <c r="C1202" t="str">
        <f>T("회귀의 전설 2부 607화")</f>
        <v>회귀의 전설 2부 607화</v>
      </c>
      <c r="D1202" t="str">
        <f>T("607")</f>
        <v>607</v>
      </c>
      <c r="E1202" t="str">
        <f>T("김광수")</f>
        <v>김광수</v>
      </c>
      <c r="H1202" t="str">
        <f t="shared" si="157"/>
        <v>스토리위즈</v>
      </c>
      <c r="I1202" t="str">
        <f>T("회귀의 전설")</f>
        <v>회귀의 전설</v>
      </c>
      <c r="J1202">
        <v>100</v>
      </c>
      <c r="K1202">
        <v>100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100</v>
      </c>
      <c r="AH1202">
        <v>1</v>
      </c>
      <c r="AI1202">
        <v>0</v>
      </c>
      <c r="AJ1202">
        <v>0</v>
      </c>
      <c r="AK1202">
        <v>100</v>
      </c>
      <c r="AL1202">
        <v>0</v>
      </c>
      <c r="AM1202">
        <v>0</v>
      </c>
      <c r="AN1202">
        <v>0</v>
      </c>
      <c r="AO1202">
        <v>0</v>
      </c>
      <c r="AP1202" s="2">
        <v>70</v>
      </c>
      <c r="AT1202" t="str">
        <f>T("9791191102086")</f>
        <v>9791191102086</v>
      </c>
      <c r="AV1202" t="str">
        <f>T("판타지 웹소설 &gt; 현대 판타지")</f>
        <v>판타지 웹소설 &gt; 현대 판타지</v>
      </c>
    </row>
    <row r="1203" spans="1:48" x14ac:dyDescent="0.4">
      <c r="A1203">
        <v>1525004989</v>
      </c>
      <c r="B1203">
        <v>1525005593</v>
      </c>
      <c r="C1203" t="str">
        <f>T("신룡전설 104화")</f>
        <v>신룡전설 104화</v>
      </c>
      <c r="D1203" t="str">
        <f>T("104")</f>
        <v>104</v>
      </c>
      <c r="E1203" t="str">
        <f>T("가람검")</f>
        <v>가람검</v>
      </c>
      <c r="H1203" t="str">
        <f t="shared" si="157"/>
        <v>스토리위즈</v>
      </c>
      <c r="I1203" t="str">
        <f>T("신룡전설")</f>
        <v>신룡전설</v>
      </c>
      <c r="J1203">
        <v>100</v>
      </c>
      <c r="K1203">
        <v>100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100</v>
      </c>
      <c r="AH1203">
        <v>1</v>
      </c>
      <c r="AI1203">
        <v>0</v>
      </c>
      <c r="AJ1203">
        <v>0</v>
      </c>
      <c r="AK1203">
        <v>100</v>
      </c>
      <c r="AL1203">
        <v>0</v>
      </c>
      <c r="AM1203">
        <v>0</v>
      </c>
      <c r="AN1203">
        <v>0</v>
      </c>
      <c r="AO1203">
        <v>0</v>
      </c>
      <c r="AP1203" s="2">
        <v>70</v>
      </c>
      <c r="AT1203" t="str">
        <f>T("9791159283505")</f>
        <v>9791159283505</v>
      </c>
      <c r="AV1203" t="str">
        <f>T("판타지 웹소설 &gt; 무협 소설")</f>
        <v>판타지 웹소설 &gt; 무협 소설</v>
      </c>
    </row>
    <row r="1204" spans="1:48" x14ac:dyDescent="0.4">
      <c r="A1204">
        <v>1525008545</v>
      </c>
      <c r="B1204">
        <v>1525008537</v>
      </c>
      <c r="C1204" t="str">
        <f>T("소년연애담 12화")</f>
        <v>소년연애담 12화</v>
      </c>
      <c r="D1204" t="str">
        <f>T("12")</f>
        <v>12</v>
      </c>
      <c r="E1204" t="str">
        <f>T("나나코")</f>
        <v>나나코</v>
      </c>
      <c r="H1204" t="str">
        <f>T("블러쉬")</f>
        <v>블러쉬</v>
      </c>
      <c r="I1204" t="str">
        <f>T("소년연애담")</f>
        <v>소년연애담</v>
      </c>
      <c r="J1204">
        <v>100</v>
      </c>
      <c r="K1204">
        <v>100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100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100</v>
      </c>
      <c r="AN1204">
        <v>0</v>
      </c>
      <c r="AO1204">
        <v>0</v>
      </c>
      <c r="AP1204" s="2">
        <v>70</v>
      </c>
      <c r="AR1204" t="str">
        <f>T("0000000000000")</f>
        <v>0000000000000</v>
      </c>
      <c r="AT1204" t="str">
        <f>T("9791164890729")</f>
        <v>9791164890729</v>
      </c>
      <c r="AU1204" t="str">
        <f>T("B12")</f>
        <v>B12</v>
      </c>
      <c r="AV1204" t="str">
        <f>T("BL 웹소설 &gt; 현대물")</f>
        <v>BL 웹소설 &gt; 현대물</v>
      </c>
    </row>
    <row r="1205" spans="1:48" x14ac:dyDescent="0.4">
      <c r="A1205">
        <v>1525004030</v>
      </c>
      <c r="B1205">
        <v>1525006972</v>
      </c>
      <c r="C1205" t="str">
        <f>T("회귀의 전설 2부 856화")</f>
        <v>회귀의 전설 2부 856화</v>
      </c>
      <c r="D1205" t="str">
        <f>T("856")</f>
        <v>856</v>
      </c>
      <c r="E1205" t="str">
        <f>T("김광수")</f>
        <v>김광수</v>
      </c>
      <c r="H1205" t="str">
        <f>T("스토리위즈")</f>
        <v>스토리위즈</v>
      </c>
      <c r="I1205" t="str">
        <f>T("회귀의 전설")</f>
        <v>회귀의 전설</v>
      </c>
      <c r="J1205">
        <v>100</v>
      </c>
      <c r="K1205">
        <v>100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100</v>
      </c>
      <c r="AH1205">
        <v>1</v>
      </c>
      <c r="AI1205">
        <v>0</v>
      </c>
      <c r="AJ1205">
        <v>0</v>
      </c>
      <c r="AK1205">
        <v>100</v>
      </c>
      <c r="AL1205">
        <v>0</v>
      </c>
      <c r="AM1205">
        <v>0</v>
      </c>
      <c r="AN1205">
        <v>0</v>
      </c>
      <c r="AO1205">
        <v>0</v>
      </c>
      <c r="AP1205" s="2">
        <v>70</v>
      </c>
      <c r="AT1205" t="str">
        <f>T("9791191102086")</f>
        <v>9791191102086</v>
      </c>
      <c r="AV1205" t="str">
        <f>T("판타지 웹소설 &gt; 현대 판타지")</f>
        <v>판타지 웹소설 &gt; 현대 판타지</v>
      </c>
    </row>
    <row r="1206" spans="1:48" x14ac:dyDescent="0.4">
      <c r="A1206">
        <v>1525004030</v>
      </c>
      <c r="B1206">
        <v>1525004295</v>
      </c>
      <c r="C1206" t="str">
        <f>T("회귀의 전설 266화")</f>
        <v>회귀의 전설 266화</v>
      </c>
      <c r="D1206" t="str">
        <f>T("266")</f>
        <v>266</v>
      </c>
      <c r="E1206" t="str">
        <f>T("김광수")</f>
        <v>김광수</v>
      </c>
      <c r="H1206" t="str">
        <f>T("스토리위즈")</f>
        <v>스토리위즈</v>
      </c>
      <c r="I1206" t="str">
        <f>T("회귀의 전설")</f>
        <v>회귀의 전설</v>
      </c>
      <c r="J1206">
        <v>100</v>
      </c>
      <c r="K1206">
        <v>100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100</v>
      </c>
      <c r="AH1206">
        <v>1</v>
      </c>
      <c r="AI1206">
        <v>0</v>
      </c>
      <c r="AJ1206">
        <v>0</v>
      </c>
      <c r="AK1206">
        <v>100</v>
      </c>
      <c r="AL1206">
        <v>0</v>
      </c>
      <c r="AM1206">
        <v>0</v>
      </c>
      <c r="AN1206">
        <v>0</v>
      </c>
      <c r="AO1206">
        <v>0</v>
      </c>
      <c r="AP1206" s="2">
        <v>70</v>
      </c>
      <c r="AT1206" t="str">
        <f>T("9788997946006")</f>
        <v>9788997946006</v>
      </c>
      <c r="AV1206" t="str">
        <f>T("판타지 웹소설 &gt; 현대 판타지")</f>
        <v>판타지 웹소설 &gt; 현대 판타지</v>
      </c>
    </row>
    <row r="1207" spans="1:48" x14ac:dyDescent="0.4">
      <c r="A1207">
        <v>1525008545</v>
      </c>
      <c r="B1207">
        <v>1525008593</v>
      </c>
      <c r="C1207" t="str">
        <f>T("소년연애담 9화")</f>
        <v>소년연애담 9화</v>
      </c>
      <c r="D1207" t="str">
        <f>T("9")</f>
        <v>9</v>
      </c>
      <c r="E1207" t="str">
        <f>T("나나코")</f>
        <v>나나코</v>
      </c>
      <c r="H1207" t="str">
        <f>T("블러쉬")</f>
        <v>블러쉬</v>
      </c>
      <c r="I1207" t="str">
        <f>T("소년연애담")</f>
        <v>소년연애담</v>
      </c>
      <c r="J1207">
        <v>100</v>
      </c>
      <c r="K1207">
        <v>100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100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100</v>
      </c>
      <c r="AN1207">
        <v>0</v>
      </c>
      <c r="AO1207">
        <v>0</v>
      </c>
      <c r="AP1207" s="2">
        <v>70</v>
      </c>
      <c r="AR1207" t="str">
        <f>T("0000000000000")</f>
        <v>0000000000000</v>
      </c>
      <c r="AT1207" t="str">
        <f>T("9791164890729")</f>
        <v>9791164890729</v>
      </c>
      <c r="AU1207" t="str">
        <f>T("B12")</f>
        <v>B12</v>
      </c>
      <c r="AV1207" t="str">
        <f>T("BL 웹소설 &gt; 현대물")</f>
        <v>BL 웹소설 &gt; 현대물</v>
      </c>
    </row>
    <row r="1208" spans="1:48" x14ac:dyDescent="0.4">
      <c r="A1208">
        <v>1525010579</v>
      </c>
      <c r="B1208">
        <v>1525010220</v>
      </c>
      <c r="C1208" t="str">
        <f>T("법보다 주먹 358화")</f>
        <v>법보다 주먹 358화</v>
      </c>
      <c r="D1208" t="str">
        <f>T("358")</f>
        <v>358</v>
      </c>
      <c r="E1208" t="str">
        <f>T("백범(白帆)")</f>
        <v>백범(白帆)</v>
      </c>
      <c r="H1208" t="str">
        <f>T("에필로그")</f>
        <v>에필로그</v>
      </c>
      <c r="I1208" t="str">
        <f>T("법보다 주먹")</f>
        <v>법보다 주먹</v>
      </c>
      <c r="J1208">
        <v>100</v>
      </c>
      <c r="K1208">
        <v>100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100</v>
      </c>
      <c r="AH1208">
        <v>1</v>
      </c>
      <c r="AI1208">
        <v>0</v>
      </c>
      <c r="AJ1208">
        <v>0</v>
      </c>
      <c r="AK1208">
        <v>100</v>
      </c>
      <c r="AL1208">
        <v>0</v>
      </c>
      <c r="AM1208">
        <v>0</v>
      </c>
      <c r="AN1208">
        <v>0</v>
      </c>
      <c r="AO1208">
        <v>0</v>
      </c>
      <c r="AP1208" s="2">
        <v>70</v>
      </c>
      <c r="AT1208" t="str">
        <f>T("9791164489367")</f>
        <v>9791164489367</v>
      </c>
      <c r="AV1208" t="str">
        <f>T("판타지 웹소설 &gt; 현대 판타지")</f>
        <v>판타지 웹소설 &gt; 현대 판타지</v>
      </c>
    </row>
    <row r="1209" spans="1:48" x14ac:dyDescent="0.4">
      <c r="A1209">
        <v>1525004030</v>
      </c>
      <c r="B1209">
        <v>1525004407</v>
      </c>
      <c r="C1209" t="str">
        <f>T("회귀의 전설 379화")</f>
        <v>회귀의 전설 379화</v>
      </c>
      <c r="D1209" t="str">
        <f>T("379")</f>
        <v>379</v>
      </c>
      <c r="E1209" t="str">
        <f>T("김광수")</f>
        <v>김광수</v>
      </c>
      <c r="H1209" t="str">
        <f>T("스토리위즈")</f>
        <v>스토리위즈</v>
      </c>
      <c r="I1209" t="str">
        <f>T("회귀의 전설")</f>
        <v>회귀의 전설</v>
      </c>
      <c r="J1209">
        <v>100</v>
      </c>
      <c r="K1209">
        <v>100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100</v>
      </c>
      <c r="AH1209">
        <v>1</v>
      </c>
      <c r="AI1209">
        <v>0</v>
      </c>
      <c r="AJ1209">
        <v>0</v>
      </c>
      <c r="AK1209">
        <v>100</v>
      </c>
      <c r="AL1209">
        <v>0</v>
      </c>
      <c r="AM1209">
        <v>0</v>
      </c>
      <c r="AN1209">
        <v>0</v>
      </c>
      <c r="AO1209">
        <v>0</v>
      </c>
      <c r="AP1209" s="2">
        <v>70</v>
      </c>
      <c r="AT1209" t="str">
        <f>T("9788997946006")</f>
        <v>9788997946006</v>
      </c>
      <c r="AV1209" t="str">
        <f>T("판타지 웹소설 &gt; 현대 판타지")</f>
        <v>판타지 웹소설 &gt; 현대 판타지</v>
      </c>
    </row>
    <row r="1210" spans="1:48" x14ac:dyDescent="0.4">
      <c r="A1210">
        <v>1525004030</v>
      </c>
      <c r="B1210">
        <v>1525004487</v>
      </c>
      <c r="C1210" t="str">
        <f>T("회귀의 전설 471화")</f>
        <v>회귀의 전설 471화</v>
      </c>
      <c r="D1210" t="str">
        <f>T("471")</f>
        <v>471</v>
      </c>
      <c r="E1210" t="str">
        <f>T("김광수")</f>
        <v>김광수</v>
      </c>
      <c r="H1210" t="str">
        <f>T("스토리위즈")</f>
        <v>스토리위즈</v>
      </c>
      <c r="I1210" t="str">
        <f>T("회귀의 전설")</f>
        <v>회귀의 전설</v>
      </c>
      <c r="J1210">
        <v>100</v>
      </c>
      <c r="K1210">
        <v>100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100</v>
      </c>
      <c r="AH1210">
        <v>1</v>
      </c>
      <c r="AI1210">
        <v>0</v>
      </c>
      <c r="AJ1210">
        <v>0</v>
      </c>
      <c r="AK1210">
        <v>100</v>
      </c>
      <c r="AL1210">
        <v>0</v>
      </c>
      <c r="AM1210">
        <v>0</v>
      </c>
      <c r="AN1210">
        <v>0</v>
      </c>
      <c r="AO1210">
        <v>0</v>
      </c>
      <c r="AP1210" s="2">
        <v>70</v>
      </c>
      <c r="AT1210" t="str">
        <f>T("9788997946006")</f>
        <v>9788997946006</v>
      </c>
      <c r="AV1210" t="str">
        <f>T("판타지 웹소설 &gt; 현대 판타지")</f>
        <v>판타지 웹소설 &gt; 현대 판타지</v>
      </c>
    </row>
    <row r="1211" spans="1:48" x14ac:dyDescent="0.4">
      <c r="A1211">
        <v>1525000569</v>
      </c>
      <c r="B1211">
        <v>1525000598</v>
      </c>
      <c r="C1211" t="str">
        <f>T("스트라이커 30화")</f>
        <v>스트라이커 30화</v>
      </c>
      <c r="D1211" t="str">
        <f>T("30")</f>
        <v>30</v>
      </c>
      <c r="E1211" t="str">
        <f>T("독고진")</f>
        <v>독고진</v>
      </c>
      <c r="H1211" t="str">
        <f>T("스토리위즈")</f>
        <v>스토리위즈</v>
      </c>
      <c r="I1211" t="str">
        <f>T("스트라이커")</f>
        <v>스트라이커</v>
      </c>
      <c r="J1211">
        <v>100</v>
      </c>
      <c r="K1211">
        <v>100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100</v>
      </c>
      <c r="AH1211">
        <v>1</v>
      </c>
      <c r="AI1211">
        <v>0</v>
      </c>
      <c r="AJ1211">
        <v>0</v>
      </c>
      <c r="AK1211">
        <v>100</v>
      </c>
      <c r="AL1211">
        <v>0</v>
      </c>
      <c r="AM1211">
        <v>0</v>
      </c>
      <c r="AN1211">
        <v>0</v>
      </c>
      <c r="AO1211">
        <v>0</v>
      </c>
      <c r="AP1211" s="2">
        <v>70</v>
      </c>
      <c r="AT1211" t="str">
        <f>T("9791170151678")</f>
        <v>9791170151678</v>
      </c>
      <c r="AV1211" t="str">
        <f>T("판타지 웹소설 &gt; 현대 판타지")</f>
        <v>판타지 웹소설 &gt; 현대 판타지</v>
      </c>
    </row>
    <row r="1212" spans="1:48" x14ac:dyDescent="0.4">
      <c r="A1212">
        <v>1525007872</v>
      </c>
      <c r="B1212">
        <v>1525007891</v>
      </c>
      <c r="C1212" t="str">
        <f>T("아침이 오지 않아도 37화 (완결)")</f>
        <v>아침이 오지 않아도 37화 (완결)</v>
      </c>
      <c r="D1212" t="str">
        <f>T("37")</f>
        <v>37</v>
      </c>
      <c r="E1212" t="str">
        <f>T("홍영")</f>
        <v>홍영</v>
      </c>
      <c r="H1212" t="str">
        <f>T("러브스토리")</f>
        <v>러브스토리</v>
      </c>
      <c r="I1212" t="str">
        <f>T("아침이 오지 않아도")</f>
        <v>아침이 오지 않아도</v>
      </c>
      <c r="J1212">
        <v>100</v>
      </c>
      <c r="K1212">
        <v>100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100</v>
      </c>
      <c r="AH1212">
        <v>1</v>
      </c>
      <c r="AI1212">
        <v>0</v>
      </c>
      <c r="AJ1212">
        <v>0</v>
      </c>
      <c r="AK1212">
        <v>100</v>
      </c>
      <c r="AL1212">
        <v>0</v>
      </c>
      <c r="AM1212">
        <v>0</v>
      </c>
      <c r="AN1212">
        <v>0</v>
      </c>
      <c r="AO1212">
        <v>0</v>
      </c>
      <c r="AP1212" s="2">
        <v>70</v>
      </c>
      <c r="AR1212" t="str">
        <f>T("0000000000000")</f>
        <v>0000000000000</v>
      </c>
      <c r="AT1212" t="str">
        <f>T("9791164899708")</f>
        <v>9791164899708</v>
      </c>
      <c r="AV1212" t="str">
        <f>T("로맨스 웹소설 &gt; 현대물")</f>
        <v>로맨스 웹소설 &gt; 현대물</v>
      </c>
    </row>
    <row r="1213" spans="1:48" x14ac:dyDescent="0.4">
      <c r="A1213">
        <v>1525004030</v>
      </c>
      <c r="B1213">
        <v>1525007056</v>
      </c>
      <c r="C1213" t="str">
        <f>T("회귀의 전설 2부 940화")</f>
        <v>회귀의 전설 2부 940화</v>
      </c>
      <c r="D1213" t="str">
        <f>T("940")</f>
        <v>940</v>
      </c>
      <c r="E1213" t="str">
        <f>T("김광수")</f>
        <v>김광수</v>
      </c>
      <c r="H1213" t="str">
        <f t="shared" ref="H1213:H1222" si="158">T("스토리위즈")</f>
        <v>스토리위즈</v>
      </c>
      <c r="I1213" t="str">
        <f>T("회귀의 전설")</f>
        <v>회귀의 전설</v>
      </c>
      <c r="J1213">
        <v>100</v>
      </c>
      <c r="K1213">
        <v>100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100</v>
      </c>
      <c r="AH1213">
        <v>1</v>
      </c>
      <c r="AI1213">
        <v>0</v>
      </c>
      <c r="AJ1213">
        <v>0</v>
      </c>
      <c r="AK1213">
        <v>100</v>
      </c>
      <c r="AL1213">
        <v>0</v>
      </c>
      <c r="AM1213">
        <v>0</v>
      </c>
      <c r="AN1213">
        <v>0</v>
      </c>
      <c r="AO1213">
        <v>0</v>
      </c>
      <c r="AP1213" s="2">
        <v>70</v>
      </c>
      <c r="AT1213" t="str">
        <f>T("9791191102086")</f>
        <v>9791191102086</v>
      </c>
      <c r="AV1213" t="str">
        <f>T("판타지 웹소설 &gt; 현대 판타지")</f>
        <v>판타지 웹소설 &gt; 현대 판타지</v>
      </c>
    </row>
    <row r="1214" spans="1:48" x14ac:dyDescent="0.4">
      <c r="A1214">
        <v>1525004989</v>
      </c>
      <c r="B1214">
        <v>1525005625</v>
      </c>
      <c r="C1214" t="str">
        <f>T("신룡전설 136화")</f>
        <v>신룡전설 136화</v>
      </c>
      <c r="D1214" t="str">
        <f>T("136")</f>
        <v>136</v>
      </c>
      <c r="E1214" t="str">
        <f>T("가람검")</f>
        <v>가람검</v>
      </c>
      <c r="H1214" t="str">
        <f t="shared" si="158"/>
        <v>스토리위즈</v>
      </c>
      <c r="I1214" t="str">
        <f>T("신룡전설")</f>
        <v>신룡전설</v>
      </c>
      <c r="J1214">
        <v>100</v>
      </c>
      <c r="K1214">
        <v>100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100</v>
      </c>
      <c r="AH1214">
        <v>1</v>
      </c>
      <c r="AI1214">
        <v>0</v>
      </c>
      <c r="AJ1214">
        <v>0</v>
      </c>
      <c r="AK1214">
        <v>100</v>
      </c>
      <c r="AL1214">
        <v>0</v>
      </c>
      <c r="AM1214">
        <v>0</v>
      </c>
      <c r="AN1214">
        <v>0</v>
      </c>
      <c r="AO1214">
        <v>0</v>
      </c>
      <c r="AP1214" s="2">
        <v>70</v>
      </c>
      <c r="AT1214" t="str">
        <f>T("9791159283505")</f>
        <v>9791159283505</v>
      </c>
      <c r="AV1214" t="str">
        <f>T("판타지 웹소설 &gt; 무협 소설")</f>
        <v>판타지 웹소설 &gt; 무협 소설</v>
      </c>
    </row>
    <row r="1215" spans="1:48" x14ac:dyDescent="0.4">
      <c r="A1215">
        <v>2313011400</v>
      </c>
      <c r="B1215">
        <v>1525007698</v>
      </c>
      <c r="C1215" t="str">
        <f>T("최종 보스 24권 3화")</f>
        <v>최종 보스 24권 3화</v>
      </c>
      <c r="D1215" t="str">
        <f>T("476")</f>
        <v>476</v>
      </c>
      <c r="E1215" t="str">
        <f>T("무장")</f>
        <v>무장</v>
      </c>
      <c r="H1215" t="str">
        <f t="shared" si="158"/>
        <v>스토리위즈</v>
      </c>
      <c r="I1215" t="str">
        <f>T("최종 보스 : 빛을 향해 달리는 그림자")</f>
        <v>최종 보스 : 빛을 향해 달리는 그림자</v>
      </c>
      <c r="J1215">
        <v>100</v>
      </c>
      <c r="K1215">
        <v>100</v>
      </c>
      <c r="L1215">
        <v>1</v>
      </c>
      <c r="M1215">
        <v>0</v>
      </c>
      <c r="N1215">
        <v>100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 s="2">
        <v>140</v>
      </c>
      <c r="AT1215" t="str">
        <f>T("9791166067563")</f>
        <v>9791166067563</v>
      </c>
      <c r="AV1215" t="str">
        <f>T("판타지 웹소설 &gt; 현대 판타지")</f>
        <v>판타지 웹소설 &gt; 현대 판타지</v>
      </c>
    </row>
    <row r="1216" spans="1:48" x14ac:dyDescent="0.4">
      <c r="A1216">
        <v>1525004030</v>
      </c>
      <c r="B1216">
        <v>1525007004</v>
      </c>
      <c r="C1216" t="str">
        <f>T("회귀의 전설 2부 888화")</f>
        <v>회귀의 전설 2부 888화</v>
      </c>
      <c r="D1216" t="str">
        <f>T("888")</f>
        <v>888</v>
      </c>
      <c r="E1216" t="str">
        <f>T("김광수")</f>
        <v>김광수</v>
      </c>
      <c r="H1216" t="str">
        <f t="shared" si="158"/>
        <v>스토리위즈</v>
      </c>
      <c r="I1216" t="str">
        <f>T("회귀의 전설")</f>
        <v>회귀의 전설</v>
      </c>
      <c r="J1216">
        <v>100</v>
      </c>
      <c r="K1216">
        <v>100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100</v>
      </c>
      <c r="AH1216">
        <v>1</v>
      </c>
      <c r="AI1216">
        <v>0</v>
      </c>
      <c r="AJ1216">
        <v>0</v>
      </c>
      <c r="AK1216">
        <v>100</v>
      </c>
      <c r="AL1216">
        <v>0</v>
      </c>
      <c r="AM1216">
        <v>0</v>
      </c>
      <c r="AN1216">
        <v>0</v>
      </c>
      <c r="AO1216">
        <v>0</v>
      </c>
      <c r="AP1216" s="2">
        <v>70</v>
      </c>
      <c r="AT1216" t="str">
        <f>T("9791191102086")</f>
        <v>9791191102086</v>
      </c>
      <c r="AV1216" t="str">
        <f>T("판타지 웹소설 &gt; 현대 판타지")</f>
        <v>판타지 웹소설 &gt; 현대 판타지</v>
      </c>
    </row>
    <row r="1217" spans="1:48" x14ac:dyDescent="0.4">
      <c r="A1217">
        <v>1525004030</v>
      </c>
      <c r="B1217">
        <v>1525004327</v>
      </c>
      <c r="C1217" t="str">
        <f>T("회귀의 전설 298화")</f>
        <v>회귀의 전설 298화</v>
      </c>
      <c r="D1217" t="str">
        <f>T("298")</f>
        <v>298</v>
      </c>
      <c r="E1217" t="str">
        <f>T("김광수")</f>
        <v>김광수</v>
      </c>
      <c r="H1217" t="str">
        <f t="shared" si="158"/>
        <v>스토리위즈</v>
      </c>
      <c r="I1217" t="str">
        <f>T("회귀의 전설")</f>
        <v>회귀의 전설</v>
      </c>
      <c r="J1217">
        <v>100</v>
      </c>
      <c r="K1217">
        <v>100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100</v>
      </c>
      <c r="AH1217">
        <v>1</v>
      </c>
      <c r="AI1217">
        <v>0</v>
      </c>
      <c r="AJ1217">
        <v>0</v>
      </c>
      <c r="AK1217">
        <v>100</v>
      </c>
      <c r="AL1217">
        <v>0</v>
      </c>
      <c r="AM1217">
        <v>0</v>
      </c>
      <c r="AN1217">
        <v>0</v>
      </c>
      <c r="AO1217">
        <v>0</v>
      </c>
      <c r="AP1217" s="2">
        <v>70</v>
      </c>
      <c r="AT1217" t="str">
        <f>T("9788997946006")</f>
        <v>9788997946006</v>
      </c>
      <c r="AV1217" t="str">
        <f>T("판타지 웹소설 &gt; 현대 판타지")</f>
        <v>판타지 웹소설 &gt; 현대 판타지</v>
      </c>
    </row>
    <row r="1218" spans="1:48" x14ac:dyDescent="0.4">
      <c r="A1218">
        <v>1525004988</v>
      </c>
      <c r="B1218">
        <v>1525005343</v>
      </c>
      <c r="C1218" t="str">
        <f>T("용무쌍 56화")</f>
        <v>용무쌍 56화</v>
      </c>
      <c r="D1218" t="str">
        <f>T("56")</f>
        <v>56</v>
      </c>
      <c r="E1218" t="str">
        <f>T("권용찬")</f>
        <v>권용찬</v>
      </c>
      <c r="H1218" t="str">
        <f t="shared" si="158"/>
        <v>스토리위즈</v>
      </c>
      <c r="I1218" t="str">
        <f>T("용무쌍")</f>
        <v>용무쌍</v>
      </c>
      <c r="J1218">
        <v>100</v>
      </c>
      <c r="K1218">
        <v>100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100</v>
      </c>
      <c r="AH1218">
        <v>1</v>
      </c>
      <c r="AI1218">
        <v>0</v>
      </c>
      <c r="AJ1218">
        <v>0</v>
      </c>
      <c r="AK1218">
        <v>100</v>
      </c>
      <c r="AL1218">
        <v>0</v>
      </c>
      <c r="AM1218">
        <v>0</v>
      </c>
      <c r="AN1218">
        <v>0</v>
      </c>
      <c r="AO1218">
        <v>0</v>
      </c>
      <c r="AP1218" s="2">
        <v>70</v>
      </c>
      <c r="AT1218" t="str">
        <f>T("9791159284861")</f>
        <v>9791159284861</v>
      </c>
      <c r="AV1218" t="str">
        <f>T("판타지 웹소설 &gt; 무협 소설")</f>
        <v>판타지 웹소설 &gt; 무협 소설</v>
      </c>
    </row>
    <row r="1219" spans="1:48" x14ac:dyDescent="0.4">
      <c r="A1219">
        <v>1525004030</v>
      </c>
      <c r="B1219">
        <v>1525004439</v>
      </c>
      <c r="C1219" t="str">
        <f>T("회귀의 전설 423화")</f>
        <v>회귀의 전설 423화</v>
      </c>
      <c r="D1219" t="str">
        <f>T("423")</f>
        <v>423</v>
      </c>
      <c r="E1219" t="str">
        <f>T("김광수")</f>
        <v>김광수</v>
      </c>
      <c r="H1219" t="str">
        <f t="shared" si="158"/>
        <v>스토리위즈</v>
      </c>
      <c r="I1219" t="str">
        <f>T("회귀의 전설")</f>
        <v>회귀의 전설</v>
      </c>
      <c r="J1219">
        <v>100</v>
      </c>
      <c r="K1219">
        <v>100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100</v>
      </c>
      <c r="AH1219">
        <v>1</v>
      </c>
      <c r="AI1219">
        <v>0</v>
      </c>
      <c r="AJ1219">
        <v>0</v>
      </c>
      <c r="AK1219">
        <v>100</v>
      </c>
      <c r="AL1219">
        <v>0</v>
      </c>
      <c r="AM1219">
        <v>0</v>
      </c>
      <c r="AN1219">
        <v>0</v>
      </c>
      <c r="AO1219">
        <v>0</v>
      </c>
      <c r="AP1219" s="2">
        <v>70</v>
      </c>
      <c r="AT1219" t="str">
        <f>T("9788997946006")</f>
        <v>9788997946006</v>
      </c>
      <c r="AV1219" t="str">
        <f>T("판타지 웹소설 &gt; 현대 판타지")</f>
        <v>판타지 웹소설 &gt; 현대 판타지</v>
      </c>
    </row>
    <row r="1220" spans="1:48" x14ac:dyDescent="0.4">
      <c r="A1220">
        <v>1525004030</v>
      </c>
      <c r="B1220">
        <v>1525004519</v>
      </c>
      <c r="C1220" t="str">
        <f>T("회귀의 전설 390화")</f>
        <v>회귀의 전설 390화</v>
      </c>
      <c r="D1220" t="str">
        <f>T("390")</f>
        <v>390</v>
      </c>
      <c r="E1220" t="str">
        <f>T("김광수")</f>
        <v>김광수</v>
      </c>
      <c r="H1220" t="str">
        <f t="shared" si="158"/>
        <v>스토리위즈</v>
      </c>
      <c r="I1220" t="str">
        <f>T("회귀의 전설")</f>
        <v>회귀의 전설</v>
      </c>
      <c r="J1220">
        <v>100</v>
      </c>
      <c r="K1220">
        <v>100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100</v>
      </c>
      <c r="AH1220">
        <v>1</v>
      </c>
      <c r="AI1220">
        <v>0</v>
      </c>
      <c r="AJ1220">
        <v>0</v>
      </c>
      <c r="AK1220">
        <v>100</v>
      </c>
      <c r="AL1220">
        <v>0</v>
      </c>
      <c r="AM1220">
        <v>0</v>
      </c>
      <c r="AN1220">
        <v>0</v>
      </c>
      <c r="AO1220">
        <v>0</v>
      </c>
      <c r="AP1220" s="2">
        <v>70</v>
      </c>
      <c r="AT1220" t="str">
        <f>T("9788997946006")</f>
        <v>9788997946006</v>
      </c>
      <c r="AV1220" t="str">
        <f>T("판타지 웹소설 &gt; 현대 판타지")</f>
        <v>판타지 웹소설 &gt; 현대 판타지</v>
      </c>
    </row>
    <row r="1221" spans="1:48" x14ac:dyDescent="0.4">
      <c r="A1221">
        <v>1525004989</v>
      </c>
      <c r="B1221">
        <v>1525005545</v>
      </c>
      <c r="C1221" t="str">
        <f>T("신룡전설 56화")</f>
        <v>신룡전설 56화</v>
      </c>
      <c r="D1221" t="str">
        <f>T("56")</f>
        <v>56</v>
      </c>
      <c r="E1221" t="str">
        <f>T("가람검")</f>
        <v>가람검</v>
      </c>
      <c r="H1221" t="str">
        <f t="shared" si="158"/>
        <v>스토리위즈</v>
      </c>
      <c r="I1221" t="str">
        <f>T("신룡전설")</f>
        <v>신룡전설</v>
      </c>
      <c r="J1221">
        <v>100</v>
      </c>
      <c r="K1221">
        <v>100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100</v>
      </c>
      <c r="AH1221">
        <v>1</v>
      </c>
      <c r="AI1221">
        <v>0</v>
      </c>
      <c r="AJ1221">
        <v>0</v>
      </c>
      <c r="AK1221">
        <v>100</v>
      </c>
      <c r="AL1221">
        <v>0</v>
      </c>
      <c r="AM1221">
        <v>0</v>
      </c>
      <c r="AN1221">
        <v>0</v>
      </c>
      <c r="AO1221">
        <v>0</v>
      </c>
      <c r="AP1221" s="2">
        <v>70</v>
      </c>
      <c r="AT1221" t="str">
        <f>T("9791159283505")</f>
        <v>9791159283505</v>
      </c>
      <c r="AV1221" t="str">
        <f>T("판타지 웹소설 &gt; 무협 소설")</f>
        <v>판타지 웹소설 &gt; 무협 소설</v>
      </c>
    </row>
    <row r="1222" spans="1:48" x14ac:dyDescent="0.4">
      <c r="A1222">
        <v>1525004030</v>
      </c>
      <c r="B1222">
        <v>1525007088</v>
      </c>
      <c r="C1222" t="str">
        <f>T("회귀의 전설 2부 972화")</f>
        <v>회귀의 전설 2부 972화</v>
      </c>
      <c r="D1222" t="str">
        <f>T("972")</f>
        <v>972</v>
      </c>
      <c r="E1222" t="str">
        <f>T("김광수")</f>
        <v>김광수</v>
      </c>
      <c r="H1222" t="str">
        <f t="shared" si="158"/>
        <v>스토리위즈</v>
      </c>
      <c r="I1222" t="str">
        <f>T("회귀의 전설")</f>
        <v>회귀의 전설</v>
      </c>
      <c r="J1222">
        <v>100</v>
      </c>
      <c r="K1222">
        <v>100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100</v>
      </c>
      <c r="AH1222">
        <v>1</v>
      </c>
      <c r="AI1222">
        <v>0</v>
      </c>
      <c r="AJ1222">
        <v>0</v>
      </c>
      <c r="AK1222">
        <v>100</v>
      </c>
      <c r="AL1222">
        <v>0</v>
      </c>
      <c r="AM1222">
        <v>0</v>
      </c>
      <c r="AN1222">
        <v>0</v>
      </c>
      <c r="AO1222">
        <v>0</v>
      </c>
      <c r="AP1222" s="2">
        <v>70</v>
      </c>
      <c r="AT1222" t="str">
        <f>T("9791191102086")</f>
        <v>9791191102086</v>
      </c>
      <c r="AV1222" t="str">
        <f>T("판타지 웹소설 &gt; 현대 판타지")</f>
        <v>판타지 웹소설 &gt; 현대 판타지</v>
      </c>
    </row>
    <row r="1223" spans="1:48" x14ac:dyDescent="0.4">
      <c r="A1223">
        <v>1525007923</v>
      </c>
      <c r="B1223">
        <v>1525007979</v>
      </c>
      <c r="C1223" t="str">
        <f>T("운상연담: 화불능귀일락 70화")</f>
        <v>운상연담: 화불능귀일락 70화</v>
      </c>
      <c r="D1223" t="str">
        <f>T("70")</f>
        <v>70</v>
      </c>
      <c r="E1223" t="str">
        <f>T("피모")</f>
        <v>피모</v>
      </c>
      <c r="H1223" t="str">
        <f>T("쉬라즈")</f>
        <v>쉬라즈</v>
      </c>
      <c r="I1223" t="str">
        <f>T("운상연담: 화불능귀일락")</f>
        <v>운상연담: 화불능귀일락</v>
      </c>
      <c r="J1223">
        <v>100</v>
      </c>
      <c r="K1223">
        <v>100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100</v>
      </c>
      <c r="AH1223">
        <v>1</v>
      </c>
      <c r="AI1223">
        <v>0</v>
      </c>
      <c r="AJ1223">
        <v>0</v>
      </c>
      <c r="AK1223">
        <v>100</v>
      </c>
      <c r="AL1223">
        <v>0</v>
      </c>
      <c r="AM1223">
        <v>0</v>
      </c>
      <c r="AN1223">
        <v>0</v>
      </c>
      <c r="AO1223">
        <v>0</v>
      </c>
      <c r="AP1223" s="2">
        <v>70</v>
      </c>
      <c r="AT1223" t="str">
        <f>T("9791164896646")</f>
        <v>9791164896646</v>
      </c>
      <c r="AV1223" t="str">
        <f>T("로맨스 웹소설 &gt; 역사/시대물")</f>
        <v>로맨스 웹소설 &gt; 역사/시대물</v>
      </c>
    </row>
    <row r="1224" spans="1:48" x14ac:dyDescent="0.4">
      <c r="A1224">
        <v>2313011400</v>
      </c>
      <c r="B1224">
        <v>1525007634</v>
      </c>
      <c r="C1224" t="str">
        <f>T("최종 보스 20권 19화")</f>
        <v>최종 보스 20권 19화</v>
      </c>
      <c r="D1224" t="str">
        <f>T("412")</f>
        <v>412</v>
      </c>
      <c r="E1224" t="str">
        <f>T("무장")</f>
        <v>무장</v>
      </c>
      <c r="H1224" t="str">
        <f>T("스토리위즈")</f>
        <v>스토리위즈</v>
      </c>
      <c r="I1224" t="str">
        <f>T("최종 보스 : 빛을 향해 달리는 그림자")</f>
        <v>최종 보스 : 빛을 향해 달리는 그림자</v>
      </c>
      <c r="J1224">
        <v>100</v>
      </c>
      <c r="K1224">
        <v>100</v>
      </c>
      <c r="L1224">
        <v>1</v>
      </c>
      <c r="M1224">
        <v>0</v>
      </c>
      <c r="N1224">
        <v>100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 s="2">
        <v>140</v>
      </c>
      <c r="AT1224" t="str">
        <f>T("9791166067563")</f>
        <v>9791166067563</v>
      </c>
      <c r="AV1224" t="str">
        <f>T("판타지 웹소설 &gt; 현대 판타지")</f>
        <v>판타지 웹소설 &gt; 현대 판타지</v>
      </c>
    </row>
    <row r="1225" spans="1:48" x14ac:dyDescent="0.4">
      <c r="A1225">
        <v>1525004030</v>
      </c>
      <c r="B1225">
        <v>1525004359</v>
      </c>
      <c r="C1225" t="str">
        <f>T("회귀의 전설 331화")</f>
        <v>회귀의 전설 331화</v>
      </c>
      <c r="D1225" t="str">
        <f>T("331")</f>
        <v>331</v>
      </c>
      <c r="E1225" t="str">
        <f>T("김광수")</f>
        <v>김광수</v>
      </c>
      <c r="H1225" t="str">
        <f>T("스토리위즈")</f>
        <v>스토리위즈</v>
      </c>
      <c r="I1225" t="str">
        <f>T("회귀의 전설")</f>
        <v>회귀의 전설</v>
      </c>
      <c r="J1225">
        <v>100</v>
      </c>
      <c r="K1225">
        <v>100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100</v>
      </c>
      <c r="AH1225">
        <v>1</v>
      </c>
      <c r="AI1225">
        <v>0</v>
      </c>
      <c r="AJ1225">
        <v>0</v>
      </c>
      <c r="AK1225">
        <v>100</v>
      </c>
      <c r="AL1225">
        <v>0</v>
      </c>
      <c r="AM1225">
        <v>0</v>
      </c>
      <c r="AN1225">
        <v>0</v>
      </c>
      <c r="AO1225">
        <v>0</v>
      </c>
      <c r="AP1225" s="2">
        <v>70</v>
      </c>
      <c r="AT1225" t="str">
        <f>T("9788997946006")</f>
        <v>9788997946006</v>
      </c>
      <c r="AV1225" t="str">
        <f>T("판타지 웹소설 &gt; 현대 판타지")</f>
        <v>판타지 웹소설 &gt; 현대 판타지</v>
      </c>
    </row>
    <row r="1226" spans="1:48" x14ac:dyDescent="0.4">
      <c r="A1226">
        <v>1525007872</v>
      </c>
      <c r="B1226">
        <v>1525007884</v>
      </c>
      <c r="C1226" t="str">
        <f>T("아침이 오지 않아도 30화")</f>
        <v>아침이 오지 않아도 30화</v>
      </c>
      <c r="D1226" t="str">
        <f>T("30")</f>
        <v>30</v>
      </c>
      <c r="E1226" t="str">
        <f>T("홍영")</f>
        <v>홍영</v>
      </c>
      <c r="H1226" t="str">
        <f>T("러브스토리")</f>
        <v>러브스토리</v>
      </c>
      <c r="I1226" t="str">
        <f>T("아침이 오지 않아도")</f>
        <v>아침이 오지 않아도</v>
      </c>
      <c r="J1226">
        <v>100</v>
      </c>
      <c r="K1226">
        <v>100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100</v>
      </c>
      <c r="AH1226">
        <v>1</v>
      </c>
      <c r="AI1226">
        <v>0</v>
      </c>
      <c r="AJ1226">
        <v>0</v>
      </c>
      <c r="AK1226">
        <v>100</v>
      </c>
      <c r="AL1226">
        <v>0</v>
      </c>
      <c r="AM1226">
        <v>0</v>
      </c>
      <c r="AN1226">
        <v>0</v>
      </c>
      <c r="AO1226">
        <v>0</v>
      </c>
      <c r="AP1226" s="2">
        <v>70</v>
      </c>
      <c r="AR1226" t="str">
        <f>T("0000000000000")</f>
        <v>0000000000000</v>
      </c>
      <c r="AT1226" t="str">
        <f>T("9791164899708")</f>
        <v>9791164899708</v>
      </c>
      <c r="AV1226" t="str">
        <f>T("로맨스 웹소설 &gt; 현대물")</f>
        <v>로맨스 웹소설 &gt; 현대물</v>
      </c>
    </row>
    <row r="1227" spans="1:48" x14ac:dyDescent="0.4">
      <c r="A1227">
        <v>1525004030</v>
      </c>
      <c r="B1227">
        <v>1525007049</v>
      </c>
      <c r="C1227" t="str">
        <f>T("회귀의 전설 2부 933화")</f>
        <v>회귀의 전설 2부 933화</v>
      </c>
      <c r="D1227" t="str">
        <f>T("933")</f>
        <v>933</v>
      </c>
      <c r="E1227" t="str">
        <f>T("김광수")</f>
        <v>김광수</v>
      </c>
      <c r="H1227" t="str">
        <f t="shared" ref="H1227:H1244" si="159">T("스토리위즈")</f>
        <v>스토리위즈</v>
      </c>
      <c r="I1227" t="str">
        <f>T("회귀의 전설")</f>
        <v>회귀의 전설</v>
      </c>
      <c r="J1227">
        <v>100</v>
      </c>
      <c r="K1227">
        <v>100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100</v>
      </c>
      <c r="AH1227">
        <v>1</v>
      </c>
      <c r="AI1227">
        <v>0</v>
      </c>
      <c r="AJ1227">
        <v>0</v>
      </c>
      <c r="AK1227">
        <v>100</v>
      </c>
      <c r="AL1227">
        <v>0</v>
      </c>
      <c r="AM1227">
        <v>0</v>
      </c>
      <c r="AN1227">
        <v>0</v>
      </c>
      <c r="AO1227">
        <v>0</v>
      </c>
      <c r="AP1227" s="2">
        <v>70</v>
      </c>
      <c r="AT1227" t="str">
        <f>T("9791191102086")</f>
        <v>9791191102086</v>
      </c>
      <c r="AV1227" t="str">
        <f>T("판타지 웹소설 &gt; 현대 판타지")</f>
        <v>판타지 웹소설 &gt; 현대 판타지</v>
      </c>
    </row>
    <row r="1228" spans="1:48" x14ac:dyDescent="0.4">
      <c r="A1228">
        <v>2313011400</v>
      </c>
      <c r="B1228">
        <v>1525007691</v>
      </c>
      <c r="C1228" t="str">
        <f>T("최종 보스 23권 16화")</f>
        <v>최종 보스 23권 16화</v>
      </c>
      <c r="D1228" t="str">
        <f>T("469")</f>
        <v>469</v>
      </c>
      <c r="E1228" t="str">
        <f>T("무장")</f>
        <v>무장</v>
      </c>
      <c r="H1228" t="str">
        <f t="shared" si="159"/>
        <v>스토리위즈</v>
      </c>
      <c r="I1228" t="str">
        <f>T("최종 보스 : 빛을 향해 달리는 그림자")</f>
        <v>최종 보스 : 빛을 향해 달리는 그림자</v>
      </c>
      <c r="J1228">
        <v>100</v>
      </c>
      <c r="K1228">
        <v>100</v>
      </c>
      <c r="L1228">
        <v>1</v>
      </c>
      <c r="M1228">
        <v>0</v>
      </c>
      <c r="N1228">
        <v>100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 s="2">
        <v>140</v>
      </c>
      <c r="AT1228" t="str">
        <f>T("9791166067563")</f>
        <v>9791166067563</v>
      </c>
      <c r="AV1228" t="str">
        <f>T("판타지 웹소설 &gt; 현대 판타지")</f>
        <v>판타지 웹소설 &gt; 현대 판타지</v>
      </c>
    </row>
    <row r="1229" spans="1:48" x14ac:dyDescent="0.4">
      <c r="A1229">
        <v>1525004988</v>
      </c>
      <c r="B1229">
        <v>1525005320</v>
      </c>
      <c r="C1229" t="str">
        <f>T("용무쌍 33화")</f>
        <v>용무쌍 33화</v>
      </c>
      <c r="D1229" t="str">
        <f>T("33")</f>
        <v>33</v>
      </c>
      <c r="E1229" t="str">
        <f>T("권용찬")</f>
        <v>권용찬</v>
      </c>
      <c r="H1229" t="str">
        <f t="shared" si="159"/>
        <v>스토리위즈</v>
      </c>
      <c r="I1229" t="str">
        <f>T("용무쌍")</f>
        <v>용무쌍</v>
      </c>
      <c r="J1229">
        <v>100</v>
      </c>
      <c r="K1229">
        <v>100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100</v>
      </c>
      <c r="AH1229">
        <v>1</v>
      </c>
      <c r="AI1229">
        <v>0</v>
      </c>
      <c r="AJ1229">
        <v>0</v>
      </c>
      <c r="AK1229">
        <v>100</v>
      </c>
      <c r="AL1229">
        <v>0</v>
      </c>
      <c r="AM1229">
        <v>0</v>
      </c>
      <c r="AN1229">
        <v>0</v>
      </c>
      <c r="AO1229">
        <v>0</v>
      </c>
      <c r="AP1229" s="2">
        <v>70</v>
      </c>
      <c r="AT1229" t="str">
        <f>T("9791159284861")</f>
        <v>9791159284861</v>
      </c>
      <c r="AV1229" t="str">
        <f>T("판타지 웹소설 &gt; 무협 소설")</f>
        <v>판타지 웹소설 &gt; 무협 소설</v>
      </c>
    </row>
    <row r="1230" spans="1:48" x14ac:dyDescent="0.4">
      <c r="A1230">
        <v>1525004989</v>
      </c>
      <c r="B1230">
        <v>1525005618</v>
      </c>
      <c r="C1230" t="str">
        <f>T("신룡전설 129화")</f>
        <v>신룡전설 129화</v>
      </c>
      <c r="D1230" t="str">
        <f>T("129")</f>
        <v>129</v>
      </c>
      <c r="E1230" t="str">
        <f>T("가람검")</f>
        <v>가람검</v>
      </c>
      <c r="H1230" t="str">
        <f t="shared" si="159"/>
        <v>스토리위즈</v>
      </c>
      <c r="I1230" t="str">
        <f>T("신룡전설")</f>
        <v>신룡전설</v>
      </c>
      <c r="J1230">
        <v>100</v>
      </c>
      <c r="K1230">
        <v>100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100</v>
      </c>
      <c r="AH1230">
        <v>1</v>
      </c>
      <c r="AI1230">
        <v>0</v>
      </c>
      <c r="AJ1230">
        <v>0</v>
      </c>
      <c r="AK1230">
        <v>100</v>
      </c>
      <c r="AL1230">
        <v>0</v>
      </c>
      <c r="AM1230">
        <v>0</v>
      </c>
      <c r="AN1230">
        <v>0</v>
      </c>
      <c r="AO1230">
        <v>0</v>
      </c>
      <c r="AP1230" s="2">
        <v>70</v>
      </c>
      <c r="AT1230" t="str">
        <f>T("9791159283505")</f>
        <v>9791159283505</v>
      </c>
      <c r="AV1230" t="str">
        <f>T("판타지 웹소설 &gt; 무협 소설")</f>
        <v>판타지 웹소설 &gt; 무협 소설</v>
      </c>
    </row>
    <row r="1231" spans="1:48" x14ac:dyDescent="0.4">
      <c r="A1231">
        <v>1525002409</v>
      </c>
      <c r="B1231">
        <v>1525002567</v>
      </c>
      <c r="C1231" t="str">
        <f>T("스포트라이트 159화")</f>
        <v>스포트라이트 159화</v>
      </c>
      <c r="D1231" t="str">
        <f>T("159")</f>
        <v>159</v>
      </c>
      <c r="E1231" t="str">
        <f>T("전혁")</f>
        <v>전혁</v>
      </c>
      <c r="H1231" t="str">
        <f t="shared" si="159"/>
        <v>스토리위즈</v>
      </c>
      <c r="I1231" t="str">
        <f>T("스포트라이트")</f>
        <v>스포트라이트</v>
      </c>
      <c r="J1231">
        <v>100</v>
      </c>
      <c r="K1231">
        <v>100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100</v>
      </c>
      <c r="AH1231">
        <v>1</v>
      </c>
      <c r="AI1231">
        <v>0</v>
      </c>
      <c r="AJ1231">
        <v>0</v>
      </c>
      <c r="AK1231">
        <v>100</v>
      </c>
      <c r="AL1231">
        <v>0</v>
      </c>
      <c r="AM1231">
        <v>0</v>
      </c>
      <c r="AN1231">
        <v>0</v>
      </c>
      <c r="AO1231">
        <v>0</v>
      </c>
      <c r="AP1231" s="2">
        <v>70</v>
      </c>
      <c r="AT1231" t="str">
        <f>T("9791159286841")</f>
        <v>9791159286841</v>
      </c>
      <c r="AV1231" t="str">
        <f>T("판타지 웹소설 &gt; 현대 판타지")</f>
        <v>판타지 웹소설 &gt; 현대 판타지</v>
      </c>
    </row>
    <row r="1232" spans="1:48" x14ac:dyDescent="0.4">
      <c r="A1232">
        <v>1525004030</v>
      </c>
      <c r="B1232">
        <v>1525006997</v>
      </c>
      <c r="C1232" t="str">
        <f>T("회귀의 전설 2부 881화")</f>
        <v>회귀의 전설 2부 881화</v>
      </c>
      <c r="D1232" t="str">
        <f>T("881")</f>
        <v>881</v>
      </c>
      <c r="E1232" t="str">
        <f>T("김광수")</f>
        <v>김광수</v>
      </c>
      <c r="H1232" t="str">
        <f t="shared" si="159"/>
        <v>스토리위즈</v>
      </c>
      <c r="I1232" t="str">
        <f>T("회귀의 전설")</f>
        <v>회귀의 전설</v>
      </c>
      <c r="J1232">
        <v>100</v>
      </c>
      <c r="K1232">
        <v>100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100</v>
      </c>
      <c r="AH1232">
        <v>1</v>
      </c>
      <c r="AI1232">
        <v>0</v>
      </c>
      <c r="AJ1232">
        <v>0</v>
      </c>
      <c r="AK1232">
        <v>100</v>
      </c>
      <c r="AL1232">
        <v>0</v>
      </c>
      <c r="AM1232">
        <v>0</v>
      </c>
      <c r="AN1232">
        <v>0</v>
      </c>
      <c r="AO1232">
        <v>0</v>
      </c>
      <c r="AP1232" s="2">
        <v>70</v>
      </c>
      <c r="AT1232" t="str">
        <f>T("9791191102086")</f>
        <v>9791191102086</v>
      </c>
      <c r="AV1232" t="str">
        <f>T("판타지 웹소설 &gt; 현대 판타지")</f>
        <v>판타지 웹소설 &gt; 현대 판타지</v>
      </c>
    </row>
    <row r="1233" spans="1:48" x14ac:dyDescent="0.4">
      <c r="A1233">
        <v>1525004030</v>
      </c>
      <c r="B1233">
        <v>1525004320</v>
      </c>
      <c r="C1233" t="str">
        <f>T("회귀의 전설 291화")</f>
        <v>회귀의 전설 291화</v>
      </c>
      <c r="D1233" t="str">
        <f>T("291")</f>
        <v>291</v>
      </c>
      <c r="E1233" t="str">
        <f>T("김광수")</f>
        <v>김광수</v>
      </c>
      <c r="H1233" t="str">
        <f t="shared" si="159"/>
        <v>스토리위즈</v>
      </c>
      <c r="I1233" t="str">
        <f>T("회귀의 전설")</f>
        <v>회귀의 전설</v>
      </c>
      <c r="J1233">
        <v>100</v>
      </c>
      <c r="K1233">
        <v>100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100</v>
      </c>
      <c r="AH1233">
        <v>1</v>
      </c>
      <c r="AI1233">
        <v>0</v>
      </c>
      <c r="AJ1233">
        <v>0</v>
      </c>
      <c r="AK1233">
        <v>100</v>
      </c>
      <c r="AL1233">
        <v>0</v>
      </c>
      <c r="AM1233">
        <v>0</v>
      </c>
      <c r="AN1233">
        <v>0</v>
      </c>
      <c r="AO1233">
        <v>0</v>
      </c>
      <c r="AP1233" s="2">
        <v>70</v>
      </c>
      <c r="AT1233" t="str">
        <f>T("9788997946006")</f>
        <v>9788997946006</v>
      </c>
      <c r="AV1233" t="str">
        <f>T("판타지 웹소설 &gt; 현대 판타지")</f>
        <v>판타지 웹소설 &gt; 현대 판타지</v>
      </c>
    </row>
    <row r="1234" spans="1:48" x14ac:dyDescent="0.4">
      <c r="A1234">
        <v>1525004988</v>
      </c>
      <c r="B1234">
        <v>1525005336</v>
      </c>
      <c r="C1234" t="str">
        <f>T("용무쌍 49화")</f>
        <v>용무쌍 49화</v>
      </c>
      <c r="D1234" t="str">
        <f>T("49")</f>
        <v>49</v>
      </c>
      <c r="E1234" t="str">
        <f>T("권용찬")</f>
        <v>권용찬</v>
      </c>
      <c r="H1234" t="str">
        <f t="shared" si="159"/>
        <v>스토리위즈</v>
      </c>
      <c r="I1234" t="str">
        <f>T("용무쌍")</f>
        <v>용무쌍</v>
      </c>
      <c r="J1234">
        <v>100</v>
      </c>
      <c r="K1234">
        <v>100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100</v>
      </c>
      <c r="AH1234">
        <v>1</v>
      </c>
      <c r="AI1234">
        <v>0</v>
      </c>
      <c r="AJ1234">
        <v>0</v>
      </c>
      <c r="AK1234">
        <v>100</v>
      </c>
      <c r="AL1234">
        <v>0</v>
      </c>
      <c r="AM1234">
        <v>0</v>
      </c>
      <c r="AN1234">
        <v>0</v>
      </c>
      <c r="AO1234">
        <v>0</v>
      </c>
      <c r="AP1234" s="2">
        <v>70</v>
      </c>
      <c r="AT1234" t="str">
        <f>T("9791159284861")</f>
        <v>9791159284861</v>
      </c>
      <c r="AV1234" t="str">
        <f>T("판타지 웹소설 &gt; 무협 소설")</f>
        <v>판타지 웹소설 &gt; 무협 소설</v>
      </c>
    </row>
    <row r="1235" spans="1:48" x14ac:dyDescent="0.4">
      <c r="A1235">
        <v>1525004030</v>
      </c>
      <c r="B1235">
        <v>1525004432</v>
      </c>
      <c r="C1235" t="str">
        <f>T("회귀의 전설 416화")</f>
        <v>회귀의 전설 416화</v>
      </c>
      <c r="D1235" t="str">
        <f>T("416")</f>
        <v>416</v>
      </c>
      <c r="E1235" t="str">
        <f>T("김광수")</f>
        <v>김광수</v>
      </c>
      <c r="H1235" t="str">
        <f t="shared" si="159"/>
        <v>스토리위즈</v>
      </c>
      <c r="I1235" t="str">
        <f>T("회귀의 전설")</f>
        <v>회귀의 전설</v>
      </c>
      <c r="J1235">
        <v>100</v>
      </c>
      <c r="K1235">
        <v>100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100</v>
      </c>
      <c r="AH1235">
        <v>1</v>
      </c>
      <c r="AI1235">
        <v>0</v>
      </c>
      <c r="AJ1235">
        <v>0</v>
      </c>
      <c r="AK1235">
        <v>100</v>
      </c>
      <c r="AL1235">
        <v>0</v>
      </c>
      <c r="AM1235">
        <v>0</v>
      </c>
      <c r="AN1235">
        <v>0</v>
      </c>
      <c r="AO1235">
        <v>0</v>
      </c>
      <c r="AP1235" s="2">
        <v>70</v>
      </c>
      <c r="AT1235" t="str">
        <f>T("9788997946006")</f>
        <v>9788997946006</v>
      </c>
      <c r="AV1235" t="str">
        <f>T("판타지 웹소설 &gt; 현대 판타지")</f>
        <v>판타지 웹소설 &gt; 현대 판타지</v>
      </c>
    </row>
    <row r="1236" spans="1:48" x14ac:dyDescent="0.4">
      <c r="A1236">
        <v>1525004030</v>
      </c>
      <c r="B1236">
        <v>1525004512</v>
      </c>
      <c r="C1236" t="str">
        <f>T("회귀의 전설 311화")</f>
        <v>회귀의 전설 311화</v>
      </c>
      <c r="D1236" t="str">
        <f>T("311")</f>
        <v>311</v>
      </c>
      <c r="E1236" t="str">
        <f>T("김광수")</f>
        <v>김광수</v>
      </c>
      <c r="H1236" t="str">
        <f t="shared" si="159"/>
        <v>스토리위즈</v>
      </c>
      <c r="I1236" t="str">
        <f>T("회귀의 전설")</f>
        <v>회귀의 전설</v>
      </c>
      <c r="J1236">
        <v>100</v>
      </c>
      <c r="K1236">
        <v>100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100</v>
      </c>
      <c r="AH1236">
        <v>1</v>
      </c>
      <c r="AI1236">
        <v>0</v>
      </c>
      <c r="AJ1236">
        <v>0</v>
      </c>
      <c r="AK1236">
        <v>100</v>
      </c>
      <c r="AL1236">
        <v>0</v>
      </c>
      <c r="AM1236">
        <v>0</v>
      </c>
      <c r="AN1236">
        <v>0</v>
      </c>
      <c r="AO1236">
        <v>0</v>
      </c>
      <c r="AP1236" s="2">
        <v>70</v>
      </c>
      <c r="AT1236" t="str">
        <f>T("9788997946006")</f>
        <v>9788997946006</v>
      </c>
      <c r="AV1236" t="str">
        <f>T("판타지 웹소설 &gt; 현대 판타지")</f>
        <v>판타지 웹소설 &gt; 현대 판타지</v>
      </c>
    </row>
    <row r="1237" spans="1:48" x14ac:dyDescent="0.4">
      <c r="A1237">
        <v>1525004989</v>
      </c>
      <c r="B1237">
        <v>1525005538</v>
      </c>
      <c r="C1237" t="str">
        <f>T("신룡전설 49화")</f>
        <v>신룡전설 49화</v>
      </c>
      <c r="D1237" t="str">
        <f>T("49")</f>
        <v>49</v>
      </c>
      <c r="E1237" t="str">
        <f>T("가람검")</f>
        <v>가람검</v>
      </c>
      <c r="H1237" t="str">
        <f t="shared" si="159"/>
        <v>스토리위즈</v>
      </c>
      <c r="I1237" t="str">
        <f>T("신룡전설")</f>
        <v>신룡전설</v>
      </c>
      <c r="J1237">
        <v>100</v>
      </c>
      <c r="K1237">
        <v>100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100</v>
      </c>
      <c r="AH1237">
        <v>1</v>
      </c>
      <c r="AI1237">
        <v>0</v>
      </c>
      <c r="AJ1237">
        <v>0</v>
      </c>
      <c r="AK1237">
        <v>100</v>
      </c>
      <c r="AL1237">
        <v>0</v>
      </c>
      <c r="AM1237">
        <v>0</v>
      </c>
      <c r="AN1237">
        <v>0</v>
      </c>
      <c r="AO1237">
        <v>0</v>
      </c>
      <c r="AP1237" s="2">
        <v>70</v>
      </c>
      <c r="AT1237" t="str">
        <f>T("9791159283505")</f>
        <v>9791159283505</v>
      </c>
      <c r="AV1237" t="str">
        <f>T("판타지 웹소설 &gt; 무협 소설")</f>
        <v>판타지 웹소설 &gt; 무협 소설</v>
      </c>
    </row>
    <row r="1238" spans="1:48" x14ac:dyDescent="0.4">
      <c r="A1238">
        <v>1525000569</v>
      </c>
      <c r="B1238">
        <v>1525000690</v>
      </c>
      <c r="C1238" t="str">
        <f>T("스트라이커 120화")</f>
        <v>스트라이커 120화</v>
      </c>
      <c r="D1238" t="str">
        <f>T("120")</f>
        <v>120</v>
      </c>
      <c r="E1238" t="str">
        <f>T("독고진")</f>
        <v>독고진</v>
      </c>
      <c r="H1238" t="str">
        <f t="shared" si="159"/>
        <v>스토리위즈</v>
      </c>
      <c r="I1238" t="str">
        <f>T("스트라이커")</f>
        <v>스트라이커</v>
      </c>
      <c r="J1238">
        <v>100</v>
      </c>
      <c r="K1238">
        <v>100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100</v>
      </c>
      <c r="AH1238">
        <v>1</v>
      </c>
      <c r="AI1238">
        <v>0</v>
      </c>
      <c r="AJ1238">
        <v>0</v>
      </c>
      <c r="AK1238">
        <v>100</v>
      </c>
      <c r="AL1238">
        <v>0</v>
      </c>
      <c r="AM1238">
        <v>0</v>
      </c>
      <c r="AN1238">
        <v>0</v>
      </c>
      <c r="AO1238">
        <v>0</v>
      </c>
      <c r="AP1238" s="2">
        <v>70</v>
      </c>
      <c r="AT1238" t="str">
        <f>T("9791170151678")</f>
        <v>9791170151678</v>
      </c>
      <c r="AV1238" t="str">
        <f t="shared" ref="AV1238:AV1244" si="160">T("판타지 웹소설 &gt; 현대 판타지")</f>
        <v>판타지 웹소설 &gt; 현대 판타지</v>
      </c>
    </row>
    <row r="1239" spans="1:48" x14ac:dyDescent="0.4">
      <c r="A1239">
        <v>1525004030</v>
      </c>
      <c r="B1239">
        <v>1525007081</v>
      </c>
      <c r="C1239" t="str">
        <f>T("회귀의 전설 2부 965화")</f>
        <v>회귀의 전설 2부 965화</v>
      </c>
      <c r="D1239" t="str">
        <f>T("965")</f>
        <v>965</v>
      </c>
      <c r="E1239" t="str">
        <f>T("김광수")</f>
        <v>김광수</v>
      </c>
      <c r="H1239" t="str">
        <f t="shared" si="159"/>
        <v>스토리위즈</v>
      </c>
      <c r="I1239" t="str">
        <f>T("회귀의 전설")</f>
        <v>회귀의 전설</v>
      </c>
      <c r="J1239">
        <v>100</v>
      </c>
      <c r="K1239">
        <v>100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100</v>
      </c>
      <c r="AH1239">
        <v>1</v>
      </c>
      <c r="AI1239">
        <v>0</v>
      </c>
      <c r="AJ1239">
        <v>0</v>
      </c>
      <c r="AK1239">
        <v>100</v>
      </c>
      <c r="AL1239">
        <v>0</v>
      </c>
      <c r="AM1239">
        <v>0</v>
      </c>
      <c r="AN1239">
        <v>0</v>
      </c>
      <c r="AO1239">
        <v>0</v>
      </c>
      <c r="AP1239" s="2">
        <v>70</v>
      </c>
      <c r="AT1239" t="str">
        <f>T("9791191102086")</f>
        <v>9791191102086</v>
      </c>
      <c r="AV1239" t="str">
        <f t="shared" si="160"/>
        <v>판타지 웹소설 &gt; 현대 판타지</v>
      </c>
    </row>
    <row r="1240" spans="1:48" x14ac:dyDescent="0.4">
      <c r="A1240">
        <v>2313011400</v>
      </c>
      <c r="B1240">
        <v>1525007723</v>
      </c>
      <c r="C1240" t="str">
        <f>T("최종 보스 25권 8화")</f>
        <v>최종 보스 25권 8화</v>
      </c>
      <c r="D1240" t="str">
        <f>T("501")</f>
        <v>501</v>
      </c>
      <c r="E1240" t="str">
        <f>T("무장")</f>
        <v>무장</v>
      </c>
      <c r="H1240" t="str">
        <f t="shared" si="159"/>
        <v>스토리위즈</v>
      </c>
      <c r="I1240" t="str">
        <f>T("최종 보스 : 빛을 향해 달리는 그림자")</f>
        <v>최종 보스 : 빛을 향해 달리는 그림자</v>
      </c>
      <c r="J1240">
        <v>100</v>
      </c>
      <c r="K1240">
        <v>100</v>
      </c>
      <c r="L1240">
        <v>1</v>
      </c>
      <c r="M1240">
        <v>0</v>
      </c>
      <c r="N1240">
        <v>100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 s="2">
        <v>140</v>
      </c>
      <c r="AT1240" t="str">
        <f>T("9791166067563")</f>
        <v>9791166067563</v>
      </c>
      <c r="AV1240" t="str">
        <f t="shared" si="160"/>
        <v>판타지 웹소설 &gt; 현대 판타지</v>
      </c>
    </row>
    <row r="1241" spans="1:48" x14ac:dyDescent="0.4">
      <c r="A1241">
        <v>2313011400</v>
      </c>
      <c r="B1241">
        <v>1525007627</v>
      </c>
      <c r="C1241" t="str">
        <f>T("최종 보스 20권 12화")</f>
        <v>최종 보스 20권 12화</v>
      </c>
      <c r="D1241" t="str">
        <f>T("405")</f>
        <v>405</v>
      </c>
      <c r="E1241" t="str">
        <f>T("무장")</f>
        <v>무장</v>
      </c>
      <c r="H1241" t="str">
        <f t="shared" si="159"/>
        <v>스토리위즈</v>
      </c>
      <c r="I1241" t="str">
        <f>T("최종 보스 : 빛을 향해 달리는 그림자")</f>
        <v>최종 보스 : 빛을 향해 달리는 그림자</v>
      </c>
      <c r="J1241">
        <v>100</v>
      </c>
      <c r="K1241">
        <v>100</v>
      </c>
      <c r="L1241">
        <v>1</v>
      </c>
      <c r="M1241">
        <v>0</v>
      </c>
      <c r="N1241">
        <v>100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 s="2">
        <v>140</v>
      </c>
      <c r="AT1241" t="str">
        <f>T("9791166067563")</f>
        <v>9791166067563</v>
      </c>
      <c r="AV1241" t="str">
        <f t="shared" si="160"/>
        <v>판타지 웹소설 &gt; 현대 판타지</v>
      </c>
    </row>
    <row r="1242" spans="1:48" x14ac:dyDescent="0.4">
      <c r="A1242">
        <v>1525004030</v>
      </c>
      <c r="B1242">
        <v>1525004352</v>
      </c>
      <c r="C1242" t="str">
        <f>T("회귀의 전설 324화")</f>
        <v>회귀의 전설 324화</v>
      </c>
      <c r="D1242" t="str">
        <f>T("324")</f>
        <v>324</v>
      </c>
      <c r="E1242" t="str">
        <f>T("김광수")</f>
        <v>김광수</v>
      </c>
      <c r="H1242" t="str">
        <f t="shared" si="159"/>
        <v>스토리위즈</v>
      </c>
      <c r="I1242" t="str">
        <f>T("회귀의 전설")</f>
        <v>회귀의 전설</v>
      </c>
      <c r="J1242">
        <v>100</v>
      </c>
      <c r="K1242">
        <v>100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100</v>
      </c>
      <c r="AH1242">
        <v>1</v>
      </c>
      <c r="AI1242">
        <v>0</v>
      </c>
      <c r="AJ1242">
        <v>0</v>
      </c>
      <c r="AK1242">
        <v>100</v>
      </c>
      <c r="AL1242">
        <v>0</v>
      </c>
      <c r="AM1242">
        <v>0</v>
      </c>
      <c r="AN1242">
        <v>0</v>
      </c>
      <c r="AO1242">
        <v>0</v>
      </c>
      <c r="AP1242" s="2">
        <v>70</v>
      </c>
      <c r="AT1242" t="str">
        <f>T("9788997946006")</f>
        <v>9788997946006</v>
      </c>
      <c r="AV1242" t="str">
        <f t="shared" si="160"/>
        <v>판타지 웹소설 &gt; 현대 판타지</v>
      </c>
    </row>
    <row r="1243" spans="1:48" x14ac:dyDescent="0.4">
      <c r="A1243">
        <v>1525004030</v>
      </c>
      <c r="B1243">
        <v>1525007153</v>
      </c>
      <c r="C1243" t="str">
        <f>T("회귀의 전설 2부 1036화")</f>
        <v>회귀의 전설 2부 1036화</v>
      </c>
      <c r="D1243" t="str">
        <f>T("1036")</f>
        <v>1036</v>
      </c>
      <c r="E1243" t="str">
        <f>T("김광수")</f>
        <v>김광수</v>
      </c>
      <c r="H1243" t="str">
        <f t="shared" si="159"/>
        <v>스토리위즈</v>
      </c>
      <c r="I1243" t="str">
        <f>T("회귀의 전설")</f>
        <v>회귀의 전설</v>
      </c>
      <c r="J1243">
        <v>100</v>
      </c>
      <c r="K1243">
        <v>100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100</v>
      </c>
      <c r="AH1243">
        <v>1</v>
      </c>
      <c r="AI1243">
        <v>0</v>
      </c>
      <c r="AJ1243">
        <v>0</v>
      </c>
      <c r="AK1243">
        <v>100</v>
      </c>
      <c r="AL1243">
        <v>0</v>
      </c>
      <c r="AM1243">
        <v>0</v>
      </c>
      <c r="AN1243">
        <v>0</v>
      </c>
      <c r="AO1243">
        <v>0</v>
      </c>
      <c r="AP1243" s="2">
        <v>70</v>
      </c>
      <c r="AT1243" t="str">
        <f>T("9791191102086")</f>
        <v>9791191102086</v>
      </c>
      <c r="AV1243" t="str">
        <f t="shared" si="160"/>
        <v>판타지 웹소설 &gt; 현대 판타지</v>
      </c>
    </row>
    <row r="1244" spans="1:48" x14ac:dyDescent="0.4">
      <c r="A1244">
        <v>1525004030</v>
      </c>
      <c r="B1244">
        <v>1525004464</v>
      </c>
      <c r="C1244" t="str">
        <f>T("회귀의 전설 448화")</f>
        <v>회귀의 전설 448화</v>
      </c>
      <c r="D1244" t="str">
        <f>T("448")</f>
        <v>448</v>
      </c>
      <c r="E1244" t="str">
        <f>T("김광수")</f>
        <v>김광수</v>
      </c>
      <c r="H1244" t="str">
        <f t="shared" si="159"/>
        <v>스토리위즈</v>
      </c>
      <c r="I1244" t="str">
        <f>T("회귀의 전설")</f>
        <v>회귀의 전설</v>
      </c>
      <c r="J1244">
        <v>100</v>
      </c>
      <c r="K1244">
        <v>100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100</v>
      </c>
      <c r="AH1244">
        <v>1</v>
      </c>
      <c r="AI1244">
        <v>0</v>
      </c>
      <c r="AJ1244">
        <v>0</v>
      </c>
      <c r="AK1244">
        <v>100</v>
      </c>
      <c r="AL1244">
        <v>0</v>
      </c>
      <c r="AM1244">
        <v>0</v>
      </c>
      <c r="AN1244">
        <v>0</v>
      </c>
      <c r="AO1244">
        <v>0</v>
      </c>
      <c r="AP1244" s="2">
        <v>70</v>
      </c>
      <c r="AT1244" t="str">
        <f>T("9788997946006")</f>
        <v>9788997946006</v>
      </c>
      <c r="AV1244" t="str">
        <f t="shared" si="160"/>
        <v>판타지 웹소설 &gt; 현대 판타지</v>
      </c>
    </row>
    <row r="1245" spans="1:48" x14ac:dyDescent="0.4">
      <c r="A1245">
        <v>1525008545</v>
      </c>
      <c r="B1245">
        <v>1525008554</v>
      </c>
      <c r="C1245" t="str">
        <f>T("소년연애담 28화")</f>
        <v>소년연애담 28화</v>
      </c>
      <c r="D1245" t="str">
        <f>T("28")</f>
        <v>28</v>
      </c>
      <c r="E1245" t="str">
        <f>T("나나코")</f>
        <v>나나코</v>
      </c>
      <c r="H1245" t="str">
        <f>T("블러쉬")</f>
        <v>블러쉬</v>
      </c>
      <c r="I1245" t="str">
        <f>T("소년연애담")</f>
        <v>소년연애담</v>
      </c>
      <c r="J1245">
        <v>100</v>
      </c>
      <c r="K1245">
        <v>100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100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100</v>
      </c>
      <c r="AN1245">
        <v>0</v>
      </c>
      <c r="AO1245">
        <v>0</v>
      </c>
      <c r="AP1245" s="2">
        <v>70</v>
      </c>
      <c r="AR1245" t="str">
        <f>T("0000000000000")</f>
        <v>0000000000000</v>
      </c>
      <c r="AT1245" t="str">
        <f>T("9791164890729")</f>
        <v>9791164890729</v>
      </c>
      <c r="AU1245" t="str">
        <f>T("B12")</f>
        <v>B12</v>
      </c>
      <c r="AV1245" t="str">
        <f>T("BL 웹소설 &gt; 현대물")</f>
        <v>BL 웹소설 &gt; 현대물</v>
      </c>
    </row>
    <row r="1246" spans="1:48" x14ac:dyDescent="0.4">
      <c r="A1246">
        <v>1525004989</v>
      </c>
      <c r="B1246">
        <v>1525005570</v>
      </c>
      <c r="C1246" t="str">
        <f>T("신룡전설 81화")</f>
        <v>신룡전설 81화</v>
      </c>
      <c r="D1246" t="str">
        <f>T("81")</f>
        <v>81</v>
      </c>
      <c r="E1246" t="str">
        <f>T("가람검")</f>
        <v>가람검</v>
      </c>
      <c r="H1246" t="str">
        <f>T("스토리위즈")</f>
        <v>스토리위즈</v>
      </c>
      <c r="I1246" t="str">
        <f>T("신룡전설")</f>
        <v>신룡전설</v>
      </c>
      <c r="J1246">
        <v>100</v>
      </c>
      <c r="K1246">
        <v>100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100</v>
      </c>
      <c r="AH1246">
        <v>1</v>
      </c>
      <c r="AI1246">
        <v>0</v>
      </c>
      <c r="AJ1246">
        <v>0</v>
      </c>
      <c r="AK1246">
        <v>100</v>
      </c>
      <c r="AL1246">
        <v>0</v>
      </c>
      <c r="AM1246">
        <v>0</v>
      </c>
      <c r="AN1246">
        <v>0</v>
      </c>
      <c r="AO1246">
        <v>0</v>
      </c>
      <c r="AP1246" s="2">
        <v>70</v>
      </c>
      <c r="AT1246" t="str">
        <f>T("9791159283505")</f>
        <v>9791159283505</v>
      </c>
      <c r="AV1246" t="str">
        <f>T("판타지 웹소설 &gt; 무협 소설")</f>
        <v>판타지 웹소설 &gt; 무협 소설</v>
      </c>
    </row>
    <row r="1247" spans="1:48" x14ac:dyDescent="0.4">
      <c r="A1247">
        <v>1525008604</v>
      </c>
      <c r="B1247">
        <v>1525008670</v>
      </c>
      <c r="C1247" t="str">
        <f>T("우아한 곡선 7화")</f>
        <v>우아한 곡선 7화</v>
      </c>
      <c r="D1247" t="str">
        <f>T("7")</f>
        <v>7</v>
      </c>
      <c r="E1247" t="str">
        <f>T("용가리맛쿠키")</f>
        <v>용가리맛쿠키</v>
      </c>
      <c r="H1247" t="str">
        <f>T("블러쉬")</f>
        <v>블러쉬</v>
      </c>
      <c r="I1247" t="str">
        <f>T("우아한 곡선")</f>
        <v>우아한 곡선</v>
      </c>
      <c r="J1247">
        <v>100</v>
      </c>
      <c r="K1247">
        <v>100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100</v>
      </c>
      <c r="AH1247">
        <v>1</v>
      </c>
      <c r="AI1247">
        <v>0</v>
      </c>
      <c r="AJ1247">
        <v>0</v>
      </c>
      <c r="AK1247">
        <v>100</v>
      </c>
      <c r="AL1247">
        <v>0</v>
      </c>
      <c r="AM1247">
        <v>0</v>
      </c>
      <c r="AN1247">
        <v>0</v>
      </c>
      <c r="AO1247">
        <v>0</v>
      </c>
      <c r="AP1247" s="2">
        <v>70</v>
      </c>
      <c r="AR1247" t="str">
        <f>T("0000000000000")</f>
        <v>0000000000000</v>
      </c>
      <c r="AT1247" t="str">
        <f>T("9791164896615")</f>
        <v>9791164896615</v>
      </c>
      <c r="AV1247" t="str">
        <f>T("BL 웹소설 &gt; 현대물")</f>
        <v>BL 웹소설 &gt; 현대물</v>
      </c>
    </row>
    <row r="1248" spans="1:48" x14ac:dyDescent="0.4">
      <c r="A1248">
        <v>1525004030</v>
      </c>
      <c r="B1248">
        <v>1525007113</v>
      </c>
      <c r="C1248" t="str">
        <f>T("회귀의 전설 2부 997화")</f>
        <v>회귀의 전설 2부 997화</v>
      </c>
      <c r="D1248" t="str">
        <f>T("997")</f>
        <v>997</v>
      </c>
      <c r="E1248" t="str">
        <f>T("김광수")</f>
        <v>김광수</v>
      </c>
      <c r="H1248" t="str">
        <f>T("스토리위즈")</f>
        <v>스토리위즈</v>
      </c>
      <c r="I1248" t="str">
        <f>T("회귀의 전설")</f>
        <v>회귀의 전설</v>
      </c>
      <c r="J1248">
        <v>100</v>
      </c>
      <c r="K1248">
        <v>100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100</v>
      </c>
      <c r="AH1248">
        <v>1</v>
      </c>
      <c r="AI1248">
        <v>0</v>
      </c>
      <c r="AJ1248">
        <v>0</v>
      </c>
      <c r="AK1248">
        <v>100</v>
      </c>
      <c r="AL1248">
        <v>0</v>
      </c>
      <c r="AM1248">
        <v>0</v>
      </c>
      <c r="AN1248">
        <v>0</v>
      </c>
      <c r="AO1248">
        <v>0</v>
      </c>
      <c r="AP1248" s="2">
        <v>70</v>
      </c>
      <c r="AT1248" t="str">
        <f>T("9791191102086")</f>
        <v>9791191102086</v>
      </c>
      <c r="AV1248" t="str">
        <f>T("판타지 웹소설 &gt; 현대 판타지")</f>
        <v>판타지 웹소설 &gt; 현대 판타지</v>
      </c>
    </row>
    <row r="1249" spans="1:48" x14ac:dyDescent="0.4">
      <c r="A1249">
        <v>1525007923</v>
      </c>
      <c r="B1249">
        <v>1525008006</v>
      </c>
      <c r="C1249" t="str">
        <f>T("운상연담: 화불능귀일락 95화")</f>
        <v>운상연담: 화불능귀일락 95화</v>
      </c>
      <c r="D1249" t="str">
        <f>T("95")</f>
        <v>95</v>
      </c>
      <c r="E1249" t="str">
        <f>T("피모")</f>
        <v>피모</v>
      </c>
      <c r="H1249" t="str">
        <f>T("쉬라즈")</f>
        <v>쉬라즈</v>
      </c>
      <c r="I1249" t="str">
        <f>T("운상연담: 화불능귀일락")</f>
        <v>운상연담: 화불능귀일락</v>
      </c>
      <c r="J1249">
        <v>100</v>
      </c>
      <c r="K1249">
        <v>100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100</v>
      </c>
      <c r="AH1249">
        <v>1</v>
      </c>
      <c r="AI1249">
        <v>0</v>
      </c>
      <c r="AJ1249">
        <v>0</v>
      </c>
      <c r="AK1249">
        <v>100</v>
      </c>
      <c r="AL1249">
        <v>0</v>
      </c>
      <c r="AM1249">
        <v>0</v>
      </c>
      <c r="AN1249">
        <v>0</v>
      </c>
      <c r="AO1249">
        <v>0</v>
      </c>
      <c r="AP1249" s="2">
        <v>70</v>
      </c>
      <c r="AT1249" t="str">
        <f>T("9791164896646")</f>
        <v>9791164896646</v>
      </c>
      <c r="AV1249" t="str">
        <f>T("로맨스 웹소설 &gt; 역사/시대물")</f>
        <v>로맨스 웹소설 &gt; 역사/시대물</v>
      </c>
    </row>
    <row r="1250" spans="1:48" x14ac:dyDescent="0.4">
      <c r="A1250">
        <v>1525002864</v>
      </c>
      <c r="B1250">
        <v>1525002906</v>
      </c>
      <c r="C1250" t="str">
        <f>T("소드마스터의 환생 43화")</f>
        <v>소드마스터의 환생 43화</v>
      </c>
      <c r="D1250" t="str">
        <f>T("43")</f>
        <v>43</v>
      </c>
      <c r="E1250" t="str">
        <f>T("파란영")</f>
        <v>파란영</v>
      </c>
      <c r="H1250" t="str">
        <f>T("스토리위즈")</f>
        <v>스토리위즈</v>
      </c>
      <c r="I1250" t="str">
        <f>T("소드마스터의 환생")</f>
        <v>소드마스터의 환생</v>
      </c>
      <c r="J1250">
        <v>100</v>
      </c>
      <c r="K1250">
        <v>100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100</v>
      </c>
      <c r="AH1250">
        <v>1</v>
      </c>
      <c r="AI1250">
        <v>0</v>
      </c>
      <c r="AJ1250">
        <v>0</v>
      </c>
      <c r="AK1250">
        <v>100</v>
      </c>
      <c r="AL1250">
        <v>0</v>
      </c>
      <c r="AM1250">
        <v>0</v>
      </c>
      <c r="AN1250">
        <v>0</v>
      </c>
      <c r="AO1250">
        <v>0</v>
      </c>
      <c r="AP1250" s="2">
        <v>70</v>
      </c>
      <c r="AT1250" t="str">
        <f>T("9791159287527")</f>
        <v>9791159287527</v>
      </c>
      <c r="AV1250" t="str">
        <f>T("판타지 웹소설 &gt; 정통 판타지")</f>
        <v>판타지 웹소설 &gt; 정통 판타지</v>
      </c>
    </row>
    <row r="1251" spans="1:48" x14ac:dyDescent="0.4">
      <c r="A1251">
        <v>1525002409</v>
      </c>
      <c r="B1251">
        <v>1525002585</v>
      </c>
      <c r="C1251" t="str">
        <f>T("스포트라이트 177화")</f>
        <v>스포트라이트 177화</v>
      </c>
      <c r="D1251" t="str">
        <f>T("177")</f>
        <v>177</v>
      </c>
      <c r="E1251" t="str">
        <f>T("전혁")</f>
        <v>전혁</v>
      </c>
      <c r="H1251" t="str">
        <f>T("스토리위즈")</f>
        <v>스토리위즈</v>
      </c>
      <c r="I1251" t="str">
        <f>T("스포트라이트")</f>
        <v>스포트라이트</v>
      </c>
      <c r="J1251">
        <v>100</v>
      </c>
      <c r="K1251">
        <v>100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100</v>
      </c>
      <c r="AH1251">
        <v>1</v>
      </c>
      <c r="AI1251">
        <v>0</v>
      </c>
      <c r="AJ1251">
        <v>0</v>
      </c>
      <c r="AK1251">
        <v>100</v>
      </c>
      <c r="AL1251">
        <v>0</v>
      </c>
      <c r="AM1251">
        <v>0</v>
      </c>
      <c r="AN1251">
        <v>0</v>
      </c>
      <c r="AO1251">
        <v>0</v>
      </c>
      <c r="AP1251" s="2">
        <v>70</v>
      </c>
      <c r="AT1251" t="str">
        <f>T("9791159286841")</f>
        <v>9791159286841</v>
      </c>
      <c r="AV1251" t="str">
        <f>T("판타지 웹소설 &gt; 현대 판타지")</f>
        <v>판타지 웹소설 &gt; 현대 판타지</v>
      </c>
    </row>
    <row r="1252" spans="1:48" x14ac:dyDescent="0.4">
      <c r="A1252">
        <v>2313011400</v>
      </c>
      <c r="B1252">
        <v>1525007659</v>
      </c>
      <c r="C1252" t="str">
        <f>T("최종 보스 22권 4화")</f>
        <v>최종 보스 22권 4화</v>
      </c>
      <c r="D1252" t="str">
        <f>T("437")</f>
        <v>437</v>
      </c>
      <c r="E1252" t="str">
        <f>T("무장")</f>
        <v>무장</v>
      </c>
      <c r="H1252" t="str">
        <f>T("스토리위즈")</f>
        <v>스토리위즈</v>
      </c>
      <c r="I1252" t="str">
        <f>T("최종 보스 : 빛을 향해 달리는 그림자")</f>
        <v>최종 보스 : 빛을 향해 달리는 그림자</v>
      </c>
      <c r="J1252">
        <v>100</v>
      </c>
      <c r="K1252">
        <v>100</v>
      </c>
      <c r="L1252">
        <v>1</v>
      </c>
      <c r="M1252">
        <v>0</v>
      </c>
      <c r="N1252">
        <v>100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 s="2">
        <v>140</v>
      </c>
      <c r="AT1252" t="str">
        <f>T("9791166067563")</f>
        <v>9791166067563</v>
      </c>
      <c r="AV1252" t="str">
        <f>T("판타지 웹소설 &gt; 현대 판타지")</f>
        <v>판타지 웹소설 &gt; 현대 판타지</v>
      </c>
    </row>
    <row r="1253" spans="1:48" x14ac:dyDescent="0.4">
      <c r="A1253">
        <v>1525004030</v>
      </c>
      <c r="B1253">
        <v>1525006717</v>
      </c>
      <c r="C1253" t="str">
        <f>T("회귀의 전설 2부 600화")</f>
        <v>회귀의 전설 2부 600화</v>
      </c>
      <c r="D1253" t="str">
        <f>T("600")</f>
        <v>600</v>
      </c>
      <c r="E1253" t="str">
        <f>T("김광수")</f>
        <v>김광수</v>
      </c>
      <c r="H1253" t="str">
        <f>T("스토리위즈")</f>
        <v>스토리위즈</v>
      </c>
      <c r="I1253" t="str">
        <f>T("회귀의 전설")</f>
        <v>회귀의 전설</v>
      </c>
      <c r="J1253">
        <v>100</v>
      </c>
      <c r="K1253">
        <v>100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100</v>
      </c>
      <c r="AH1253">
        <v>1</v>
      </c>
      <c r="AI1253">
        <v>0</v>
      </c>
      <c r="AJ1253">
        <v>0</v>
      </c>
      <c r="AK1253">
        <v>100</v>
      </c>
      <c r="AL1253">
        <v>0</v>
      </c>
      <c r="AM1253">
        <v>0</v>
      </c>
      <c r="AN1253">
        <v>0</v>
      </c>
      <c r="AO1253">
        <v>0</v>
      </c>
      <c r="AP1253" s="2">
        <v>70</v>
      </c>
      <c r="AT1253" t="str">
        <f>T("9791191102086")</f>
        <v>9791191102086</v>
      </c>
      <c r="AV1253" t="str">
        <f>T("판타지 웹소설 &gt; 현대 판타지")</f>
        <v>판타지 웹소설 &gt; 현대 판타지</v>
      </c>
    </row>
    <row r="1254" spans="1:48" x14ac:dyDescent="0.4">
      <c r="A1254">
        <v>1525004989</v>
      </c>
      <c r="B1254">
        <v>1525005586</v>
      </c>
      <c r="C1254" t="str">
        <f>T("신룡전설 97화")</f>
        <v>신룡전설 97화</v>
      </c>
      <c r="D1254" t="str">
        <f>T("97")</f>
        <v>97</v>
      </c>
      <c r="E1254" t="str">
        <f>T("가람검")</f>
        <v>가람검</v>
      </c>
      <c r="H1254" t="str">
        <f>T("스토리위즈")</f>
        <v>스토리위즈</v>
      </c>
      <c r="I1254" t="str">
        <f>T("신룡전설")</f>
        <v>신룡전설</v>
      </c>
      <c r="J1254">
        <v>100</v>
      </c>
      <c r="K1254">
        <v>100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100</v>
      </c>
      <c r="AH1254">
        <v>1</v>
      </c>
      <c r="AI1254">
        <v>0</v>
      </c>
      <c r="AJ1254">
        <v>0</v>
      </c>
      <c r="AK1254">
        <v>100</v>
      </c>
      <c r="AL1254">
        <v>0</v>
      </c>
      <c r="AM1254">
        <v>0</v>
      </c>
      <c r="AN1254">
        <v>0</v>
      </c>
      <c r="AO1254">
        <v>0</v>
      </c>
      <c r="AP1254" s="2">
        <v>70</v>
      </c>
      <c r="AT1254" t="str">
        <f>T("9791159283505")</f>
        <v>9791159283505</v>
      </c>
      <c r="AV1254" t="str">
        <f>T("판타지 웹소설 &gt; 무협 소설")</f>
        <v>판타지 웹소설 &gt; 무협 소설</v>
      </c>
    </row>
    <row r="1255" spans="1:48" x14ac:dyDescent="0.4">
      <c r="A1255">
        <v>1525008276</v>
      </c>
      <c r="B1255">
        <v>1525008339</v>
      </c>
      <c r="C1255" t="str">
        <f>T("달보드레 외전 6")</f>
        <v>달보드레 외전 6</v>
      </c>
      <c r="D1255" t="str">
        <f>T("73")</f>
        <v>73</v>
      </c>
      <c r="E1255" t="str">
        <f>T("시아")</f>
        <v>시아</v>
      </c>
      <c r="H1255" t="str">
        <f>T("비엘스토리")</f>
        <v>비엘스토리</v>
      </c>
      <c r="I1255" t="str">
        <f>T("달보드레")</f>
        <v>달보드레</v>
      </c>
      <c r="J1255">
        <v>100</v>
      </c>
      <c r="K1255">
        <v>100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100</v>
      </c>
      <c r="AH1255">
        <v>1</v>
      </c>
      <c r="AI1255">
        <v>0</v>
      </c>
      <c r="AJ1255">
        <v>0</v>
      </c>
      <c r="AK1255">
        <v>100</v>
      </c>
      <c r="AL1255">
        <v>0</v>
      </c>
      <c r="AM1255">
        <v>0</v>
      </c>
      <c r="AN1255">
        <v>0</v>
      </c>
      <c r="AO1255">
        <v>0</v>
      </c>
      <c r="AP1255" s="2">
        <v>70</v>
      </c>
      <c r="AR1255" t="str">
        <f>T("0000000000000")</f>
        <v>0000000000000</v>
      </c>
      <c r="AT1255" t="str">
        <f>T("9791164899715")</f>
        <v>9791164899715</v>
      </c>
      <c r="AV1255" t="str">
        <f>T("BL 웹소설 &gt; 현대물")</f>
        <v>BL 웹소설 &gt; 현대물</v>
      </c>
    </row>
    <row r="1256" spans="1:48" x14ac:dyDescent="0.4">
      <c r="A1256">
        <v>1525004030</v>
      </c>
      <c r="B1256">
        <v>1525006965</v>
      </c>
      <c r="C1256" t="str">
        <f>T("회귀의 전설 2부 849화")</f>
        <v>회귀의 전설 2부 849화</v>
      </c>
      <c r="D1256" t="str">
        <f>T("849")</f>
        <v>849</v>
      </c>
      <c r="E1256" t="str">
        <f>T("김광수")</f>
        <v>김광수</v>
      </c>
      <c r="H1256" t="str">
        <f>T("스토리위즈")</f>
        <v>스토리위즈</v>
      </c>
      <c r="I1256" t="str">
        <f>T("회귀의 전설")</f>
        <v>회귀의 전설</v>
      </c>
      <c r="J1256">
        <v>100</v>
      </c>
      <c r="K1256">
        <v>100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100</v>
      </c>
      <c r="AH1256">
        <v>1</v>
      </c>
      <c r="AI1256">
        <v>0</v>
      </c>
      <c r="AJ1256">
        <v>0</v>
      </c>
      <c r="AK1256">
        <v>100</v>
      </c>
      <c r="AL1256">
        <v>0</v>
      </c>
      <c r="AM1256">
        <v>0</v>
      </c>
      <c r="AN1256">
        <v>0</v>
      </c>
      <c r="AO1256">
        <v>0</v>
      </c>
      <c r="AP1256" s="2">
        <v>70</v>
      </c>
      <c r="AT1256" t="str">
        <f>T("9791191102086")</f>
        <v>9791191102086</v>
      </c>
      <c r="AV1256" t="str">
        <f>T("판타지 웹소설 &gt; 현대 판타지")</f>
        <v>판타지 웹소설 &gt; 현대 판타지</v>
      </c>
    </row>
    <row r="1257" spans="1:48" x14ac:dyDescent="0.4">
      <c r="A1257">
        <v>2313011400</v>
      </c>
      <c r="B1257">
        <v>1525007579</v>
      </c>
      <c r="C1257" t="str">
        <f>T("최종 보스 18권 5화")</f>
        <v>최종 보스 18권 5화</v>
      </c>
      <c r="D1257" t="str">
        <f>T("357")</f>
        <v>357</v>
      </c>
      <c r="E1257" t="str">
        <f>T("무장")</f>
        <v>무장</v>
      </c>
      <c r="H1257" t="str">
        <f>T("스토리위즈")</f>
        <v>스토리위즈</v>
      </c>
      <c r="I1257" t="str">
        <f>T("최종 보스 : 빛을 향해 달리는 그림자")</f>
        <v>최종 보스 : 빛을 향해 달리는 그림자</v>
      </c>
      <c r="J1257">
        <v>100</v>
      </c>
      <c r="K1257">
        <v>100</v>
      </c>
      <c r="L1257">
        <v>1</v>
      </c>
      <c r="M1257">
        <v>0</v>
      </c>
      <c r="N1257">
        <v>100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 s="2">
        <v>140</v>
      </c>
      <c r="AT1257" t="str">
        <f>T("9791166067563")</f>
        <v>9791166067563</v>
      </c>
      <c r="AV1257" t="str">
        <f>T("판타지 웹소설 &gt; 현대 판타지")</f>
        <v>판타지 웹소설 &gt; 현대 판타지</v>
      </c>
    </row>
    <row r="1258" spans="1:48" x14ac:dyDescent="0.4">
      <c r="A1258">
        <v>1525004030</v>
      </c>
      <c r="B1258">
        <v>1525004288</v>
      </c>
      <c r="C1258" t="str">
        <f>T("회귀의 전설 259화")</f>
        <v>회귀의 전설 259화</v>
      </c>
      <c r="D1258" t="str">
        <f>T("259")</f>
        <v>259</v>
      </c>
      <c r="E1258" t="str">
        <f>T("김광수")</f>
        <v>김광수</v>
      </c>
      <c r="H1258" t="str">
        <f>T("스토리위즈")</f>
        <v>스토리위즈</v>
      </c>
      <c r="I1258" t="str">
        <f>T("회귀의 전설")</f>
        <v>회귀의 전설</v>
      </c>
      <c r="J1258">
        <v>100</v>
      </c>
      <c r="K1258">
        <v>100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100</v>
      </c>
      <c r="AH1258">
        <v>1</v>
      </c>
      <c r="AI1258">
        <v>0</v>
      </c>
      <c r="AJ1258">
        <v>0</v>
      </c>
      <c r="AK1258">
        <v>100</v>
      </c>
      <c r="AL1258">
        <v>0</v>
      </c>
      <c r="AM1258">
        <v>0</v>
      </c>
      <c r="AN1258">
        <v>0</v>
      </c>
      <c r="AO1258">
        <v>0</v>
      </c>
      <c r="AP1258" s="2">
        <v>70</v>
      </c>
      <c r="AT1258" t="str">
        <f>T("9788997946006")</f>
        <v>9788997946006</v>
      </c>
      <c r="AV1258" t="str">
        <f>T("판타지 웹소설 &gt; 현대 판타지")</f>
        <v>판타지 웹소설 &gt; 현대 판타지</v>
      </c>
    </row>
    <row r="1259" spans="1:48" x14ac:dyDescent="0.4">
      <c r="A1259">
        <v>1525008545</v>
      </c>
      <c r="B1259">
        <v>1525008586</v>
      </c>
      <c r="C1259" t="str">
        <f>T("소년연애담 57화")</f>
        <v>소년연애담 57화</v>
      </c>
      <c r="D1259" t="str">
        <f>T("57")</f>
        <v>57</v>
      </c>
      <c r="E1259" t="str">
        <f>T("나나코")</f>
        <v>나나코</v>
      </c>
      <c r="H1259" t="str">
        <f>T("블러쉬")</f>
        <v>블러쉬</v>
      </c>
      <c r="I1259" t="str">
        <f>T("소년연애담")</f>
        <v>소년연애담</v>
      </c>
      <c r="J1259">
        <v>100</v>
      </c>
      <c r="K1259">
        <v>100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100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100</v>
      </c>
      <c r="AN1259">
        <v>0</v>
      </c>
      <c r="AO1259">
        <v>0</v>
      </c>
      <c r="AP1259" s="2">
        <v>70</v>
      </c>
      <c r="AR1259" t="str">
        <f>T("0000000000000")</f>
        <v>0000000000000</v>
      </c>
      <c r="AT1259" t="str">
        <f>T("9791164890729")</f>
        <v>9791164890729</v>
      </c>
      <c r="AU1259" t="str">
        <f>T("B12")</f>
        <v>B12</v>
      </c>
      <c r="AV1259" t="str">
        <f>T("BL 웹소설 &gt; 현대물")</f>
        <v>BL 웹소설 &gt; 현대물</v>
      </c>
    </row>
    <row r="1260" spans="1:48" x14ac:dyDescent="0.4">
      <c r="A1260">
        <v>1525010579</v>
      </c>
      <c r="B1260">
        <v>1525010213</v>
      </c>
      <c r="C1260" t="str">
        <f>T("법보다 주먹 365화")</f>
        <v>법보다 주먹 365화</v>
      </c>
      <c r="D1260" t="str">
        <f>T("365")</f>
        <v>365</v>
      </c>
      <c r="E1260" t="str">
        <f>T("백범(白帆)")</f>
        <v>백범(白帆)</v>
      </c>
      <c r="H1260" t="str">
        <f>T("에필로그")</f>
        <v>에필로그</v>
      </c>
      <c r="I1260" t="str">
        <f>T("법보다 주먹")</f>
        <v>법보다 주먹</v>
      </c>
      <c r="J1260">
        <v>100</v>
      </c>
      <c r="K1260">
        <v>100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100</v>
      </c>
      <c r="AH1260">
        <v>1</v>
      </c>
      <c r="AI1260">
        <v>0</v>
      </c>
      <c r="AJ1260">
        <v>0</v>
      </c>
      <c r="AK1260">
        <v>100</v>
      </c>
      <c r="AL1260">
        <v>0</v>
      </c>
      <c r="AM1260">
        <v>0</v>
      </c>
      <c r="AN1260">
        <v>0</v>
      </c>
      <c r="AO1260">
        <v>0</v>
      </c>
      <c r="AP1260" s="2">
        <v>70</v>
      </c>
      <c r="AT1260" t="str">
        <f>T("9791164489367")</f>
        <v>9791164489367</v>
      </c>
      <c r="AV1260" t="str">
        <f t="shared" ref="AV1260:AV1265" si="161">T("판타지 웹소설 &gt; 현대 판타지")</f>
        <v>판타지 웹소설 &gt; 현대 판타지</v>
      </c>
    </row>
    <row r="1261" spans="1:48" x14ac:dyDescent="0.4">
      <c r="A1261">
        <v>1525004030</v>
      </c>
      <c r="B1261">
        <v>1525004400</v>
      </c>
      <c r="C1261" t="str">
        <f>T("회귀의 전설 372화")</f>
        <v>회귀의 전설 372화</v>
      </c>
      <c r="D1261" t="str">
        <f>T("372")</f>
        <v>372</v>
      </c>
      <c r="E1261" t="str">
        <f>T("김광수")</f>
        <v>김광수</v>
      </c>
      <c r="H1261" t="str">
        <f>T("스토리위즈")</f>
        <v>스토리위즈</v>
      </c>
      <c r="I1261" t="str">
        <f>T("회귀의 전설")</f>
        <v>회귀의 전설</v>
      </c>
      <c r="J1261">
        <v>100</v>
      </c>
      <c r="K1261">
        <v>100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100</v>
      </c>
      <c r="AH1261">
        <v>1</v>
      </c>
      <c r="AI1261">
        <v>0</v>
      </c>
      <c r="AJ1261">
        <v>0</v>
      </c>
      <c r="AK1261">
        <v>100</v>
      </c>
      <c r="AL1261">
        <v>0</v>
      </c>
      <c r="AM1261">
        <v>0</v>
      </c>
      <c r="AN1261">
        <v>0</v>
      </c>
      <c r="AO1261">
        <v>0</v>
      </c>
      <c r="AP1261" s="2">
        <v>70</v>
      </c>
      <c r="AT1261" t="str">
        <f>T("9788997946006")</f>
        <v>9788997946006</v>
      </c>
      <c r="AV1261" t="str">
        <f t="shared" si="161"/>
        <v>판타지 웹소설 &gt; 현대 판타지</v>
      </c>
    </row>
    <row r="1262" spans="1:48" x14ac:dyDescent="0.4">
      <c r="A1262">
        <v>1525004030</v>
      </c>
      <c r="B1262">
        <v>1525006733</v>
      </c>
      <c r="C1262" t="str">
        <f>T("회귀의 전설 2부 616화")</f>
        <v>회귀의 전설 2부 616화</v>
      </c>
      <c r="D1262" t="str">
        <f>T("616")</f>
        <v>616</v>
      </c>
      <c r="E1262" t="str">
        <f>T("김광수")</f>
        <v>김광수</v>
      </c>
      <c r="H1262" t="str">
        <f>T("스토리위즈")</f>
        <v>스토리위즈</v>
      </c>
      <c r="I1262" t="str">
        <f>T("회귀의 전설")</f>
        <v>회귀의 전설</v>
      </c>
      <c r="J1262">
        <v>100</v>
      </c>
      <c r="K1262">
        <v>100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100</v>
      </c>
      <c r="AH1262">
        <v>1</v>
      </c>
      <c r="AI1262">
        <v>0</v>
      </c>
      <c r="AJ1262">
        <v>0</v>
      </c>
      <c r="AK1262">
        <v>100</v>
      </c>
      <c r="AL1262">
        <v>0</v>
      </c>
      <c r="AM1262">
        <v>0</v>
      </c>
      <c r="AN1262">
        <v>0</v>
      </c>
      <c r="AO1262">
        <v>0</v>
      </c>
      <c r="AP1262" s="2">
        <v>70</v>
      </c>
      <c r="AT1262" t="str">
        <f>T("9791191102086")</f>
        <v>9791191102086</v>
      </c>
      <c r="AV1262" t="str">
        <f t="shared" si="161"/>
        <v>판타지 웹소설 &gt; 현대 판타지</v>
      </c>
    </row>
    <row r="1263" spans="1:48" x14ac:dyDescent="0.4">
      <c r="A1263">
        <v>1525004030</v>
      </c>
      <c r="B1263">
        <v>1525007146</v>
      </c>
      <c r="C1263" t="str">
        <f>T("회귀의 전설 2부 1029화")</f>
        <v>회귀의 전설 2부 1029화</v>
      </c>
      <c r="D1263" t="str">
        <f>T("1029")</f>
        <v>1029</v>
      </c>
      <c r="E1263" t="str">
        <f>T("김광수")</f>
        <v>김광수</v>
      </c>
      <c r="H1263" t="str">
        <f>T("스토리위즈")</f>
        <v>스토리위즈</v>
      </c>
      <c r="I1263" t="str">
        <f>T("회귀의 전설")</f>
        <v>회귀의 전설</v>
      </c>
      <c r="J1263">
        <v>100</v>
      </c>
      <c r="K1263">
        <v>100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100</v>
      </c>
      <c r="AH1263">
        <v>1</v>
      </c>
      <c r="AI1263">
        <v>0</v>
      </c>
      <c r="AJ1263">
        <v>0</v>
      </c>
      <c r="AK1263">
        <v>100</v>
      </c>
      <c r="AL1263">
        <v>0</v>
      </c>
      <c r="AM1263">
        <v>0</v>
      </c>
      <c r="AN1263">
        <v>0</v>
      </c>
      <c r="AO1263">
        <v>0</v>
      </c>
      <c r="AP1263" s="2">
        <v>70</v>
      </c>
      <c r="AT1263" t="str">
        <f>T("9791191102086")</f>
        <v>9791191102086</v>
      </c>
      <c r="AV1263" t="str">
        <f t="shared" si="161"/>
        <v>판타지 웹소설 &gt; 현대 판타지</v>
      </c>
    </row>
    <row r="1264" spans="1:48" x14ac:dyDescent="0.4">
      <c r="A1264">
        <v>1525004030</v>
      </c>
      <c r="B1264">
        <v>1525004457</v>
      </c>
      <c r="C1264" t="str">
        <f>T("회귀의 전설 441화")</f>
        <v>회귀의 전설 441화</v>
      </c>
      <c r="D1264" t="str">
        <f>T("441")</f>
        <v>441</v>
      </c>
      <c r="E1264" t="str">
        <f>T("김광수")</f>
        <v>김광수</v>
      </c>
      <c r="H1264" t="str">
        <f>T("스토리위즈")</f>
        <v>스토리위즈</v>
      </c>
      <c r="I1264" t="str">
        <f>T("회귀의 전설")</f>
        <v>회귀의 전설</v>
      </c>
      <c r="J1264">
        <v>100</v>
      </c>
      <c r="K1264">
        <v>100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100</v>
      </c>
      <c r="AH1264">
        <v>1</v>
      </c>
      <c r="AI1264">
        <v>0</v>
      </c>
      <c r="AJ1264">
        <v>0</v>
      </c>
      <c r="AK1264">
        <v>100</v>
      </c>
      <c r="AL1264">
        <v>0</v>
      </c>
      <c r="AM1264">
        <v>0</v>
      </c>
      <c r="AN1264">
        <v>0</v>
      </c>
      <c r="AO1264">
        <v>0</v>
      </c>
      <c r="AP1264" s="2">
        <v>70</v>
      </c>
      <c r="AT1264" t="str">
        <f>T("9788997946006")</f>
        <v>9788997946006</v>
      </c>
      <c r="AV1264" t="str">
        <f t="shared" si="161"/>
        <v>판타지 웹소설 &gt; 현대 판타지</v>
      </c>
    </row>
    <row r="1265" spans="1:48" x14ac:dyDescent="0.4">
      <c r="A1265">
        <v>1525004030</v>
      </c>
      <c r="B1265">
        <v>1525004537</v>
      </c>
      <c r="C1265" t="str">
        <f>T("회귀의 전설 514화")</f>
        <v>회귀의 전설 514화</v>
      </c>
      <c r="D1265" t="str">
        <f>T("514")</f>
        <v>514</v>
      </c>
      <c r="E1265" t="str">
        <f>T("김광수")</f>
        <v>김광수</v>
      </c>
      <c r="H1265" t="str">
        <f>T("스토리위즈")</f>
        <v>스토리위즈</v>
      </c>
      <c r="I1265" t="str">
        <f>T("회귀의 전설")</f>
        <v>회귀의 전설</v>
      </c>
      <c r="J1265">
        <v>100</v>
      </c>
      <c r="K1265">
        <v>100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100</v>
      </c>
      <c r="AH1265">
        <v>1</v>
      </c>
      <c r="AI1265">
        <v>0</v>
      </c>
      <c r="AJ1265">
        <v>0</v>
      </c>
      <c r="AK1265">
        <v>100</v>
      </c>
      <c r="AL1265">
        <v>0</v>
      </c>
      <c r="AM1265">
        <v>0</v>
      </c>
      <c r="AN1265">
        <v>0</v>
      </c>
      <c r="AO1265">
        <v>0</v>
      </c>
      <c r="AP1265" s="2">
        <v>70</v>
      </c>
      <c r="AT1265" t="str">
        <f>T("9788997946006")</f>
        <v>9788997946006</v>
      </c>
      <c r="AV1265" t="str">
        <f t="shared" si="161"/>
        <v>판타지 웹소설 &gt; 현대 판타지</v>
      </c>
    </row>
    <row r="1266" spans="1:48" x14ac:dyDescent="0.4">
      <c r="A1266">
        <v>1525008545</v>
      </c>
      <c r="B1266">
        <v>1525008547</v>
      </c>
      <c r="C1266" t="str">
        <f>T("소년연애담 21화")</f>
        <v>소년연애담 21화</v>
      </c>
      <c r="D1266" t="str">
        <f>T("21")</f>
        <v>21</v>
      </c>
      <c r="E1266" t="str">
        <f>T("나나코")</f>
        <v>나나코</v>
      </c>
      <c r="H1266" t="str">
        <f>T("블러쉬")</f>
        <v>블러쉬</v>
      </c>
      <c r="I1266" t="str">
        <f>T("소년연애담")</f>
        <v>소년연애담</v>
      </c>
      <c r="J1266">
        <v>100</v>
      </c>
      <c r="K1266">
        <v>100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100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100</v>
      </c>
      <c r="AN1266">
        <v>0</v>
      </c>
      <c r="AO1266">
        <v>0</v>
      </c>
      <c r="AP1266" s="2">
        <v>70</v>
      </c>
      <c r="AR1266" t="str">
        <f>T("0000000000000")</f>
        <v>0000000000000</v>
      </c>
      <c r="AT1266" t="str">
        <f>T("9791164890729")</f>
        <v>9791164890729</v>
      </c>
      <c r="AU1266" t="str">
        <f>T("B12")</f>
        <v>B12</v>
      </c>
      <c r="AV1266" t="str">
        <f>T("BL 웹소설 &gt; 현대물")</f>
        <v>BL 웹소설 &gt; 현대물</v>
      </c>
    </row>
    <row r="1267" spans="1:48" x14ac:dyDescent="0.4">
      <c r="A1267">
        <v>1525004989</v>
      </c>
      <c r="B1267">
        <v>1525005563</v>
      </c>
      <c r="C1267" t="str">
        <f>T("신룡전설 74화")</f>
        <v>신룡전설 74화</v>
      </c>
      <c r="D1267" t="str">
        <f>T("74")</f>
        <v>74</v>
      </c>
      <c r="E1267" t="str">
        <f>T("가람검")</f>
        <v>가람검</v>
      </c>
      <c r="H1267" t="str">
        <f>T("스토리위즈")</f>
        <v>스토리위즈</v>
      </c>
      <c r="I1267" t="str">
        <f>T("신룡전설")</f>
        <v>신룡전설</v>
      </c>
      <c r="J1267">
        <v>100</v>
      </c>
      <c r="K1267">
        <v>100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100</v>
      </c>
      <c r="AH1267">
        <v>1</v>
      </c>
      <c r="AI1267">
        <v>0</v>
      </c>
      <c r="AJ1267">
        <v>0</v>
      </c>
      <c r="AK1267">
        <v>100</v>
      </c>
      <c r="AL1267">
        <v>0</v>
      </c>
      <c r="AM1267">
        <v>0</v>
      </c>
      <c r="AN1267">
        <v>0</v>
      </c>
      <c r="AO1267">
        <v>0</v>
      </c>
      <c r="AP1267" s="2">
        <v>70</v>
      </c>
      <c r="AT1267" t="str">
        <f>T("9791159283505")</f>
        <v>9791159283505</v>
      </c>
      <c r="AV1267" t="str">
        <f>T("판타지 웹소설 &gt; 무협 소설")</f>
        <v>판타지 웹소설 &gt; 무협 소설</v>
      </c>
    </row>
    <row r="1268" spans="1:48" x14ac:dyDescent="0.4">
      <c r="A1268">
        <v>1525008604</v>
      </c>
      <c r="B1268">
        <v>1525008603</v>
      </c>
      <c r="C1268" t="str">
        <f>T("우아한 곡선 19화")</f>
        <v>우아한 곡선 19화</v>
      </c>
      <c r="D1268" t="str">
        <f>T("19")</f>
        <v>19</v>
      </c>
      <c r="E1268" t="str">
        <f>T("용가리맛쿠키")</f>
        <v>용가리맛쿠키</v>
      </c>
      <c r="H1268" t="str">
        <f>T("블러쉬")</f>
        <v>블러쉬</v>
      </c>
      <c r="I1268" t="str">
        <f>T("우아한 곡선")</f>
        <v>우아한 곡선</v>
      </c>
      <c r="J1268">
        <v>100</v>
      </c>
      <c r="K1268">
        <v>100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100</v>
      </c>
      <c r="AH1268">
        <v>1</v>
      </c>
      <c r="AI1268">
        <v>0</v>
      </c>
      <c r="AJ1268">
        <v>0</v>
      </c>
      <c r="AK1268">
        <v>100</v>
      </c>
      <c r="AL1268">
        <v>0</v>
      </c>
      <c r="AM1268">
        <v>0</v>
      </c>
      <c r="AN1268">
        <v>0</v>
      </c>
      <c r="AO1268">
        <v>0</v>
      </c>
      <c r="AP1268" s="2">
        <v>70</v>
      </c>
      <c r="AR1268" t="str">
        <f>T("0000000000000")</f>
        <v>0000000000000</v>
      </c>
      <c r="AT1268" t="str">
        <f>T("9791164896615")</f>
        <v>9791164896615</v>
      </c>
      <c r="AV1268" t="str">
        <f>T("BL 웹소설 &gt; 현대물")</f>
        <v>BL 웹소설 &gt; 현대물</v>
      </c>
    </row>
    <row r="1269" spans="1:48" x14ac:dyDescent="0.4">
      <c r="A1269">
        <v>1525004030</v>
      </c>
      <c r="B1269">
        <v>1525007106</v>
      </c>
      <c r="C1269" t="str">
        <f>T("회귀의 전설 2부 990화")</f>
        <v>회귀의 전설 2부 990화</v>
      </c>
      <c r="D1269" t="str">
        <f>T("990")</f>
        <v>990</v>
      </c>
      <c r="E1269" t="str">
        <f>T("김광수")</f>
        <v>김광수</v>
      </c>
      <c r="H1269" t="str">
        <f>T("스토리위즈")</f>
        <v>스토리위즈</v>
      </c>
      <c r="I1269" t="str">
        <f>T("회귀의 전설")</f>
        <v>회귀의 전설</v>
      </c>
      <c r="J1269">
        <v>100</v>
      </c>
      <c r="K1269">
        <v>100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100</v>
      </c>
      <c r="AH1269">
        <v>1</v>
      </c>
      <c r="AI1269">
        <v>0</v>
      </c>
      <c r="AJ1269">
        <v>0</v>
      </c>
      <c r="AK1269">
        <v>100</v>
      </c>
      <c r="AL1269">
        <v>0</v>
      </c>
      <c r="AM1269">
        <v>0</v>
      </c>
      <c r="AN1269">
        <v>0</v>
      </c>
      <c r="AO1269">
        <v>0</v>
      </c>
      <c r="AP1269" s="2">
        <v>70</v>
      </c>
      <c r="AT1269" t="str">
        <f>T("9791191102086")</f>
        <v>9791191102086</v>
      </c>
      <c r="AV1269" t="str">
        <f>T("판타지 웹소설 &gt; 현대 판타지")</f>
        <v>판타지 웹소설 &gt; 현대 판타지</v>
      </c>
    </row>
    <row r="1270" spans="1:48" x14ac:dyDescent="0.4">
      <c r="A1270">
        <v>1525007923</v>
      </c>
      <c r="B1270">
        <v>1525007998</v>
      </c>
      <c r="C1270" t="str">
        <f>T("운상연담: 화불능귀일락 88화")</f>
        <v>운상연담: 화불능귀일락 88화</v>
      </c>
      <c r="D1270" t="str">
        <f>T("88")</f>
        <v>88</v>
      </c>
      <c r="E1270" t="str">
        <f>T("피모")</f>
        <v>피모</v>
      </c>
      <c r="H1270" t="str">
        <f>T("쉬라즈")</f>
        <v>쉬라즈</v>
      </c>
      <c r="I1270" t="str">
        <f>T("운상연담: 화불능귀일락")</f>
        <v>운상연담: 화불능귀일락</v>
      </c>
      <c r="J1270">
        <v>100</v>
      </c>
      <c r="K1270">
        <v>100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100</v>
      </c>
      <c r="AH1270">
        <v>1</v>
      </c>
      <c r="AI1270">
        <v>0</v>
      </c>
      <c r="AJ1270">
        <v>0</v>
      </c>
      <c r="AK1270">
        <v>100</v>
      </c>
      <c r="AL1270">
        <v>0</v>
      </c>
      <c r="AM1270">
        <v>0</v>
      </c>
      <c r="AN1270">
        <v>0</v>
      </c>
      <c r="AO1270">
        <v>0</v>
      </c>
      <c r="AP1270" s="2">
        <v>70</v>
      </c>
      <c r="AT1270" t="str">
        <f>T("9791164896646")</f>
        <v>9791164896646</v>
      </c>
      <c r="AV1270" t="str">
        <f>T("로맨스 웹소설 &gt; 역사/시대물")</f>
        <v>로맨스 웹소설 &gt; 역사/시대물</v>
      </c>
    </row>
    <row r="1271" spans="1:48" x14ac:dyDescent="0.4">
      <c r="A1271">
        <v>1525010579</v>
      </c>
      <c r="B1271">
        <v>1525010241</v>
      </c>
      <c r="C1271" t="str">
        <f>T("법보다 주먹 337화")</f>
        <v>법보다 주먹 337화</v>
      </c>
      <c r="D1271" t="str">
        <f>T("337")</f>
        <v>337</v>
      </c>
      <c r="E1271" t="str">
        <f>T("백범(白帆)")</f>
        <v>백범(白帆)</v>
      </c>
      <c r="H1271" t="str">
        <f>T("에필로그")</f>
        <v>에필로그</v>
      </c>
      <c r="I1271" t="str">
        <f>T("법보다 주먹")</f>
        <v>법보다 주먹</v>
      </c>
      <c r="J1271">
        <v>100</v>
      </c>
      <c r="K1271">
        <v>100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100</v>
      </c>
      <c r="AH1271">
        <v>1</v>
      </c>
      <c r="AI1271">
        <v>0</v>
      </c>
      <c r="AJ1271">
        <v>0</v>
      </c>
      <c r="AK1271">
        <v>100</v>
      </c>
      <c r="AL1271">
        <v>0</v>
      </c>
      <c r="AM1271">
        <v>0</v>
      </c>
      <c r="AN1271">
        <v>0</v>
      </c>
      <c r="AO1271">
        <v>0</v>
      </c>
      <c r="AP1271" s="2">
        <v>70</v>
      </c>
      <c r="AT1271" t="str">
        <f>T("9791164489367")</f>
        <v>9791164489367</v>
      </c>
      <c r="AV1271" t="str">
        <f>T("판타지 웹소설 &gt; 현대 판타지")</f>
        <v>판타지 웹소설 &gt; 현대 판타지</v>
      </c>
    </row>
    <row r="1272" spans="1:48" x14ac:dyDescent="0.4">
      <c r="A1272">
        <v>1525002864</v>
      </c>
      <c r="B1272">
        <v>1525002899</v>
      </c>
      <c r="C1272" t="str">
        <f>T("소드마스터의 환생 36화")</f>
        <v>소드마스터의 환생 36화</v>
      </c>
      <c r="D1272" t="str">
        <f>T("36")</f>
        <v>36</v>
      </c>
      <c r="E1272" t="str">
        <f>T("파란영")</f>
        <v>파란영</v>
      </c>
      <c r="H1272" t="str">
        <f>T("스토리위즈")</f>
        <v>스토리위즈</v>
      </c>
      <c r="I1272" t="str">
        <f>T("소드마스터의 환생")</f>
        <v>소드마스터의 환생</v>
      </c>
      <c r="J1272">
        <v>100</v>
      </c>
      <c r="K1272">
        <v>100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100</v>
      </c>
      <c r="AH1272">
        <v>1</v>
      </c>
      <c r="AI1272">
        <v>0</v>
      </c>
      <c r="AJ1272">
        <v>0</v>
      </c>
      <c r="AK1272">
        <v>100</v>
      </c>
      <c r="AL1272">
        <v>0</v>
      </c>
      <c r="AM1272">
        <v>0</v>
      </c>
      <c r="AN1272">
        <v>0</v>
      </c>
      <c r="AO1272">
        <v>0</v>
      </c>
      <c r="AP1272" s="2">
        <v>70</v>
      </c>
      <c r="AT1272" t="str">
        <f>T("9791159287527")</f>
        <v>9791159287527</v>
      </c>
      <c r="AV1272" t="str">
        <f>T("판타지 웹소설 &gt; 정통 판타지")</f>
        <v>판타지 웹소설 &gt; 정통 판타지</v>
      </c>
    </row>
    <row r="1273" spans="1:48" x14ac:dyDescent="0.4">
      <c r="A1273">
        <v>2313011400</v>
      </c>
      <c r="B1273">
        <v>1525007652</v>
      </c>
      <c r="C1273" t="str">
        <f>T("최종 보스 21권 17화")</f>
        <v>최종 보스 21권 17화</v>
      </c>
      <c r="D1273" t="str">
        <f>T("430")</f>
        <v>430</v>
      </c>
      <c r="E1273" t="str">
        <f>T("무장")</f>
        <v>무장</v>
      </c>
      <c r="H1273" t="str">
        <f>T("스토리위즈")</f>
        <v>스토리위즈</v>
      </c>
      <c r="I1273" t="str">
        <f>T("최종 보스 : 빛을 향해 달리는 그림자")</f>
        <v>최종 보스 : 빛을 향해 달리는 그림자</v>
      </c>
      <c r="J1273">
        <v>100</v>
      </c>
      <c r="K1273">
        <v>100</v>
      </c>
      <c r="L1273">
        <v>1</v>
      </c>
      <c r="M1273">
        <v>0</v>
      </c>
      <c r="N1273">
        <v>100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 s="2">
        <v>140</v>
      </c>
      <c r="AT1273" t="str">
        <f>T("9791166067563")</f>
        <v>9791166067563</v>
      </c>
      <c r="AV1273" t="str">
        <f>T("판타지 웹소설 &gt; 현대 판타지")</f>
        <v>판타지 웹소설 &gt; 현대 판타지</v>
      </c>
    </row>
    <row r="1274" spans="1:48" x14ac:dyDescent="0.4">
      <c r="A1274">
        <v>1525004030</v>
      </c>
      <c r="B1274">
        <v>1525004553</v>
      </c>
      <c r="C1274" t="str">
        <f>T("회귀의 전설 502화")</f>
        <v>회귀의 전설 502화</v>
      </c>
      <c r="D1274" t="str">
        <f>T("502")</f>
        <v>502</v>
      </c>
      <c r="E1274" t="str">
        <f>T("김광수")</f>
        <v>김광수</v>
      </c>
      <c r="H1274" t="str">
        <f>T("스토리위즈")</f>
        <v>스토리위즈</v>
      </c>
      <c r="I1274" t="str">
        <f>T("회귀의 전설")</f>
        <v>회귀의 전설</v>
      </c>
      <c r="J1274">
        <v>100</v>
      </c>
      <c r="K1274">
        <v>100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100</v>
      </c>
      <c r="AH1274">
        <v>1</v>
      </c>
      <c r="AI1274">
        <v>0</v>
      </c>
      <c r="AJ1274">
        <v>0</v>
      </c>
      <c r="AK1274">
        <v>100</v>
      </c>
      <c r="AL1274">
        <v>0</v>
      </c>
      <c r="AM1274">
        <v>0</v>
      </c>
      <c r="AN1274">
        <v>0</v>
      </c>
      <c r="AO1274">
        <v>0</v>
      </c>
      <c r="AP1274" s="2">
        <v>70</v>
      </c>
      <c r="AT1274" t="str">
        <f>T("9788997946006")</f>
        <v>9788997946006</v>
      </c>
      <c r="AV1274" t="str">
        <f>T("판타지 웹소설 &gt; 현대 판타지")</f>
        <v>판타지 웹소설 &gt; 현대 판타지</v>
      </c>
    </row>
    <row r="1275" spans="1:48" x14ac:dyDescent="0.4">
      <c r="A1275">
        <v>1525004030</v>
      </c>
      <c r="B1275">
        <v>1525006710</v>
      </c>
      <c r="C1275" t="str">
        <f>T("회귀의 전설 2부 593화")</f>
        <v>회귀의 전설 2부 593화</v>
      </c>
      <c r="D1275" t="str">
        <f>T("593")</f>
        <v>593</v>
      </c>
      <c r="E1275" t="str">
        <f>T("김광수")</f>
        <v>김광수</v>
      </c>
      <c r="H1275" t="str">
        <f>T("스토리위즈")</f>
        <v>스토리위즈</v>
      </c>
      <c r="I1275" t="str">
        <f>T("회귀의 전설")</f>
        <v>회귀의 전설</v>
      </c>
      <c r="J1275">
        <v>100</v>
      </c>
      <c r="K1275">
        <v>100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100</v>
      </c>
      <c r="AH1275">
        <v>1</v>
      </c>
      <c r="AI1275">
        <v>0</v>
      </c>
      <c r="AJ1275">
        <v>0</v>
      </c>
      <c r="AK1275">
        <v>100</v>
      </c>
      <c r="AL1275">
        <v>0</v>
      </c>
      <c r="AM1275">
        <v>0</v>
      </c>
      <c r="AN1275">
        <v>0</v>
      </c>
      <c r="AO1275">
        <v>0</v>
      </c>
      <c r="AP1275" s="2">
        <v>70</v>
      </c>
      <c r="AT1275" t="str">
        <f>T("9791191102086")</f>
        <v>9791191102086</v>
      </c>
      <c r="AV1275" t="str">
        <f>T("판타지 웹소설 &gt; 현대 판타지")</f>
        <v>판타지 웹소설 &gt; 현대 판타지</v>
      </c>
    </row>
    <row r="1276" spans="1:48" x14ac:dyDescent="0.4">
      <c r="A1276">
        <v>1525004030</v>
      </c>
      <c r="B1276">
        <v>1525004281</v>
      </c>
      <c r="C1276" t="str">
        <f>T("회귀의 전설 252화")</f>
        <v>회귀의 전설 252화</v>
      </c>
      <c r="D1276" t="str">
        <f>T("252")</f>
        <v>252</v>
      </c>
      <c r="E1276" t="str">
        <f>T("김광수")</f>
        <v>김광수</v>
      </c>
      <c r="H1276" t="str">
        <f>T("스토리위즈")</f>
        <v>스토리위즈</v>
      </c>
      <c r="I1276" t="str">
        <f>T("회귀의 전설")</f>
        <v>회귀의 전설</v>
      </c>
      <c r="J1276">
        <v>100</v>
      </c>
      <c r="K1276">
        <v>100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100</v>
      </c>
      <c r="AH1276">
        <v>1</v>
      </c>
      <c r="AI1276">
        <v>0</v>
      </c>
      <c r="AJ1276">
        <v>0</v>
      </c>
      <c r="AK1276">
        <v>100</v>
      </c>
      <c r="AL1276">
        <v>0</v>
      </c>
      <c r="AM1276">
        <v>0</v>
      </c>
      <c r="AN1276">
        <v>0</v>
      </c>
      <c r="AO1276">
        <v>0</v>
      </c>
      <c r="AP1276" s="2">
        <v>70</v>
      </c>
      <c r="AT1276" t="str">
        <f>T("9788997946006")</f>
        <v>9788997946006</v>
      </c>
      <c r="AV1276" t="str">
        <f>T("판타지 웹소설 &gt; 현대 판타지")</f>
        <v>판타지 웹소설 &gt; 현대 판타지</v>
      </c>
    </row>
    <row r="1277" spans="1:48" x14ac:dyDescent="0.4">
      <c r="A1277">
        <v>1525008545</v>
      </c>
      <c r="B1277">
        <v>1525008579</v>
      </c>
      <c r="C1277" t="str">
        <f>T("소년연애담 50화")</f>
        <v>소년연애담 50화</v>
      </c>
      <c r="D1277" t="str">
        <f>T("50")</f>
        <v>50</v>
      </c>
      <c r="E1277" t="str">
        <f>T("나나코")</f>
        <v>나나코</v>
      </c>
      <c r="H1277" t="str">
        <f>T("블러쉬")</f>
        <v>블러쉬</v>
      </c>
      <c r="I1277" t="str">
        <f>T("소년연애담")</f>
        <v>소년연애담</v>
      </c>
      <c r="J1277">
        <v>100</v>
      </c>
      <c r="K1277">
        <v>100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100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100</v>
      </c>
      <c r="AN1277">
        <v>0</v>
      </c>
      <c r="AO1277">
        <v>0</v>
      </c>
      <c r="AP1277" s="2">
        <v>70</v>
      </c>
      <c r="AR1277" t="str">
        <f>T("0000000000000")</f>
        <v>0000000000000</v>
      </c>
      <c r="AT1277" t="str">
        <f>T("9791164890729")</f>
        <v>9791164890729</v>
      </c>
      <c r="AU1277" t="str">
        <f>T("B12")</f>
        <v>B12</v>
      </c>
      <c r="AV1277" t="str">
        <f>T("BL 웹소설 &gt; 현대물")</f>
        <v>BL 웹소설 &gt; 현대물</v>
      </c>
    </row>
    <row r="1278" spans="1:48" x14ac:dyDescent="0.4">
      <c r="A1278">
        <v>1525010579</v>
      </c>
      <c r="B1278">
        <v>1525010200</v>
      </c>
      <c r="C1278" t="str">
        <f>T("법보다 주먹 378화")</f>
        <v>법보다 주먹 378화</v>
      </c>
      <c r="D1278" t="str">
        <f>T("378")</f>
        <v>378</v>
      </c>
      <c r="E1278" t="str">
        <f>T("백범(白帆)")</f>
        <v>백범(白帆)</v>
      </c>
      <c r="H1278" t="str">
        <f>T("에필로그")</f>
        <v>에필로그</v>
      </c>
      <c r="I1278" t="str">
        <f>T("법보다 주먹")</f>
        <v>법보다 주먹</v>
      </c>
      <c r="J1278">
        <v>100</v>
      </c>
      <c r="K1278">
        <v>100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100</v>
      </c>
      <c r="AH1278">
        <v>1</v>
      </c>
      <c r="AI1278">
        <v>0</v>
      </c>
      <c r="AJ1278">
        <v>0</v>
      </c>
      <c r="AK1278">
        <v>100</v>
      </c>
      <c r="AL1278">
        <v>0</v>
      </c>
      <c r="AM1278">
        <v>0</v>
      </c>
      <c r="AN1278">
        <v>0</v>
      </c>
      <c r="AO1278">
        <v>0</v>
      </c>
      <c r="AP1278" s="2">
        <v>70</v>
      </c>
      <c r="AT1278" t="str">
        <f>T("9791164489367")</f>
        <v>9791164489367</v>
      </c>
      <c r="AV1278" t="str">
        <f>T("판타지 웹소설 &gt; 현대 판타지")</f>
        <v>판타지 웹소설 &gt; 현대 판타지</v>
      </c>
    </row>
    <row r="1279" spans="1:48" x14ac:dyDescent="0.4">
      <c r="A1279">
        <v>1525004030</v>
      </c>
      <c r="B1279">
        <v>1525012848</v>
      </c>
      <c r="C1279" t="str">
        <f>T("회귀의 전설 1153화")</f>
        <v>회귀의 전설 1153화</v>
      </c>
      <c r="D1279" t="str">
        <f>T("1153")</f>
        <v>1153</v>
      </c>
      <c r="E1279" t="str">
        <f>T("김광수")</f>
        <v>김광수</v>
      </c>
      <c r="H1279" t="str">
        <f>T("스토리위즈")</f>
        <v>스토리위즈</v>
      </c>
      <c r="I1279" t="str">
        <f>T("회귀의 전설")</f>
        <v>회귀의 전설</v>
      </c>
      <c r="J1279">
        <v>100</v>
      </c>
      <c r="K1279">
        <v>100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100</v>
      </c>
      <c r="AH1279">
        <v>1</v>
      </c>
      <c r="AI1279">
        <v>0</v>
      </c>
      <c r="AJ1279">
        <v>0</v>
      </c>
      <c r="AK1279">
        <v>100</v>
      </c>
      <c r="AL1279">
        <v>0</v>
      </c>
      <c r="AM1279">
        <v>0</v>
      </c>
      <c r="AN1279">
        <v>0</v>
      </c>
      <c r="AO1279">
        <v>0</v>
      </c>
      <c r="AP1279" s="2">
        <v>70</v>
      </c>
      <c r="AT1279" t="str">
        <f>T("9791191102086")</f>
        <v>9791191102086</v>
      </c>
      <c r="AV1279" t="str">
        <f>T("판타지 웹소설 &gt; 현대 판타지")</f>
        <v>판타지 웹소설 &gt; 현대 판타지</v>
      </c>
    </row>
    <row r="1280" spans="1:48" x14ac:dyDescent="0.4">
      <c r="A1280">
        <v>1525007872</v>
      </c>
      <c r="B1280">
        <v>1525007877</v>
      </c>
      <c r="C1280" t="str">
        <f>T("아침이 오지 않아도 24화")</f>
        <v>아침이 오지 않아도 24화</v>
      </c>
      <c r="D1280" t="str">
        <f>T("24")</f>
        <v>24</v>
      </c>
      <c r="E1280" t="str">
        <f>T("홍영")</f>
        <v>홍영</v>
      </c>
      <c r="H1280" t="str">
        <f>T("러브스토리")</f>
        <v>러브스토리</v>
      </c>
      <c r="I1280" t="str">
        <f>T("아침이 오지 않아도")</f>
        <v>아침이 오지 않아도</v>
      </c>
      <c r="J1280">
        <v>100</v>
      </c>
      <c r="K1280">
        <v>100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100</v>
      </c>
      <c r="AH1280">
        <v>1</v>
      </c>
      <c r="AI1280">
        <v>0</v>
      </c>
      <c r="AJ1280">
        <v>0</v>
      </c>
      <c r="AK1280">
        <v>100</v>
      </c>
      <c r="AL1280">
        <v>0</v>
      </c>
      <c r="AM1280">
        <v>0</v>
      </c>
      <c r="AN1280">
        <v>0</v>
      </c>
      <c r="AO1280">
        <v>0</v>
      </c>
      <c r="AP1280" s="2">
        <v>70</v>
      </c>
      <c r="AR1280" t="str">
        <f>T("0000000000000")</f>
        <v>0000000000000</v>
      </c>
      <c r="AT1280" t="str">
        <f>T("9791164899708")</f>
        <v>9791164899708</v>
      </c>
      <c r="AV1280" t="str">
        <f>T("로맨스 웹소설 &gt; 현대물")</f>
        <v>로맨스 웹소설 &gt; 현대물</v>
      </c>
    </row>
    <row r="1281" spans="1:48" x14ac:dyDescent="0.4">
      <c r="A1281">
        <v>1525004030</v>
      </c>
      <c r="B1281">
        <v>1525007042</v>
      </c>
      <c r="C1281" t="str">
        <f>T("회귀의 전설 2부 926화")</f>
        <v>회귀의 전설 2부 926화</v>
      </c>
      <c r="D1281" t="str">
        <f>T("926")</f>
        <v>926</v>
      </c>
      <c r="E1281" t="str">
        <f>T("김광수")</f>
        <v>김광수</v>
      </c>
      <c r="H1281" t="str">
        <f t="shared" ref="H1281:H1296" si="162">T("스토리위즈")</f>
        <v>스토리위즈</v>
      </c>
      <c r="I1281" t="str">
        <f>T("회귀의 전설")</f>
        <v>회귀의 전설</v>
      </c>
      <c r="J1281">
        <v>100</v>
      </c>
      <c r="K1281">
        <v>100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100</v>
      </c>
      <c r="AH1281">
        <v>1</v>
      </c>
      <c r="AI1281">
        <v>0</v>
      </c>
      <c r="AJ1281">
        <v>0</v>
      </c>
      <c r="AK1281">
        <v>100</v>
      </c>
      <c r="AL1281">
        <v>0</v>
      </c>
      <c r="AM1281">
        <v>0</v>
      </c>
      <c r="AN1281">
        <v>0</v>
      </c>
      <c r="AO1281">
        <v>0</v>
      </c>
      <c r="AP1281" s="2">
        <v>70</v>
      </c>
      <c r="AT1281" t="str">
        <f>T("9791191102086")</f>
        <v>9791191102086</v>
      </c>
      <c r="AV1281" t="str">
        <f>T("판타지 웹소설 &gt; 현대 판타지")</f>
        <v>판타지 웹소설 &gt; 현대 판타지</v>
      </c>
    </row>
    <row r="1282" spans="1:48" x14ac:dyDescent="0.4">
      <c r="A1282">
        <v>2313011400</v>
      </c>
      <c r="B1282">
        <v>1525007684</v>
      </c>
      <c r="C1282" t="str">
        <f>T("최종 보스 23권 9화")</f>
        <v>최종 보스 23권 9화</v>
      </c>
      <c r="D1282" t="str">
        <f>T("462")</f>
        <v>462</v>
      </c>
      <c r="E1282" t="str">
        <f>T("무장")</f>
        <v>무장</v>
      </c>
      <c r="H1282" t="str">
        <f t="shared" si="162"/>
        <v>스토리위즈</v>
      </c>
      <c r="I1282" t="str">
        <f>T("최종 보스 : 빛을 향해 달리는 그림자")</f>
        <v>최종 보스 : 빛을 향해 달리는 그림자</v>
      </c>
      <c r="J1282">
        <v>100</v>
      </c>
      <c r="K1282">
        <v>100</v>
      </c>
      <c r="L1282">
        <v>1</v>
      </c>
      <c r="M1282">
        <v>0</v>
      </c>
      <c r="N1282">
        <v>100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 s="2">
        <v>140</v>
      </c>
      <c r="AT1282" t="str">
        <f>T("9791166067563")</f>
        <v>9791166067563</v>
      </c>
      <c r="AV1282" t="str">
        <f>T("판타지 웹소설 &gt; 현대 판타지")</f>
        <v>판타지 웹소설 &gt; 현대 판타지</v>
      </c>
    </row>
    <row r="1283" spans="1:48" x14ac:dyDescent="0.4">
      <c r="A1283">
        <v>1525004988</v>
      </c>
      <c r="B1283">
        <v>1525005313</v>
      </c>
      <c r="C1283" t="str">
        <f>T("용무쌍 26화")</f>
        <v>용무쌍 26화</v>
      </c>
      <c r="D1283" t="str">
        <f>T("26")</f>
        <v>26</v>
      </c>
      <c r="E1283" t="str">
        <f>T("권용찬")</f>
        <v>권용찬</v>
      </c>
      <c r="H1283" t="str">
        <f t="shared" si="162"/>
        <v>스토리위즈</v>
      </c>
      <c r="I1283" t="str">
        <f>T("용무쌍")</f>
        <v>용무쌍</v>
      </c>
      <c r="J1283">
        <v>100</v>
      </c>
      <c r="K1283">
        <v>100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100</v>
      </c>
      <c r="AH1283">
        <v>1</v>
      </c>
      <c r="AI1283">
        <v>0</v>
      </c>
      <c r="AJ1283">
        <v>0</v>
      </c>
      <c r="AK1283">
        <v>100</v>
      </c>
      <c r="AL1283">
        <v>0</v>
      </c>
      <c r="AM1283">
        <v>0</v>
      </c>
      <c r="AN1283">
        <v>0</v>
      </c>
      <c r="AO1283">
        <v>0</v>
      </c>
      <c r="AP1283" s="2">
        <v>70</v>
      </c>
      <c r="AT1283" t="str">
        <f>T("9791159284861")</f>
        <v>9791159284861</v>
      </c>
      <c r="AV1283" t="str">
        <f>T("판타지 웹소설 &gt; 무협 소설")</f>
        <v>판타지 웹소설 &gt; 무협 소설</v>
      </c>
    </row>
    <row r="1284" spans="1:48" x14ac:dyDescent="0.4">
      <c r="A1284">
        <v>1525004989</v>
      </c>
      <c r="B1284">
        <v>1525005611</v>
      </c>
      <c r="C1284" t="str">
        <f>T("신룡전설 122화")</f>
        <v>신룡전설 122화</v>
      </c>
      <c r="D1284" t="str">
        <f>T("122")</f>
        <v>122</v>
      </c>
      <c r="E1284" t="str">
        <f>T("가람검")</f>
        <v>가람검</v>
      </c>
      <c r="H1284" t="str">
        <f t="shared" si="162"/>
        <v>스토리위즈</v>
      </c>
      <c r="I1284" t="str">
        <f>T("신룡전설")</f>
        <v>신룡전설</v>
      </c>
      <c r="J1284">
        <v>100</v>
      </c>
      <c r="K1284">
        <v>100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100</v>
      </c>
      <c r="AH1284">
        <v>1</v>
      </c>
      <c r="AI1284">
        <v>0</v>
      </c>
      <c r="AJ1284">
        <v>0</v>
      </c>
      <c r="AK1284">
        <v>100</v>
      </c>
      <c r="AL1284">
        <v>0</v>
      </c>
      <c r="AM1284">
        <v>0</v>
      </c>
      <c r="AN1284">
        <v>0</v>
      </c>
      <c r="AO1284">
        <v>0</v>
      </c>
      <c r="AP1284" s="2">
        <v>70</v>
      </c>
      <c r="AT1284" t="str">
        <f>T("9791159283505")</f>
        <v>9791159283505</v>
      </c>
      <c r="AV1284" t="str">
        <f>T("판타지 웹소설 &gt; 무협 소설")</f>
        <v>판타지 웹소설 &gt; 무협 소설</v>
      </c>
    </row>
    <row r="1285" spans="1:48" x14ac:dyDescent="0.4">
      <c r="A1285">
        <v>1525002409</v>
      </c>
      <c r="B1285">
        <v>1525002550</v>
      </c>
      <c r="C1285" t="str">
        <f>T("스포트라이트 142화")</f>
        <v>스포트라이트 142화</v>
      </c>
      <c r="D1285" t="str">
        <f>T("142")</f>
        <v>142</v>
      </c>
      <c r="E1285" t="str">
        <f>T("전혁")</f>
        <v>전혁</v>
      </c>
      <c r="H1285" t="str">
        <f t="shared" si="162"/>
        <v>스토리위즈</v>
      </c>
      <c r="I1285" t="str">
        <f>T("스포트라이트")</f>
        <v>스포트라이트</v>
      </c>
      <c r="J1285">
        <v>100</v>
      </c>
      <c r="K1285">
        <v>100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100</v>
      </c>
      <c r="AH1285">
        <v>1</v>
      </c>
      <c r="AI1285">
        <v>0</v>
      </c>
      <c r="AJ1285">
        <v>0</v>
      </c>
      <c r="AK1285">
        <v>100</v>
      </c>
      <c r="AL1285">
        <v>0</v>
      </c>
      <c r="AM1285">
        <v>0</v>
      </c>
      <c r="AN1285">
        <v>0</v>
      </c>
      <c r="AO1285">
        <v>0</v>
      </c>
      <c r="AP1285" s="2">
        <v>70</v>
      </c>
      <c r="AT1285" t="str">
        <f>T("9791159286841")</f>
        <v>9791159286841</v>
      </c>
      <c r="AV1285" t="str">
        <f>T("판타지 웹소설 &gt; 현대 판타지")</f>
        <v>판타지 웹소설 &gt; 현대 판타지</v>
      </c>
    </row>
    <row r="1286" spans="1:48" x14ac:dyDescent="0.4">
      <c r="A1286">
        <v>1525004030</v>
      </c>
      <c r="B1286">
        <v>1525006990</v>
      </c>
      <c r="C1286" t="str">
        <f>T("회귀의 전설 2부 874화")</f>
        <v>회귀의 전설 2부 874화</v>
      </c>
      <c r="D1286" t="str">
        <f>T("874")</f>
        <v>874</v>
      </c>
      <c r="E1286" t="str">
        <f>T("김광수")</f>
        <v>김광수</v>
      </c>
      <c r="H1286" t="str">
        <f t="shared" si="162"/>
        <v>스토리위즈</v>
      </c>
      <c r="I1286" t="str">
        <f>T("회귀의 전설")</f>
        <v>회귀의 전설</v>
      </c>
      <c r="J1286">
        <v>100</v>
      </c>
      <c r="K1286">
        <v>100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100</v>
      </c>
      <c r="AH1286">
        <v>1</v>
      </c>
      <c r="AI1286">
        <v>0</v>
      </c>
      <c r="AJ1286">
        <v>0</v>
      </c>
      <c r="AK1286">
        <v>100</v>
      </c>
      <c r="AL1286">
        <v>0</v>
      </c>
      <c r="AM1286">
        <v>0</v>
      </c>
      <c r="AN1286">
        <v>0</v>
      </c>
      <c r="AO1286">
        <v>0</v>
      </c>
      <c r="AP1286" s="2">
        <v>70</v>
      </c>
      <c r="AT1286" t="str">
        <f>T("9791191102086")</f>
        <v>9791191102086</v>
      </c>
      <c r="AV1286" t="str">
        <f>T("판타지 웹소설 &gt; 현대 판타지")</f>
        <v>판타지 웹소설 &gt; 현대 판타지</v>
      </c>
    </row>
    <row r="1287" spans="1:48" x14ac:dyDescent="0.4">
      <c r="A1287">
        <v>1525004030</v>
      </c>
      <c r="B1287">
        <v>1525006646</v>
      </c>
      <c r="C1287" t="str">
        <f>T("회귀의 전설 2부 529화")</f>
        <v>회귀의 전설 2부 529화</v>
      </c>
      <c r="D1287" t="str">
        <f>T("529")</f>
        <v>529</v>
      </c>
      <c r="E1287" t="str">
        <f>T("김광수")</f>
        <v>김광수</v>
      </c>
      <c r="H1287" t="str">
        <f t="shared" si="162"/>
        <v>스토리위즈</v>
      </c>
      <c r="I1287" t="str">
        <f>T("회귀의 전설")</f>
        <v>회귀의 전설</v>
      </c>
      <c r="J1287">
        <v>100</v>
      </c>
      <c r="K1287">
        <v>100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100</v>
      </c>
      <c r="AH1287">
        <v>1</v>
      </c>
      <c r="AI1287">
        <v>0</v>
      </c>
      <c r="AJ1287">
        <v>0</v>
      </c>
      <c r="AK1287">
        <v>100</v>
      </c>
      <c r="AL1287">
        <v>0</v>
      </c>
      <c r="AM1287">
        <v>0</v>
      </c>
      <c r="AN1287">
        <v>0</v>
      </c>
      <c r="AO1287">
        <v>0</v>
      </c>
      <c r="AP1287" s="2">
        <v>70</v>
      </c>
      <c r="AT1287" t="str">
        <f>T("9791191102086")</f>
        <v>9791191102086</v>
      </c>
      <c r="AV1287" t="str">
        <f>T("판타지 웹소설 &gt; 현대 판타지")</f>
        <v>판타지 웹소설 &gt; 현대 판타지</v>
      </c>
    </row>
    <row r="1288" spans="1:48" x14ac:dyDescent="0.4">
      <c r="A1288">
        <v>2313011400</v>
      </c>
      <c r="B1288">
        <v>1525007588</v>
      </c>
      <c r="C1288" t="str">
        <f>T("최종 보스 18권 14화")</f>
        <v>최종 보스 18권 14화</v>
      </c>
      <c r="D1288" t="str">
        <f>T("366")</f>
        <v>366</v>
      </c>
      <c r="E1288" t="str">
        <f>T("무장")</f>
        <v>무장</v>
      </c>
      <c r="H1288" t="str">
        <f t="shared" si="162"/>
        <v>스토리위즈</v>
      </c>
      <c r="I1288" t="str">
        <f>T("최종 보스 : 빛을 향해 달리는 그림자")</f>
        <v>최종 보스 : 빛을 향해 달리는 그림자</v>
      </c>
      <c r="J1288">
        <v>100</v>
      </c>
      <c r="K1288">
        <v>100</v>
      </c>
      <c r="L1288">
        <v>1</v>
      </c>
      <c r="M1288">
        <v>0</v>
      </c>
      <c r="N1288">
        <v>100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 s="2">
        <v>140</v>
      </c>
      <c r="AT1288" t="str">
        <f>T("9791166067563")</f>
        <v>9791166067563</v>
      </c>
      <c r="AV1288" t="str">
        <f>T("판타지 웹소설 &gt; 현대 판타지")</f>
        <v>판타지 웹소설 &gt; 현대 판타지</v>
      </c>
    </row>
    <row r="1289" spans="1:48" x14ac:dyDescent="0.4">
      <c r="A1289">
        <v>1525004030</v>
      </c>
      <c r="B1289">
        <v>1525004425</v>
      </c>
      <c r="C1289" t="str">
        <f>T("회귀의 전설 409화")</f>
        <v>회귀의 전설 409화</v>
      </c>
      <c r="D1289" t="str">
        <f>T("409")</f>
        <v>409</v>
      </c>
      <c r="E1289" t="str">
        <f>T("김광수")</f>
        <v>김광수</v>
      </c>
      <c r="H1289" t="str">
        <f t="shared" si="162"/>
        <v>스토리위즈</v>
      </c>
      <c r="I1289" t="str">
        <f>T("회귀의 전설")</f>
        <v>회귀의 전설</v>
      </c>
      <c r="J1289">
        <v>100</v>
      </c>
      <c r="K1289">
        <v>100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100</v>
      </c>
      <c r="AH1289">
        <v>1</v>
      </c>
      <c r="AI1289">
        <v>0</v>
      </c>
      <c r="AJ1289">
        <v>0</v>
      </c>
      <c r="AK1289">
        <v>100</v>
      </c>
      <c r="AL1289">
        <v>0</v>
      </c>
      <c r="AM1289">
        <v>0</v>
      </c>
      <c r="AN1289">
        <v>0</v>
      </c>
      <c r="AO1289">
        <v>0</v>
      </c>
      <c r="AP1289" s="2">
        <v>70</v>
      </c>
      <c r="AT1289" t="str">
        <f>T("9788997946006")</f>
        <v>9788997946006</v>
      </c>
      <c r="AV1289" t="str">
        <f>T("판타지 웹소설 &gt; 현대 판타지")</f>
        <v>판타지 웹소설 &gt; 현대 판타지</v>
      </c>
    </row>
    <row r="1290" spans="1:48" x14ac:dyDescent="0.4">
      <c r="A1290">
        <v>1525004988</v>
      </c>
      <c r="B1290">
        <v>1525005329</v>
      </c>
      <c r="C1290" t="str">
        <f>T("용무쌍 42화")</f>
        <v>용무쌍 42화</v>
      </c>
      <c r="D1290" t="str">
        <f>T("42")</f>
        <v>42</v>
      </c>
      <c r="E1290" t="str">
        <f>T("권용찬")</f>
        <v>권용찬</v>
      </c>
      <c r="H1290" t="str">
        <f t="shared" si="162"/>
        <v>스토리위즈</v>
      </c>
      <c r="I1290" t="str">
        <f>T("용무쌍")</f>
        <v>용무쌍</v>
      </c>
      <c r="J1290">
        <v>100</v>
      </c>
      <c r="K1290">
        <v>100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100</v>
      </c>
      <c r="AH1290">
        <v>1</v>
      </c>
      <c r="AI1290">
        <v>0</v>
      </c>
      <c r="AJ1290">
        <v>0</v>
      </c>
      <c r="AK1290">
        <v>100</v>
      </c>
      <c r="AL1290">
        <v>0</v>
      </c>
      <c r="AM1290">
        <v>0</v>
      </c>
      <c r="AN1290">
        <v>0</v>
      </c>
      <c r="AO1290">
        <v>0</v>
      </c>
      <c r="AP1290" s="2">
        <v>70</v>
      </c>
      <c r="AT1290" t="str">
        <f>T("9791159284861")</f>
        <v>9791159284861</v>
      </c>
      <c r="AV1290" t="str">
        <f>T("판타지 웹소설 &gt; 무협 소설")</f>
        <v>판타지 웹소설 &gt; 무협 소설</v>
      </c>
    </row>
    <row r="1291" spans="1:48" x14ac:dyDescent="0.4">
      <c r="A1291">
        <v>1525001116</v>
      </c>
      <c r="B1291">
        <v>1525001136</v>
      </c>
      <c r="C1291" t="str">
        <f>T("개정판 | 영웅 21화")</f>
        <v>개정판 | 영웅 21화</v>
      </c>
      <c r="D1291" t="str">
        <f>T("21")</f>
        <v>21</v>
      </c>
      <c r="E1291" t="str">
        <f>T("김광수")</f>
        <v>김광수</v>
      </c>
      <c r="H1291" t="str">
        <f t="shared" si="162"/>
        <v>스토리위즈</v>
      </c>
      <c r="I1291" t="str">
        <f>T("개정판 | 영웅")</f>
        <v>개정판 | 영웅</v>
      </c>
      <c r="J1291">
        <v>100</v>
      </c>
      <c r="K1291">
        <v>100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100</v>
      </c>
      <c r="AH1291">
        <v>1</v>
      </c>
      <c r="AI1291">
        <v>0</v>
      </c>
      <c r="AJ1291">
        <v>0</v>
      </c>
      <c r="AK1291">
        <v>100</v>
      </c>
      <c r="AL1291">
        <v>0</v>
      </c>
      <c r="AM1291">
        <v>0</v>
      </c>
      <c r="AN1291">
        <v>0</v>
      </c>
      <c r="AO1291">
        <v>0</v>
      </c>
      <c r="AP1291" s="2">
        <v>70</v>
      </c>
      <c r="AR1291" t="str">
        <f>T("9791159282829")</f>
        <v>9791159282829</v>
      </c>
      <c r="AT1291" t="str">
        <f>T("9791159282829")</f>
        <v>9791159282829</v>
      </c>
      <c r="AV1291" t="str">
        <f>T("판타지 웹소설 &gt; 무협 소설")</f>
        <v>판타지 웹소설 &gt; 무협 소설</v>
      </c>
    </row>
    <row r="1292" spans="1:48" x14ac:dyDescent="0.4">
      <c r="A1292">
        <v>1525004030</v>
      </c>
      <c r="B1292">
        <v>1525006758</v>
      </c>
      <c r="C1292" t="str">
        <f>T("회귀의 전설 2부 641화")</f>
        <v>회귀의 전설 2부 641화</v>
      </c>
      <c r="D1292" t="str">
        <f>T("641")</f>
        <v>641</v>
      </c>
      <c r="E1292" t="str">
        <f>T("김광수")</f>
        <v>김광수</v>
      </c>
      <c r="H1292" t="str">
        <f t="shared" si="162"/>
        <v>스토리위즈</v>
      </c>
      <c r="I1292" t="str">
        <f>T("회귀의 전설")</f>
        <v>회귀의 전설</v>
      </c>
      <c r="J1292">
        <v>100</v>
      </c>
      <c r="K1292">
        <v>100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100</v>
      </c>
      <c r="AH1292">
        <v>1</v>
      </c>
      <c r="AI1292">
        <v>0</v>
      </c>
      <c r="AJ1292">
        <v>0</v>
      </c>
      <c r="AK1292">
        <v>100</v>
      </c>
      <c r="AL1292">
        <v>0</v>
      </c>
      <c r="AM1292">
        <v>0</v>
      </c>
      <c r="AN1292">
        <v>0</v>
      </c>
      <c r="AO1292">
        <v>0</v>
      </c>
      <c r="AP1292" s="2">
        <v>70</v>
      </c>
      <c r="AT1292" t="str">
        <f>T("9791191102086")</f>
        <v>9791191102086</v>
      </c>
      <c r="AV1292" t="str">
        <f>T("판타지 웹소설 &gt; 현대 판타지")</f>
        <v>판타지 웹소설 &gt; 현대 판타지</v>
      </c>
    </row>
    <row r="1293" spans="1:48" x14ac:dyDescent="0.4">
      <c r="A1293">
        <v>1525004030</v>
      </c>
      <c r="B1293">
        <v>1525004505</v>
      </c>
      <c r="C1293" t="str">
        <f>T("회귀의 전설 489화")</f>
        <v>회귀의 전설 489화</v>
      </c>
      <c r="D1293" t="str">
        <f>T("489")</f>
        <v>489</v>
      </c>
      <c r="E1293" t="str">
        <f>T("김광수")</f>
        <v>김광수</v>
      </c>
      <c r="H1293" t="str">
        <f t="shared" si="162"/>
        <v>스토리위즈</v>
      </c>
      <c r="I1293" t="str">
        <f>T("회귀의 전설")</f>
        <v>회귀의 전설</v>
      </c>
      <c r="J1293">
        <v>100</v>
      </c>
      <c r="K1293">
        <v>100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100</v>
      </c>
      <c r="AH1293">
        <v>1</v>
      </c>
      <c r="AI1293">
        <v>0</v>
      </c>
      <c r="AJ1293">
        <v>0</v>
      </c>
      <c r="AK1293">
        <v>100</v>
      </c>
      <c r="AL1293">
        <v>0</v>
      </c>
      <c r="AM1293">
        <v>0</v>
      </c>
      <c r="AN1293">
        <v>0</v>
      </c>
      <c r="AO1293">
        <v>0</v>
      </c>
      <c r="AP1293" s="2">
        <v>70</v>
      </c>
      <c r="AT1293" t="str">
        <f>T("9788997946006")</f>
        <v>9788997946006</v>
      </c>
      <c r="AV1293" t="str">
        <f>T("판타지 웹소설 &gt; 현대 판타지")</f>
        <v>판타지 웹소설 &gt; 현대 판타지</v>
      </c>
    </row>
    <row r="1294" spans="1:48" x14ac:dyDescent="0.4">
      <c r="A1294">
        <v>1525004989</v>
      </c>
      <c r="B1294">
        <v>1525005531</v>
      </c>
      <c r="C1294" t="str">
        <f>T("신룡전설 42화")</f>
        <v>신룡전설 42화</v>
      </c>
      <c r="D1294" t="str">
        <f>T("42")</f>
        <v>42</v>
      </c>
      <c r="E1294" t="str">
        <f>T("가람검")</f>
        <v>가람검</v>
      </c>
      <c r="H1294" t="str">
        <f t="shared" si="162"/>
        <v>스토리위즈</v>
      </c>
      <c r="I1294" t="str">
        <f>T("신룡전설")</f>
        <v>신룡전설</v>
      </c>
      <c r="J1294">
        <v>100</v>
      </c>
      <c r="K1294">
        <v>100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100</v>
      </c>
      <c r="AH1294">
        <v>1</v>
      </c>
      <c r="AI1294">
        <v>0</v>
      </c>
      <c r="AJ1294">
        <v>0</v>
      </c>
      <c r="AK1294">
        <v>100</v>
      </c>
      <c r="AL1294">
        <v>0</v>
      </c>
      <c r="AM1294">
        <v>0</v>
      </c>
      <c r="AN1294">
        <v>0</v>
      </c>
      <c r="AO1294">
        <v>0</v>
      </c>
      <c r="AP1294" s="2">
        <v>70</v>
      </c>
      <c r="AT1294" t="str">
        <f>T("9791159283505")</f>
        <v>9791159283505</v>
      </c>
      <c r="AV1294" t="str">
        <f>T("판타지 웹소설 &gt; 무협 소설")</f>
        <v>판타지 웹소설 &gt; 무협 소설</v>
      </c>
    </row>
    <row r="1295" spans="1:48" x14ac:dyDescent="0.4">
      <c r="A1295">
        <v>1525000569</v>
      </c>
      <c r="B1295">
        <v>1525000647</v>
      </c>
      <c r="C1295" t="str">
        <f>T("스트라이커 78화")</f>
        <v>스트라이커 78화</v>
      </c>
      <c r="D1295" t="str">
        <f>T("78")</f>
        <v>78</v>
      </c>
      <c r="E1295" t="str">
        <f>T("독고진")</f>
        <v>독고진</v>
      </c>
      <c r="H1295" t="str">
        <f t="shared" si="162"/>
        <v>스토리위즈</v>
      </c>
      <c r="I1295" t="str">
        <f>T("스트라이커")</f>
        <v>스트라이커</v>
      </c>
      <c r="J1295">
        <v>100</v>
      </c>
      <c r="K1295">
        <v>100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100</v>
      </c>
      <c r="AH1295">
        <v>1</v>
      </c>
      <c r="AI1295">
        <v>0</v>
      </c>
      <c r="AJ1295">
        <v>0</v>
      </c>
      <c r="AK1295">
        <v>100</v>
      </c>
      <c r="AL1295">
        <v>0</v>
      </c>
      <c r="AM1295">
        <v>0</v>
      </c>
      <c r="AN1295">
        <v>0</v>
      </c>
      <c r="AO1295">
        <v>0</v>
      </c>
      <c r="AP1295" s="2">
        <v>70</v>
      </c>
      <c r="AT1295" t="str">
        <f>T("9791170151678")</f>
        <v>9791170151678</v>
      </c>
      <c r="AV1295" t="str">
        <f>T("판타지 웹소설 &gt; 현대 판타지")</f>
        <v>판타지 웹소설 &gt; 현대 판타지</v>
      </c>
    </row>
    <row r="1296" spans="1:48" x14ac:dyDescent="0.4">
      <c r="A1296">
        <v>1525004030</v>
      </c>
      <c r="B1296">
        <v>1525007074</v>
      </c>
      <c r="C1296" t="str">
        <f>T("회귀의 전설 2부 958화")</f>
        <v>회귀의 전설 2부 958화</v>
      </c>
      <c r="D1296" t="str">
        <f>T("958")</f>
        <v>958</v>
      </c>
      <c r="E1296" t="str">
        <f>T("김광수")</f>
        <v>김광수</v>
      </c>
      <c r="H1296" t="str">
        <f t="shared" si="162"/>
        <v>스토리위즈</v>
      </c>
      <c r="I1296" t="str">
        <f>T("회귀의 전설")</f>
        <v>회귀의 전설</v>
      </c>
      <c r="J1296">
        <v>100</v>
      </c>
      <c r="K1296">
        <v>100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100</v>
      </c>
      <c r="AH1296">
        <v>1</v>
      </c>
      <c r="AI1296">
        <v>0</v>
      </c>
      <c r="AJ1296">
        <v>0</v>
      </c>
      <c r="AK1296">
        <v>100</v>
      </c>
      <c r="AL1296">
        <v>0</v>
      </c>
      <c r="AM1296">
        <v>0</v>
      </c>
      <c r="AN1296">
        <v>0</v>
      </c>
      <c r="AO1296">
        <v>0</v>
      </c>
      <c r="AP1296" s="2">
        <v>70</v>
      </c>
      <c r="AT1296" t="str">
        <f>T("9791191102086")</f>
        <v>9791191102086</v>
      </c>
      <c r="AV1296" t="str">
        <f>T("판타지 웹소설 &gt; 현대 판타지")</f>
        <v>판타지 웹소설 &gt; 현대 판타지</v>
      </c>
    </row>
    <row r="1297" spans="1:48" x14ac:dyDescent="0.4">
      <c r="A1297">
        <v>1525007923</v>
      </c>
      <c r="B1297">
        <v>1525007910</v>
      </c>
      <c r="C1297" t="str">
        <f>T("운상연담: 화불능귀일락 110화")</f>
        <v>운상연담: 화불능귀일락 110화</v>
      </c>
      <c r="D1297" t="str">
        <f>T("110")</f>
        <v>110</v>
      </c>
      <c r="E1297" t="str">
        <f>T("피모")</f>
        <v>피모</v>
      </c>
      <c r="H1297" t="str">
        <f>T("쉬라즈")</f>
        <v>쉬라즈</v>
      </c>
      <c r="I1297" t="str">
        <f>T("운상연담: 화불능귀일락")</f>
        <v>운상연담: 화불능귀일락</v>
      </c>
      <c r="J1297">
        <v>100</v>
      </c>
      <c r="K1297">
        <v>100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100</v>
      </c>
      <c r="AH1297">
        <v>1</v>
      </c>
      <c r="AI1297">
        <v>0</v>
      </c>
      <c r="AJ1297">
        <v>0</v>
      </c>
      <c r="AK1297">
        <v>100</v>
      </c>
      <c r="AL1297">
        <v>0</v>
      </c>
      <c r="AM1297">
        <v>0</v>
      </c>
      <c r="AN1297">
        <v>0</v>
      </c>
      <c r="AO1297">
        <v>0</v>
      </c>
      <c r="AP1297" s="2">
        <v>70</v>
      </c>
      <c r="AT1297" t="str">
        <f>T("9791164896646")</f>
        <v>9791164896646</v>
      </c>
      <c r="AV1297" t="str">
        <f>T("로맨스 웹소설 &gt; 역사/시대물")</f>
        <v>로맨스 웹소설 &gt; 역사/시대물</v>
      </c>
    </row>
    <row r="1298" spans="1:48" x14ac:dyDescent="0.4">
      <c r="A1298">
        <v>2313011400</v>
      </c>
      <c r="B1298">
        <v>1525007620</v>
      </c>
      <c r="C1298" t="str">
        <f>T("최종 보스 20권 5화")</f>
        <v>최종 보스 20권 5화</v>
      </c>
      <c r="D1298" t="str">
        <f>T("398")</f>
        <v>398</v>
      </c>
      <c r="E1298" t="str">
        <f>T("무장")</f>
        <v>무장</v>
      </c>
      <c r="H1298" t="str">
        <f>T("스토리위즈")</f>
        <v>스토리위즈</v>
      </c>
      <c r="I1298" t="str">
        <f>T("최종 보스 : 빛을 향해 달리는 그림자")</f>
        <v>최종 보스 : 빛을 향해 달리는 그림자</v>
      </c>
      <c r="J1298">
        <v>100</v>
      </c>
      <c r="K1298">
        <v>100</v>
      </c>
      <c r="L1298">
        <v>1</v>
      </c>
      <c r="M1298">
        <v>0</v>
      </c>
      <c r="N1298">
        <v>100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 s="2">
        <v>140</v>
      </c>
      <c r="AT1298" t="str">
        <f>T("9791166067563")</f>
        <v>9791166067563</v>
      </c>
      <c r="AV1298" t="str">
        <f>T("판타지 웹소설 &gt; 현대 판타지")</f>
        <v>판타지 웹소설 &gt; 현대 판타지</v>
      </c>
    </row>
    <row r="1299" spans="1:48" x14ac:dyDescent="0.4">
      <c r="A1299">
        <v>1525004030</v>
      </c>
      <c r="B1299">
        <v>1525004345</v>
      </c>
      <c r="C1299" t="str">
        <f>T("회귀의 전설 317화")</f>
        <v>회귀의 전설 317화</v>
      </c>
      <c r="D1299" t="str">
        <f>T("317")</f>
        <v>317</v>
      </c>
      <c r="E1299" t="str">
        <f>T("김광수")</f>
        <v>김광수</v>
      </c>
      <c r="H1299" t="str">
        <f>T("스토리위즈")</f>
        <v>스토리위즈</v>
      </c>
      <c r="I1299" t="str">
        <f>T("회귀의 전설")</f>
        <v>회귀의 전설</v>
      </c>
      <c r="J1299">
        <v>100</v>
      </c>
      <c r="K1299">
        <v>100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100</v>
      </c>
      <c r="AH1299">
        <v>1</v>
      </c>
      <c r="AI1299">
        <v>0</v>
      </c>
      <c r="AJ1299">
        <v>0</v>
      </c>
      <c r="AK1299">
        <v>100</v>
      </c>
      <c r="AL1299">
        <v>0</v>
      </c>
      <c r="AM1299">
        <v>0</v>
      </c>
      <c r="AN1299">
        <v>0</v>
      </c>
      <c r="AO1299">
        <v>0</v>
      </c>
      <c r="AP1299" s="2">
        <v>70</v>
      </c>
      <c r="AT1299" t="str">
        <f>T("9788997946006")</f>
        <v>9788997946006</v>
      </c>
      <c r="AV1299" t="str">
        <f>T("판타지 웹소설 &gt; 현대 판타지")</f>
        <v>판타지 웹소설 &gt; 현대 판타지</v>
      </c>
    </row>
    <row r="1300" spans="1:48" x14ac:dyDescent="0.4">
      <c r="A1300">
        <v>1525007872</v>
      </c>
      <c r="B1300">
        <v>1525007869</v>
      </c>
      <c r="C1300" t="str">
        <f>T("아침이 오지 않아도 17화")</f>
        <v>아침이 오지 않아도 17화</v>
      </c>
      <c r="D1300" t="str">
        <f>T("17")</f>
        <v>17</v>
      </c>
      <c r="E1300" t="str">
        <f>T("홍영")</f>
        <v>홍영</v>
      </c>
      <c r="H1300" t="str">
        <f>T("러브스토리")</f>
        <v>러브스토리</v>
      </c>
      <c r="I1300" t="str">
        <f>T("아침이 오지 않아도")</f>
        <v>아침이 오지 않아도</v>
      </c>
      <c r="J1300">
        <v>100</v>
      </c>
      <c r="K1300">
        <v>100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100</v>
      </c>
      <c r="AH1300">
        <v>1</v>
      </c>
      <c r="AI1300">
        <v>0</v>
      </c>
      <c r="AJ1300">
        <v>0</v>
      </c>
      <c r="AK1300">
        <v>100</v>
      </c>
      <c r="AL1300">
        <v>0</v>
      </c>
      <c r="AM1300">
        <v>0</v>
      </c>
      <c r="AN1300">
        <v>0</v>
      </c>
      <c r="AO1300">
        <v>0</v>
      </c>
      <c r="AP1300" s="2">
        <v>70</v>
      </c>
      <c r="AR1300" t="str">
        <f>T("0000000000000")</f>
        <v>0000000000000</v>
      </c>
      <c r="AT1300" t="str">
        <f>T("9791164899708")</f>
        <v>9791164899708</v>
      </c>
      <c r="AV1300" t="str">
        <f>T("로맨스 웹소설 &gt; 현대물")</f>
        <v>로맨스 웹소설 &gt; 현대물</v>
      </c>
    </row>
    <row r="1301" spans="1:48" x14ac:dyDescent="0.4">
      <c r="A1301">
        <v>1525004030</v>
      </c>
      <c r="B1301">
        <v>1525007035</v>
      </c>
      <c r="C1301" t="str">
        <f>T("회귀의 전설 2부 919화")</f>
        <v>회귀의 전설 2부 919화</v>
      </c>
      <c r="D1301" t="str">
        <f>T("919")</f>
        <v>919</v>
      </c>
      <c r="E1301" t="str">
        <f>T("김광수")</f>
        <v>김광수</v>
      </c>
      <c r="H1301" t="str">
        <f t="shared" ref="H1301:H1313" si="163">T("스토리위즈")</f>
        <v>스토리위즈</v>
      </c>
      <c r="I1301" t="str">
        <f>T("회귀의 전설")</f>
        <v>회귀의 전설</v>
      </c>
      <c r="J1301">
        <v>100</v>
      </c>
      <c r="K1301">
        <v>100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100</v>
      </c>
      <c r="AH1301">
        <v>1</v>
      </c>
      <c r="AI1301">
        <v>0</v>
      </c>
      <c r="AJ1301">
        <v>0</v>
      </c>
      <c r="AK1301">
        <v>100</v>
      </c>
      <c r="AL1301">
        <v>0</v>
      </c>
      <c r="AM1301">
        <v>0</v>
      </c>
      <c r="AN1301">
        <v>0</v>
      </c>
      <c r="AO1301">
        <v>0</v>
      </c>
      <c r="AP1301" s="2">
        <v>70</v>
      </c>
      <c r="AT1301" t="str">
        <f>T("9791191102086")</f>
        <v>9791191102086</v>
      </c>
      <c r="AV1301" t="str">
        <f>T("판타지 웹소설 &gt; 현대 판타지")</f>
        <v>판타지 웹소설 &gt; 현대 판타지</v>
      </c>
    </row>
    <row r="1302" spans="1:48" x14ac:dyDescent="0.4">
      <c r="A1302">
        <v>2313011400</v>
      </c>
      <c r="B1302">
        <v>1525007677</v>
      </c>
      <c r="C1302" t="str">
        <f>T("최종 보스 23권 2화")</f>
        <v>최종 보스 23권 2화</v>
      </c>
      <c r="D1302" t="str">
        <f>T("455")</f>
        <v>455</v>
      </c>
      <c r="E1302" t="str">
        <f>T("무장")</f>
        <v>무장</v>
      </c>
      <c r="H1302" t="str">
        <f t="shared" si="163"/>
        <v>스토리위즈</v>
      </c>
      <c r="I1302" t="str">
        <f>T("최종 보스 : 빛을 향해 달리는 그림자")</f>
        <v>최종 보스 : 빛을 향해 달리는 그림자</v>
      </c>
      <c r="J1302">
        <v>100</v>
      </c>
      <c r="K1302">
        <v>100</v>
      </c>
      <c r="L1302">
        <v>1</v>
      </c>
      <c r="M1302">
        <v>0</v>
      </c>
      <c r="N1302">
        <v>100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 s="2">
        <v>140</v>
      </c>
      <c r="AT1302" t="str">
        <f>T("9791166067563")</f>
        <v>9791166067563</v>
      </c>
      <c r="AV1302" t="str">
        <f>T("판타지 웹소설 &gt; 현대 판타지")</f>
        <v>판타지 웹소설 &gt; 현대 판타지</v>
      </c>
    </row>
    <row r="1303" spans="1:48" x14ac:dyDescent="0.4">
      <c r="A1303">
        <v>1525004989</v>
      </c>
      <c r="B1303">
        <v>1525005604</v>
      </c>
      <c r="C1303" t="str">
        <f>T("신룡전설 115화")</f>
        <v>신룡전설 115화</v>
      </c>
      <c r="D1303" t="str">
        <f>T("115")</f>
        <v>115</v>
      </c>
      <c r="E1303" t="str">
        <f>T("가람검")</f>
        <v>가람검</v>
      </c>
      <c r="H1303" t="str">
        <f t="shared" si="163"/>
        <v>스토리위즈</v>
      </c>
      <c r="I1303" t="str">
        <f>T("신룡전설")</f>
        <v>신룡전설</v>
      </c>
      <c r="J1303">
        <v>100</v>
      </c>
      <c r="K1303">
        <v>100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100</v>
      </c>
      <c r="AH1303">
        <v>1</v>
      </c>
      <c r="AI1303">
        <v>0</v>
      </c>
      <c r="AJ1303">
        <v>0</v>
      </c>
      <c r="AK1303">
        <v>100</v>
      </c>
      <c r="AL1303">
        <v>0</v>
      </c>
      <c r="AM1303">
        <v>0</v>
      </c>
      <c r="AN1303">
        <v>0</v>
      </c>
      <c r="AO1303">
        <v>0</v>
      </c>
      <c r="AP1303" s="2">
        <v>70</v>
      </c>
      <c r="AT1303" t="str">
        <f>T("9791159283505")</f>
        <v>9791159283505</v>
      </c>
      <c r="AV1303" t="str">
        <f>T("판타지 웹소설 &gt; 무협 소설")</f>
        <v>판타지 웹소설 &gt; 무협 소설</v>
      </c>
    </row>
    <row r="1304" spans="1:48" x14ac:dyDescent="0.4">
      <c r="A1304">
        <v>1525002409</v>
      </c>
      <c r="B1304">
        <v>1525002541</v>
      </c>
      <c r="C1304" t="str">
        <f>T("스포트라이트 133화")</f>
        <v>스포트라이트 133화</v>
      </c>
      <c r="D1304" t="str">
        <f>T("133")</f>
        <v>133</v>
      </c>
      <c r="E1304" t="str">
        <f>T("전혁")</f>
        <v>전혁</v>
      </c>
      <c r="H1304" t="str">
        <f t="shared" si="163"/>
        <v>스토리위즈</v>
      </c>
      <c r="I1304" t="str">
        <f>T("스포트라이트")</f>
        <v>스포트라이트</v>
      </c>
      <c r="J1304">
        <v>100</v>
      </c>
      <c r="K1304">
        <v>100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100</v>
      </c>
      <c r="AH1304">
        <v>1</v>
      </c>
      <c r="AI1304">
        <v>0</v>
      </c>
      <c r="AJ1304">
        <v>0</v>
      </c>
      <c r="AK1304">
        <v>100</v>
      </c>
      <c r="AL1304">
        <v>0</v>
      </c>
      <c r="AM1304">
        <v>0</v>
      </c>
      <c r="AN1304">
        <v>0</v>
      </c>
      <c r="AO1304">
        <v>0</v>
      </c>
      <c r="AP1304" s="2">
        <v>70</v>
      </c>
      <c r="AT1304" t="str">
        <f>T("9791159286841")</f>
        <v>9791159286841</v>
      </c>
      <c r="AV1304" t="str">
        <f>T("판타지 웹소설 &gt; 현대 판타지")</f>
        <v>판타지 웹소설 &gt; 현대 판타지</v>
      </c>
    </row>
    <row r="1305" spans="1:48" x14ac:dyDescent="0.4">
      <c r="A1305">
        <v>1525004030</v>
      </c>
      <c r="B1305">
        <v>1525006983</v>
      </c>
      <c r="C1305" t="str">
        <f>T("회귀의 전설 2부 867화")</f>
        <v>회귀의 전설 2부 867화</v>
      </c>
      <c r="D1305" t="str">
        <f>T("867")</f>
        <v>867</v>
      </c>
      <c r="E1305" t="str">
        <f>T("김광수")</f>
        <v>김광수</v>
      </c>
      <c r="H1305" t="str">
        <f t="shared" si="163"/>
        <v>스토리위즈</v>
      </c>
      <c r="I1305" t="str">
        <f>T("회귀의 전설")</f>
        <v>회귀의 전설</v>
      </c>
      <c r="J1305">
        <v>100</v>
      </c>
      <c r="K1305">
        <v>100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100</v>
      </c>
      <c r="AH1305">
        <v>1</v>
      </c>
      <c r="AI1305">
        <v>0</v>
      </c>
      <c r="AJ1305">
        <v>0</v>
      </c>
      <c r="AK1305">
        <v>100</v>
      </c>
      <c r="AL1305">
        <v>0</v>
      </c>
      <c r="AM1305">
        <v>0</v>
      </c>
      <c r="AN1305">
        <v>0</v>
      </c>
      <c r="AO1305">
        <v>0</v>
      </c>
      <c r="AP1305" s="2">
        <v>70</v>
      </c>
      <c r="AT1305" t="str">
        <f>T("9791191102086")</f>
        <v>9791191102086</v>
      </c>
      <c r="AV1305" t="str">
        <f>T("판타지 웹소설 &gt; 현대 판타지")</f>
        <v>판타지 웹소설 &gt; 현대 판타지</v>
      </c>
    </row>
    <row r="1306" spans="1:48" x14ac:dyDescent="0.4">
      <c r="A1306">
        <v>1525004030</v>
      </c>
      <c r="B1306">
        <v>1525004306</v>
      </c>
      <c r="C1306" t="str">
        <f>T("회귀의 전설 277화")</f>
        <v>회귀의 전설 277화</v>
      </c>
      <c r="D1306" t="str">
        <f>T("277")</f>
        <v>277</v>
      </c>
      <c r="E1306" t="str">
        <f>T("김광수")</f>
        <v>김광수</v>
      </c>
      <c r="H1306" t="str">
        <f t="shared" si="163"/>
        <v>스토리위즈</v>
      </c>
      <c r="I1306" t="str">
        <f>T("회귀의 전설")</f>
        <v>회귀의 전설</v>
      </c>
      <c r="J1306">
        <v>100</v>
      </c>
      <c r="K1306">
        <v>100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100</v>
      </c>
      <c r="AH1306">
        <v>1</v>
      </c>
      <c r="AI1306">
        <v>0</v>
      </c>
      <c r="AJ1306">
        <v>0</v>
      </c>
      <c r="AK1306">
        <v>100</v>
      </c>
      <c r="AL1306">
        <v>0</v>
      </c>
      <c r="AM1306">
        <v>0</v>
      </c>
      <c r="AN1306">
        <v>0</v>
      </c>
      <c r="AO1306">
        <v>0</v>
      </c>
      <c r="AP1306" s="2">
        <v>70</v>
      </c>
      <c r="AT1306" t="str">
        <f>T("9788997946006")</f>
        <v>9788997946006</v>
      </c>
      <c r="AV1306" t="str">
        <f>T("판타지 웹소설 &gt; 현대 판타지")</f>
        <v>판타지 웹소설 &gt; 현대 판타지</v>
      </c>
    </row>
    <row r="1307" spans="1:48" x14ac:dyDescent="0.4">
      <c r="A1307">
        <v>1525004030</v>
      </c>
      <c r="B1307">
        <v>1525004418</v>
      </c>
      <c r="C1307" t="str">
        <f>T("회귀의 전설 402화")</f>
        <v>회귀의 전설 402화</v>
      </c>
      <c r="D1307" t="str">
        <f>T("402")</f>
        <v>402</v>
      </c>
      <c r="E1307" t="str">
        <f>T("김광수")</f>
        <v>김광수</v>
      </c>
      <c r="H1307" t="str">
        <f t="shared" si="163"/>
        <v>스토리위즈</v>
      </c>
      <c r="I1307" t="str">
        <f>T("회귀의 전설")</f>
        <v>회귀의 전설</v>
      </c>
      <c r="J1307">
        <v>100</v>
      </c>
      <c r="K1307">
        <v>100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100</v>
      </c>
      <c r="AH1307">
        <v>1</v>
      </c>
      <c r="AI1307">
        <v>0</v>
      </c>
      <c r="AJ1307">
        <v>0</v>
      </c>
      <c r="AK1307">
        <v>100</v>
      </c>
      <c r="AL1307">
        <v>0</v>
      </c>
      <c r="AM1307">
        <v>0</v>
      </c>
      <c r="AN1307">
        <v>0</v>
      </c>
      <c r="AO1307">
        <v>0</v>
      </c>
      <c r="AP1307" s="2">
        <v>70</v>
      </c>
      <c r="AT1307" t="str">
        <f>T("9788997946006")</f>
        <v>9788997946006</v>
      </c>
      <c r="AV1307" t="str">
        <f>T("판타지 웹소설 &gt; 현대 판타지")</f>
        <v>판타지 웹소설 &gt; 현대 판타지</v>
      </c>
    </row>
    <row r="1308" spans="1:48" x14ac:dyDescent="0.4">
      <c r="A1308">
        <v>1525004988</v>
      </c>
      <c r="B1308">
        <v>1525005322</v>
      </c>
      <c r="C1308" t="str">
        <f>T("용무쌍 35화")</f>
        <v>용무쌍 35화</v>
      </c>
      <c r="D1308" t="str">
        <f>T("35")</f>
        <v>35</v>
      </c>
      <c r="E1308" t="str">
        <f>T("권용찬")</f>
        <v>권용찬</v>
      </c>
      <c r="H1308" t="str">
        <f t="shared" si="163"/>
        <v>스토리위즈</v>
      </c>
      <c r="I1308" t="str">
        <f>T("용무쌍")</f>
        <v>용무쌍</v>
      </c>
      <c r="J1308">
        <v>100</v>
      </c>
      <c r="K1308">
        <v>100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100</v>
      </c>
      <c r="AH1308">
        <v>1</v>
      </c>
      <c r="AI1308">
        <v>0</v>
      </c>
      <c r="AJ1308">
        <v>0</v>
      </c>
      <c r="AK1308">
        <v>100</v>
      </c>
      <c r="AL1308">
        <v>0</v>
      </c>
      <c r="AM1308">
        <v>0</v>
      </c>
      <c r="AN1308">
        <v>0</v>
      </c>
      <c r="AO1308">
        <v>0</v>
      </c>
      <c r="AP1308" s="2">
        <v>70</v>
      </c>
      <c r="AT1308" t="str">
        <f>T("9791159284861")</f>
        <v>9791159284861</v>
      </c>
      <c r="AV1308" t="str">
        <f>T("판타지 웹소설 &gt; 무협 소설")</f>
        <v>판타지 웹소설 &gt; 무협 소설</v>
      </c>
    </row>
    <row r="1309" spans="1:48" x14ac:dyDescent="0.4">
      <c r="A1309">
        <v>1525004030</v>
      </c>
      <c r="B1309">
        <v>1525006751</v>
      </c>
      <c r="C1309" t="str">
        <f>T("회귀의 전설 2부 634화")</f>
        <v>회귀의 전설 2부 634화</v>
      </c>
      <c r="D1309" t="str">
        <f>T("634")</f>
        <v>634</v>
      </c>
      <c r="E1309" t="str">
        <f>T("김광수")</f>
        <v>김광수</v>
      </c>
      <c r="H1309" t="str">
        <f t="shared" si="163"/>
        <v>스토리위즈</v>
      </c>
      <c r="I1309" t="str">
        <f>T("회귀의 전설")</f>
        <v>회귀의 전설</v>
      </c>
      <c r="J1309">
        <v>100</v>
      </c>
      <c r="K1309">
        <v>100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100</v>
      </c>
      <c r="AH1309">
        <v>1</v>
      </c>
      <c r="AI1309">
        <v>0</v>
      </c>
      <c r="AJ1309">
        <v>0</v>
      </c>
      <c r="AK1309">
        <v>100</v>
      </c>
      <c r="AL1309">
        <v>0</v>
      </c>
      <c r="AM1309">
        <v>0</v>
      </c>
      <c r="AN1309">
        <v>0</v>
      </c>
      <c r="AO1309">
        <v>0</v>
      </c>
      <c r="AP1309" s="2">
        <v>70</v>
      </c>
      <c r="AT1309" t="str">
        <f>T("9791191102086")</f>
        <v>9791191102086</v>
      </c>
      <c r="AV1309" t="str">
        <f>T("판타지 웹소설 &gt; 현대 판타지")</f>
        <v>판타지 웹소설 &gt; 현대 판타지</v>
      </c>
    </row>
    <row r="1310" spans="1:48" x14ac:dyDescent="0.4">
      <c r="A1310">
        <v>1525004030</v>
      </c>
      <c r="B1310">
        <v>1525004498</v>
      </c>
      <c r="C1310" t="str">
        <f>T("회귀의 전설 482화")</f>
        <v>회귀의 전설 482화</v>
      </c>
      <c r="D1310" t="str">
        <f>T("482")</f>
        <v>482</v>
      </c>
      <c r="E1310" t="str">
        <f>T("김광수")</f>
        <v>김광수</v>
      </c>
      <c r="H1310" t="str">
        <f t="shared" si="163"/>
        <v>스토리위즈</v>
      </c>
      <c r="I1310" t="str">
        <f>T("회귀의 전설")</f>
        <v>회귀의 전설</v>
      </c>
      <c r="J1310">
        <v>100</v>
      </c>
      <c r="K1310">
        <v>100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100</v>
      </c>
      <c r="AH1310">
        <v>1</v>
      </c>
      <c r="AI1310">
        <v>0</v>
      </c>
      <c r="AJ1310">
        <v>0</v>
      </c>
      <c r="AK1310">
        <v>100</v>
      </c>
      <c r="AL1310">
        <v>0</v>
      </c>
      <c r="AM1310">
        <v>0</v>
      </c>
      <c r="AN1310">
        <v>0</v>
      </c>
      <c r="AO1310">
        <v>0</v>
      </c>
      <c r="AP1310" s="2">
        <v>70</v>
      </c>
      <c r="AT1310" t="str">
        <f>T("9788997946006")</f>
        <v>9788997946006</v>
      </c>
      <c r="AV1310" t="str">
        <f>T("판타지 웹소설 &gt; 현대 판타지")</f>
        <v>판타지 웹소설 &gt; 현대 판타지</v>
      </c>
    </row>
    <row r="1311" spans="1:48" x14ac:dyDescent="0.4">
      <c r="A1311">
        <v>1525004989</v>
      </c>
      <c r="B1311">
        <v>1525005524</v>
      </c>
      <c r="C1311" t="str">
        <f>T("신룡전설 35화")</f>
        <v>신룡전설 35화</v>
      </c>
      <c r="D1311" t="str">
        <f>T("35")</f>
        <v>35</v>
      </c>
      <c r="E1311" t="str">
        <f>T("가람검")</f>
        <v>가람검</v>
      </c>
      <c r="H1311" t="str">
        <f t="shared" si="163"/>
        <v>스토리위즈</v>
      </c>
      <c r="I1311" t="str">
        <f>T("신룡전설")</f>
        <v>신룡전설</v>
      </c>
      <c r="J1311">
        <v>100</v>
      </c>
      <c r="K1311">
        <v>100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100</v>
      </c>
      <c r="AH1311">
        <v>1</v>
      </c>
      <c r="AI1311">
        <v>0</v>
      </c>
      <c r="AJ1311">
        <v>0</v>
      </c>
      <c r="AK1311">
        <v>100</v>
      </c>
      <c r="AL1311">
        <v>0</v>
      </c>
      <c r="AM1311">
        <v>0</v>
      </c>
      <c r="AN1311">
        <v>0</v>
      </c>
      <c r="AO1311">
        <v>0</v>
      </c>
      <c r="AP1311" s="2">
        <v>70</v>
      </c>
      <c r="AT1311" t="str">
        <f>T("9791159283505")</f>
        <v>9791159283505</v>
      </c>
      <c r="AV1311" t="str">
        <f>T("판타지 웹소설 &gt; 무협 소설")</f>
        <v>판타지 웹소설 &gt; 무협 소설</v>
      </c>
    </row>
    <row r="1312" spans="1:48" x14ac:dyDescent="0.4">
      <c r="A1312">
        <v>1525000569</v>
      </c>
      <c r="B1312">
        <v>1525000622</v>
      </c>
      <c r="C1312" t="str">
        <f>T("스트라이커 53화")</f>
        <v>스트라이커 53화</v>
      </c>
      <c r="D1312" t="str">
        <f>T("53")</f>
        <v>53</v>
      </c>
      <c r="E1312" t="str">
        <f>T("독고진")</f>
        <v>독고진</v>
      </c>
      <c r="H1312" t="str">
        <f t="shared" si="163"/>
        <v>스토리위즈</v>
      </c>
      <c r="I1312" t="str">
        <f>T("스트라이커")</f>
        <v>스트라이커</v>
      </c>
      <c r="J1312">
        <v>100</v>
      </c>
      <c r="K1312">
        <v>100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100</v>
      </c>
      <c r="AH1312">
        <v>1</v>
      </c>
      <c r="AI1312">
        <v>0</v>
      </c>
      <c r="AJ1312">
        <v>0</v>
      </c>
      <c r="AK1312">
        <v>100</v>
      </c>
      <c r="AL1312">
        <v>0</v>
      </c>
      <c r="AM1312">
        <v>0</v>
      </c>
      <c r="AN1312">
        <v>0</v>
      </c>
      <c r="AO1312">
        <v>0</v>
      </c>
      <c r="AP1312" s="2">
        <v>70</v>
      </c>
      <c r="AT1312" t="str">
        <f>T("9791170151678")</f>
        <v>9791170151678</v>
      </c>
      <c r="AV1312" t="str">
        <f>T("판타지 웹소설 &gt; 현대 판타지")</f>
        <v>판타지 웹소설 &gt; 현대 판타지</v>
      </c>
    </row>
    <row r="1313" spans="1:48" x14ac:dyDescent="0.4">
      <c r="A1313">
        <v>1525004030</v>
      </c>
      <c r="B1313">
        <v>1525007067</v>
      </c>
      <c r="C1313" t="str">
        <f>T("회귀의 전설 2부 951화")</f>
        <v>회귀의 전설 2부 951화</v>
      </c>
      <c r="D1313" t="str">
        <f>T("951")</f>
        <v>951</v>
      </c>
      <c r="E1313" t="str">
        <f>T("김광수")</f>
        <v>김광수</v>
      </c>
      <c r="H1313" t="str">
        <f t="shared" si="163"/>
        <v>스토리위즈</v>
      </c>
      <c r="I1313" t="str">
        <f>T("회귀의 전설")</f>
        <v>회귀의 전설</v>
      </c>
      <c r="J1313">
        <v>100</v>
      </c>
      <c r="K1313">
        <v>100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100</v>
      </c>
      <c r="AH1313">
        <v>1</v>
      </c>
      <c r="AI1313">
        <v>0</v>
      </c>
      <c r="AJ1313">
        <v>0</v>
      </c>
      <c r="AK1313">
        <v>100</v>
      </c>
      <c r="AL1313">
        <v>0</v>
      </c>
      <c r="AM1313">
        <v>0</v>
      </c>
      <c r="AN1313">
        <v>0</v>
      </c>
      <c r="AO1313">
        <v>0</v>
      </c>
      <c r="AP1313" s="2">
        <v>70</v>
      </c>
      <c r="AT1313" t="str">
        <f>T("9791191102086")</f>
        <v>9791191102086</v>
      </c>
      <c r="AV1313" t="str">
        <f>T("판타지 웹소설 &gt; 현대 판타지")</f>
        <v>판타지 웹소설 &gt; 현대 판타지</v>
      </c>
    </row>
    <row r="1314" spans="1:48" x14ac:dyDescent="0.4">
      <c r="A1314">
        <v>1525007923</v>
      </c>
      <c r="B1314">
        <v>1525007902</v>
      </c>
      <c r="C1314" t="str">
        <f>T("운상연담: 화불능귀일락 103화")</f>
        <v>운상연담: 화불능귀일락 103화</v>
      </c>
      <c r="D1314" t="str">
        <f>T("103")</f>
        <v>103</v>
      </c>
      <c r="E1314" t="str">
        <f>T("피모")</f>
        <v>피모</v>
      </c>
      <c r="H1314" t="str">
        <f>T("쉬라즈")</f>
        <v>쉬라즈</v>
      </c>
      <c r="I1314" t="str">
        <f>T("운상연담: 화불능귀일락")</f>
        <v>운상연담: 화불능귀일락</v>
      </c>
      <c r="J1314">
        <v>100</v>
      </c>
      <c r="K1314">
        <v>100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100</v>
      </c>
      <c r="AH1314">
        <v>1</v>
      </c>
      <c r="AI1314">
        <v>0</v>
      </c>
      <c r="AJ1314">
        <v>0</v>
      </c>
      <c r="AK1314">
        <v>100</v>
      </c>
      <c r="AL1314">
        <v>0</v>
      </c>
      <c r="AM1314">
        <v>0</v>
      </c>
      <c r="AN1314">
        <v>0</v>
      </c>
      <c r="AO1314">
        <v>0</v>
      </c>
      <c r="AP1314" s="2">
        <v>70</v>
      </c>
      <c r="AT1314" t="str">
        <f>T("9791164896646")</f>
        <v>9791164896646</v>
      </c>
      <c r="AV1314" t="str">
        <f>T("로맨스 웹소설 &gt; 역사/시대물")</f>
        <v>로맨스 웹소설 &gt; 역사/시대물</v>
      </c>
    </row>
    <row r="1315" spans="1:48" x14ac:dyDescent="0.4">
      <c r="A1315">
        <v>2313011400</v>
      </c>
      <c r="B1315">
        <v>1525007613</v>
      </c>
      <c r="C1315" t="str">
        <f>T("최종 보스 19권 19화")</f>
        <v>최종 보스 19권 19화</v>
      </c>
      <c r="D1315" t="str">
        <f>T("391")</f>
        <v>391</v>
      </c>
      <c r="E1315" t="str">
        <f>T("무장")</f>
        <v>무장</v>
      </c>
      <c r="H1315" t="str">
        <f>T("스토리위즈")</f>
        <v>스토리위즈</v>
      </c>
      <c r="I1315" t="str">
        <f>T("최종 보스 : 빛을 향해 달리는 그림자")</f>
        <v>최종 보스 : 빛을 향해 달리는 그림자</v>
      </c>
      <c r="J1315">
        <v>100</v>
      </c>
      <c r="K1315">
        <v>100</v>
      </c>
      <c r="L1315">
        <v>1</v>
      </c>
      <c r="M1315">
        <v>0</v>
      </c>
      <c r="N1315">
        <v>100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 s="2">
        <v>140</v>
      </c>
      <c r="AT1315" t="str">
        <f>T("9791166067563")</f>
        <v>9791166067563</v>
      </c>
      <c r="AV1315" t="str">
        <f>T("판타지 웹소설 &gt; 현대 판타지")</f>
        <v>판타지 웹소설 &gt; 현대 판타지</v>
      </c>
    </row>
    <row r="1316" spans="1:48" x14ac:dyDescent="0.4">
      <c r="A1316">
        <v>1525004030</v>
      </c>
      <c r="B1316">
        <v>1525004338</v>
      </c>
      <c r="C1316" t="str">
        <f>T("회귀의 전설 309화")</f>
        <v>회귀의 전설 309화</v>
      </c>
      <c r="D1316" t="str">
        <f>T("309")</f>
        <v>309</v>
      </c>
      <c r="E1316" t="str">
        <f>T("김광수")</f>
        <v>김광수</v>
      </c>
      <c r="H1316" t="str">
        <f>T("스토리위즈")</f>
        <v>스토리위즈</v>
      </c>
      <c r="I1316" t="str">
        <f>T("회귀의 전설")</f>
        <v>회귀의 전설</v>
      </c>
      <c r="J1316">
        <v>100</v>
      </c>
      <c r="K1316">
        <v>100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100</v>
      </c>
      <c r="AH1316">
        <v>1</v>
      </c>
      <c r="AI1316">
        <v>0</v>
      </c>
      <c r="AJ1316">
        <v>0</v>
      </c>
      <c r="AK1316">
        <v>100</v>
      </c>
      <c r="AL1316">
        <v>0</v>
      </c>
      <c r="AM1316">
        <v>0</v>
      </c>
      <c r="AN1316">
        <v>0</v>
      </c>
      <c r="AO1316">
        <v>0</v>
      </c>
      <c r="AP1316" s="2">
        <v>70</v>
      </c>
      <c r="AT1316" t="str">
        <f>T("9788997946006")</f>
        <v>9788997946006</v>
      </c>
      <c r="AV1316" t="str">
        <f>T("판타지 웹소설 &gt; 현대 판타지")</f>
        <v>판타지 웹소설 &gt; 현대 판타지</v>
      </c>
    </row>
    <row r="1317" spans="1:48" x14ac:dyDescent="0.4">
      <c r="A1317">
        <v>1525004030</v>
      </c>
      <c r="B1317">
        <v>1525007139</v>
      </c>
      <c r="C1317" t="str">
        <f>T("회귀의 전설 2부 1023화")</f>
        <v>회귀의 전설 2부 1023화</v>
      </c>
      <c r="D1317" t="str">
        <f>T("1023")</f>
        <v>1023</v>
      </c>
      <c r="E1317" t="str">
        <f>T("김광수")</f>
        <v>김광수</v>
      </c>
      <c r="H1317" t="str">
        <f>T("스토리위즈")</f>
        <v>스토리위즈</v>
      </c>
      <c r="I1317" t="str">
        <f>T("회귀의 전설")</f>
        <v>회귀의 전설</v>
      </c>
      <c r="J1317">
        <v>100</v>
      </c>
      <c r="K1317">
        <v>100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100</v>
      </c>
      <c r="AH1317">
        <v>1</v>
      </c>
      <c r="AI1317">
        <v>0</v>
      </c>
      <c r="AJ1317">
        <v>0</v>
      </c>
      <c r="AK1317">
        <v>100</v>
      </c>
      <c r="AL1317">
        <v>0</v>
      </c>
      <c r="AM1317">
        <v>0</v>
      </c>
      <c r="AN1317">
        <v>0</v>
      </c>
      <c r="AO1317">
        <v>0</v>
      </c>
      <c r="AP1317" s="2">
        <v>70</v>
      </c>
      <c r="AT1317" t="str">
        <f>T("9791191102086")</f>
        <v>9791191102086</v>
      </c>
      <c r="AV1317" t="str">
        <f>T("판타지 웹소설 &gt; 현대 판타지")</f>
        <v>판타지 웹소설 &gt; 현대 판타지</v>
      </c>
    </row>
    <row r="1318" spans="1:48" x14ac:dyDescent="0.4">
      <c r="A1318">
        <v>1525004030</v>
      </c>
      <c r="B1318">
        <v>1525004450</v>
      </c>
      <c r="C1318" t="str">
        <f>T("회귀의 전설 434화")</f>
        <v>회귀의 전설 434화</v>
      </c>
      <c r="D1318" t="str">
        <f>T("434")</f>
        <v>434</v>
      </c>
      <c r="E1318" t="str">
        <f>T("김광수")</f>
        <v>김광수</v>
      </c>
      <c r="H1318" t="str">
        <f>T("스토리위즈")</f>
        <v>스토리위즈</v>
      </c>
      <c r="I1318" t="str">
        <f>T("회귀의 전설")</f>
        <v>회귀의 전설</v>
      </c>
      <c r="J1318">
        <v>100</v>
      </c>
      <c r="K1318">
        <v>100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100</v>
      </c>
      <c r="AH1318">
        <v>1</v>
      </c>
      <c r="AI1318">
        <v>0</v>
      </c>
      <c r="AJ1318">
        <v>0</v>
      </c>
      <c r="AK1318">
        <v>100</v>
      </c>
      <c r="AL1318">
        <v>0</v>
      </c>
      <c r="AM1318">
        <v>0</v>
      </c>
      <c r="AN1318">
        <v>0</v>
      </c>
      <c r="AO1318">
        <v>0</v>
      </c>
      <c r="AP1318" s="2">
        <v>70</v>
      </c>
      <c r="AT1318" t="str">
        <f>T("9788997946006")</f>
        <v>9788997946006</v>
      </c>
      <c r="AV1318" t="str">
        <f>T("판타지 웹소설 &gt; 현대 판타지")</f>
        <v>판타지 웹소설 &gt; 현대 판타지</v>
      </c>
    </row>
    <row r="1319" spans="1:48" x14ac:dyDescent="0.4">
      <c r="A1319">
        <v>1525004030</v>
      </c>
      <c r="B1319">
        <v>1525004530</v>
      </c>
      <c r="C1319" t="str">
        <f>T("회귀의 전설 507화")</f>
        <v>회귀의 전설 507화</v>
      </c>
      <c r="D1319" t="str">
        <f>T("507")</f>
        <v>507</v>
      </c>
      <c r="E1319" t="str">
        <f>T("김광수")</f>
        <v>김광수</v>
      </c>
      <c r="H1319" t="str">
        <f>T("스토리위즈")</f>
        <v>스토리위즈</v>
      </c>
      <c r="I1319" t="str">
        <f>T("회귀의 전설")</f>
        <v>회귀의 전설</v>
      </c>
      <c r="J1319">
        <v>100</v>
      </c>
      <c r="K1319">
        <v>100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100</v>
      </c>
      <c r="AH1319">
        <v>1</v>
      </c>
      <c r="AI1319">
        <v>0</v>
      </c>
      <c r="AJ1319">
        <v>0</v>
      </c>
      <c r="AK1319">
        <v>100</v>
      </c>
      <c r="AL1319">
        <v>0</v>
      </c>
      <c r="AM1319">
        <v>0</v>
      </c>
      <c r="AN1319">
        <v>0</v>
      </c>
      <c r="AO1319">
        <v>0</v>
      </c>
      <c r="AP1319" s="2">
        <v>70</v>
      </c>
      <c r="AT1319" t="str">
        <f>T("9788997946006")</f>
        <v>9788997946006</v>
      </c>
      <c r="AV1319" t="str">
        <f>T("판타지 웹소설 &gt; 현대 판타지")</f>
        <v>판타지 웹소설 &gt; 현대 판타지</v>
      </c>
    </row>
    <row r="1320" spans="1:48" x14ac:dyDescent="0.4">
      <c r="A1320">
        <v>1525008545</v>
      </c>
      <c r="B1320">
        <v>1525008540</v>
      </c>
      <c r="C1320" t="str">
        <f>T("소년연애담 15화")</f>
        <v>소년연애담 15화</v>
      </c>
      <c r="D1320" t="str">
        <f>T("15")</f>
        <v>15</v>
      </c>
      <c r="E1320" t="str">
        <f>T("나나코")</f>
        <v>나나코</v>
      </c>
      <c r="H1320" t="str">
        <f>T("블러쉬")</f>
        <v>블러쉬</v>
      </c>
      <c r="I1320" t="str">
        <f>T("소년연애담")</f>
        <v>소년연애담</v>
      </c>
      <c r="J1320">
        <v>100</v>
      </c>
      <c r="K1320">
        <v>100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100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100</v>
      </c>
      <c r="AN1320">
        <v>0</v>
      </c>
      <c r="AO1320">
        <v>0</v>
      </c>
      <c r="AP1320" s="2">
        <v>70</v>
      </c>
      <c r="AR1320" t="str">
        <f>T("0000000000000")</f>
        <v>0000000000000</v>
      </c>
      <c r="AT1320" t="str">
        <f>T("9791164890729")</f>
        <v>9791164890729</v>
      </c>
      <c r="AU1320" t="str">
        <f>T("B12")</f>
        <v>B12</v>
      </c>
      <c r="AV1320" t="str">
        <f>T("BL 웹소설 &gt; 현대물")</f>
        <v>BL 웹소설 &gt; 현대물</v>
      </c>
    </row>
    <row r="1321" spans="1:48" x14ac:dyDescent="0.4">
      <c r="A1321">
        <v>1525004989</v>
      </c>
      <c r="B1321">
        <v>1525005556</v>
      </c>
      <c r="C1321" t="str">
        <f>T("신룡전설 67화")</f>
        <v>신룡전설 67화</v>
      </c>
      <c r="D1321" t="str">
        <f>T("67")</f>
        <v>67</v>
      </c>
      <c r="E1321" t="str">
        <f>T("가람검")</f>
        <v>가람검</v>
      </c>
      <c r="H1321" t="str">
        <f>T("스토리위즈")</f>
        <v>스토리위즈</v>
      </c>
      <c r="I1321" t="str">
        <f>T("신룡전설")</f>
        <v>신룡전설</v>
      </c>
      <c r="J1321">
        <v>100</v>
      </c>
      <c r="K1321">
        <v>100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100</v>
      </c>
      <c r="AH1321">
        <v>1</v>
      </c>
      <c r="AI1321">
        <v>0</v>
      </c>
      <c r="AJ1321">
        <v>0</v>
      </c>
      <c r="AK1321">
        <v>100</v>
      </c>
      <c r="AL1321">
        <v>0</v>
      </c>
      <c r="AM1321">
        <v>0</v>
      </c>
      <c r="AN1321">
        <v>0</v>
      </c>
      <c r="AO1321">
        <v>0</v>
      </c>
      <c r="AP1321" s="2">
        <v>70</v>
      </c>
      <c r="AT1321" t="str">
        <f>T("9791159283505")</f>
        <v>9791159283505</v>
      </c>
      <c r="AV1321" t="str">
        <f>T("판타지 웹소설 &gt; 무협 소설")</f>
        <v>판타지 웹소설 &gt; 무협 소설</v>
      </c>
    </row>
    <row r="1322" spans="1:48" x14ac:dyDescent="0.4">
      <c r="A1322">
        <v>1525008604</v>
      </c>
      <c r="B1322">
        <v>1525008596</v>
      </c>
      <c r="C1322" t="str">
        <f>T("우아한 곡선 12화")</f>
        <v>우아한 곡선 12화</v>
      </c>
      <c r="D1322" t="str">
        <f>T("12")</f>
        <v>12</v>
      </c>
      <c r="E1322" t="str">
        <f>T("용가리맛쿠키")</f>
        <v>용가리맛쿠키</v>
      </c>
      <c r="H1322" t="str">
        <f>T("블러쉬")</f>
        <v>블러쉬</v>
      </c>
      <c r="I1322" t="str">
        <f>T("우아한 곡선")</f>
        <v>우아한 곡선</v>
      </c>
      <c r="J1322">
        <v>100</v>
      </c>
      <c r="K1322">
        <v>100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100</v>
      </c>
      <c r="AH1322">
        <v>1</v>
      </c>
      <c r="AI1322">
        <v>0</v>
      </c>
      <c r="AJ1322">
        <v>0</v>
      </c>
      <c r="AK1322">
        <v>100</v>
      </c>
      <c r="AL1322">
        <v>0</v>
      </c>
      <c r="AM1322">
        <v>0</v>
      </c>
      <c r="AN1322">
        <v>0</v>
      </c>
      <c r="AO1322">
        <v>0</v>
      </c>
      <c r="AP1322" s="2">
        <v>70</v>
      </c>
      <c r="AR1322" t="str">
        <f>T("0000000000000")</f>
        <v>0000000000000</v>
      </c>
      <c r="AT1322" t="str">
        <f>T("9791164896615")</f>
        <v>9791164896615</v>
      </c>
      <c r="AV1322" t="str">
        <f>T("BL 웹소설 &gt; 현대물")</f>
        <v>BL 웹소설 &gt; 현대물</v>
      </c>
    </row>
    <row r="1323" spans="1:48" x14ac:dyDescent="0.4">
      <c r="A1323">
        <v>1525004030</v>
      </c>
      <c r="B1323">
        <v>1525007099</v>
      </c>
      <c r="C1323" t="str">
        <f>T("회귀의 전설 2부 983화")</f>
        <v>회귀의 전설 2부 983화</v>
      </c>
      <c r="D1323" t="str">
        <f>T("983")</f>
        <v>983</v>
      </c>
      <c r="E1323" t="str">
        <f>T("김광수")</f>
        <v>김광수</v>
      </c>
      <c r="H1323" t="str">
        <f>T("스토리위즈")</f>
        <v>스토리위즈</v>
      </c>
      <c r="I1323" t="str">
        <f>T("회귀의 전설")</f>
        <v>회귀의 전설</v>
      </c>
      <c r="J1323">
        <v>100</v>
      </c>
      <c r="K1323">
        <v>100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100</v>
      </c>
      <c r="AH1323">
        <v>1</v>
      </c>
      <c r="AI1323">
        <v>0</v>
      </c>
      <c r="AJ1323">
        <v>0</v>
      </c>
      <c r="AK1323">
        <v>100</v>
      </c>
      <c r="AL1323">
        <v>0</v>
      </c>
      <c r="AM1323">
        <v>0</v>
      </c>
      <c r="AN1323">
        <v>0</v>
      </c>
      <c r="AO1323">
        <v>0</v>
      </c>
      <c r="AP1323" s="2">
        <v>70</v>
      </c>
      <c r="AT1323" t="str">
        <f>T("9791191102086")</f>
        <v>9791191102086</v>
      </c>
      <c r="AV1323" t="str">
        <f>T("판타지 웹소설 &gt; 현대 판타지")</f>
        <v>판타지 웹소설 &gt; 현대 판타지</v>
      </c>
    </row>
    <row r="1324" spans="1:48" x14ac:dyDescent="0.4">
      <c r="A1324">
        <v>1525007923</v>
      </c>
      <c r="B1324">
        <v>1525007991</v>
      </c>
      <c r="C1324" t="str">
        <f>T("운상연담: 화불능귀일락 81화")</f>
        <v>운상연담: 화불능귀일락 81화</v>
      </c>
      <c r="D1324" t="str">
        <f>T("81")</f>
        <v>81</v>
      </c>
      <c r="E1324" t="str">
        <f>T("피모")</f>
        <v>피모</v>
      </c>
      <c r="H1324" t="str">
        <f>T("쉬라즈")</f>
        <v>쉬라즈</v>
      </c>
      <c r="I1324" t="str">
        <f>T("운상연담: 화불능귀일락")</f>
        <v>운상연담: 화불능귀일락</v>
      </c>
      <c r="J1324">
        <v>100</v>
      </c>
      <c r="K1324">
        <v>100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100</v>
      </c>
      <c r="AH1324">
        <v>1</v>
      </c>
      <c r="AI1324">
        <v>0</v>
      </c>
      <c r="AJ1324">
        <v>0</v>
      </c>
      <c r="AK1324">
        <v>100</v>
      </c>
      <c r="AL1324">
        <v>0</v>
      </c>
      <c r="AM1324">
        <v>0</v>
      </c>
      <c r="AN1324">
        <v>0</v>
      </c>
      <c r="AO1324">
        <v>0</v>
      </c>
      <c r="AP1324" s="2">
        <v>70</v>
      </c>
      <c r="AT1324" t="str">
        <f>T("9791164896646")</f>
        <v>9791164896646</v>
      </c>
      <c r="AV1324" t="str">
        <f>T("로맨스 웹소설 &gt; 역사/시대물")</f>
        <v>로맨스 웹소설 &gt; 역사/시대물</v>
      </c>
    </row>
    <row r="1325" spans="1:48" x14ac:dyDescent="0.4">
      <c r="A1325">
        <v>1525010579</v>
      </c>
      <c r="B1325">
        <v>1525010227</v>
      </c>
      <c r="C1325" t="str">
        <f>T("법보다 주먹 351화")</f>
        <v>법보다 주먹 351화</v>
      </c>
      <c r="D1325" t="str">
        <f>T("351")</f>
        <v>351</v>
      </c>
      <c r="E1325" t="str">
        <f>T("백범(白帆)")</f>
        <v>백범(白帆)</v>
      </c>
      <c r="H1325" t="str">
        <f>T("에필로그")</f>
        <v>에필로그</v>
      </c>
      <c r="I1325" t="str">
        <f>T("법보다 주먹")</f>
        <v>법보다 주먹</v>
      </c>
      <c r="J1325">
        <v>100</v>
      </c>
      <c r="K1325">
        <v>100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100</v>
      </c>
      <c r="AH1325">
        <v>1</v>
      </c>
      <c r="AI1325">
        <v>0</v>
      </c>
      <c r="AJ1325">
        <v>0</v>
      </c>
      <c r="AK1325">
        <v>100</v>
      </c>
      <c r="AL1325">
        <v>0</v>
      </c>
      <c r="AM1325">
        <v>0</v>
      </c>
      <c r="AN1325">
        <v>0</v>
      </c>
      <c r="AO1325">
        <v>0</v>
      </c>
      <c r="AP1325" s="2">
        <v>70</v>
      </c>
      <c r="AT1325" t="str">
        <f>T("9791164489367")</f>
        <v>9791164489367</v>
      </c>
      <c r="AV1325" t="str">
        <f>T("판타지 웹소설 &gt; 현대 판타지")</f>
        <v>판타지 웹소설 &gt; 현대 판타지</v>
      </c>
    </row>
    <row r="1326" spans="1:48" x14ac:dyDescent="0.4">
      <c r="A1326">
        <v>1525002864</v>
      </c>
      <c r="B1326">
        <v>1525002892</v>
      </c>
      <c r="C1326" t="str">
        <f>T("소드마스터의 환생 29화")</f>
        <v>소드마스터의 환생 29화</v>
      </c>
      <c r="D1326" t="str">
        <f>T("29")</f>
        <v>29</v>
      </c>
      <c r="E1326" t="str">
        <f>T("파란영")</f>
        <v>파란영</v>
      </c>
      <c r="H1326" t="str">
        <f>T("스토리위즈")</f>
        <v>스토리위즈</v>
      </c>
      <c r="I1326" t="str">
        <f>T("소드마스터의 환생")</f>
        <v>소드마스터의 환생</v>
      </c>
      <c r="J1326">
        <v>100</v>
      </c>
      <c r="K1326">
        <v>100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100</v>
      </c>
      <c r="AH1326">
        <v>1</v>
      </c>
      <c r="AI1326">
        <v>0</v>
      </c>
      <c r="AJ1326">
        <v>0</v>
      </c>
      <c r="AK1326">
        <v>100</v>
      </c>
      <c r="AL1326">
        <v>0</v>
      </c>
      <c r="AM1326">
        <v>0</v>
      </c>
      <c r="AN1326">
        <v>0</v>
      </c>
      <c r="AO1326">
        <v>0</v>
      </c>
      <c r="AP1326" s="2">
        <v>70</v>
      </c>
      <c r="AT1326" t="str">
        <f>T("9791159287527")</f>
        <v>9791159287527</v>
      </c>
      <c r="AV1326" t="str">
        <f>T("판타지 웹소설 &gt; 정통 판타지")</f>
        <v>판타지 웹소설 &gt; 정통 판타지</v>
      </c>
    </row>
    <row r="1327" spans="1:48" x14ac:dyDescent="0.4">
      <c r="A1327">
        <v>2313011400</v>
      </c>
      <c r="B1327">
        <v>1525007645</v>
      </c>
      <c r="C1327" t="str">
        <f>T("최종 보스 21권 10화")</f>
        <v>최종 보스 21권 10화</v>
      </c>
      <c r="D1327" t="str">
        <f>T("423")</f>
        <v>423</v>
      </c>
      <c r="E1327" t="str">
        <f>T("무장")</f>
        <v>무장</v>
      </c>
      <c r="H1327" t="str">
        <f>T("스토리위즈")</f>
        <v>스토리위즈</v>
      </c>
      <c r="I1327" t="str">
        <f>T("최종 보스 : 빛을 향해 달리는 그림자")</f>
        <v>최종 보스 : 빛을 향해 달리는 그림자</v>
      </c>
      <c r="J1327">
        <v>100</v>
      </c>
      <c r="K1327">
        <v>100</v>
      </c>
      <c r="L1327">
        <v>1</v>
      </c>
      <c r="M1327">
        <v>0</v>
      </c>
      <c r="N1327">
        <v>100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 s="2">
        <v>140</v>
      </c>
      <c r="AT1327" t="str">
        <f>T("9791166067563")</f>
        <v>9791166067563</v>
      </c>
      <c r="AV1327" t="str">
        <f>T("판타지 웹소설 &gt; 현대 판타지")</f>
        <v>판타지 웹소설 &gt; 현대 판타지</v>
      </c>
    </row>
    <row r="1328" spans="1:48" x14ac:dyDescent="0.4">
      <c r="A1328">
        <v>1525004030</v>
      </c>
      <c r="B1328">
        <v>1525004546</v>
      </c>
      <c r="C1328" t="str">
        <f>T("회귀의 전설 523화")</f>
        <v>회귀의 전설 523화</v>
      </c>
      <c r="D1328" t="str">
        <f>T("523")</f>
        <v>523</v>
      </c>
      <c r="E1328" t="str">
        <f>T("김광수")</f>
        <v>김광수</v>
      </c>
      <c r="H1328" t="str">
        <f>T("스토리위즈")</f>
        <v>스토리위즈</v>
      </c>
      <c r="I1328" t="str">
        <f>T("회귀의 전설")</f>
        <v>회귀의 전설</v>
      </c>
      <c r="J1328">
        <v>100</v>
      </c>
      <c r="K1328">
        <v>100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100</v>
      </c>
      <c r="AH1328">
        <v>1</v>
      </c>
      <c r="AI1328">
        <v>0</v>
      </c>
      <c r="AJ1328">
        <v>0</v>
      </c>
      <c r="AK1328">
        <v>100</v>
      </c>
      <c r="AL1328">
        <v>0</v>
      </c>
      <c r="AM1328">
        <v>0</v>
      </c>
      <c r="AN1328">
        <v>0</v>
      </c>
      <c r="AO1328">
        <v>0</v>
      </c>
      <c r="AP1328" s="2">
        <v>70</v>
      </c>
      <c r="AT1328" t="str">
        <f>T("9788997946006")</f>
        <v>9788997946006</v>
      </c>
      <c r="AV1328" t="str">
        <f>T("판타지 웹소설 &gt; 현대 판타지")</f>
        <v>판타지 웹소설 &gt; 현대 판타지</v>
      </c>
    </row>
    <row r="1329" spans="1:48" x14ac:dyDescent="0.4">
      <c r="A1329">
        <v>1525004030</v>
      </c>
      <c r="B1329">
        <v>1525004262</v>
      </c>
      <c r="C1329" t="str">
        <f>T("회귀의 전설 233화")</f>
        <v>회귀의 전설 233화</v>
      </c>
      <c r="D1329" t="str">
        <f>T("233")</f>
        <v>233</v>
      </c>
      <c r="E1329" t="str">
        <f>T("김광수")</f>
        <v>김광수</v>
      </c>
      <c r="H1329" t="str">
        <f>T("스토리위즈")</f>
        <v>스토리위즈</v>
      </c>
      <c r="I1329" t="str">
        <f>T("회귀의 전설")</f>
        <v>회귀의 전설</v>
      </c>
      <c r="J1329">
        <v>100</v>
      </c>
      <c r="K1329">
        <v>100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100</v>
      </c>
      <c r="AH1329">
        <v>1</v>
      </c>
      <c r="AI1329">
        <v>0</v>
      </c>
      <c r="AJ1329">
        <v>0</v>
      </c>
      <c r="AK1329">
        <v>100</v>
      </c>
      <c r="AL1329">
        <v>0</v>
      </c>
      <c r="AM1329">
        <v>0</v>
      </c>
      <c r="AN1329">
        <v>0</v>
      </c>
      <c r="AO1329">
        <v>0</v>
      </c>
      <c r="AP1329" s="2">
        <v>70</v>
      </c>
      <c r="AT1329" t="str">
        <f>T("9788997946006")</f>
        <v>9788997946006</v>
      </c>
      <c r="AV1329" t="str">
        <f>T("판타지 웹소설 &gt; 현대 판타지")</f>
        <v>판타지 웹소설 &gt; 현대 판타지</v>
      </c>
    </row>
    <row r="1330" spans="1:48" x14ac:dyDescent="0.4">
      <c r="A1330">
        <v>1525008545</v>
      </c>
      <c r="B1330">
        <v>1525008572</v>
      </c>
      <c r="C1330" t="str">
        <f>T("소년연애담 44화")</f>
        <v>소년연애담 44화</v>
      </c>
      <c r="D1330" t="str">
        <f>T("44")</f>
        <v>44</v>
      </c>
      <c r="E1330" t="str">
        <f>T("나나코")</f>
        <v>나나코</v>
      </c>
      <c r="H1330" t="str">
        <f>T("블러쉬")</f>
        <v>블러쉬</v>
      </c>
      <c r="I1330" t="str">
        <f>T("소년연애담")</f>
        <v>소년연애담</v>
      </c>
      <c r="J1330">
        <v>100</v>
      </c>
      <c r="K1330">
        <v>100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100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100</v>
      </c>
      <c r="AN1330">
        <v>0</v>
      </c>
      <c r="AO1330">
        <v>0</v>
      </c>
      <c r="AP1330" s="2">
        <v>70</v>
      </c>
      <c r="AR1330" t="str">
        <f>T("0000000000000")</f>
        <v>0000000000000</v>
      </c>
      <c r="AT1330" t="str">
        <f>T("9791164890729")</f>
        <v>9791164890729</v>
      </c>
      <c r="AU1330" t="str">
        <f>T("B12")</f>
        <v>B12</v>
      </c>
      <c r="AV1330" t="str">
        <f>T("BL 웹소설 &gt; 현대물")</f>
        <v>BL 웹소설 &gt; 현대물</v>
      </c>
    </row>
    <row r="1331" spans="1:48" x14ac:dyDescent="0.4">
      <c r="A1331">
        <v>1525010579</v>
      </c>
      <c r="B1331">
        <v>1525010190</v>
      </c>
      <c r="C1331" t="str">
        <f>T("법보다 주먹 388화")</f>
        <v>법보다 주먹 388화</v>
      </c>
      <c r="D1331" t="str">
        <f>T("388")</f>
        <v>388</v>
      </c>
      <c r="E1331" t="str">
        <f>T("백범(白帆)")</f>
        <v>백범(白帆)</v>
      </c>
      <c r="H1331" t="str">
        <f>T("에필로그")</f>
        <v>에필로그</v>
      </c>
      <c r="I1331" t="str">
        <f>T("법보다 주먹")</f>
        <v>법보다 주먹</v>
      </c>
      <c r="J1331">
        <v>100</v>
      </c>
      <c r="K1331">
        <v>100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100</v>
      </c>
      <c r="AH1331">
        <v>1</v>
      </c>
      <c r="AI1331">
        <v>0</v>
      </c>
      <c r="AJ1331">
        <v>0</v>
      </c>
      <c r="AK1331">
        <v>100</v>
      </c>
      <c r="AL1331">
        <v>0</v>
      </c>
      <c r="AM1331">
        <v>0</v>
      </c>
      <c r="AN1331">
        <v>0</v>
      </c>
      <c r="AO1331">
        <v>0</v>
      </c>
      <c r="AP1331" s="2">
        <v>70</v>
      </c>
      <c r="AT1331" t="str">
        <f>T("9791164489367")</f>
        <v>9791164489367</v>
      </c>
      <c r="AV1331" t="str">
        <f>T("판타지 웹소설 &gt; 현대 판타지")</f>
        <v>판타지 웹소설 &gt; 현대 판타지</v>
      </c>
    </row>
    <row r="1332" spans="1:48" x14ac:dyDescent="0.4">
      <c r="A1332">
        <v>1525002409</v>
      </c>
      <c r="B1332">
        <v>1525002614</v>
      </c>
      <c r="C1332" t="str">
        <f>T("스포트라이트 206화")</f>
        <v>스포트라이트 206화</v>
      </c>
      <c r="D1332" t="str">
        <f>T("206")</f>
        <v>206</v>
      </c>
      <c r="E1332" t="str">
        <f>T("전혁")</f>
        <v>전혁</v>
      </c>
      <c r="H1332" t="str">
        <f t="shared" ref="H1332:H1337" si="164">T("스토리위즈")</f>
        <v>스토리위즈</v>
      </c>
      <c r="I1332" t="str">
        <f>T("스포트라이트")</f>
        <v>스포트라이트</v>
      </c>
      <c r="J1332">
        <v>100</v>
      </c>
      <c r="K1332">
        <v>100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100</v>
      </c>
      <c r="AH1332">
        <v>1</v>
      </c>
      <c r="AI1332">
        <v>0</v>
      </c>
      <c r="AJ1332">
        <v>0</v>
      </c>
      <c r="AK1332">
        <v>100</v>
      </c>
      <c r="AL1332">
        <v>0</v>
      </c>
      <c r="AM1332">
        <v>0</v>
      </c>
      <c r="AN1332">
        <v>0</v>
      </c>
      <c r="AO1332">
        <v>0</v>
      </c>
      <c r="AP1332" s="2">
        <v>70</v>
      </c>
      <c r="AT1332" t="str">
        <f>T("9791159286841")</f>
        <v>9791159286841</v>
      </c>
      <c r="AV1332" t="str">
        <f>T("판타지 웹소설 &gt; 현대 판타지")</f>
        <v>판타지 웹소설 &gt; 현대 판타지</v>
      </c>
    </row>
    <row r="1333" spans="1:48" x14ac:dyDescent="0.4">
      <c r="A1333">
        <v>1525004030</v>
      </c>
      <c r="B1333">
        <v>1525007132</v>
      </c>
      <c r="C1333" t="str">
        <f>T("회귀의 전설 2부 1016화")</f>
        <v>회귀의 전설 2부 1016화</v>
      </c>
      <c r="D1333" t="str">
        <f>T("1016")</f>
        <v>1016</v>
      </c>
      <c r="E1333" t="str">
        <f>T("김광수")</f>
        <v>김광수</v>
      </c>
      <c r="H1333" t="str">
        <f t="shared" si="164"/>
        <v>스토리위즈</v>
      </c>
      <c r="I1333" t="str">
        <f>T("회귀의 전설")</f>
        <v>회귀의 전설</v>
      </c>
      <c r="J1333">
        <v>100</v>
      </c>
      <c r="K1333">
        <v>100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100</v>
      </c>
      <c r="AH1333">
        <v>1</v>
      </c>
      <c r="AI1333">
        <v>0</v>
      </c>
      <c r="AJ1333">
        <v>0</v>
      </c>
      <c r="AK1333">
        <v>100</v>
      </c>
      <c r="AL1333">
        <v>0</v>
      </c>
      <c r="AM1333">
        <v>0</v>
      </c>
      <c r="AN1333">
        <v>0</v>
      </c>
      <c r="AO1333">
        <v>0</v>
      </c>
      <c r="AP1333" s="2">
        <v>70</v>
      </c>
      <c r="AT1333" t="str">
        <f>T("9791191102086")</f>
        <v>9791191102086</v>
      </c>
      <c r="AV1333" t="str">
        <f>T("판타지 웹소설 &gt; 현대 판타지")</f>
        <v>판타지 웹소설 &gt; 현대 판타지</v>
      </c>
    </row>
    <row r="1334" spans="1:48" x14ac:dyDescent="0.4">
      <c r="A1334">
        <v>1525004030</v>
      </c>
      <c r="B1334">
        <v>1525004443</v>
      </c>
      <c r="C1334" t="str">
        <f>T("회귀의 전설 427화")</f>
        <v>회귀의 전설 427화</v>
      </c>
      <c r="D1334" t="str">
        <f>T("427")</f>
        <v>427</v>
      </c>
      <c r="E1334" t="str">
        <f>T("김광수")</f>
        <v>김광수</v>
      </c>
      <c r="H1334" t="str">
        <f t="shared" si="164"/>
        <v>스토리위즈</v>
      </c>
      <c r="I1334" t="str">
        <f>T("회귀의 전설")</f>
        <v>회귀의 전설</v>
      </c>
      <c r="J1334">
        <v>100</v>
      </c>
      <c r="K1334">
        <v>100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100</v>
      </c>
      <c r="AH1334">
        <v>1</v>
      </c>
      <c r="AI1334">
        <v>0</v>
      </c>
      <c r="AJ1334">
        <v>0</v>
      </c>
      <c r="AK1334">
        <v>100</v>
      </c>
      <c r="AL1334">
        <v>0</v>
      </c>
      <c r="AM1334">
        <v>0</v>
      </c>
      <c r="AN1334">
        <v>0</v>
      </c>
      <c r="AO1334">
        <v>0</v>
      </c>
      <c r="AP1334" s="2">
        <v>70</v>
      </c>
      <c r="AT1334" t="str">
        <f>T("9788997946006")</f>
        <v>9788997946006</v>
      </c>
      <c r="AV1334" t="str">
        <f>T("판타지 웹소설 &gt; 현대 판타지")</f>
        <v>판타지 웹소설 &gt; 현대 판타지</v>
      </c>
    </row>
    <row r="1335" spans="1:48" x14ac:dyDescent="0.4">
      <c r="A1335">
        <v>1525004030</v>
      </c>
      <c r="B1335">
        <v>1525004523</v>
      </c>
      <c r="C1335" t="str">
        <f>T("회귀의 전설 394화")</f>
        <v>회귀의 전설 394화</v>
      </c>
      <c r="D1335" t="str">
        <f>T("394")</f>
        <v>394</v>
      </c>
      <c r="E1335" t="str">
        <f>T("김광수")</f>
        <v>김광수</v>
      </c>
      <c r="H1335" t="str">
        <f t="shared" si="164"/>
        <v>스토리위즈</v>
      </c>
      <c r="I1335" t="str">
        <f>T("회귀의 전설")</f>
        <v>회귀의 전설</v>
      </c>
      <c r="J1335">
        <v>100</v>
      </c>
      <c r="K1335">
        <v>100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100</v>
      </c>
      <c r="AH1335">
        <v>1</v>
      </c>
      <c r="AI1335">
        <v>0</v>
      </c>
      <c r="AJ1335">
        <v>0</v>
      </c>
      <c r="AK1335">
        <v>100</v>
      </c>
      <c r="AL1335">
        <v>0</v>
      </c>
      <c r="AM1335">
        <v>0</v>
      </c>
      <c r="AN1335">
        <v>0</v>
      </c>
      <c r="AO1335">
        <v>0</v>
      </c>
      <c r="AP1335" s="2">
        <v>70</v>
      </c>
      <c r="AT1335" t="str">
        <f>T("9788997946006")</f>
        <v>9788997946006</v>
      </c>
      <c r="AV1335" t="str">
        <f>T("판타지 웹소설 &gt; 현대 판타지")</f>
        <v>판타지 웹소설 &gt; 현대 판타지</v>
      </c>
    </row>
    <row r="1336" spans="1:48" x14ac:dyDescent="0.4">
      <c r="A1336">
        <v>1525004989</v>
      </c>
      <c r="B1336">
        <v>1525005549</v>
      </c>
      <c r="C1336" t="str">
        <f>T("신룡전설 60화")</f>
        <v>신룡전설 60화</v>
      </c>
      <c r="D1336" t="str">
        <f>T("60")</f>
        <v>60</v>
      </c>
      <c r="E1336" t="str">
        <f>T("가람검")</f>
        <v>가람검</v>
      </c>
      <c r="H1336" t="str">
        <f t="shared" si="164"/>
        <v>스토리위즈</v>
      </c>
      <c r="I1336" t="str">
        <f>T("신룡전설")</f>
        <v>신룡전설</v>
      </c>
      <c r="J1336">
        <v>100</v>
      </c>
      <c r="K1336">
        <v>100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100</v>
      </c>
      <c r="AH1336">
        <v>1</v>
      </c>
      <c r="AI1336">
        <v>0</v>
      </c>
      <c r="AJ1336">
        <v>0</v>
      </c>
      <c r="AK1336">
        <v>100</v>
      </c>
      <c r="AL1336">
        <v>0</v>
      </c>
      <c r="AM1336">
        <v>0</v>
      </c>
      <c r="AN1336">
        <v>0</v>
      </c>
      <c r="AO1336">
        <v>0</v>
      </c>
      <c r="AP1336" s="2">
        <v>70</v>
      </c>
      <c r="AT1336" t="str">
        <f>T("9791159283505")</f>
        <v>9791159283505</v>
      </c>
      <c r="AV1336" t="str">
        <f>T("판타지 웹소설 &gt; 무협 소설")</f>
        <v>판타지 웹소설 &gt; 무협 소설</v>
      </c>
    </row>
    <row r="1337" spans="1:48" x14ac:dyDescent="0.4">
      <c r="A1337">
        <v>1525004030</v>
      </c>
      <c r="B1337">
        <v>1525007092</v>
      </c>
      <c r="C1337" t="str">
        <f>T("회귀의 전설 2부 976화")</f>
        <v>회귀의 전설 2부 976화</v>
      </c>
      <c r="D1337" t="str">
        <f>T("976")</f>
        <v>976</v>
      </c>
      <c r="E1337" t="str">
        <f>T("김광수")</f>
        <v>김광수</v>
      </c>
      <c r="H1337" t="str">
        <f t="shared" si="164"/>
        <v>스토리위즈</v>
      </c>
      <c r="I1337" t="str">
        <f>T("회귀의 전설")</f>
        <v>회귀의 전설</v>
      </c>
      <c r="J1337">
        <v>100</v>
      </c>
      <c r="K1337">
        <v>100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100</v>
      </c>
      <c r="AH1337">
        <v>1</v>
      </c>
      <c r="AI1337">
        <v>0</v>
      </c>
      <c r="AJ1337">
        <v>0</v>
      </c>
      <c r="AK1337">
        <v>100</v>
      </c>
      <c r="AL1337">
        <v>0</v>
      </c>
      <c r="AM1337">
        <v>0</v>
      </c>
      <c r="AN1337">
        <v>0</v>
      </c>
      <c r="AO1337">
        <v>0</v>
      </c>
      <c r="AP1337" s="2">
        <v>70</v>
      </c>
      <c r="AT1337" t="str">
        <f>T("9791191102086")</f>
        <v>9791191102086</v>
      </c>
      <c r="AV1337" t="str">
        <f>T("판타지 웹소설 &gt; 현대 판타지")</f>
        <v>판타지 웹소설 &gt; 현대 판타지</v>
      </c>
    </row>
    <row r="1338" spans="1:48" x14ac:dyDescent="0.4">
      <c r="A1338">
        <v>1525007923</v>
      </c>
      <c r="B1338">
        <v>1525007983</v>
      </c>
      <c r="C1338" t="str">
        <f>T("운상연담: 화불능귀일락 74화")</f>
        <v>운상연담: 화불능귀일락 74화</v>
      </c>
      <c r="D1338" t="str">
        <f>T("74")</f>
        <v>74</v>
      </c>
      <c r="E1338" t="str">
        <f>T("피모")</f>
        <v>피모</v>
      </c>
      <c r="H1338" t="str">
        <f>T("쉬라즈")</f>
        <v>쉬라즈</v>
      </c>
      <c r="I1338" t="str">
        <f>T("운상연담: 화불능귀일락")</f>
        <v>운상연담: 화불능귀일락</v>
      </c>
      <c r="J1338">
        <v>100</v>
      </c>
      <c r="K1338">
        <v>100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100</v>
      </c>
      <c r="AH1338">
        <v>1</v>
      </c>
      <c r="AI1338">
        <v>0</v>
      </c>
      <c r="AJ1338">
        <v>0</v>
      </c>
      <c r="AK1338">
        <v>100</v>
      </c>
      <c r="AL1338">
        <v>0</v>
      </c>
      <c r="AM1338">
        <v>0</v>
      </c>
      <c r="AN1338">
        <v>0</v>
      </c>
      <c r="AO1338">
        <v>0</v>
      </c>
      <c r="AP1338" s="2">
        <v>70</v>
      </c>
      <c r="AT1338" t="str">
        <f>T("9791164896646")</f>
        <v>9791164896646</v>
      </c>
      <c r="AV1338" t="str">
        <f>T("로맨스 웹소설 &gt; 역사/시대물")</f>
        <v>로맨스 웹소설 &gt; 역사/시대물</v>
      </c>
    </row>
    <row r="1339" spans="1:48" x14ac:dyDescent="0.4">
      <c r="A1339">
        <v>1525004030</v>
      </c>
      <c r="B1339">
        <v>1525004363</v>
      </c>
      <c r="C1339" t="str">
        <f>T("회귀의 전설 335화")</f>
        <v>회귀의 전설 335화</v>
      </c>
      <c r="D1339" t="str">
        <f>T("335")</f>
        <v>335</v>
      </c>
      <c r="E1339" t="str">
        <f>T("김광수")</f>
        <v>김광수</v>
      </c>
      <c r="H1339" t="str">
        <f>T("스토리위즈")</f>
        <v>스토리위즈</v>
      </c>
      <c r="I1339" t="str">
        <f>T("회귀의 전설")</f>
        <v>회귀의 전설</v>
      </c>
      <c r="J1339">
        <v>100</v>
      </c>
      <c r="K1339">
        <v>100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100</v>
      </c>
      <c r="AH1339">
        <v>1</v>
      </c>
      <c r="AI1339">
        <v>0</v>
      </c>
      <c r="AJ1339">
        <v>0</v>
      </c>
      <c r="AK1339">
        <v>100</v>
      </c>
      <c r="AL1339">
        <v>0</v>
      </c>
      <c r="AM1339">
        <v>0</v>
      </c>
      <c r="AN1339">
        <v>0</v>
      </c>
      <c r="AO1339">
        <v>0</v>
      </c>
      <c r="AP1339" s="2">
        <v>70</v>
      </c>
      <c r="AT1339" t="str">
        <f>T("9788997946006")</f>
        <v>9788997946006</v>
      </c>
      <c r="AV1339" t="str">
        <f>T("판타지 웹소설 &gt; 현대 판타지")</f>
        <v>판타지 웹소설 &gt; 현대 판타지</v>
      </c>
    </row>
    <row r="1340" spans="1:48" x14ac:dyDescent="0.4">
      <c r="A1340">
        <v>2313011400</v>
      </c>
      <c r="B1340">
        <v>1525007638</v>
      </c>
      <c r="C1340" t="str">
        <f>T("최종 보스 21권 3화")</f>
        <v>최종 보스 21권 3화</v>
      </c>
      <c r="D1340" t="str">
        <f>T("416")</f>
        <v>416</v>
      </c>
      <c r="E1340" t="str">
        <f>T("무장")</f>
        <v>무장</v>
      </c>
      <c r="H1340" t="str">
        <f>T("스토리위즈")</f>
        <v>스토리위즈</v>
      </c>
      <c r="I1340" t="str">
        <f>T("최종 보스 : 빛을 향해 달리는 그림자")</f>
        <v>최종 보스 : 빛을 향해 달리는 그림자</v>
      </c>
      <c r="J1340">
        <v>100</v>
      </c>
      <c r="K1340">
        <v>100</v>
      </c>
      <c r="L1340">
        <v>1</v>
      </c>
      <c r="M1340">
        <v>0</v>
      </c>
      <c r="N1340">
        <v>100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 s="2">
        <v>140</v>
      </c>
      <c r="AT1340" t="str">
        <f>T("9791166067563")</f>
        <v>9791166067563</v>
      </c>
      <c r="AV1340" t="str">
        <f>T("판타지 웹소설 &gt; 현대 판타지")</f>
        <v>판타지 웹소설 &gt; 현대 판타지</v>
      </c>
    </row>
    <row r="1341" spans="1:48" x14ac:dyDescent="0.4">
      <c r="A1341">
        <v>1525004030</v>
      </c>
      <c r="B1341">
        <v>1525004539</v>
      </c>
      <c r="C1341" t="str">
        <f>T("회귀의 전설 516화")</f>
        <v>회귀의 전설 516화</v>
      </c>
      <c r="D1341" t="str">
        <f>T("516")</f>
        <v>516</v>
      </c>
      <c r="E1341" t="str">
        <f>T("김광수")</f>
        <v>김광수</v>
      </c>
      <c r="H1341" t="str">
        <f>T("스토리위즈")</f>
        <v>스토리위즈</v>
      </c>
      <c r="I1341" t="str">
        <f>T("회귀의 전설")</f>
        <v>회귀의 전설</v>
      </c>
      <c r="J1341">
        <v>100</v>
      </c>
      <c r="K1341">
        <v>100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100</v>
      </c>
      <c r="AH1341">
        <v>1</v>
      </c>
      <c r="AI1341">
        <v>0</v>
      </c>
      <c r="AJ1341">
        <v>0</v>
      </c>
      <c r="AK1341">
        <v>100</v>
      </c>
      <c r="AL1341">
        <v>0</v>
      </c>
      <c r="AM1341">
        <v>0</v>
      </c>
      <c r="AN1341">
        <v>0</v>
      </c>
      <c r="AO1341">
        <v>0</v>
      </c>
      <c r="AP1341" s="2">
        <v>70</v>
      </c>
      <c r="AT1341" t="str">
        <f>T("9788997946006")</f>
        <v>9788997946006</v>
      </c>
      <c r="AV1341" t="str">
        <f>T("판타지 웹소설 &gt; 현대 판타지")</f>
        <v>판타지 웹소설 &gt; 현대 판타지</v>
      </c>
    </row>
    <row r="1342" spans="1:48" x14ac:dyDescent="0.4">
      <c r="A1342">
        <v>1525004030</v>
      </c>
      <c r="B1342">
        <v>1525004475</v>
      </c>
      <c r="C1342" t="str">
        <f>T("회귀의 전설 459화")</f>
        <v>회귀의 전설 459화</v>
      </c>
      <c r="D1342" t="str">
        <f>T("459")</f>
        <v>459</v>
      </c>
      <c r="E1342" t="str">
        <f>T("김광수")</f>
        <v>김광수</v>
      </c>
      <c r="H1342" t="str">
        <f>T("스토리위즈")</f>
        <v>스토리위즈</v>
      </c>
      <c r="I1342" t="str">
        <f>T("회귀의 전설")</f>
        <v>회귀의 전설</v>
      </c>
      <c r="J1342">
        <v>100</v>
      </c>
      <c r="K1342">
        <v>100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100</v>
      </c>
      <c r="AH1342">
        <v>1</v>
      </c>
      <c r="AI1342">
        <v>0</v>
      </c>
      <c r="AJ1342">
        <v>0</v>
      </c>
      <c r="AK1342">
        <v>100</v>
      </c>
      <c r="AL1342">
        <v>0</v>
      </c>
      <c r="AM1342">
        <v>0</v>
      </c>
      <c r="AN1342">
        <v>0</v>
      </c>
      <c r="AO1342">
        <v>0</v>
      </c>
      <c r="AP1342" s="2">
        <v>70</v>
      </c>
      <c r="AT1342" t="str">
        <f>T("9788997946006")</f>
        <v>9788997946006</v>
      </c>
      <c r="AV1342" t="str">
        <f>T("판타지 웹소설 &gt; 현대 판타지")</f>
        <v>판타지 웹소설 &gt; 현대 판타지</v>
      </c>
    </row>
    <row r="1343" spans="1:48" x14ac:dyDescent="0.4">
      <c r="A1343">
        <v>1525004030</v>
      </c>
      <c r="B1343">
        <v>1525004253</v>
      </c>
      <c r="C1343" t="str">
        <f>T("회귀의 전설 224화")</f>
        <v>회귀의 전설 224화</v>
      </c>
      <c r="D1343" t="str">
        <f>T("224")</f>
        <v>224</v>
      </c>
      <c r="E1343" t="str">
        <f>T("김광수")</f>
        <v>김광수</v>
      </c>
      <c r="H1343" t="str">
        <f>T("스토리위즈")</f>
        <v>스토리위즈</v>
      </c>
      <c r="I1343" t="str">
        <f>T("회귀의 전설")</f>
        <v>회귀의 전설</v>
      </c>
      <c r="J1343">
        <v>100</v>
      </c>
      <c r="K1343">
        <v>100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100</v>
      </c>
      <c r="AH1343">
        <v>1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0</v>
      </c>
      <c r="AP1343" s="2">
        <v>70</v>
      </c>
      <c r="AT1343" t="str">
        <f>T("9788997946006")</f>
        <v>9788997946006</v>
      </c>
      <c r="AV1343" t="str">
        <f>T("판타지 웹소설 &gt; 현대 판타지")</f>
        <v>판타지 웹소설 &gt; 현대 판타지</v>
      </c>
    </row>
    <row r="1344" spans="1:48" x14ac:dyDescent="0.4">
      <c r="A1344">
        <v>1525008545</v>
      </c>
      <c r="B1344">
        <v>1525008565</v>
      </c>
      <c r="C1344" t="str">
        <f>T("소년연애담 38화")</f>
        <v>소년연애담 38화</v>
      </c>
      <c r="D1344" t="str">
        <f>T("38")</f>
        <v>38</v>
      </c>
      <c r="E1344" t="str">
        <f>T("나나코")</f>
        <v>나나코</v>
      </c>
      <c r="H1344" t="str">
        <f>T("블러쉬")</f>
        <v>블러쉬</v>
      </c>
      <c r="I1344" t="str">
        <f>T("소년연애담")</f>
        <v>소년연애담</v>
      </c>
      <c r="J1344">
        <v>100</v>
      </c>
      <c r="K1344">
        <v>100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100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100</v>
      </c>
      <c r="AN1344">
        <v>0</v>
      </c>
      <c r="AO1344">
        <v>0</v>
      </c>
      <c r="AP1344" s="2">
        <v>70</v>
      </c>
      <c r="AT1344" t="str">
        <f>T("9791164890729")</f>
        <v>9791164890729</v>
      </c>
      <c r="AU1344" t="str">
        <f>T("B12")</f>
        <v>B12</v>
      </c>
      <c r="AV1344" t="str">
        <f>T("BL 웹소설 &gt; 현대물")</f>
        <v>BL 웹소설 &gt; 현대물</v>
      </c>
    </row>
    <row r="1345" spans="1:48" x14ac:dyDescent="0.4">
      <c r="A1345">
        <v>1525010579</v>
      </c>
      <c r="B1345">
        <v>1525010183</v>
      </c>
      <c r="C1345" t="str">
        <f>T("법보다 주먹 395화")</f>
        <v>법보다 주먹 395화</v>
      </c>
      <c r="D1345" t="str">
        <f>T("395")</f>
        <v>395</v>
      </c>
      <c r="E1345" t="str">
        <f>T("백범(白帆)")</f>
        <v>백범(白帆)</v>
      </c>
      <c r="H1345" t="str">
        <f>T("에필로그")</f>
        <v>에필로그</v>
      </c>
      <c r="I1345" t="str">
        <f>T("법보다 주먹")</f>
        <v>법보다 주먹</v>
      </c>
      <c r="J1345">
        <v>100</v>
      </c>
      <c r="K1345">
        <v>100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100</v>
      </c>
      <c r="AH1345">
        <v>1</v>
      </c>
      <c r="AI1345">
        <v>0</v>
      </c>
      <c r="AJ1345">
        <v>0</v>
      </c>
      <c r="AK1345">
        <v>100</v>
      </c>
      <c r="AL1345">
        <v>0</v>
      </c>
      <c r="AM1345">
        <v>0</v>
      </c>
      <c r="AN1345">
        <v>0</v>
      </c>
      <c r="AO1345">
        <v>0</v>
      </c>
      <c r="AP1345" s="2">
        <v>70</v>
      </c>
      <c r="AT1345" t="str">
        <f>T("9791164489367")</f>
        <v>9791164489367</v>
      </c>
      <c r="AV1345" t="str">
        <f>T("판타지 웹소설 &gt; 현대 판타지")</f>
        <v>판타지 웹소설 &gt; 현대 판타지</v>
      </c>
    </row>
    <row r="1346" spans="1:48" x14ac:dyDescent="0.4">
      <c r="A1346">
        <v>1525004030</v>
      </c>
      <c r="B1346">
        <v>1525007124</v>
      </c>
      <c r="C1346" t="str">
        <f>T("회귀의 전설 2부 1008화")</f>
        <v>회귀의 전설 2부 1008화</v>
      </c>
      <c r="D1346" t="str">
        <f>T("1008")</f>
        <v>1008</v>
      </c>
      <c r="E1346" t="str">
        <f>T("김광수")</f>
        <v>김광수</v>
      </c>
      <c r="H1346" t="str">
        <f>T("스토리위즈")</f>
        <v>스토리위즈</v>
      </c>
      <c r="I1346" t="str">
        <f>T("회귀의 전설")</f>
        <v>회귀의 전설</v>
      </c>
      <c r="J1346">
        <v>100</v>
      </c>
      <c r="K1346">
        <v>100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100</v>
      </c>
      <c r="AH1346">
        <v>1</v>
      </c>
      <c r="AI1346">
        <v>0</v>
      </c>
      <c r="AJ1346">
        <v>0</v>
      </c>
      <c r="AK1346">
        <v>100</v>
      </c>
      <c r="AL1346">
        <v>0</v>
      </c>
      <c r="AM1346">
        <v>0</v>
      </c>
      <c r="AN1346">
        <v>0</v>
      </c>
      <c r="AO1346">
        <v>0</v>
      </c>
      <c r="AP1346" s="2">
        <v>70</v>
      </c>
      <c r="AT1346" t="str">
        <f>T("9791191102086")</f>
        <v>9791191102086</v>
      </c>
      <c r="AV1346" t="str">
        <f>T("판타지 웹소설 &gt; 현대 판타지")</f>
        <v>판타지 웹소설 &gt; 현대 판타지</v>
      </c>
    </row>
    <row r="1347" spans="1:48" x14ac:dyDescent="0.4">
      <c r="A1347">
        <v>1525004030</v>
      </c>
      <c r="B1347">
        <v>1525004379</v>
      </c>
      <c r="C1347" t="str">
        <f>T("회귀의 전설 351화")</f>
        <v>회귀의 전설 351화</v>
      </c>
      <c r="D1347" t="str">
        <f>T("351")</f>
        <v>351</v>
      </c>
      <c r="E1347" t="str">
        <f>T("김광수")</f>
        <v>김광수</v>
      </c>
      <c r="H1347" t="str">
        <f>T("스토리위즈")</f>
        <v>스토리위즈</v>
      </c>
      <c r="I1347" t="str">
        <f>T("회귀의 전설")</f>
        <v>회귀의 전설</v>
      </c>
      <c r="J1347">
        <v>100</v>
      </c>
      <c r="K1347">
        <v>100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100</v>
      </c>
      <c r="AH1347">
        <v>1</v>
      </c>
      <c r="AI1347">
        <v>0</v>
      </c>
      <c r="AJ1347">
        <v>0</v>
      </c>
      <c r="AK1347">
        <v>100</v>
      </c>
      <c r="AL1347">
        <v>0</v>
      </c>
      <c r="AM1347">
        <v>0</v>
      </c>
      <c r="AN1347">
        <v>0</v>
      </c>
      <c r="AO1347">
        <v>0</v>
      </c>
      <c r="AP1347" s="2">
        <v>70</v>
      </c>
      <c r="AT1347" t="str">
        <f>T("9788997946006")</f>
        <v>9788997946006</v>
      </c>
      <c r="AV1347" t="str">
        <f>T("판타지 웹소설 &gt; 현대 판타지")</f>
        <v>판타지 웹소설 &gt; 현대 판타지</v>
      </c>
    </row>
    <row r="1348" spans="1:48" x14ac:dyDescent="0.4">
      <c r="A1348">
        <v>1525000569</v>
      </c>
      <c r="B1348">
        <v>1525000733</v>
      </c>
      <c r="C1348" t="str">
        <f>T("스트라이커 163화")</f>
        <v>스트라이커 163화</v>
      </c>
      <c r="D1348" t="str">
        <f>T("163")</f>
        <v>163</v>
      </c>
      <c r="E1348" t="str">
        <f>T("독고진")</f>
        <v>독고진</v>
      </c>
      <c r="H1348" t="str">
        <f>T("스토리위즈")</f>
        <v>스토리위즈</v>
      </c>
      <c r="I1348" t="str">
        <f>T("스트라이커")</f>
        <v>스트라이커</v>
      </c>
      <c r="J1348">
        <v>100</v>
      </c>
      <c r="K1348">
        <v>100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100</v>
      </c>
      <c r="AH1348">
        <v>1</v>
      </c>
      <c r="AI1348">
        <v>0</v>
      </c>
      <c r="AJ1348">
        <v>0</v>
      </c>
      <c r="AK1348">
        <v>100</v>
      </c>
      <c r="AL1348">
        <v>0</v>
      </c>
      <c r="AM1348">
        <v>0</v>
      </c>
      <c r="AN1348">
        <v>0</v>
      </c>
      <c r="AO1348">
        <v>0</v>
      </c>
      <c r="AP1348" s="2">
        <v>70</v>
      </c>
      <c r="AT1348" t="str">
        <f>T("9791170151678")</f>
        <v>9791170151678</v>
      </c>
      <c r="AV1348" t="str">
        <f>T("판타지 웹소설 &gt; 현대 판타지")</f>
        <v>판타지 웹소설 &gt; 현대 판타지</v>
      </c>
    </row>
    <row r="1349" spans="1:48" x14ac:dyDescent="0.4">
      <c r="A1349">
        <v>1525002409</v>
      </c>
      <c r="B1349">
        <v>1525002602</v>
      </c>
      <c r="C1349" t="str">
        <f>T("스포트라이트 194화")</f>
        <v>스포트라이트 194화</v>
      </c>
      <c r="D1349" t="str">
        <f>T("194")</f>
        <v>194</v>
      </c>
      <c r="E1349" t="str">
        <f>T("전혁")</f>
        <v>전혁</v>
      </c>
      <c r="H1349" t="str">
        <f>T("스토리위즈")</f>
        <v>스토리위즈</v>
      </c>
      <c r="I1349" t="str">
        <f>T("스포트라이트")</f>
        <v>스포트라이트</v>
      </c>
      <c r="J1349">
        <v>100</v>
      </c>
      <c r="K1349">
        <v>100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100</v>
      </c>
      <c r="AH1349">
        <v>1</v>
      </c>
      <c r="AI1349">
        <v>0</v>
      </c>
      <c r="AJ1349">
        <v>0</v>
      </c>
      <c r="AK1349">
        <v>100</v>
      </c>
      <c r="AL1349">
        <v>0</v>
      </c>
      <c r="AM1349">
        <v>0</v>
      </c>
      <c r="AN1349">
        <v>0</v>
      </c>
      <c r="AO1349">
        <v>0</v>
      </c>
      <c r="AP1349" s="2">
        <v>70</v>
      </c>
      <c r="AT1349" t="str">
        <f>T("9791159286841")</f>
        <v>9791159286841</v>
      </c>
      <c r="AV1349" t="str">
        <f>T("판타지 웹소설 &gt; 현대 판타지")</f>
        <v>판타지 웹소설 &gt; 현대 판타지</v>
      </c>
    </row>
    <row r="1350" spans="1:48" x14ac:dyDescent="0.4">
      <c r="A1350">
        <v>1525007872</v>
      </c>
      <c r="B1350">
        <v>1525007862</v>
      </c>
      <c r="C1350" t="str">
        <f>T("아침이 오지 않아도 10화")</f>
        <v>아침이 오지 않아도 10화</v>
      </c>
      <c r="D1350" t="str">
        <f>T("10")</f>
        <v>10</v>
      </c>
      <c r="E1350" t="str">
        <f>T("홍영")</f>
        <v>홍영</v>
      </c>
      <c r="H1350" t="str">
        <f>T("러브스토리")</f>
        <v>러브스토리</v>
      </c>
      <c r="I1350" t="str">
        <f>T("아침이 오지 않아도")</f>
        <v>아침이 오지 않아도</v>
      </c>
      <c r="J1350">
        <v>100</v>
      </c>
      <c r="K1350">
        <v>100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100</v>
      </c>
      <c r="AH1350">
        <v>1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0</v>
      </c>
      <c r="AP1350" s="2">
        <v>70</v>
      </c>
      <c r="AR1350" t="str">
        <f>T("0000000000000")</f>
        <v>0000000000000</v>
      </c>
      <c r="AT1350" t="str">
        <f>T("9791164899708")</f>
        <v>9791164899708</v>
      </c>
      <c r="AV1350" t="str">
        <f>T("로맨스 웹소설 &gt; 현대물")</f>
        <v>로맨스 웹소설 &gt; 현대물</v>
      </c>
    </row>
    <row r="1351" spans="1:48" x14ac:dyDescent="0.4">
      <c r="A1351">
        <v>2313011400</v>
      </c>
      <c r="B1351">
        <v>1525007670</v>
      </c>
      <c r="C1351" t="str">
        <f>T("최종 보스 22권 15화")</f>
        <v>최종 보스 22권 15화</v>
      </c>
      <c r="D1351" t="str">
        <f>T("448")</f>
        <v>448</v>
      </c>
      <c r="E1351" t="str">
        <f>T("무장")</f>
        <v>무장</v>
      </c>
      <c r="H1351" t="str">
        <f t="shared" ref="H1351:H1356" si="165">T("스토리위즈")</f>
        <v>스토리위즈</v>
      </c>
      <c r="I1351" t="str">
        <f>T("최종 보스 : 빛을 향해 달리는 그림자")</f>
        <v>최종 보스 : 빛을 향해 달리는 그림자</v>
      </c>
      <c r="J1351">
        <v>100</v>
      </c>
      <c r="K1351">
        <v>100</v>
      </c>
      <c r="L1351">
        <v>1</v>
      </c>
      <c r="M1351">
        <v>0</v>
      </c>
      <c r="N1351">
        <v>100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 s="2">
        <v>140</v>
      </c>
      <c r="AT1351" t="str">
        <f>T("9791166067563")</f>
        <v>9791166067563</v>
      </c>
      <c r="AV1351" t="str">
        <f>T("판타지 웹소설 &gt; 현대 판타지")</f>
        <v>판타지 웹소설 &gt; 현대 판타지</v>
      </c>
    </row>
    <row r="1352" spans="1:48" x14ac:dyDescent="0.4">
      <c r="A1352">
        <v>1525004030</v>
      </c>
      <c r="B1352">
        <v>1525007028</v>
      </c>
      <c r="C1352" t="str">
        <f>T("회귀의 전설 2부 912화")</f>
        <v>회귀의 전설 2부 912화</v>
      </c>
      <c r="D1352" t="str">
        <f>T("912")</f>
        <v>912</v>
      </c>
      <c r="E1352" t="str">
        <f>T("김광수")</f>
        <v>김광수</v>
      </c>
      <c r="H1352" t="str">
        <f t="shared" si="165"/>
        <v>스토리위즈</v>
      </c>
      <c r="I1352" t="str">
        <f>T("회귀의 전설")</f>
        <v>회귀의 전설</v>
      </c>
      <c r="J1352">
        <v>100</v>
      </c>
      <c r="K1352">
        <v>100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100</v>
      </c>
      <c r="AH1352">
        <v>1</v>
      </c>
      <c r="AI1352">
        <v>0</v>
      </c>
      <c r="AJ1352">
        <v>0</v>
      </c>
      <c r="AK1352">
        <v>100</v>
      </c>
      <c r="AL1352">
        <v>0</v>
      </c>
      <c r="AM1352">
        <v>0</v>
      </c>
      <c r="AN1352">
        <v>0</v>
      </c>
      <c r="AO1352">
        <v>0</v>
      </c>
      <c r="AP1352" s="2">
        <v>70</v>
      </c>
      <c r="AT1352" t="str">
        <f>T("9791191102086")</f>
        <v>9791191102086</v>
      </c>
      <c r="AV1352" t="str">
        <f>T("판타지 웹소설 &gt; 현대 판타지")</f>
        <v>판타지 웹소설 &gt; 현대 판타지</v>
      </c>
    </row>
    <row r="1353" spans="1:48" x14ac:dyDescent="0.4">
      <c r="A1353">
        <v>1525004989</v>
      </c>
      <c r="B1353">
        <v>1525005597</v>
      </c>
      <c r="C1353" t="str">
        <f>T("신룡전설 108화")</f>
        <v>신룡전설 108화</v>
      </c>
      <c r="D1353" t="str">
        <f>T("108")</f>
        <v>108</v>
      </c>
      <c r="E1353" t="str">
        <f>T("가람검")</f>
        <v>가람검</v>
      </c>
      <c r="H1353" t="str">
        <f t="shared" si="165"/>
        <v>스토리위즈</v>
      </c>
      <c r="I1353" t="str">
        <f>T("신룡전설")</f>
        <v>신룡전설</v>
      </c>
      <c r="J1353">
        <v>100</v>
      </c>
      <c r="K1353">
        <v>100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100</v>
      </c>
      <c r="AH1353">
        <v>1</v>
      </c>
      <c r="AI1353">
        <v>0</v>
      </c>
      <c r="AJ1353">
        <v>0</v>
      </c>
      <c r="AK1353">
        <v>100</v>
      </c>
      <c r="AL1353">
        <v>0</v>
      </c>
      <c r="AM1353">
        <v>0</v>
      </c>
      <c r="AN1353">
        <v>0</v>
      </c>
      <c r="AO1353">
        <v>0</v>
      </c>
      <c r="AP1353" s="2">
        <v>70</v>
      </c>
      <c r="AT1353" t="str">
        <f>T("9791159283505")</f>
        <v>9791159283505</v>
      </c>
      <c r="AV1353" t="str">
        <f>T("판타지 웹소설 &gt; 무협 소설")</f>
        <v>판타지 웹소설 &gt; 무협 소설</v>
      </c>
    </row>
    <row r="1354" spans="1:48" x14ac:dyDescent="0.4">
      <c r="A1354">
        <v>1525002409</v>
      </c>
      <c r="B1354">
        <v>1525002534</v>
      </c>
      <c r="C1354" t="str">
        <f>T("스포트라이트 126화")</f>
        <v>스포트라이트 126화</v>
      </c>
      <c r="D1354" t="str">
        <f>T("126")</f>
        <v>126</v>
      </c>
      <c r="E1354" t="str">
        <f>T("전혁")</f>
        <v>전혁</v>
      </c>
      <c r="H1354" t="str">
        <f t="shared" si="165"/>
        <v>스토리위즈</v>
      </c>
      <c r="I1354" t="str">
        <f>T("스포트라이트")</f>
        <v>스포트라이트</v>
      </c>
      <c r="J1354">
        <v>100</v>
      </c>
      <c r="K1354">
        <v>100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100</v>
      </c>
      <c r="AH1354">
        <v>1</v>
      </c>
      <c r="AI1354">
        <v>0</v>
      </c>
      <c r="AJ1354">
        <v>0</v>
      </c>
      <c r="AK1354">
        <v>100</v>
      </c>
      <c r="AL1354">
        <v>0</v>
      </c>
      <c r="AM1354">
        <v>0</v>
      </c>
      <c r="AN1354">
        <v>0</v>
      </c>
      <c r="AO1354">
        <v>0</v>
      </c>
      <c r="AP1354" s="2">
        <v>70</v>
      </c>
      <c r="AT1354" t="str">
        <f>T("9791159286841")</f>
        <v>9791159286841</v>
      </c>
      <c r="AV1354" t="str">
        <f>T("판타지 웹소설 &gt; 현대 판타지")</f>
        <v>판타지 웹소설 &gt; 현대 판타지</v>
      </c>
    </row>
    <row r="1355" spans="1:48" x14ac:dyDescent="0.4">
      <c r="A1355">
        <v>1525004030</v>
      </c>
      <c r="B1355">
        <v>1525006976</v>
      </c>
      <c r="C1355" t="str">
        <f>T("회귀의 전설 2부 860화")</f>
        <v>회귀의 전설 2부 860화</v>
      </c>
      <c r="D1355" t="str">
        <f>T("860")</f>
        <v>860</v>
      </c>
      <c r="E1355" t="str">
        <f>T("김광수")</f>
        <v>김광수</v>
      </c>
      <c r="H1355" t="str">
        <f t="shared" si="165"/>
        <v>스토리위즈</v>
      </c>
      <c r="I1355" t="str">
        <f>T("회귀의 전설")</f>
        <v>회귀의 전설</v>
      </c>
      <c r="J1355">
        <v>100</v>
      </c>
      <c r="K1355">
        <v>100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100</v>
      </c>
      <c r="AH1355">
        <v>1</v>
      </c>
      <c r="AI1355">
        <v>0</v>
      </c>
      <c r="AJ1355">
        <v>0</v>
      </c>
      <c r="AK1355">
        <v>100</v>
      </c>
      <c r="AL1355">
        <v>0</v>
      </c>
      <c r="AM1355">
        <v>0</v>
      </c>
      <c r="AN1355">
        <v>0</v>
      </c>
      <c r="AO1355">
        <v>0</v>
      </c>
      <c r="AP1355" s="2">
        <v>70</v>
      </c>
      <c r="AT1355" t="str">
        <f>T("9791191102086")</f>
        <v>9791191102086</v>
      </c>
      <c r="AV1355" t="str">
        <f>T("판타지 웹소설 &gt; 현대 판타지")</f>
        <v>판타지 웹소설 &gt; 현대 판타지</v>
      </c>
    </row>
    <row r="1356" spans="1:48" x14ac:dyDescent="0.4">
      <c r="A1356">
        <v>1525004030</v>
      </c>
      <c r="B1356">
        <v>1525004299</v>
      </c>
      <c r="C1356" t="str">
        <f>T("회귀의 전설 270화")</f>
        <v>회귀의 전설 270화</v>
      </c>
      <c r="D1356" t="str">
        <f>T("270")</f>
        <v>270</v>
      </c>
      <c r="E1356" t="str">
        <f>T("김광수")</f>
        <v>김광수</v>
      </c>
      <c r="H1356" t="str">
        <f t="shared" si="165"/>
        <v>스토리위즈</v>
      </c>
      <c r="I1356" t="str">
        <f>T("회귀의 전설")</f>
        <v>회귀의 전설</v>
      </c>
      <c r="J1356">
        <v>100</v>
      </c>
      <c r="K1356">
        <v>100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100</v>
      </c>
      <c r="AH1356">
        <v>1</v>
      </c>
      <c r="AI1356">
        <v>0</v>
      </c>
      <c r="AJ1356">
        <v>0</v>
      </c>
      <c r="AK1356">
        <v>100</v>
      </c>
      <c r="AL1356">
        <v>0</v>
      </c>
      <c r="AM1356">
        <v>0</v>
      </c>
      <c r="AN1356">
        <v>0</v>
      </c>
      <c r="AO1356">
        <v>0</v>
      </c>
      <c r="AP1356" s="2">
        <v>70</v>
      </c>
      <c r="AT1356" t="str">
        <f>T("9788997946006")</f>
        <v>9788997946006</v>
      </c>
      <c r="AV1356" t="str">
        <f>T("판타지 웹소설 &gt; 현대 판타지")</f>
        <v>판타지 웹소설 &gt; 현대 판타지</v>
      </c>
    </row>
    <row r="1357" spans="1:48" x14ac:dyDescent="0.4">
      <c r="A1357">
        <v>1525011523</v>
      </c>
      <c r="B1357">
        <v>1525011495</v>
      </c>
      <c r="C1357" t="str">
        <f>T("남창목가 29화")</f>
        <v>남창목가 29화</v>
      </c>
      <c r="D1357" t="str">
        <f>T("29")</f>
        <v>29</v>
      </c>
      <c r="E1357" t="str">
        <f>T("최재봉")</f>
        <v>최재봉</v>
      </c>
      <c r="H1357" t="str">
        <f>T("에필로그")</f>
        <v>에필로그</v>
      </c>
      <c r="I1357" t="str">
        <f>T("남창목가")</f>
        <v>남창목가</v>
      </c>
      <c r="J1357">
        <v>100</v>
      </c>
      <c r="K1357">
        <v>100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100</v>
      </c>
      <c r="AH1357">
        <v>1</v>
      </c>
      <c r="AI1357">
        <v>0</v>
      </c>
      <c r="AJ1357">
        <v>0</v>
      </c>
      <c r="AK1357">
        <v>100</v>
      </c>
      <c r="AL1357">
        <v>0</v>
      </c>
      <c r="AM1357">
        <v>0</v>
      </c>
      <c r="AN1357">
        <v>0</v>
      </c>
      <c r="AO1357">
        <v>0</v>
      </c>
      <c r="AP1357" s="2">
        <v>70</v>
      </c>
      <c r="AT1357" t="str">
        <f>T("9791164482849")</f>
        <v>9791164482849</v>
      </c>
      <c r="AV1357" t="str">
        <f>T("판타지 웹소설 &gt; 무협 소설")</f>
        <v>판타지 웹소설 &gt; 무협 소설</v>
      </c>
    </row>
    <row r="1358" spans="1:48" x14ac:dyDescent="0.4">
      <c r="A1358">
        <v>1525004030</v>
      </c>
      <c r="B1358">
        <v>1525004411</v>
      </c>
      <c r="C1358" t="str">
        <f>T("회귀의 전설 383화")</f>
        <v>회귀의 전설 383화</v>
      </c>
      <c r="D1358" t="str">
        <f>T("383")</f>
        <v>383</v>
      </c>
      <c r="E1358" t="str">
        <f>T("김광수")</f>
        <v>김광수</v>
      </c>
      <c r="H1358" t="str">
        <f>T("스토리위즈")</f>
        <v>스토리위즈</v>
      </c>
      <c r="I1358" t="str">
        <f>T("회귀의 전설")</f>
        <v>회귀의 전설</v>
      </c>
      <c r="J1358">
        <v>100</v>
      </c>
      <c r="K1358">
        <v>100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100</v>
      </c>
      <c r="AH1358">
        <v>1</v>
      </c>
      <c r="AI1358">
        <v>0</v>
      </c>
      <c r="AJ1358">
        <v>0</v>
      </c>
      <c r="AK1358">
        <v>100</v>
      </c>
      <c r="AL1358">
        <v>0</v>
      </c>
      <c r="AM1358">
        <v>0</v>
      </c>
      <c r="AN1358">
        <v>0</v>
      </c>
      <c r="AO1358">
        <v>0</v>
      </c>
      <c r="AP1358" s="2">
        <v>70</v>
      </c>
      <c r="AT1358" t="str">
        <f>T("9788997946006")</f>
        <v>9788997946006</v>
      </c>
      <c r="AV1358" t="str">
        <f>T("판타지 웹소설 &gt; 현대 판타지")</f>
        <v>판타지 웹소설 &gt; 현대 판타지</v>
      </c>
    </row>
    <row r="1359" spans="1:48" x14ac:dyDescent="0.4">
      <c r="A1359">
        <v>1525004030</v>
      </c>
      <c r="B1359">
        <v>1525004491</v>
      </c>
      <c r="C1359" t="str">
        <f>T("회귀의 전설 475화")</f>
        <v>회귀의 전설 475화</v>
      </c>
      <c r="D1359" t="str">
        <f>T("475")</f>
        <v>475</v>
      </c>
      <c r="E1359" t="str">
        <f>T("김광수")</f>
        <v>김광수</v>
      </c>
      <c r="H1359" t="str">
        <f>T("스토리위즈")</f>
        <v>스토리위즈</v>
      </c>
      <c r="I1359" t="str">
        <f>T("회귀의 전설")</f>
        <v>회귀의 전설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100</v>
      </c>
      <c r="AH1359">
        <v>1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P1359" s="2">
        <v>70</v>
      </c>
      <c r="AT1359" t="str">
        <f>T("9788997946006")</f>
        <v>9788997946006</v>
      </c>
      <c r="AV1359" t="str">
        <f>T("판타지 웹소설 &gt; 현대 판타지")</f>
        <v>판타지 웹소설 &gt; 현대 판타지</v>
      </c>
    </row>
    <row r="1360" spans="1:48" x14ac:dyDescent="0.4">
      <c r="A1360">
        <v>1525000569</v>
      </c>
      <c r="B1360">
        <v>1525000610</v>
      </c>
      <c r="C1360" t="str">
        <f>T("스트라이커 42화")</f>
        <v>스트라이커 42화</v>
      </c>
      <c r="D1360" t="str">
        <f>T("42")</f>
        <v>42</v>
      </c>
      <c r="E1360" t="str">
        <f>T("독고진")</f>
        <v>독고진</v>
      </c>
      <c r="H1360" t="str">
        <f>T("스토리위즈")</f>
        <v>스토리위즈</v>
      </c>
      <c r="I1360" t="str">
        <f>T("스트라이커")</f>
        <v>스트라이커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</v>
      </c>
      <c r="AH1360">
        <v>1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P1360" s="2">
        <v>70</v>
      </c>
      <c r="AT1360" t="str">
        <f>T("9791170151678")</f>
        <v>9791170151678</v>
      </c>
      <c r="AV1360" t="str">
        <f>T("판타지 웹소설 &gt; 현대 판타지")</f>
        <v>판타지 웹소설 &gt; 현대 판타지</v>
      </c>
    </row>
    <row r="1361" spans="1:48" x14ac:dyDescent="0.4">
      <c r="A1361">
        <v>1525007872</v>
      </c>
      <c r="B1361">
        <v>1525007895</v>
      </c>
      <c r="C1361" t="str">
        <f>T("아침이 오지 않아도 6화")</f>
        <v>아침이 오지 않아도 6화</v>
      </c>
      <c r="D1361" t="str">
        <f>T("6")</f>
        <v>6</v>
      </c>
      <c r="E1361" t="str">
        <f>T("홍영")</f>
        <v>홍영</v>
      </c>
      <c r="H1361" t="str">
        <f>T("러브스토리")</f>
        <v>러브스토리</v>
      </c>
      <c r="I1361" t="str">
        <f>T("아침이 오지 않아도")</f>
        <v>아침이 오지 않아도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100</v>
      </c>
      <c r="AH1361">
        <v>1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P1361" s="2">
        <v>70</v>
      </c>
      <c r="AR1361" t="str">
        <f>T("0000000000000")</f>
        <v>0000000000000</v>
      </c>
      <c r="AT1361" t="str">
        <f>T("9791164899708")</f>
        <v>9791164899708</v>
      </c>
      <c r="AV1361" t="str">
        <f>T("로맨스 웹소설 &gt; 현대물")</f>
        <v>로맨스 웹소설 &gt; 현대물</v>
      </c>
    </row>
    <row r="1362" spans="1:48" x14ac:dyDescent="0.4">
      <c r="A1362">
        <v>1525004030</v>
      </c>
      <c r="B1362">
        <v>1525007060</v>
      </c>
      <c r="C1362" t="str">
        <f>T("회귀의 전설 2부 944화")</f>
        <v>회귀의 전설 2부 944화</v>
      </c>
      <c r="D1362" t="str">
        <f>T("944")</f>
        <v>944</v>
      </c>
      <c r="E1362" t="str">
        <f>T("김광수")</f>
        <v>김광수</v>
      </c>
      <c r="H1362" t="str">
        <f t="shared" ref="H1362:H1369" si="166">T("스토리위즈")</f>
        <v>스토리위즈</v>
      </c>
      <c r="I1362" t="str">
        <f>T("회귀의 전설")</f>
        <v>회귀의 전설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</v>
      </c>
      <c r="AH1362">
        <v>1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P1362" s="2">
        <v>70</v>
      </c>
      <c r="AT1362" t="str">
        <f>T("9791191102086")</f>
        <v>9791191102086</v>
      </c>
      <c r="AV1362" t="str">
        <f>T("판타지 웹소설 &gt; 현대 판타지")</f>
        <v>판타지 웹소설 &gt; 현대 판타지</v>
      </c>
    </row>
    <row r="1363" spans="1:48" x14ac:dyDescent="0.4">
      <c r="A1363">
        <v>1525004989</v>
      </c>
      <c r="B1363">
        <v>1525005629</v>
      </c>
      <c r="C1363" t="str">
        <f>T("신룡전설 140화")</f>
        <v>신룡전설 140화</v>
      </c>
      <c r="D1363" t="str">
        <f>T("140")</f>
        <v>140</v>
      </c>
      <c r="E1363" t="str">
        <f>T("가람검")</f>
        <v>가람검</v>
      </c>
      <c r="H1363" t="str">
        <f t="shared" si="166"/>
        <v>스토리위즈</v>
      </c>
      <c r="I1363" t="str">
        <f>T("신룡전설")</f>
        <v>신룡전설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100</v>
      </c>
      <c r="AH1363">
        <v>1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P1363" s="2">
        <v>70</v>
      </c>
      <c r="AT1363" t="str">
        <f>T("9791159283505")</f>
        <v>9791159283505</v>
      </c>
      <c r="AV1363" t="str">
        <f>T("판타지 웹소설 &gt; 무협 소설")</f>
        <v>판타지 웹소설 &gt; 무협 소설</v>
      </c>
    </row>
    <row r="1364" spans="1:48" x14ac:dyDescent="0.4">
      <c r="A1364">
        <v>2313011400</v>
      </c>
      <c r="B1364">
        <v>1525007702</v>
      </c>
      <c r="C1364" t="str">
        <f>T("최종 보스 24권 7화")</f>
        <v>최종 보스 24권 7화</v>
      </c>
      <c r="D1364" t="str">
        <f>T("480")</f>
        <v>480</v>
      </c>
      <c r="E1364" t="str">
        <f>T("무장")</f>
        <v>무장</v>
      </c>
      <c r="H1364" t="str">
        <f t="shared" si="166"/>
        <v>스토리위즈</v>
      </c>
      <c r="I1364" t="str">
        <f>T("최종 보스 : 빛을 향해 달리는 그림자")</f>
        <v>최종 보스 : 빛을 향해 달리는 그림자</v>
      </c>
      <c r="J1364">
        <v>100</v>
      </c>
      <c r="K1364">
        <v>100</v>
      </c>
      <c r="L1364">
        <v>1</v>
      </c>
      <c r="M1364">
        <v>0</v>
      </c>
      <c r="N1364">
        <v>100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 s="2">
        <v>140</v>
      </c>
      <c r="AT1364" t="str">
        <f>T("9791166067563")</f>
        <v>9791166067563</v>
      </c>
      <c r="AV1364" t="str">
        <f>T("판타지 웹소설 &gt; 현대 판타지")</f>
        <v>판타지 웹소설 &gt; 현대 판타지</v>
      </c>
    </row>
    <row r="1365" spans="1:48" x14ac:dyDescent="0.4">
      <c r="A1365">
        <v>2313011400</v>
      </c>
      <c r="B1365">
        <v>1525007606</v>
      </c>
      <c r="C1365" t="str">
        <f>T("최종 보스 19권 12화")</f>
        <v>최종 보스 19권 12화</v>
      </c>
      <c r="D1365" t="str">
        <f>T("384")</f>
        <v>384</v>
      </c>
      <c r="E1365" t="str">
        <f>T("무장")</f>
        <v>무장</v>
      </c>
      <c r="H1365" t="str">
        <f t="shared" si="166"/>
        <v>스토리위즈</v>
      </c>
      <c r="I1365" t="str">
        <f>T("최종 보스 : 빛을 향해 달리는 그림자")</f>
        <v>최종 보스 : 빛을 향해 달리는 그림자</v>
      </c>
      <c r="J1365">
        <v>100</v>
      </c>
      <c r="K1365">
        <v>100</v>
      </c>
      <c r="L1365">
        <v>1</v>
      </c>
      <c r="M1365">
        <v>0</v>
      </c>
      <c r="N1365">
        <v>100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 s="2">
        <v>140</v>
      </c>
      <c r="AT1365" t="str">
        <f>T("9791166067563")</f>
        <v>9791166067563</v>
      </c>
      <c r="AV1365" t="str">
        <f>T("판타지 웹소설 &gt; 현대 판타지")</f>
        <v>판타지 웹소설 &gt; 현대 판타지</v>
      </c>
    </row>
    <row r="1366" spans="1:48" x14ac:dyDescent="0.4">
      <c r="A1366">
        <v>1525004030</v>
      </c>
      <c r="B1366">
        <v>1525004331</v>
      </c>
      <c r="C1366" t="str">
        <f>T("회귀의 전설 302화")</f>
        <v>회귀의 전설 302화</v>
      </c>
      <c r="D1366" t="str">
        <f>T("302")</f>
        <v>302</v>
      </c>
      <c r="E1366" t="str">
        <f>T("김광수")</f>
        <v>김광수</v>
      </c>
      <c r="H1366" t="str">
        <f t="shared" si="166"/>
        <v>스토리위즈</v>
      </c>
      <c r="I1366" t="str">
        <f>T("회귀의 전설")</f>
        <v>회귀의 전설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100</v>
      </c>
      <c r="AH1366">
        <v>1</v>
      </c>
      <c r="AI1366">
        <v>0</v>
      </c>
      <c r="AJ1366">
        <v>0</v>
      </c>
      <c r="AK1366">
        <v>100</v>
      </c>
      <c r="AL1366">
        <v>0</v>
      </c>
      <c r="AM1366">
        <v>0</v>
      </c>
      <c r="AN1366">
        <v>0</v>
      </c>
      <c r="AO1366">
        <v>0</v>
      </c>
      <c r="AP1366" s="2">
        <v>70</v>
      </c>
      <c r="AT1366" t="str">
        <f>T("9788997946006")</f>
        <v>9788997946006</v>
      </c>
      <c r="AV1366" t="str">
        <f>T("판타지 웹소설 &gt; 현대 판타지")</f>
        <v>판타지 웹소설 &gt; 현대 판타지</v>
      </c>
    </row>
    <row r="1367" spans="1:48" x14ac:dyDescent="0.4">
      <c r="A1367">
        <v>2313011400</v>
      </c>
      <c r="B1367">
        <v>1525007663</v>
      </c>
      <c r="C1367" t="str">
        <f>T("최종 보스 22권 8화")</f>
        <v>최종 보스 22권 8화</v>
      </c>
      <c r="D1367" t="str">
        <f>T("441")</f>
        <v>441</v>
      </c>
      <c r="E1367" t="str">
        <f>T("무장")</f>
        <v>무장</v>
      </c>
      <c r="H1367" t="str">
        <f t="shared" si="166"/>
        <v>스토리위즈</v>
      </c>
      <c r="I1367" t="str">
        <f>T("최종 보스 : 빛을 향해 달리는 그림자")</f>
        <v>최종 보스 : 빛을 향해 달리는 그림자</v>
      </c>
      <c r="J1367">
        <v>100</v>
      </c>
      <c r="K1367">
        <v>100</v>
      </c>
      <c r="L1367">
        <v>1</v>
      </c>
      <c r="M1367">
        <v>0</v>
      </c>
      <c r="N1367">
        <v>100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 s="2">
        <v>140</v>
      </c>
      <c r="AT1367" t="str">
        <f>T("9791166067563")</f>
        <v>9791166067563</v>
      </c>
      <c r="AV1367" t="str">
        <f>T("판타지 웹소설 &gt; 현대 판타지")</f>
        <v>판타지 웹소설 &gt; 현대 판타지</v>
      </c>
    </row>
    <row r="1368" spans="1:48" x14ac:dyDescent="0.4">
      <c r="A1368">
        <v>1525004030</v>
      </c>
      <c r="B1368">
        <v>1525006721</v>
      </c>
      <c r="C1368" t="str">
        <f>T("회귀의 전설 2부 604화")</f>
        <v>회귀의 전설 2부 604화</v>
      </c>
      <c r="D1368" t="str">
        <f>T("604")</f>
        <v>604</v>
      </c>
      <c r="E1368" t="str">
        <f>T("김광수")</f>
        <v>김광수</v>
      </c>
      <c r="H1368" t="str">
        <f t="shared" si="166"/>
        <v>스토리위즈</v>
      </c>
      <c r="I1368" t="str">
        <f>T("회귀의 전설")</f>
        <v>회귀의 전설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100</v>
      </c>
      <c r="AH1368">
        <v>1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P1368" s="2">
        <v>70</v>
      </c>
      <c r="AT1368" t="str">
        <f>T("9791191102086")</f>
        <v>9791191102086</v>
      </c>
      <c r="AV1368" t="str">
        <f>T("판타지 웹소설 &gt; 현대 판타지")</f>
        <v>판타지 웹소설 &gt; 현대 판타지</v>
      </c>
    </row>
    <row r="1369" spans="1:48" x14ac:dyDescent="0.4">
      <c r="A1369">
        <v>1525004989</v>
      </c>
      <c r="B1369">
        <v>1525005590</v>
      </c>
      <c r="C1369" t="str">
        <f>T("신룡전설 101화")</f>
        <v>신룡전설 101화</v>
      </c>
      <c r="D1369" t="str">
        <f>T("101")</f>
        <v>101</v>
      </c>
      <c r="E1369" t="str">
        <f>T("가람검")</f>
        <v>가람검</v>
      </c>
      <c r="H1369" t="str">
        <f t="shared" si="166"/>
        <v>스토리위즈</v>
      </c>
      <c r="I1369" t="str">
        <f>T("신룡전설")</f>
        <v>신룡전설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100</v>
      </c>
      <c r="AH1369">
        <v>1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P1369" s="2">
        <v>70</v>
      </c>
      <c r="AT1369" t="str">
        <f>T("9791159283505")</f>
        <v>9791159283505</v>
      </c>
      <c r="AV1369" t="str">
        <f>T("판타지 웹소설 &gt; 무협 소설")</f>
        <v>판타지 웹소설 &gt; 무협 소설</v>
      </c>
    </row>
    <row r="1370" spans="1:48" x14ac:dyDescent="0.4">
      <c r="A1370">
        <v>1525008428</v>
      </c>
      <c r="B1370">
        <v>1525008517</v>
      </c>
      <c r="C1370" t="str">
        <f>T("무히비(Muhibbi) 외전 115화")</f>
        <v>무히비(Muhibbi) 외전 115화</v>
      </c>
      <c r="D1370" t="str">
        <f>T("115")</f>
        <v>115</v>
      </c>
      <c r="E1370" t="str">
        <f>T("jooki")</f>
        <v>jooki</v>
      </c>
      <c r="H1370" t="str">
        <f>T("블러쉬")</f>
        <v>블러쉬</v>
      </c>
      <c r="I1370" t="str">
        <f>T("무히비(Muhibbi)")</f>
        <v>무히비(Muhibbi)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100</v>
      </c>
      <c r="AH1370">
        <v>1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P1370" s="2">
        <v>70</v>
      </c>
      <c r="AR1370" t="str">
        <f>T("0000000000000")</f>
        <v>0000000000000</v>
      </c>
      <c r="AT1370" t="str">
        <f>T("9791164896622")</f>
        <v>9791164896622</v>
      </c>
      <c r="AV1370" t="str">
        <f>T("BL 웹소설 &gt; 역사/시대물")</f>
        <v>BL 웹소설 &gt; 역사/시대물</v>
      </c>
    </row>
    <row r="1371" spans="1:48" x14ac:dyDescent="0.4">
      <c r="A1371">
        <v>1525004030</v>
      </c>
      <c r="B1371">
        <v>1525006969</v>
      </c>
      <c r="C1371" t="str">
        <f>T("회귀의 전설 2부 853화")</f>
        <v>회귀의 전설 2부 853화</v>
      </c>
      <c r="D1371" t="str">
        <f>T("853")</f>
        <v>853</v>
      </c>
      <c r="E1371" t="str">
        <f>T("김광수")</f>
        <v>김광수</v>
      </c>
      <c r="H1371" t="str">
        <f>T("스토리위즈")</f>
        <v>스토리위즈</v>
      </c>
      <c r="I1371" t="str">
        <f>T("회귀의 전설")</f>
        <v>회귀의 전설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100</v>
      </c>
      <c r="AH1371">
        <v>1</v>
      </c>
      <c r="AI1371">
        <v>0</v>
      </c>
      <c r="AJ1371">
        <v>0</v>
      </c>
      <c r="AK1371">
        <v>100</v>
      </c>
      <c r="AL1371">
        <v>0</v>
      </c>
      <c r="AM1371">
        <v>0</v>
      </c>
      <c r="AN1371">
        <v>0</v>
      </c>
      <c r="AO1371">
        <v>0</v>
      </c>
      <c r="AP1371" s="2">
        <v>70</v>
      </c>
      <c r="AT1371" t="str">
        <f>T("9791191102086")</f>
        <v>9791191102086</v>
      </c>
      <c r="AV1371" t="str">
        <f>T("판타지 웹소설 &gt; 현대 판타지")</f>
        <v>판타지 웹소설 &gt; 현대 판타지</v>
      </c>
    </row>
    <row r="1372" spans="1:48" x14ac:dyDescent="0.4">
      <c r="A1372">
        <v>1525004030</v>
      </c>
      <c r="B1372">
        <v>1525004292</v>
      </c>
      <c r="C1372" t="str">
        <f>T("회귀의 전설 263화")</f>
        <v>회귀의 전설 263화</v>
      </c>
      <c r="D1372" t="str">
        <f>T("263")</f>
        <v>263</v>
      </c>
      <c r="E1372" t="str">
        <f>T("김광수")</f>
        <v>김광수</v>
      </c>
      <c r="H1372" t="str">
        <f>T("스토리위즈")</f>
        <v>스토리위즈</v>
      </c>
      <c r="I1372" t="str">
        <f>T("회귀의 전설")</f>
        <v>회귀의 전설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100</v>
      </c>
      <c r="AH1372">
        <v>1</v>
      </c>
      <c r="AI1372">
        <v>0</v>
      </c>
      <c r="AJ1372">
        <v>0</v>
      </c>
      <c r="AK1372">
        <v>100</v>
      </c>
      <c r="AL1372">
        <v>0</v>
      </c>
      <c r="AM1372">
        <v>0</v>
      </c>
      <c r="AN1372">
        <v>0</v>
      </c>
      <c r="AO1372">
        <v>0</v>
      </c>
      <c r="AP1372" s="2">
        <v>70</v>
      </c>
      <c r="AT1372" t="str">
        <f>T("9788997946006")</f>
        <v>9788997946006</v>
      </c>
      <c r="AV1372" t="str">
        <f>T("판타지 웹소설 &gt; 현대 판타지")</f>
        <v>판타지 웹소설 &gt; 현대 판타지</v>
      </c>
    </row>
    <row r="1373" spans="1:48" x14ac:dyDescent="0.4">
      <c r="A1373">
        <v>1525008545</v>
      </c>
      <c r="B1373">
        <v>1525008590</v>
      </c>
      <c r="C1373" t="str">
        <f>T("소년연애담 6화")</f>
        <v>소년연애담 6화</v>
      </c>
      <c r="D1373" t="str">
        <f>T("6")</f>
        <v>6</v>
      </c>
      <c r="E1373" t="str">
        <f>T("나나코")</f>
        <v>나나코</v>
      </c>
      <c r="H1373" t="str">
        <f>T("블러쉬")</f>
        <v>블러쉬</v>
      </c>
      <c r="I1373" t="str">
        <f>T("소년연애담")</f>
        <v>소년연애담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</v>
      </c>
      <c r="AH1373">
        <v>1</v>
      </c>
      <c r="AI1373">
        <v>0</v>
      </c>
      <c r="AJ1373">
        <v>0</v>
      </c>
      <c r="AK1373">
        <v>0</v>
      </c>
      <c r="AL1373">
        <v>0</v>
      </c>
      <c r="AM1373">
        <v>100</v>
      </c>
      <c r="AN1373">
        <v>0</v>
      </c>
      <c r="AO1373">
        <v>0</v>
      </c>
      <c r="AP1373" s="2">
        <v>70</v>
      </c>
      <c r="AR1373" t="str">
        <f>T("0000000000000")</f>
        <v>0000000000000</v>
      </c>
      <c r="AT1373" t="str">
        <f>T("9791164890729")</f>
        <v>9791164890729</v>
      </c>
      <c r="AU1373" t="str">
        <f>T("B12")</f>
        <v>B12</v>
      </c>
      <c r="AV1373" t="str">
        <f>T("BL 웹소설 &gt; 현대물")</f>
        <v>BL 웹소설 &gt; 현대물</v>
      </c>
    </row>
    <row r="1374" spans="1:48" x14ac:dyDescent="0.4">
      <c r="A1374">
        <v>1525010579</v>
      </c>
      <c r="B1374">
        <v>1525010217</v>
      </c>
      <c r="C1374" t="str">
        <f>T("법보다 주먹 361화")</f>
        <v>법보다 주먹 361화</v>
      </c>
      <c r="D1374" t="str">
        <f>T("361")</f>
        <v>361</v>
      </c>
      <c r="E1374" t="str">
        <f>T("백범(白帆)")</f>
        <v>백범(白帆)</v>
      </c>
      <c r="H1374" t="str">
        <f>T("에필로그")</f>
        <v>에필로그</v>
      </c>
      <c r="I1374" t="str">
        <f>T("법보다 주먹")</f>
        <v>법보다 주먹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100</v>
      </c>
      <c r="AH1374">
        <v>1</v>
      </c>
      <c r="AI1374">
        <v>0</v>
      </c>
      <c r="AJ1374">
        <v>0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 s="2">
        <v>70</v>
      </c>
      <c r="AT1374" t="str">
        <f>T("9791164489367")</f>
        <v>9791164489367</v>
      </c>
      <c r="AV1374" t="str">
        <f>T("판타지 웹소설 &gt; 현대 판타지")</f>
        <v>판타지 웹소설 &gt; 현대 판타지</v>
      </c>
    </row>
    <row r="1375" spans="1:48" x14ac:dyDescent="0.4">
      <c r="A1375">
        <v>1525004030</v>
      </c>
      <c r="B1375">
        <v>1525004404</v>
      </c>
      <c r="C1375" t="str">
        <f>T("회귀의 전설 376화")</f>
        <v>회귀의 전설 376화</v>
      </c>
      <c r="D1375" t="str">
        <f>T("376")</f>
        <v>376</v>
      </c>
      <c r="E1375" t="str">
        <f>T("김광수")</f>
        <v>김광수</v>
      </c>
      <c r="H1375" t="str">
        <f>T("스토리위즈")</f>
        <v>스토리위즈</v>
      </c>
      <c r="I1375" t="str">
        <f>T("회귀의 전설")</f>
        <v>회귀의 전설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100</v>
      </c>
      <c r="AH1375">
        <v>1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P1375" s="2">
        <v>70</v>
      </c>
      <c r="AT1375" t="str">
        <f>T("9788997946006")</f>
        <v>9788997946006</v>
      </c>
      <c r="AV1375" t="str">
        <f>T("판타지 웹소설 &gt; 현대 판타지")</f>
        <v>판타지 웹소설 &gt; 현대 판타지</v>
      </c>
    </row>
    <row r="1376" spans="1:48" x14ac:dyDescent="0.4">
      <c r="A1376">
        <v>1525004030</v>
      </c>
      <c r="B1376">
        <v>1525006737</v>
      </c>
      <c r="C1376" t="str">
        <f>T("회귀의 전설 2부 620화")</f>
        <v>회귀의 전설 2부 620화</v>
      </c>
      <c r="D1376" t="str">
        <f>T("620")</f>
        <v>620</v>
      </c>
      <c r="E1376" t="str">
        <f>T("김광수")</f>
        <v>김광수</v>
      </c>
      <c r="H1376" t="str">
        <f>T("스토리위즈")</f>
        <v>스토리위즈</v>
      </c>
      <c r="I1376" t="str">
        <f>T("회귀의 전설")</f>
        <v>회귀의 전설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100</v>
      </c>
      <c r="AH1376">
        <v>1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P1376" s="2">
        <v>70</v>
      </c>
      <c r="AT1376" t="str">
        <f>T("9791191102086")</f>
        <v>9791191102086</v>
      </c>
      <c r="AV1376" t="str">
        <f>T("판타지 웹소설 &gt; 현대 판타지")</f>
        <v>판타지 웹소설 &gt; 현대 판타지</v>
      </c>
    </row>
    <row r="1377" spans="1:48" x14ac:dyDescent="0.4">
      <c r="A1377">
        <v>1525004030</v>
      </c>
      <c r="B1377">
        <v>1525004484</v>
      </c>
      <c r="C1377" t="str">
        <f>T("회귀의 전설 468화")</f>
        <v>회귀의 전설 468화</v>
      </c>
      <c r="D1377" t="str">
        <f>T("468")</f>
        <v>468</v>
      </c>
      <c r="E1377" t="str">
        <f>T("김광수")</f>
        <v>김광수</v>
      </c>
      <c r="H1377" t="str">
        <f>T("스토리위즈")</f>
        <v>스토리위즈</v>
      </c>
      <c r="I1377" t="str">
        <f>T("회귀의 전설")</f>
        <v>회귀의 전설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100</v>
      </c>
      <c r="AH1377">
        <v>1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P1377" s="2">
        <v>70</v>
      </c>
      <c r="AT1377" t="str">
        <f>T("9788997946006")</f>
        <v>9788997946006</v>
      </c>
      <c r="AV1377" t="str">
        <f>T("판타지 웹소설 &gt; 현대 판타지")</f>
        <v>판타지 웹소설 &gt; 현대 판타지</v>
      </c>
    </row>
    <row r="1378" spans="1:48" x14ac:dyDescent="0.4">
      <c r="A1378">
        <v>1525007872</v>
      </c>
      <c r="B1378">
        <v>1525007888</v>
      </c>
      <c r="C1378" t="str">
        <f>T("아침이 오지 않아도 34화")</f>
        <v>아침이 오지 않아도 34화</v>
      </c>
      <c r="D1378" t="str">
        <f>T("34")</f>
        <v>34</v>
      </c>
      <c r="E1378" t="str">
        <f>T("홍영")</f>
        <v>홍영</v>
      </c>
      <c r="H1378" t="str">
        <f>T("러브스토리")</f>
        <v>러브스토리</v>
      </c>
      <c r="I1378" t="str">
        <f>T("아침이 오지 않아도")</f>
        <v>아침이 오지 않아도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</v>
      </c>
      <c r="AH1378">
        <v>1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P1378" s="2">
        <v>70</v>
      </c>
      <c r="AR1378" t="str">
        <f>T("0000000000000")</f>
        <v>0000000000000</v>
      </c>
      <c r="AT1378" t="str">
        <f>T("9791164899708")</f>
        <v>9791164899708</v>
      </c>
      <c r="AV1378" t="str">
        <f>T("로맨스 웹소설 &gt; 현대물")</f>
        <v>로맨스 웹소설 &gt; 현대물</v>
      </c>
    </row>
    <row r="1379" spans="1:48" x14ac:dyDescent="0.4">
      <c r="A1379">
        <v>1525004030</v>
      </c>
      <c r="B1379">
        <v>1525007053</v>
      </c>
      <c r="C1379" t="str">
        <f>T("회귀의 전설 2부 937화")</f>
        <v>회귀의 전설 2부 937화</v>
      </c>
      <c r="D1379" t="str">
        <f>T("937")</f>
        <v>937</v>
      </c>
      <c r="E1379" t="str">
        <f>T("김광수")</f>
        <v>김광수</v>
      </c>
      <c r="H1379" t="str">
        <f t="shared" ref="H1379:H1389" si="167">T("스토리위즈")</f>
        <v>스토리위즈</v>
      </c>
      <c r="I1379" t="str">
        <f>T("회귀의 전설")</f>
        <v>회귀의 전설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100</v>
      </c>
      <c r="AH1379">
        <v>1</v>
      </c>
      <c r="AI1379">
        <v>0</v>
      </c>
      <c r="AJ1379">
        <v>0</v>
      </c>
      <c r="AK1379">
        <v>100</v>
      </c>
      <c r="AL1379">
        <v>0</v>
      </c>
      <c r="AM1379">
        <v>0</v>
      </c>
      <c r="AN1379">
        <v>0</v>
      </c>
      <c r="AO1379">
        <v>0</v>
      </c>
      <c r="AP1379" s="2">
        <v>70</v>
      </c>
      <c r="AT1379" t="str">
        <f>T("9791191102086")</f>
        <v>9791191102086</v>
      </c>
      <c r="AV1379" t="str">
        <f>T("판타지 웹소설 &gt; 현대 판타지")</f>
        <v>판타지 웹소설 &gt; 현대 판타지</v>
      </c>
    </row>
    <row r="1380" spans="1:48" x14ac:dyDescent="0.4">
      <c r="A1380">
        <v>1525004989</v>
      </c>
      <c r="B1380">
        <v>1525005622</v>
      </c>
      <c r="C1380" t="str">
        <f>T("신룡전설 133화")</f>
        <v>신룡전설 133화</v>
      </c>
      <c r="D1380" t="str">
        <f>T("133")</f>
        <v>133</v>
      </c>
      <c r="E1380" t="str">
        <f>T("가람검")</f>
        <v>가람검</v>
      </c>
      <c r="H1380" t="str">
        <f t="shared" si="167"/>
        <v>스토리위즈</v>
      </c>
      <c r="I1380" t="str">
        <f>T("신룡전설")</f>
        <v>신룡전설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P1380" s="2">
        <v>70</v>
      </c>
      <c r="AT1380" t="str">
        <f>T("9791159283505")</f>
        <v>9791159283505</v>
      </c>
      <c r="AV1380" t="str">
        <f>T("판타지 웹소설 &gt; 무협 소설")</f>
        <v>판타지 웹소설 &gt; 무협 소설</v>
      </c>
    </row>
    <row r="1381" spans="1:48" x14ac:dyDescent="0.4">
      <c r="A1381">
        <v>2313011400</v>
      </c>
      <c r="B1381">
        <v>1525007695</v>
      </c>
      <c r="C1381" t="str">
        <f>T("최종 보스 23권 20화")</f>
        <v>최종 보스 23권 20화</v>
      </c>
      <c r="D1381" t="str">
        <f>T("473")</f>
        <v>473</v>
      </c>
      <c r="E1381" t="str">
        <f>T("무장")</f>
        <v>무장</v>
      </c>
      <c r="H1381" t="str">
        <f t="shared" si="167"/>
        <v>스토리위즈</v>
      </c>
      <c r="I1381" t="str">
        <f>T("최종 보스 : 빛을 향해 달리는 그림자")</f>
        <v>최종 보스 : 빛을 향해 달리는 그림자</v>
      </c>
      <c r="J1381">
        <v>100</v>
      </c>
      <c r="K1381">
        <v>100</v>
      </c>
      <c r="L1381">
        <v>1</v>
      </c>
      <c r="M1381">
        <v>0</v>
      </c>
      <c r="N1381">
        <v>100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200</v>
      </c>
      <c r="AL1381">
        <v>0</v>
      </c>
      <c r="AM1381">
        <v>0</v>
      </c>
      <c r="AN1381">
        <v>0</v>
      </c>
      <c r="AO1381">
        <v>0</v>
      </c>
      <c r="AP1381" s="2">
        <v>140</v>
      </c>
      <c r="AT1381" t="str">
        <f>T("9791166067563")</f>
        <v>9791166067563</v>
      </c>
      <c r="AV1381" t="str">
        <f>T("판타지 웹소설 &gt; 현대 판타지")</f>
        <v>판타지 웹소설 &gt; 현대 판타지</v>
      </c>
    </row>
    <row r="1382" spans="1:48" x14ac:dyDescent="0.4">
      <c r="A1382">
        <v>1525004030</v>
      </c>
      <c r="B1382">
        <v>1525007001</v>
      </c>
      <c r="C1382" t="str">
        <f>T("회귀의 전설 2부 885화")</f>
        <v>회귀의 전설 2부 885화</v>
      </c>
      <c r="D1382" t="str">
        <f>T("885")</f>
        <v>885</v>
      </c>
      <c r="E1382" t="str">
        <f>T("김광수")</f>
        <v>김광수</v>
      </c>
      <c r="H1382" t="str">
        <f t="shared" si="167"/>
        <v>스토리위즈</v>
      </c>
      <c r="I1382" t="str">
        <f>T("회귀의 전설")</f>
        <v>회귀의 전설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 s="2">
        <v>70</v>
      </c>
      <c r="AT1382" t="str">
        <f>T("9791191102086")</f>
        <v>9791191102086</v>
      </c>
      <c r="AV1382" t="str">
        <f>T("판타지 웹소설 &gt; 현대 판타지")</f>
        <v>판타지 웹소설 &gt; 현대 판타지</v>
      </c>
    </row>
    <row r="1383" spans="1:48" x14ac:dyDescent="0.4">
      <c r="A1383">
        <v>2313011400</v>
      </c>
      <c r="B1383">
        <v>1525007599</v>
      </c>
      <c r="C1383" t="str">
        <f>T("최종 보스 19권 5화")</f>
        <v>최종 보스 19권 5화</v>
      </c>
      <c r="D1383" t="str">
        <f>T("377")</f>
        <v>377</v>
      </c>
      <c r="E1383" t="str">
        <f>T("무장")</f>
        <v>무장</v>
      </c>
      <c r="H1383" t="str">
        <f t="shared" si="167"/>
        <v>스토리위즈</v>
      </c>
      <c r="I1383" t="str">
        <f>T("최종 보스 : 빛을 향해 달리는 그림자")</f>
        <v>최종 보스 : 빛을 향해 달리는 그림자</v>
      </c>
      <c r="J1383">
        <v>100</v>
      </c>
      <c r="K1383">
        <v>100</v>
      </c>
      <c r="L1383">
        <v>1</v>
      </c>
      <c r="M1383">
        <v>0</v>
      </c>
      <c r="N1383">
        <v>100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200</v>
      </c>
      <c r="AL1383">
        <v>0</v>
      </c>
      <c r="AM1383">
        <v>0</v>
      </c>
      <c r="AN1383">
        <v>0</v>
      </c>
      <c r="AO1383">
        <v>0</v>
      </c>
      <c r="AP1383" s="2">
        <v>140</v>
      </c>
      <c r="AT1383" t="str">
        <f>T("9791166067563")</f>
        <v>9791166067563</v>
      </c>
      <c r="AV1383" t="str">
        <f>T("판타지 웹소설 &gt; 현대 판타지")</f>
        <v>판타지 웹소설 &gt; 현대 판타지</v>
      </c>
    </row>
    <row r="1384" spans="1:48" x14ac:dyDescent="0.4">
      <c r="A1384">
        <v>1525004030</v>
      </c>
      <c r="B1384">
        <v>1525004324</v>
      </c>
      <c r="C1384" t="str">
        <f>T("회귀의 전설 295화")</f>
        <v>회귀의 전설 295화</v>
      </c>
      <c r="D1384" t="str">
        <f>T("295")</f>
        <v>295</v>
      </c>
      <c r="E1384" t="str">
        <f>T("김광수")</f>
        <v>김광수</v>
      </c>
      <c r="H1384" t="str">
        <f t="shared" si="167"/>
        <v>스토리위즈</v>
      </c>
      <c r="I1384" t="str">
        <f>T("회귀의 전설")</f>
        <v>회귀의 전설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 s="2">
        <v>70</v>
      </c>
      <c r="AT1384" t="str">
        <f>T("9788997946006")</f>
        <v>9788997946006</v>
      </c>
      <c r="AV1384" t="str">
        <f>T("판타지 웹소설 &gt; 현대 판타지")</f>
        <v>판타지 웹소설 &gt; 현대 판타지</v>
      </c>
    </row>
    <row r="1385" spans="1:48" x14ac:dyDescent="0.4">
      <c r="A1385">
        <v>1525004988</v>
      </c>
      <c r="B1385">
        <v>1525005340</v>
      </c>
      <c r="C1385" t="str">
        <f>T("용무쌍 53화")</f>
        <v>용무쌍 53화</v>
      </c>
      <c r="D1385" t="str">
        <f>T("53")</f>
        <v>53</v>
      </c>
      <c r="E1385" t="str">
        <f>T("권용찬")</f>
        <v>권용찬</v>
      </c>
      <c r="H1385" t="str">
        <f t="shared" si="167"/>
        <v>스토리위즈</v>
      </c>
      <c r="I1385" t="str">
        <f>T("용무쌍")</f>
        <v>용무쌍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 s="2">
        <v>70</v>
      </c>
      <c r="AT1385" t="str">
        <f>T("9791159284861")</f>
        <v>9791159284861</v>
      </c>
      <c r="AV1385" t="str">
        <f>T("판타지 웹소설 &gt; 무협 소설")</f>
        <v>판타지 웹소설 &gt; 무협 소설</v>
      </c>
    </row>
    <row r="1386" spans="1:48" x14ac:dyDescent="0.4">
      <c r="A1386">
        <v>1525004030</v>
      </c>
      <c r="B1386">
        <v>1525004436</v>
      </c>
      <c r="C1386" t="str">
        <f>T("회귀의 전설 420화")</f>
        <v>회귀의 전설 420화</v>
      </c>
      <c r="D1386" t="str">
        <f>T("420")</f>
        <v>420</v>
      </c>
      <c r="E1386" t="str">
        <f>T("김광수")</f>
        <v>김광수</v>
      </c>
      <c r="H1386" t="str">
        <f t="shared" si="167"/>
        <v>스토리위즈</v>
      </c>
      <c r="I1386" t="str">
        <f>T("회귀의 전설")</f>
        <v>회귀의 전설</v>
      </c>
      <c r="J1386">
        <v>100</v>
      </c>
      <c r="K1386">
        <v>100</v>
      </c>
      <c r="L1386">
        <v>1</v>
      </c>
      <c r="M1386">
        <v>0</v>
      </c>
      <c r="N1386">
        <v>100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200</v>
      </c>
      <c r="AL1386">
        <v>0</v>
      </c>
      <c r="AM1386">
        <v>0</v>
      </c>
      <c r="AN1386">
        <v>0</v>
      </c>
      <c r="AO1386">
        <v>0</v>
      </c>
      <c r="AP1386" s="2">
        <v>140</v>
      </c>
      <c r="AT1386" t="str">
        <f>T("9788997946006")</f>
        <v>9788997946006</v>
      </c>
      <c r="AV1386" t="str">
        <f>T("판타지 웹소설 &gt; 현대 판타지")</f>
        <v>판타지 웹소설 &gt; 현대 판타지</v>
      </c>
    </row>
    <row r="1387" spans="1:48" x14ac:dyDescent="0.4">
      <c r="A1387">
        <v>1525004030</v>
      </c>
      <c r="B1387">
        <v>1525004516</v>
      </c>
      <c r="C1387" t="str">
        <f>T("회귀의 전설 387화")</f>
        <v>회귀의 전설 387화</v>
      </c>
      <c r="D1387" t="str">
        <f>T("387")</f>
        <v>387</v>
      </c>
      <c r="E1387" t="str">
        <f>T("김광수")</f>
        <v>김광수</v>
      </c>
      <c r="H1387" t="str">
        <f t="shared" si="167"/>
        <v>스토리위즈</v>
      </c>
      <c r="I1387" t="str">
        <f>T("회귀의 전설")</f>
        <v>회귀의 전설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 s="2">
        <v>70</v>
      </c>
      <c r="AT1387" t="str">
        <f>T("9788997946006")</f>
        <v>9788997946006</v>
      </c>
      <c r="AV1387" t="str">
        <f>T("판타지 웹소설 &gt; 현대 판타지")</f>
        <v>판타지 웹소설 &gt; 현대 판타지</v>
      </c>
    </row>
    <row r="1388" spans="1:48" x14ac:dyDescent="0.4">
      <c r="A1388">
        <v>1525004989</v>
      </c>
      <c r="B1388">
        <v>1525005542</v>
      </c>
      <c r="C1388" t="str">
        <f>T("신룡전설 53화")</f>
        <v>신룡전설 53화</v>
      </c>
      <c r="D1388" t="str">
        <f>T("53")</f>
        <v>53</v>
      </c>
      <c r="E1388" t="str">
        <f>T("가람검")</f>
        <v>가람검</v>
      </c>
      <c r="H1388" t="str">
        <f t="shared" si="167"/>
        <v>스토리위즈</v>
      </c>
      <c r="I1388" t="str">
        <f>T("신룡전설")</f>
        <v>신룡전설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 s="2">
        <v>70</v>
      </c>
      <c r="AT1388" t="str">
        <f>T("9791159283505")</f>
        <v>9791159283505</v>
      </c>
      <c r="AV1388" t="str">
        <f>T("판타지 웹소설 &gt; 무협 소설")</f>
        <v>판타지 웹소설 &gt; 무협 소설</v>
      </c>
    </row>
    <row r="1389" spans="1:48" x14ac:dyDescent="0.4">
      <c r="A1389">
        <v>1525004030</v>
      </c>
      <c r="B1389">
        <v>1525007085</v>
      </c>
      <c r="C1389" t="str">
        <f>T("회귀의 전설 2부 969화")</f>
        <v>회귀의 전설 2부 969화</v>
      </c>
      <c r="D1389" t="str">
        <f>T("969")</f>
        <v>969</v>
      </c>
      <c r="E1389" t="str">
        <f>T("김광수")</f>
        <v>김광수</v>
      </c>
      <c r="H1389" t="str">
        <f t="shared" si="167"/>
        <v>스토리위즈</v>
      </c>
      <c r="I1389" t="str">
        <f>T("회귀의 전설")</f>
        <v>회귀의 전설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 s="2">
        <v>70</v>
      </c>
      <c r="AT1389" t="str">
        <f>T("9791191102086")</f>
        <v>9791191102086</v>
      </c>
      <c r="AV1389" t="str">
        <f>T("판타지 웹소설 &gt; 현대 판타지")</f>
        <v>판타지 웹소설 &gt; 현대 판타지</v>
      </c>
    </row>
    <row r="1390" spans="1:48" x14ac:dyDescent="0.4">
      <c r="A1390">
        <v>1525007923</v>
      </c>
      <c r="B1390">
        <v>1525007975</v>
      </c>
      <c r="C1390" t="str">
        <f>T("운상연담: 화불능귀일락 67화")</f>
        <v>운상연담: 화불능귀일락 67화</v>
      </c>
      <c r="D1390" t="str">
        <f>T("67")</f>
        <v>67</v>
      </c>
      <c r="E1390" t="str">
        <f>T("피모")</f>
        <v>피모</v>
      </c>
      <c r="H1390" t="str">
        <f>T("쉬라즈")</f>
        <v>쉬라즈</v>
      </c>
      <c r="I1390" t="str">
        <f>T("운상연담: 화불능귀일락")</f>
        <v>운상연담: 화불능귀일락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 s="2">
        <v>70</v>
      </c>
      <c r="AT1390" t="str">
        <f>T("9791164896646")</f>
        <v>9791164896646</v>
      </c>
      <c r="AV1390" t="str">
        <f>T("로맨스 웹소설 &gt; 역사/시대물")</f>
        <v>로맨스 웹소설 &gt; 역사/시대물</v>
      </c>
    </row>
    <row r="1391" spans="1:48" x14ac:dyDescent="0.4">
      <c r="A1391">
        <v>2313011400</v>
      </c>
      <c r="B1391">
        <v>1525007631</v>
      </c>
      <c r="C1391" t="str">
        <f>T("최종 보스 20권 16화")</f>
        <v>최종 보스 20권 16화</v>
      </c>
      <c r="D1391" t="str">
        <f>T("409")</f>
        <v>409</v>
      </c>
      <c r="E1391" t="str">
        <f>T("무장")</f>
        <v>무장</v>
      </c>
      <c r="H1391" t="str">
        <f>T("스토리위즈")</f>
        <v>스토리위즈</v>
      </c>
      <c r="I1391" t="str">
        <f>T("최종 보스 : 빛을 향해 달리는 그림자")</f>
        <v>최종 보스 : 빛을 향해 달리는 그림자</v>
      </c>
      <c r="J1391">
        <v>100</v>
      </c>
      <c r="K1391">
        <v>100</v>
      </c>
      <c r="L1391">
        <v>1</v>
      </c>
      <c r="M1391">
        <v>0</v>
      </c>
      <c r="N1391">
        <v>100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200</v>
      </c>
      <c r="AL1391">
        <v>0</v>
      </c>
      <c r="AM1391">
        <v>0</v>
      </c>
      <c r="AN1391">
        <v>0</v>
      </c>
      <c r="AO1391">
        <v>0</v>
      </c>
      <c r="AP1391" s="2">
        <v>140</v>
      </c>
      <c r="AT1391" t="str">
        <f>T("9791166067563")</f>
        <v>9791166067563</v>
      </c>
      <c r="AV1391" t="str">
        <f>T("판타지 웹소설 &gt; 현대 판타지")</f>
        <v>판타지 웹소설 &gt; 현대 판타지</v>
      </c>
    </row>
    <row r="1392" spans="1:48" x14ac:dyDescent="0.4">
      <c r="A1392">
        <v>1525004030</v>
      </c>
      <c r="B1392">
        <v>1525004356</v>
      </c>
      <c r="C1392" t="str">
        <f>T("회귀의 전설 328화")</f>
        <v>회귀의 전설 328화</v>
      </c>
      <c r="D1392" t="str">
        <f>T("328")</f>
        <v>328</v>
      </c>
      <c r="E1392" t="str">
        <f>T("김광수")</f>
        <v>김광수</v>
      </c>
      <c r="H1392" t="str">
        <f>T("스토리위즈")</f>
        <v>스토리위즈</v>
      </c>
      <c r="I1392" t="str">
        <f>T("회귀의 전설")</f>
        <v>회귀의 전설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 s="2">
        <v>70</v>
      </c>
      <c r="AT1392" t="str">
        <f>T("9788997946006")</f>
        <v>9788997946006</v>
      </c>
      <c r="AV1392" t="str">
        <f>T("판타지 웹소설 &gt; 현대 판타지")</f>
        <v>판타지 웹소설 &gt; 현대 판타지</v>
      </c>
    </row>
    <row r="1393" spans="1:48" x14ac:dyDescent="0.4">
      <c r="A1393">
        <v>1525004989</v>
      </c>
      <c r="B1393">
        <v>1525005518</v>
      </c>
      <c r="C1393" t="str">
        <f>T("신룡전설 29화")</f>
        <v>신룡전설 29화</v>
      </c>
      <c r="D1393" t="str">
        <f>T("29")</f>
        <v>29</v>
      </c>
      <c r="E1393" t="str">
        <f>T("가람검")</f>
        <v>가람검</v>
      </c>
      <c r="H1393" t="str">
        <f>T("스토리위즈")</f>
        <v>스토리위즈</v>
      </c>
      <c r="I1393" t="str">
        <f>T("신룡전설")</f>
        <v>신룡전설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 s="2">
        <v>70</v>
      </c>
      <c r="AT1393" t="str">
        <f>T("9791159283505")</f>
        <v>9791159283505</v>
      </c>
      <c r="AV1393" t="str">
        <f>T("판타지 웹소설 &gt; 무협 소설")</f>
        <v>판타지 웹소설 &gt; 무협 소설</v>
      </c>
    </row>
    <row r="1394" spans="1:48" x14ac:dyDescent="0.4">
      <c r="A1394">
        <v>1525004030</v>
      </c>
      <c r="B1394">
        <v>1525007157</v>
      </c>
      <c r="C1394" t="str">
        <f>T("회귀의 전설 2부 1040화")</f>
        <v>회귀의 전설 2부 1040화</v>
      </c>
      <c r="D1394" t="str">
        <f>T("1040")</f>
        <v>1040</v>
      </c>
      <c r="E1394" t="str">
        <f>T("김광수")</f>
        <v>김광수</v>
      </c>
      <c r="H1394" t="str">
        <f>T("스토리위즈")</f>
        <v>스토리위즈</v>
      </c>
      <c r="I1394" t="str">
        <f>T("회귀의 전설")</f>
        <v>회귀의 전설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 s="2">
        <v>70</v>
      </c>
      <c r="AT1394" t="str">
        <f>T("9791191102086")</f>
        <v>9791191102086</v>
      </c>
      <c r="AV1394" t="str">
        <f>T("판타지 웹소설 &gt; 현대 판타지")</f>
        <v>판타지 웹소설 &gt; 현대 판타지</v>
      </c>
    </row>
    <row r="1395" spans="1:48" x14ac:dyDescent="0.4">
      <c r="A1395">
        <v>1525004030</v>
      </c>
      <c r="B1395">
        <v>1525004468</v>
      </c>
      <c r="C1395" t="str">
        <f>T("회귀의 전설 452화")</f>
        <v>회귀의 전설 452화</v>
      </c>
      <c r="D1395" t="str">
        <f>T("452")</f>
        <v>452</v>
      </c>
      <c r="E1395" t="str">
        <f>T("김광수")</f>
        <v>김광수</v>
      </c>
      <c r="H1395" t="str">
        <f>T("스토리위즈")</f>
        <v>스토리위즈</v>
      </c>
      <c r="I1395" t="str">
        <f>T("회귀의 전설")</f>
        <v>회귀의 전설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 s="2">
        <v>70</v>
      </c>
      <c r="AT1395" t="str">
        <f>T("9788997946006")</f>
        <v>9788997946006</v>
      </c>
      <c r="AV1395" t="str">
        <f>T("판타지 웹소설 &gt; 현대 판타지")</f>
        <v>판타지 웹소설 &gt; 현대 판타지</v>
      </c>
    </row>
    <row r="1396" spans="1:48" x14ac:dyDescent="0.4">
      <c r="A1396">
        <v>1525008545</v>
      </c>
      <c r="B1396">
        <v>1525008558</v>
      </c>
      <c r="C1396" t="str">
        <f>T("소년연애담 31화")</f>
        <v>소년연애담 31화</v>
      </c>
      <c r="D1396" t="str">
        <f>T("31")</f>
        <v>31</v>
      </c>
      <c r="E1396" t="str">
        <f>T("나나코")</f>
        <v>나나코</v>
      </c>
      <c r="H1396" t="str">
        <f>T("블러쉬")</f>
        <v>블러쉬</v>
      </c>
      <c r="I1396" t="str">
        <f>T("소년연애담")</f>
        <v>소년연애담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100</v>
      </c>
      <c r="AN1396">
        <v>0</v>
      </c>
      <c r="AO1396">
        <v>0</v>
      </c>
      <c r="AP1396" s="2">
        <v>70</v>
      </c>
      <c r="AR1396" t="str">
        <f>T("0000000000000")</f>
        <v>0000000000000</v>
      </c>
      <c r="AT1396" t="str">
        <f>T("9791164890729")</f>
        <v>9791164890729</v>
      </c>
      <c r="AU1396" t="str">
        <f>T("B12")</f>
        <v>B12</v>
      </c>
      <c r="AV1396" t="str">
        <f>T("BL 웹소설 &gt; 현대물")</f>
        <v>BL 웹소설 &gt; 현대물</v>
      </c>
    </row>
    <row r="1397" spans="1:48" x14ac:dyDescent="0.4">
      <c r="A1397">
        <v>1525004989</v>
      </c>
      <c r="B1397">
        <v>1525005574</v>
      </c>
      <c r="C1397" t="str">
        <f>T("신룡전설 85화")</f>
        <v>신룡전설 85화</v>
      </c>
      <c r="D1397" t="str">
        <f>T("85")</f>
        <v>85</v>
      </c>
      <c r="E1397" t="str">
        <f>T("가람검")</f>
        <v>가람검</v>
      </c>
      <c r="H1397" t="str">
        <f>T("스토리위즈")</f>
        <v>스토리위즈</v>
      </c>
      <c r="I1397" t="str">
        <f>T("신룡전설")</f>
        <v>신룡전설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 s="2">
        <v>70</v>
      </c>
      <c r="AT1397" t="str">
        <f>T("9791159283505")</f>
        <v>9791159283505</v>
      </c>
      <c r="AV1397" t="str">
        <f>T("판타지 웹소설 &gt; 무협 소설")</f>
        <v>판타지 웹소설 &gt; 무협 소설</v>
      </c>
    </row>
    <row r="1398" spans="1:48" x14ac:dyDescent="0.4">
      <c r="A1398">
        <v>1525008717</v>
      </c>
      <c r="B1398">
        <v>1525008750</v>
      </c>
      <c r="C1398" t="str">
        <f>T("음양상열지사 4화")</f>
        <v>음양상열지사 4화</v>
      </c>
      <c r="D1398" t="str">
        <f>T("4")</f>
        <v>4</v>
      </c>
      <c r="E1398" t="str">
        <f>T("이염")</f>
        <v>이염</v>
      </c>
      <c r="H1398" t="str">
        <f>T("블러쉬")</f>
        <v>블러쉬</v>
      </c>
      <c r="I1398" t="str">
        <f>T("음양상열지사")</f>
        <v>음양상열지사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119.05</v>
      </c>
      <c r="AN1398">
        <v>-35.72</v>
      </c>
      <c r="AO1398">
        <v>0</v>
      </c>
      <c r="AP1398" s="2">
        <v>58.33</v>
      </c>
      <c r="AR1398" t="str">
        <f>T("0000000000000")</f>
        <v>0000000000000</v>
      </c>
      <c r="AT1398" t="str">
        <f>T("9791164896639")</f>
        <v>9791164896639</v>
      </c>
      <c r="AU1398" t="str">
        <f>T("B10")</f>
        <v>B10</v>
      </c>
      <c r="AV1398" t="str">
        <f>T("BL 웹소설 &gt; 역사/시대물")</f>
        <v>BL 웹소설 &gt; 역사/시대물</v>
      </c>
    </row>
    <row r="1399" spans="1:48" x14ac:dyDescent="0.4">
      <c r="A1399">
        <v>1525004030</v>
      </c>
      <c r="B1399">
        <v>1525007117</v>
      </c>
      <c r="C1399" t="str">
        <f>T("회귀의 전설 2부 1001화")</f>
        <v>회귀의 전설 2부 1001화</v>
      </c>
      <c r="D1399" t="str">
        <f>T("1001")</f>
        <v>1001</v>
      </c>
      <c r="E1399" t="str">
        <f>T("김광수")</f>
        <v>김광수</v>
      </c>
      <c r="H1399" t="str">
        <f>T("스토리위즈")</f>
        <v>스토리위즈</v>
      </c>
      <c r="I1399" t="str">
        <f>T("회귀의 전설")</f>
        <v>회귀의 전설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 s="2">
        <v>70</v>
      </c>
      <c r="AT1399" t="str">
        <f>T("9791191102086")</f>
        <v>9791191102086</v>
      </c>
      <c r="AV1399" t="str">
        <f>T("판타지 웹소설 &gt; 현대 판타지")</f>
        <v>판타지 웹소설 &gt; 현대 판타지</v>
      </c>
    </row>
    <row r="1400" spans="1:48" x14ac:dyDescent="0.4">
      <c r="A1400">
        <v>1525007923</v>
      </c>
      <c r="B1400">
        <v>1525008010</v>
      </c>
      <c r="C1400" t="str">
        <f>T("운상연담: 화불능귀일락 99화")</f>
        <v>운상연담: 화불능귀일락 99화</v>
      </c>
      <c r="D1400" t="str">
        <f>T("99")</f>
        <v>99</v>
      </c>
      <c r="E1400" t="str">
        <f>T("피모")</f>
        <v>피모</v>
      </c>
      <c r="H1400" t="str">
        <f>T("쉬라즈")</f>
        <v>쉬라즈</v>
      </c>
      <c r="I1400" t="str">
        <f>T("운상연담: 화불능귀일락")</f>
        <v>운상연담: 화불능귀일락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 s="2">
        <v>70</v>
      </c>
      <c r="AT1400" t="str">
        <f>T("9791164896646")</f>
        <v>9791164896646</v>
      </c>
      <c r="AV1400" t="str">
        <f>T("로맨스 웹소설 &gt; 역사/시대물")</f>
        <v>로맨스 웹소설 &gt; 역사/시대물</v>
      </c>
    </row>
    <row r="1401" spans="1:48" x14ac:dyDescent="0.4">
      <c r="A1401">
        <v>1525004030</v>
      </c>
      <c r="B1401">
        <v>1525004372</v>
      </c>
      <c r="C1401" t="str">
        <f>T("회귀의 전설 344화")</f>
        <v>회귀의 전설 344화</v>
      </c>
      <c r="D1401" t="str">
        <f>T("344")</f>
        <v>344</v>
      </c>
      <c r="E1401" t="str">
        <f>T("김광수")</f>
        <v>김광수</v>
      </c>
      <c r="H1401" t="str">
        <f t="shared" ref="H1401:H1414" si="168">T("스토리위즈")</f>
        <v>스토리위즈</v>
      </c>
      <c r="I1401" t="str">
        <f>T("회귀의 전설")</f>
        <v>회귀의 전설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 s="2">
        <v>70</v>
      </c>
      <c r="AT1401" t="str">
        <f>T("9788997946006")</f>
        <v>9788997946006</v>
      </c>
      <c r="AV1401" t="str">
        <f>T("판타지 웹소설 &gt; 현대 판타지")</f>
        <v>판타지 웹소설 &gt; 현대 판타지</v>
      </c>
    </row>
    <row r="1402" spans="1:48" x14ac:dyDescent="0.4">
      <c r="A1402">
        <v>1525002864</v>
      </c>
      <c r="B1402">
        <v>1525002910</v>
      </c>
      <c r="C1402" t="str">
        <f>T("소드마스터의 환생 47화")</f>
        <v>소드마스터의 환생 47화</v>
      </c>
      <c r="D1402" t="str">
        <f>T("47")</f>
        <v>47</v>
      </c>
      <c r="E1402" t="str">
        <f>T("파란영")</f>
        <v>파란영</v>
      </c>
      <c r="H1402" t="str">
        <f t="shared" si="168"/>
        <v>스토리위즈</v>
      </c>
      <c r="I1402" t="str">
        <f>T("소드마스터의 환생")</f>
        <v>소드마스터의 환생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 s="2">
        <v>70</v>
      </c>
      <c r="AT1402" t="str">
        <f>T("9791159287527")</f>
        <v>9791159287527</v>
      </c>
      <c r="AV1402" t="str">
        <f>T("판타지 웹소설 &gt; 정통 판타지")</f>
        <v>판타지 웹소설 &gt; 정통 판타지</v>
      </c>
    </row>
    <row r="1403" spans="1:48" x14ac:dyDescent="0.4">
      <c r="A1403">
        <v>1525002409</v>
      </c>
      <c r="B1403">
        <v>1525002591</v>
      </c>
      <c r="C1403" t="str">
        <f>T("스포트라이트 183화")</f>
        <v>스포트라이트 183화</v>
      </c>
      <c r="D1403" t="str">
        <f>T("183")</f>
        <v>183</v>
      </c>
      <c r="E1403" t="str">
        <f>T("전혁")</f>
        <v>전혁</v>
      </c>
      <c r="H1403" t="str">
        <f t="shared" si="168"/>
        <v>스토리위즈</v>
      </c>
      <c r="I1403" t="str">
        <f>T("스포트라이트")</f>
        <v>스포트라이트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P1403" s="2">
        <v>70</v>
      </c>
      <c r="AT1403" t="str">
        <f>T("9791159286841")</f>
        <v>9791159286841</v>
      </c>
      <c r="AV1403" t="str">
        <f>T("판타지 웹소설 &gt; 현대 판타지")</f>
        <v>판타지 웹소설 &gt; 현대 판타지</v>
      </c>
    </row>
    <row r="1404" spans="1:48" x14ac:dyDescent="0.4">
      <c r="A1404">
        <v>1525004988</v>
      </c>
      <c r="B1404">
        <v>1525005333</v>
      </c>
      <c r="C1404" t="str">
        <f>T("용무쌍 46화")</f>
        <v>용무쌍 46화</v>
      </c>
      <c r="D1404" t="str">
        <f>T("46")</f>
        <v>46</v>
      </c>
      <c r="E1404" t="str">
        <f>T("권용찬")</f>
        <v>권용찬</v>
      </c>
      <c r="H1404" t="str">
        <f t="shared" si="168"/>
        <v>스토리위즈</v>
      </c>
      <c r="I1404" t="str">
        <f>T("용무쌍")</f>
        <v>용무쌍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1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 s="2">
        <v>70</v>
      </c>
      <c r="AT1404" t="str">
        <f>T("9791159284861")</f>
        <v>9791159284861</v>
      </c>
      <c r="AV1404" t="str">
        <f>T("판타지 웹소설 &gt; 무협 소설")</f>
        <v>판타지 웹소설 &gt; 무협 소설</v>
      </c>
    </row>
    <row r="1405" spans="1:48" x14ac:dyDescent="0.4">
      <c r="A1405">
        <v>1525004030</v>
      </c>
      <c r="B1405">
        <v>1525004429</v>
      </c>
      <c r="C1405" t="str">
        <f>T("회귀의 전설 413화")</f>
        <v>회귀의 전설 413화</v>
      </c>
      <c r="D1405" t="str">
        <f>T("413")</f>
        <v>413</v>
      </c>
      <c r="E1405" t="str">
        <f>T("김광수")</f>
        <v>김광수</v>
      </c>
      <c r="H1405" t="str">
        <f t="shared" si="168"/>
        <v>스토리위즈</v>
      </c>
      <c r="I1405" t="str">
        <f>T("회귀의 전설")</f>
        <v>회귀의 전설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 s="2">
        <v>70</v>
      </c>
      <c r="AT1405" t="str">
        <f>T("9788997946006")</f>
        <v>9788997946006</v>
      </c>
      <c r="AV1405" t="str">
        <f>T("판타지 웹소설 &gt; 현대 판타지")</f>
        <v>판타지 웹소설 &gt; 현대 판타지</v>
      </c>
    </row>
    <row r="1406" spans="1:48" x14ac:dyDescent="0.4">
      <c r="A1406">
        <v>1525004030</v>
      </c>
      <c r="B1406">
        <v>1525004509</v>
      </c>
      <c r="C1406" t="str">
        <f>T("회귀의 전설 498화")</f>
        <v>회귀의 전설 498화</v>
      </c>
      <c r="D1406" t="str">
        <f>T("498")</f>
        <v>498</v>
      </c>
      <c r="E1406" t="str">
        <f>T("김광수")</f>
        <v>김광수</v>
      </c>
      <c r="H1406" t="str">
        <f t="shared" si="168"/>
        <v>스토리위즈</v>
      </c>
      <c r="I1406" t="str">
        <f>T("회귀의 전설")</f>
        <v>회귀의 전설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 s="2">
        <v>70</v>
      </c>
      <c r="AT1406" t="str">
        <f>T("9788997946006")</f>
        <v>9788997946006</v>
      </c>
      <c r="AV1406" t="str">
        <f>T("판타지 웹소설 &gt; 현대 판타지")</f>
        <v>판타지 웹소설 &gt; 현대 판타지</v>
      </c>
    </row>
    <row r="1407" spans="1:48" x14ac:dyDescent="0.4">
      <c r="A1407">
        <v>1525004989</v>
      </c>
      <c r="B1407">
        <v>1525005535</v>
      </c>
      <c r="C1407" t="str">
        <f>T("신룡전설 46화")</f>
        <v>신룡전설 46화</v>
      </c>
      <c r="D1407" t="str">
        <f>T("46")</f>
        <v>46</v>
      </c>
      <c r="E1407" t="str">
        <f>T("가람검")</f>
        <v>가람검</v>
      </c>
      <c r="H1407" t="str">
        <f t="shared" si="168"/>
        <v>스토리위즈</v>
      </c>
      <c r="I1407" t="str">
        <f>T("신룡전설")</f>
        <v>신룡전설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1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 s="2">
        <v>70</v>
      </c>
      <c r="AT1407" t="str">
        <f>T("9791159283505")</f>
        <v>9791159283505</v>
      </c>
      <c r="AV1407" t="str">
        <f>T("판타지 웹소설 &gt; 무협 소설")</f>
        <v>판타지 웹소설 &gt; 무협 소설</v>
      </c>
    </row>
    <row r="1408" spans="1:48" x14ac:dyDescent="0.4">
      <c r="A1408">
        <v>1525000569</v>
      </c>
      <c r="B1408">
        <v>1525000657</v>
      </c>
      <c r="C1408" t="str">
        <f>T("스트라이커 88화")</f>
        <v>스트라이커 88화</v>
      </c>
      <c r="D1408" t="str">
        <f>T("88")</f>
        <v>88</v>
      </c>
      <c r="E1408" t="str">
        <f>T("독고진")</f>
        <v>독고진</v>
      </c>
      <c r="H1408" t="str">
        <f t="shared" si="168"/>
        <v>스토리위즈</v>
      </c>
      <c r="I1408" t="str">
        <f>T("스트라이커")</f>
        <v>스트라이커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 s="2">
        <v>70</v>
      </c>
      <c r="AT1408" t="str">
        <f>T("9791170151678")</f>
        <v>9791170151678</v>
      </c>
      <c r="AV1408" t="str">
        <f t="shared" ref="AV1408:AV1414" si="169">T("판타지 웹소설 &gt; 현대 판타지")</f>
        <v>판타지 웹소설 &gt; 현대 판타지</v>
      </c>
    </row>
    <row r="1409" spans="1:48" x14ac:dyDescent="0.4">
      <c r="A1409">
        <v>1525004030</v>
      </c>
      <c r="B1409">
        <v>1525007078</v>
      </c>
      <c r="C1409" t="str">
        <f>T("회귀의 전설 2부 962화")</f>
        <v>회귀의 전설 2부 962화</v>
      </c>
      <c r="D1409" t="str">
        <f>T("962")</f>
        <v>962</v>
      </c>
      <c r="E1409" t="str">
        <f>T("김광수")</f>
        <v>김광수</v>
      </c>
      <c r="H1409" t="str">
        <f t="shared" si="168"/>
        <v>스토리위즈</v>
      </c>
      <c r="I1409" t="str">
        <f>T("회귀의 전설")</f>
        <v>회귀의 전설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 s="2">
        <v>70</v>
      </c>
      <c r="AT1409" t="str">
        <f>T("9791191102086")</f>
        <v>9791191102086</v>
      </c>
      <c r="AV1409" t="str">
        <f t="shared" si="169"/>
        <v>판타지 웹소설 &gt; 현대 판타지</v>
      </c>
    </row>
    <row r="1410" spans="1:48" x14ac:dyDescent="0.4">
      <c r="A1410">
        <v>2313011400</v>
      </c>
      <c r="B1410">
        <v>1525007624</v>
      </c>
      <c r="C1410" t="str">
        <f>T("최종 보스 20권 9화")</f>
        <v>최종 보스 20권 9화</v>
      </c>
      <c r="D1410" t="str">
        <f>T("402")</f>
        <v>402</v>
      </c>
      <c r="E1410" t="str">
        <f>T("무장")</f>
        <v>무장</v>
      </c>
      <c r="H1410" t="str">
        <f t="shared" si="168"/>
        <v>스토리위즈</v>
      </c>
      <c r="I1410" t="str">
        <f>T("최종 보스 : 빛을 향해 달리는 그림자")</f>
        <v>최종 보스 : 빛을 향해 달리는 그림자</v>
      </c>
      <c r="J1410">
        <v>100</v>
      </c>
      <c r="K1410">
        <v>100</v>
      </c>
      <c r="L1410">
        <v>1</v>
      </c>
      <c r="M1410">
        <v>0</v>
      </c>
      <c r="N1410">
        <v>100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200</v>
      </c>
      <c r="AL1410">
        <v>0</v>
      </c>
      <c r="AM1410">
        <v>0</v>
      </c>
      <c r="AN1410">
        <v>0</v>
      </c>
      <c r="AO1410">
        <v>0</v>
      </c>
      <c r="AP1410" s="2">
        <v>140</v>
      </c>
      <c r="AT1410" t="str">
        <f>T("9791166067563")</f>
        <v>9791166067563</v>
      </c>
      <c r="AV1410" t="str">
        <f t="shared" si="169"/>
        <v>판타지 웹소설 &gt; 현대 판타지</v>
      </c>
    </row>
    <row r="1411" spans="1:48" x14ac:dyDescent="0.4">
      <c r="A1411">
        <v>1525004030</v>
      </c>
      <c r="B1411">
        <v>1525004349</v>
      </c>
      <c r="C1411" t="str">
        <f>T("회귀의 전설 321화")</f>
        <v>회귀의 전설 321화</v>
      </c>
      <c r="D1411" t="str">
        <f>T("321")</f>
        <v>321</v>
      </c>
      <c r="E1411" t="str">
        <f>T("김광수")</f>
        <v>김광수</v>
      </c>
      <c r="H1411" t="str">
        <f t="shared" si="168"/>
        <v>스토리위즈</v>
      </c>
      <c r="I1411" t="str">
        <f>T("회귀의 전설")</f>
        <v>회귀의 전설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 s="2">
        <v>70</v>
      </c>
      <c r="AT1411" t="str">
        <f>T("9788997946006")</f>
        <v>9788997946006</v>
      </c>
      <c r="AV1411" t="str">
        <f t="shared" si="169"/>
        <v>판타지 웹소설 &gt; 현대 판타지</v>
      </c>
    </row>
    <row r="1412" spans="1:48" x14ac:dyDescent="0.4">
      <c r="A1412">
        <v>1525004030</v>
      </c>
      <c r="B1412">
        <v>1525004087</v>
      </c>
      <c r="C1412" t="str">
        <f>T("회귀의 전설 58화")</f>
        <v>회귀의 전설 58화</v>
      </c>
      <c r="D1412" t="str">
        <f>T("58")</f>
        <v>58</v>
      </c>
      <c r="E1412" t="str">
        <f>T("김광수")</f>
        <v>김광수</v>
      </c>
      <c r="H1412" t="str">
        <f t="shared" si="168"/>
        <v>스토리위즈</v>
      </c>
      <c r="I1412" t="str">
        <f>T("회귀의 전설")</f>
        <v>회귀의 전설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100</v>
      </c>
      <c r="AH1412">
        <v>1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P1412" s="2">
        <v>70</v>
      </c>
      <c r="AT1412" t="str">
        <f>T("9788997946006")</f>
        <v>9788997946006</v>
      </c>
      <c r="AV1412" t="str">
        <f t="shared" si="169"/>
        <v>판타지 웹소설 &gt; 현대 판타지</v>
      </c>
    </row>
    <row r="1413" spans="1:48" x14ac:dyDescent="0.4">
      <c r="A1413">
        <v>1525004030</v>
      </c>
      <c r="B1413">
        <v>1525007150</v>
      </c>
      <c r="C1413" t="str">
        <f>T("회귀의 전설 2부 1033화")</f>
        <v>회귀의 전설 2부 1033화</v>
      </c>
      <c r="D1413" t="str">
        <f>T("1033")</f>
        <v>1033</v>
      </c>
      <c r="E1413" t="str">
        <f>T("김광수")</f>
        <v>김광수</v>
      </c>
      <c r="H1413" t="str">
        <f t="shared" si="168"/>
        <v>스토리위즈</v>
      </c>
      <c r="I1413" t="str">
        <f>T("회귀의 전설")</f>
        <v>회귀의 전설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P1413" s="2">
        <v>70</v>
      </c>
      <c r="AT1413" t="str">
        <f>T("9791191102086")</f>
        <v>9791191102086</v>
      </c>
      <c r="AV1413" t="str">
        <f t="shared" si="169"/>
        <v>판타지 웹소설 &gt; 현대 판타지</v>
      </c>
    </row>
    <row r="1414" spans="1:48" x14ac:dyDescent="0.4">
      <c r="A1414">
        <v>1525004030</v>
      </c>
      <c r="B1414">
        <v>1525004461</v>
      </c>
      <c r="C1414" t="str">
        <f>T("회귀의 전설 445화")</f>
        <v>회귀의 전설 445화</v>
      </c>
      <c r="D1414" t="str">
        <f>T("445")</f>
        <v>445</v>
      </c>
      <c r="E1414" t="str">
        <f>T("김광수")</f>
        <v>김광수</v>
      </c>
      <c r="H1414" t="str">
        <f t="shared" si="168"/>
        <v>스토리위즈</v>
      </c>
      <c r="I1414" t="str">
        <f>T("회귀의 전설")</f>
        <v>회귀의 전설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 s="2">
        <v>70</v>
      </c>
      <c r="AT1414" t="str">
        <f>T("9788997946006")</f>
        <v>9788997946006</v>
      </c>
      <c r="AV1414" t="str">
        <f t="shared" si="169"/>
        <v>판타지 웹소설 &gt; 현대 판타지</v>
      </c>
    </row>
    <row r="1415" spans="1:48" x14ac:dyDescent="0.4">
      <c r="A1415">
        <v>1525008545</v>
      </c>
      <c r="B1415">
        <v>1525008551</v>
      </c>
      <c r="C1415" t="str">
        <f>T("소년연애담 25화")</f>
        <v>소년연애담 25화</v>
      </c>
      <c r="D1415" t="str">
        <f>T("25")</f>
        <v>25</v>
      </c>
      <c r="E1415" t="str">
        <f>T("나나코")</f>
        <v>나나코</v>
      </c>
      <c r="H1415" t="str">
        <f>T("블러쉬")</f>
        <v>블러쉬</v>
      </c>
      <c r="I1415" t="str">
        <f>T("소년연애담")</f>
        <v>소년연애담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100</v>
      </c>
      <c r="AN1415">
        <v>0</v>
      </c>
      <c r="AO1415">
        <v>0</v>
      </c>
      <c r="AP1415" s="2">
        <v>70</v>
      </c>
      <c r="AR1415" t="str">
        <f>T("0000000000000")</f>
        <v>0000000000000</v>
      </c>
      <c r="AT1415" t="str">
        <f>T("9791164890729")</f>
        <v>9791164890729</v>
      </c>
      <c r="AU1415" t="str">
        <f>T("B12")</f>
        <v>B12</v>
      </c>
      <c r="AV1415" t="str">
        <f>T("BL 웹소설 &gt; 현대물")</f>
        <v>BL 웹소설 &gt; 현대물</v>
      </c>
    </row>
    <row r="1416" spans="1:48" x14ac:dyDescent="0.4">
      <c r="A1416">
        <v>1525004989</v>
      </c>
      <c r="B1416">
        <v>1525005567</v>
      </c>
      <c r="C1416" t="str">
        <f>T("신룡전설 78화")</f>
        <v>신룡전설 78화</v>
      </c>
      <c r="D1416" t="str">
        <f>T("78")</f>
        <v>78</v>
      </c>
      <c r="E1416" t="str">
        <f>T("가람검")</f>
        <v>가람검</v>
      </c>
      <c r="H1416" t="str">
        <f>T("스토리위즈")</f>
        <v>스토리위즈</v>
      </c>
      <c r="I1416" t="str">
        <f>T("신룡전설")</f>
        <v>신룡전설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 s="2">
        <v>70</v>
      </c>
      <c r="AT1416" t="str">
        <f>T("9791159283505")</f>
        <v>9791159283505</v>
      </c>
      <c r="AV1416" t="str">
        <f>T("판타지 웹소설 &gt; 무협 소설")</f>
        <v>판타지 웹소설 &gt; 무협 소설</v>
      </c>
    </row>
    <row r="1417" spans="1:48" x14ac:dyDescent="0.4">
      <c r="A1417">
        <v>1525008604</v>
      </c>
      <c r="B1417">
        <v>1525008637</v>
      </c>
      <c r="C1417" t="str">
        <f>T("우아한 곡선 4화")</f>
        <v>우아한 곡선 4화</v>
      </c>
      <c r="D1417" t="str">
        <f>T("4")</f>
        <v>4</v>
      </c>
      <c r="E1417" t="str">
        <f>T("용가리맛쿠키")</f>
        <v>용가리맛쿠키</v>
      </c>
      <c r="H1417" t="str">
        <f>T("블러쉬")</f>
        <v>블러쉬</v>
      </c>
      <c r="I1417" t="str">
        <f>T("우아한 곡선")</f>
        <v>우아한 곡선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 s="2">
        <v>70</v>
      </c>
      <c r="AR1417" t="str">
        <f>T("0000000000000")</f>
        <v>0000000000000</v>
      </c>
      <c r="AT1417" t="str">
        <f>T("9791164896615")</f>
        <v>9791164896615</v>
      </c>
      <c r="AV1417" t="str">
        <f>T("BL 웹소설 &gt; 현대물")</f>
        <v>BL 웹소설 &gt; 현대물</v>
      </c>
    </row>
    <row r="1418" spans="1:48" x14ac:dyDescent="0.4">
      <c r="A1418">
        <v>1525004030</v>
      </c>
      <c r="B1418">
        <v>1525007110</v>
      </c>
      <c r="C1418" t="str">
        <f>T("회귀의 전설 2부 994화")</f>
        <v>회귀의 전설 2부 994화</v>
      </c>
      <c r="D1418" t="str">
        <f>T("994")</f>
        <v>994</v>
      </c>
      <c r="E1418" t="str">
        <f>T("김광수")</f>
        <v>김광수</v>
      </c>
      <c r="H1418" t="str">
        <f>T("스토리위즈")</f>
        <v>스토리위즈</v>
      </c>
      <c r="I1418" t="str">
        <f>T("회귀의 전설")</f>
        <v>회귀의 전설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 s="2">
        <v>70</v>
      </c>
      <c r="AT1418" t="str">
        <f>T("9791191102086")</f>
        <v>9791191102086</v>
      </c>
      <c r="AV1418" t="str">
        <f>T("판타지 웹소설 &gt; 현대 판타지")</f>
        <v>판타지 웹소설 &gt; 현대 판타지</v>
      </c>
    </row>
    <row r="1419" spans="1:48" x14ac:dyDescent="0.4">
      <c r="A1419">
        <v>1525007923</v>
      </c>
      <c r="B1419">
        <v>1525008003</v>
      </c>
      <c r="C1419" t="str">
        <f>T("운상연담: 화불능귀일락 92화")</f>
        <v>운상연담: 화불능귀일락 92화</v>
      </c>
      <c r="D1419" t="str">
        <f>T("92")</f>
        <v>92</v>
      </c>
      <c r="E1419" t="str">
        <f>T("피모")</f>
        <v>피모</v>
      </c>
      <c r="H1419" t="str">
        <f>T("쉬라즈")</f>
        <v>쉬라즈</v>
      </c>
      <c r="I1419" t="str">
        <f>T("운상연담: 화불능귀일락")</f>
        <v>운상연담: 화불능귀일락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 s="2">
        <v>70</v>
      </c>
      <c r="AT1419" t="str">
        <f>T("9791164896646")</f>
        <v>9791164896646</v>
      </c>
      <c r="AV1419" t="str">
        <f>T("로맨스 웹소설 &gt; 역사/시대물")</f>
        <v>로맨스 웹소설 &gt; 역사/시대물</v>
      </c>
    </row>
    <row r="1420" spans="1:48" x14ac:dyDescent="0.4">
      <c r="A1420">
        <v>1525002864</v>
      </c>
      <c r="B1420">
        <v>1525002903</v>
      </c>
      <c r="C1420" t="str">
        <f>T("소드마스터의 환생 40화")</f>
        <v>소드마스터의 환생 40화</v>
      </c>
      <c r="D1420" t="str">
        <f>T("40")</f>
        <v>40</v>
      </c>
      <c r="E1420" t="str">
        <f>T("파란영")</f>
        <v>파란영</v>
      </c>
      <c r="H1420" t="str">
        <f>T("스토리위즈")</f>
        <v>스토리위즈</v>
      </c>
      <c r="I1420" t="str">
        <f>T("소드마스터의 환생")</f>
        <v>소드마스터의 환생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 s="2">
        <v>70</v>
      </c>
      <c r="AT1420" t="str">
        <f>T("9791159287527")</f>
        <v>9791159287527</v>
      </c>
      <c r="AV1420" t="str">
        <f>T("판타지 웹소설 &gt; 정통 판타지")</f>
        <v>판타지 웹소설 &gt; 정통 판타지</v>
      </c>
    </row>
    <row r="1421" spans="1:48" x14ac:dyDescent="0.4">
      <c r="A1421">
        <v>1525002409</v>
      </c>
      <c r="B1421">
        <v>1525002576</v>
      </c>
      <c r="C1421" t="str">
        <f>T("스포트라이트 168화")</f>
        <v>스포트라이트 168화</v>
      </c>
      <c r="D1421" t="str">
        <f>T("168")</f>
        <v>168</v>
      </c>
      <c r="E1421" t="str">
        <f>T("전혁")</f>
        <v>전혁</v>
      </c>
      <c r="H1421" t="str">
        <f>T("스토리위즈")</f>
        <v>스토리위즈</v>
      </c>
      <c r="I1421" t="str">
        <f>T("스포트라이트")</f>
        <v>스포트라이트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 s="2">
        <v>70</v>
      </c>
      <c r="AT1421" t="str">
        <f>T("9791159286841")</f>
        <v>9791159286841</v>
      </c>
      <c r="AV1421" t="str">
        <f>T("판타지 웹소설 &gt; 현대 판타지")</f>
        <v>판타지 웹소설 &gt; 현대 판타지</v>
      </c>
    </row>
    <row r="1422" spans="1:48" x14ac:dyDescent="0.4">
      <c r="A1422">
        <v>2313011400</v>
      </c>
      <c r="B1422">
        <v>1525007656</v>
      </c>
      <c r="C1422" t="str">
        <f>T("최종 보스 22권 1화")</f>
        <v>최종 보스 22권 1화</v>
      </c>
      <c r="D1422" t="str">
        <f>T("434")</f>
        <v>434</v>
      </c>
      <c r="E1422" t="str">
        <f>T("무장")</f>
        <v>무장</v>
      </c>
      <c r="H1422" t="str">
        <f>T("스토리위즈")</f>
        <v>스토리위즈</v>
      </c>
      <c r="I1422" t="str">
        <f>T("최종 보스 : 빛을 향해 달리는 그림자")</f>
        <v>최종 보스 : 빛을 향해 달리는 그림자</v>
      </c>
      <c r="J1422">
        <v>100</v>
      </c>
      <c r="K1422">
        <v>100</v>
      </c>
      <c r="L1422">
        <v>1</v>
      </c>
      <c r="M1422">
        <v>0</v>
      </c>
      <c r="N1422">
        <v>100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200</v>
      </c>
      <c r="AL1422">
        <v>0</v>
      </c>
      <c r="AM1422">
        <v>0</v>
      </c>
      <c r="AN1422">
        <v>0</v>
      </c>
      <c r="AO1422">
        <v>0</v>
      </c>
      <c r="AP1422" s="2">
        <v>140</v>
      </c>
      <c r="AT1422" t="str">
        <f>T("9791166067563")</f>
        <v>9791166067563</v>
      </c>
      <c r="AV1422" t="str">
        <f>T("판타지 웹소설 &gt; 현대 판타지")</f>
        <v>판타지 웹소설 &gt; 현대 판타지</v>
      </c>
    </row>
    <row r="1423" spans="1:48" x14ac:dyDescent="0.4">
      <c r="A1423">
        <v>1525004030</v>
      </c>
      <c r="B1423">
        <v>1525006714</v>
      </c>
      <c r="C1423" t="str">
        <f>T("회귀의 전설 2부 597화")</f>
        <v>회귀의 전설 2부 597화</v>
      </c>
      <c r="D1423" t="str">
        <f>T("597")</f>
        <v>597</v>
      </c>
      <c r="E1423" t="str">
        <f>T("김광수")</f>
        <v>김광수</v>
      </c>
      <c r="H1423" t="str">
        <f>T("스토리위즈")</f>
        <v>스토리위즈</v>
      </c>
      <c r="I1423" t="str">
        <f>T("회귀의 전설")</f>
        <v>회귀의 전설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1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 s="2">
        <v>70</v>
      </c>
      <c r="AT1423" t="str">
        <f>T("9791191102086")</f>
        <v>9791191102086</v>
      </c>
      <c r="AV1423" t="str">
        <f>T("판타지 웹소설 &gt; 현대 판타지")</f>
        <v>판타지 웹소설 &gt; 현대 판타지</v>
      </c>
    </row>
    <row r="1424" spans="1:48" x14ac:dyDescent="0.4">
      <c r="A1424">
        <v>1525004989</v>
      </c>
      <c r="B1424">
        <v>1525005583</v>
      </c>
      <c r="C1424" t="str">
        <f>T("신룡전설 94화")</f>
        <v>신룡전설 94화</v>
      </c>
      <c r="D1424" t="str">
        <f>T("94")</f>
        <v>94</v>
      </c>
      <c r="E1424" t="str">
        <f>T("가람검")</f>
        <v>가람검</v>
      </c>
      <c r="H1424" t="str">
        <f>T("스토리위즈")</f>
        <v>스토리위즈</v>
      </c>
      <c r="I1424" t="str">
        <f>T("신룡전설")</f>
        <v>신룡전설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 s="2">
        <v>70</v>
      </c>
      <c r="AT1424" t="str">
        <f>T("9791159283505")</f>
        <v>9791159283505</v>
      </c>
      <c r="AV1424" t="str">
        <f>T("판타지 웹소설 &gt; 무협 소설")</f>
        <v>판타지 웹소설 &gt; 무협 소설</v>
      </c>
    </row>
    <row r="1425" spans="1:48" x14ac:dyDescent="0.4">
      <c r="A1425">
        <v>1525008276</v>
      </c>
      <c r="B1425">
        <v>1525008336</v>
      </c>
      <c r="C1425" t="str">
        <f>T("달보드레 외전 3")</f>
        <v>달보드레 외전 3</v>
      </c>
      <c r="D1425" t="str">
        <f>T("70")</f>
        <v>70</v>
      </c>
      <c r="E1425" t="str">
        <f>T("시아")</f>
        <v>시아</v>
      </c>
      <c r="H1425" t="str">
        <f>T("비엘스토리")</f>
        <v>비엘스토리</v>
      </c>
      <c r="I1425" t="str">
        <f>T("달보드레")</f>
        <v>달보드레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 s="2">
        <v>70</v>
      </c>
      <c r="AR1425" t="str">
        <f>T("0000000000000")</f>
        <v>0000000000000</v>
      </c>
      <c r="AT1425" t="str">
        <f>T("9791164899715")</f>
        <v>9791164899715</v>
      </c>
      <c r="AV1425" t="str">
        <f>T("BL 웹소설 &gt; 현대물")</f>
        <v>BL 웹소설 &gt; 현대물</v>
      </c>
    </row>
    <row r="1426" spans="1:48" x14ac:dyDescent="0.4">
      <c r="A1426">
        <v>1525004989</v>
      </c>
      <c r="B1426">
        <v>1525005639</v>
      </c>
      <c r="C1426" t="str">
        <f>T("신룡전설 150화 (완결)")</f>
        <v>신룡전설 150화 (완결)</v>
      </c>
      <c r="D1426" t="str">
        <f>T("150")</f>
        <v>150</v>
      </c>
      <c r="E1426" t="str">
        <f>T("가람검")</f>
        <v>가람검</v>
      </c>
      <c r="H1426" t="str">
        <f>T("스토리위즈")</f>
        <v>스토리위즈</v>
      </c>
      <c r="I1426" t="str">
        <f>T("신룡전설")</f>
        <v>신룡전설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 s="2">
        <v>70</v>
      </c>
      <c r="AT1426" t="str">
        <f>T("9791159283505")</f>
        <v>9791159283505</v>
      </c>
      <c r="AV1426" t="str">
        <f>T("판타지 웹소설 &gt; 무협 소설")</f>
        <v>판타지 웹소설 &gt; 무협 소설</v>
      </c>
    </row>
    <row r="1427" spans="1:48" x14ac:dyDescent="0.4">
      <c r="A1427">
        <v>1525004030</v>
      </c>
      <c r="B1427">
        <v>1525004285</v>
      </c>
      <c r="C1427" t="str">
        <f>T("회귀의 전설 256화")</f>
        <v>회귀의 전설 256화</v>
      </c>
      <c r="D1427" t="str">
        <f>T("256")</f>
        <v>256</v>
      </c>
      <c r="E1427" t="str">
        <f>T("김광수")</f>
        <v>김광수</v>
      </c>
      <c r="H1427" t="str">
        <f>T("스토리위즈")</f>
        <v>스토리위즈</v>
      </c>
      <c r="I1427" t="str">
        <f>T("회귀의 전설")</f>
        <v>회귀의 전설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1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 s="2">
        <v>70</v>
      </c>
      <c r="AT1427" t="str">
        <f>T("9788997946006")</f>
        <v>9788997946006</v>
      </c>
      <c r="AV1427" t="str">
        <f>T("판타지 웹소설 &gt; 현대 판타지")</f>
        <v>판타지 웹소설 &gt; 현대 판타지</v>
      </c>
    </row>
    <row r="1428" spans="1:48" x14ac:dyDescent="0.4">
      <c r="A1428">
        <v>1525008545</v>
      </c>
      <c r="B1428">
        <v>1525008583</v>
      </c>
      <c r="C1428" t="str">
        <f>T("소년연애담 54화")</f>
        <v>소년연애담 54화</v>
      </c>
      <c r="D1428" t="str">
        <f>T("54")</f>
        <v>54</v>
      </c>
      <c r="E1428" t="str">
        <f>T("나나코")</f>
        <v>나나코</v>
      </c>
      <c r="H1428" t="str">
        <f>T("블러쉬")</f>
        <v>블러쉬</v>
      </c>
      <c r="I1428" t="str">
        <f>T("소년연애담")</f>
        <v>소년연애담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100</v>
      </c>
      <c r="AN1428">
        <v>0</v>
      </c>
      <c r="AO1428">
        <v>0</v>
      </c>
      <c r="AP1428" s="2">
        <v>70</v>
      </c>
      <c r="AR1428" t="str">
        <f>T("0000000000000")</f>
        <v>0000000000000</v>
      </c>
      <c r="AT1428" t="str">
        <f>T("9791164890729")</f>
        <v>9791164890729</v>
      </c>
      <c r="AU1428" t="str">
        <f>T("B12")</f>
        <v>B12</v>
      </c>
      <c r="AV1428" t="str">
        <f>T("BL 웹소설 &gt; 현대물")</f>
        <v>BL 웹소설 &gt; 현대물</v>
      </c>
    </row>
    <row r="1429" spans="1:48" x14ac:dyDescent="0.4">
      <c r="A1429">
        <v>1525010579</v>
      </c>
      <c r="B1429">
        <v>1525010207</v>
      </c>
      <c r="C1429" t="str">
        <f>T("법보다 주먹 371화")</f>
        <v>법보다 주먹 371화</v>
      </c>
      <c r="D1429" t="str">
        <f>T("371")</f>
        <v>371</v>
      </c>
      <c r="E1429" t="str">
        <f>T("백범(白帆)")</f>
        <v>백범(白帆)</v>
      </c>
      <c r="H1429" t="str">
        <f>T("에필로그")</f>
        <v>에필로그</v>
      </c>
      <c r="I1429" t="str">
        <f>T("법보다 주먹")</f>
        <v>법보다 주먹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 s="2">
        <v>70</v>
      </c>
      <c r="AT1429" t="str">
        <f>T("9791164489367")</f>
        <v>9791164489367</v>
      </c>
      <c r="AV1429" t="str">
        <f>T("판타지 웹소설 &gt; 현대 판타지")</f>
        <v>판타지 웹소설 &gt; 현대 판타지</v>
      </c>
    </row>
    <row r="1430" spans="1:48" x14ac:dyDescent="0.4">
      <c r="A1430">
        <v>1525004030</v>
      </c>
      <c r="B1430">
        <v>1525012952</v>
      </c>
      <c r="C1430" t="str">
        <f>T("회귀의 전설 1257화")</f>
        <v>회귀의 전설 1257화</v>
      </c>
      <c r="D1430" t="str">
        <f>T("1257")</f>
        <v>1257</v>
      </c>
      <c r="E1430" t="str">
        <f>T("김광수")</f>
        <v>김광수</v>
      </c>
      <c r="H1430" t="str">
        <f>T("스토리위즈")</f>
        <v>스토리위즈</v>
      </c>
      <c r="I1430" t="str">
        <f>T("회귀의 전설")</f>
        <v>회귀의 전설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 s="2">
        <v>70</v>
      </c>
      <c r="AT1430" t="str">
        <f>T("9791191102086")</f>
        <v>9791191102086</v>
      </c>
      <c r="AV1430" t="str">
        <f>T("판타지 웹소설 &gt; 현대 판타지")</f>
        <v>판타지 웹소설 &gt; 현대 판타지</v>
      </c>
    </row>
    <row r="1431" spans="1:48" x14ac:dyDescent="0.4">
      <c r="A1431">
        <v>1525004030</v>
      </c>
      <c r="B1431">
        <v>1525004397</v>
      </c>
      <c r="C1431" t="str">
        <f>T("회귀의 전설 369화")</f>
        <v>회귀의 전설 369화</v>
      </c>
      <c r="D1431" t="str">
        <f>T("369")</f>
        <v>369</v>
      </c>
      <c r="E1431" t="str">
        <f>T("김광수")</f>
        <v>김광수</v>
      </c>
      <c r="H1431" t="str">
        <f>T("스토리위즈")</f>
        <v>스토리위즈</v>
      </c>
      <c r="I1431" t="str">
        <f>T("회귀의 전설")</f>
        <v>회귀의 전설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 s="2">
        <v>70</v>
      </c>
      <c r="AT1431" t="str">
        <f>T("9788997946006")</f>
        <v>9788997946006</v>
      </c>
      <c r="AV1431" t="str">
        <f>T("판타지 웹소설 &gt; 현대 판타지")</f>
        <v>판타지 웹소설 &gt; 현대 판타지</v>
      </c>
    </row>
    <row r="1432" spans="1:48" x14ac:dyDescent="0.4">
      <c r="A1432">
        <v>1525004030</v>
      </c>
      <c r="B1432">
        <v>1525006730</v>
      </c>
      <c r="C1432" t="str">
        <f>T("회귀의 전설 2부 613화")</f>
        <v>회귀의 전설 2부 613화</v>
      </c>
      <c r="D1432" t="str">
        <f>T("613")</f>
        <v>613</v>
      </c>
      <c r="E1432" t="str">
        <f>T("김광수")</f>
        <v>김광수</v>
      </c>
      <c r="H1432" t="str">
        <f>T("스토리위즈")</f>
        <v>스토리위즈</v>
      </c>
      <c r="I1432" t="str">
        <f>T("회귀의 전설")</f>
        <v>회귀의 전설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 s="2">
        <v>70</v>
      </c>
      <c r="AT1432" t="str">
        <f>T("9791191102086")</f>
        <v>9791191102086</v>
      </c>
      <c r="AV1432" t="str">
        <f>T("판타지 웹소설 &gt; 현대 판타지")</f>
        <v>판타지 웹소설 &gt; 현대 판타지</v>
      </c>
    </row>
    <row r="1433" spans="1:48" x14ac:dyDescent="0.4">
      <c r="A1433">
        <v>1525007872</v>
      </c>
      <c r="B1433">
        <v>1525007881</v>
      </c>
      <c r="C1433" t="str">
        <f>T("아침이 오지 않아도 28화")</f>
        <v>아침이 오지 않아도 28화</v>
      </c>
      <c r="D1433" t="str">
        <f>T("28")</f>
        <v>28</v>
      </c>
      <c r="E1433" t="str">
        <f>T("홍영")</f>
        <v>홍영</v>
      </c>
      <c r="H1433" t="str">
        <f>T("러브스토리")</f>
        <v>러브스토리</v>
      </c>
      <c r="I1433" t="str">
        <f>T("아침이 오지 않아도")</f>
        <v>아침이 오지 않아도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 s="2">
        <v>70</v>
      </c>
      <c r="AR1433" t="str">
        <f>T("0000000000000")</f>
        <v>0000000000000</v>
      </c>
      <c r="AT1433" t="str">
        <f>T("9791164899708")</f>
        <v>9791164899708</v>
      </c>
      <c r="AV1433" t="str">
        <f>T("로맨스 웹소설 &gt; 현대물")</f>
        <v>로맨스 웹소설 &gt; 현대물</v>
      </c>
    </row>
    <row r="1434" spans="1:48" x14ac:dyDescent="0.4">
      <c r="A1434">
        <v>1525004030</v>
      </c>
      <c r="B1434">
        <v>1525007046</v>
      </c>
      <c r="C1434" t="str">
        <f>T("회귀의 전설 2부 930화")</f>
        <v>회귀의 전설 2부 930화</v>
      </c>
      <c r="D1434" t="str">
        <f>T("930")</f>
        <v>930</v>
      </c>
      <c r="E1434" t="str">
        <f>T("김광수")</f>
        <v>김광수</v>
      </c>
      <c r="H1434" t="str">
        <f t="shared" ref="H1434:H1445" si="170">T("스토리위즈")</f>
        <v>스토리위즈</v>
      </c>
      <c r="I1434" t="str">
        <f>T("회귀의 전설")</f>
        <v>회귀의 전설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 s="2">
        <v>70</v>
      </c>
      <c r="AT1434" t="str">
        <f>T("9791191102086")</f>
        <v>9791191102086</v>
      </c>
      <c r="AV1434" t="str">
        <f>T("판타지 웹소설 &gt; 현대 판타지")</f>
        <v>판타지 웹소설 &gt; 현대 판타지</v>
      </c>
    </row>
    <row r="1435" spans="1:48" x14ac:dyDescent="0.4">
      <c r="A1435">
        <v>2313011400</v>
      </c>
      <c r="B1435">
        <v>1525007688</v>
      </c>
      <c r="C1435" t="str">
        <f>T("최종 보스 23권 13화")</f>
        <v>최종 보스 23권 13화</v>
      </c>
      <c r="D1435" t="str">
        <f>T("466")</f>
        <v>466</v>
      </c>
      <c r="E1435" t="str">
        <f>T("무장")</f>
        <v>무장</v>
      </c>
      <c r="H1435" t="str">
        <f t="shared" si="170"/>
        <v>스토리위즈</v>
      </c>
      <c r="I1435" t="str">
        <f>T("최종 보스 : 빛을 향해 달리는 그림자")</f>
        <v>최종 보스 : 빛을 향해 달리는 그림자</v>
      </c>
      <c r="J1435">
        <v>100</v>
      </c>
      <c r="K1435">
        <v>100</v>
      </c>
      <c r="L1435">
        <v>1</v>
      </c>
      <c r="M1435">
        <v>0</v>
      </c>
      <c r="N1435">
        <v>100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200</v>
      </c>
      <c r="AL1435">
        <v>0</v>
      </c>
      <c r="AM1435">
        <v>0</v>
      </c>
      <c r="AN1435">
        <v>0</v>
      </c>
      <c r="AO1435">
        <v>0</v>
      </c>
      <c r="AP1435" s="2">
        <v>140</v>
      </c>
      <c r="AT1435" t="str">
        <f>T("9791166067563")</f>
        <v>9791166067563</v>
      </c>
      <c r="AV1435" t="str">
        <f>T("판타지 웹소설 &gt; 현대 판타지")</f>
        <v>판타지 웹소설 &gt; 현대 판타지</v>
      </c>
    </row>
    <row r="1436" spans="1:48" x14ac:dyDescent="0.4">
      <c r="A1436">
        <v>1525004988</v>
      </c>
      <c r="B1436">
        <v>1525005317</v>
      </c>
      <c r="C1436" t="str">
        <f>T("용무쌍 30화")</f>
        <v>용무쌍 30화</v>
      </c>
      <c r="D1436" t="str">
        <f>T("30")</f>
        <v>30</v>
      </c>
      <c r="E1436" t="str">
        <f>T("권용찬")</f>
        <v>권용찬</v>
      </c>
      <c r="H1436" t="str">
        <f t="shared" si="170"/>
        <v>스토리위즈</v>
      </c>
      <c r="I1436" t="str">
        <f>T("용무쌍")</f>
        <v>용무쌍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 s="2">
        <v>70</v>
      </c>
      <c r="AT1436" t="str">
        <f>T("9791159284861")</f>
        <v>9791159284861</v>
      </c>
      <c r="AV1436" t="str">
        <f>T("판타지 웹소설 &gt; 무협 소설")</f>
        <v>판타지 웹소설 &gt; 무협 소설</v>
      </c>
    </row>
    <row r="1437" spans="1:48" x14ac:dyDescent="0.4">
      <c r="A1437">
        <v>1525004989</v>
      </c>
      <c r="B1437">
        <v>1525005615</v>
      </c>
      <c r="C1437" t="str">
        <f>T("신룡전설 126화")</f>
        <v>신룡전설 126화</v>
      </c>
      <c r="D1437" t="str">
        <f>T("126")</f>
        <v>126</v>
      </c>
      <c r="E1437" t="str">
        <f>T("가람검")</f>
        <v>가람검</v>
      </c>
      <c r="H1437" t="str">
        <f t="shared" si="170"/>
        <v>스토리위즈</v>
      </c>
      <c r="I1437" t="str">
        <f>T("신룡전설")</f>
        <v>신룡전설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 s="2">
        <v>70</v>
      </c>
      <c r="AT1437" t="str">
        <f>T("9791159283505")</f>
        <v>9791159283505</v>
      </c>
      <c r="AV1437" t="str">
        <f>T("판타지 웹소설 &gt; 무협 소설")</f>
        <v>판타지 웹소설 &gt; 무협 소설</v>
      </c>
    </row>
    <row r="1438" spans="1:48" x14ac:dyDescent="0.4">
      <c r="A1438">
        <v>1525002409</v>
      </c>
      <c r="B1438">
        <v>1525002564</v>
      </c>
      <c r="C1438" t="str">
        <f>T("스포트라이트 156화")</f>
        <v>스포트라이트 156화</v>
      </c>
      <c r="D1438" t="str">
        <f>T("156")</f>
        <v>156</v>
      </c>
      <c r="E1438" t="str">
        <f>T("전혁")</f>
        <v>전혁</v>
      </c>
      <c r="H1438" t="str">
        <f t="shared" si="170"/>
        <v>스토리위즈</v>
      </c>
      <c r="I1438" t="str">
        <f>T("스포트라이트")</f>
        <v>스포트라이트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 s="2">
        <v>70</v>
      </c>
      <c r="AT1438" t="str">
        <f>T("9791159286841")</f>
        <v>9791159286841</v>
      </c>
      <c r="AV1438" t="str">
        <f t="shared" ref="AV1438:AV1445" si="171">T("판타지 웹소설 &gt; 현대 판타지")</f>
        <v>판타지 웹소설 &gt; 현대 판타지</v>
      </c>
    </row>
    <row r="1439" spans="1:48" x14ac:dyDescent="0.4">
      <c r="A1439">
        <v>1525004030</v>
      </c>
      <c r="B1439">
        <v>1525006994</v>
      </c>
      <c r="C1439" t="str">
        <f>T("회귀의 전설 2부 878화")</f>
        <v>회귀의 전설 2부 878화</v>
      </c>
      <c r="D1439" t="str">
        <f>T("878")</f>
        <v>878</v>
      </c>
      <c r="E1439" t="str">
        <f>T("김광수")</f>
        <v>김광수</v>
      </c>
      <c r="H1439" t="str">
        <f t="shared" si="170"/>
        <v>스토리위즈</v>
      </c>
      <c r="I1439" t="str">
        <f>T("회귀의 전설")</f>
        <v>회귀의 전설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 s="2">
        <v>70</v>
      </c>
      <c r="AT1439" t="str">
        <f>T("9791191102086")</f>
        <v>9791191102086</v>
      </c>
      <c r="AV1439" t="str">
        <f t="shared" si="171"/>
        <v>판타지 웹소설 &gt; 현대 판타지</v>
      </c>
    </row>
    <row r="1440" spans="1:48" x14ac:dyDescent="0.4">
      <c r="A1440">
        <v>1525004030</v>
      </c>
      <c r="B1440">
        <v>1525006650</v>
      </c>
      <c r="C1440" t="str">
        <f>T("회귀의 전설 2부 533화")</f>
        <v>회귀의 전설 2부 533화</v>
      </c>
      <c r="D1440" t="str">
        <f>T("533")</f>
        <v>533</v>
      </c>
      <c r="E1440" t="str">
        <f>T("김광수")</f>
        <v>김광수</v>
      </c>
      <c r="H1440" t="str">
        <f t="shared" si="170"/>
        <v>스토리위즈</v>
      </c>
      <c r="I1440" t="str">
        <f>T("회귀의 전설")</f>
        <v>회귀의 전설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 s="2">
        <v>70</v>
      </c>
      <c r="AT1440" t="str">
        <f>T("9791191102086")</f>
        <v>9791191102086</v>
      </c>
      <c r="AV1440" t="str">
        <f t="shared" si="171"/>
        <v>판타지 웹소설 &gt; 현대 판타지</v>
      </c>
    </row>
    <row r="1441" spans="1:48" x14ac:dyDescent="0.4">
      <c r="A1441">
        <v>1525004030</v>
      </c>
      <c r="B1441">
        <v>1525004317</v>
      </c>
      <c r="C1441" t="str">
        <f>T("회귀의 전설 288화")</f>
        <v>회귀의 전설 288화</v>
      </c>
      <c r="D1441" t="str">
        <f>T("288")</f>
        <v>288</v>
      </c>
      <c r="E1441" t="str">
        <f>T("김광수")</f>
        <v>김광수</v>
      </c>
      <c r="H1441" t="str">
        <f t="shared" si="170"/>
        <v>스토리위즈</v>
      </c>
      <c r="I1441" t="str">
        <f>T("회귀의 전설")</f>
        <v>회귀의 전설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 s="2">
        <v>70</v>
      </c>
      <c r="AT1441" t="str">
        <f>T("9788997946006")</f>
        <v>9788997946006</v>
      </c>
      <c r="AV1441" t="str">
        <f t="shared" si="171"/>
        <v>판타지 웹소설 &gt; 현대 판타지</v>
      </c>
    </row>
    <row r="1442" spans="1:48" x14ac:dyDescent="0.4">
      <c r="A1442">
        <v>2313011400</v>
      </c>
      <c r="B1442">
        <v>1525007649</v>
      </c>
      <c r="C1442" t="str">
        <f>T("최종 보스 21권 14화")</f>
        <v>최종 보스 21권 14화</v>
      </c>
      <c r="D1442" t="str">
        <f>T("427")</f>
        <v>427</v>
      </c>
      <c r="E1442" t="str">
        <f>T("무장")</f>
        <v>무장</v>
      </c>
      <c r="H1442" t="str">
        <f t="shared" si="170"/>
        <v>스토리위즈</v>
      </c>
      <c r="I1442" t="str">
        <f>T("최종 보스 : 빛을 향해 달리는 그림자")</f>
        <v>최종 보스 : 빛을 향해 달리는 그림자</v>
      </c>
      <c r="J1442">
        <v>100</v>
      </c>
      <c r="K1442">
        <v>100</v>
      </c>
      <c r="L1442">
        <v>1</v>
      </c>
      <c r="M1442">
        <v>0</v>
      </c>
      <c r="N1442">
        <v>100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200</v>
      </c>
      <c r="AL1442">
        <v>0</v>
      </c>
      <c r="AM1442">
        <v>0</v>
      </c>
      <c r="AN1442">
        <v>0</v>
      </c>
      <c r="AO1442">
        <v>0</v>
      </c>
      <c r="AP1442" s="2">
        <v>140</v>
      </c>
      <c r="AT1442" t="str">
        <f>T("9791166067563")</f>
        <v>9791166067563</v>
      </c>
      <c r="AV1442" t="str">
        <f t="shared" si="171"/>
        <v>판타지 웹소설 &gt; 현대 판타지</v>
      </c>
    </row>
    <row r="1443" spans="1:48" x14ac:dyDescent="0.4">
      <c r="A1443">
        <v>1525004030</v>
      </c>
      <c r="B1443">
        <v>1525004550</v>
      </c>
      <c r="C1443" t="str">
        <f>T("회귀의 전설 494화")</f>
        <v>회귀의 전설 494화</v>
      </c>
      <c r="D1443" t="str">
        <f>T("494")</f>
        <v>494</v>
      </c>
      <c r="E1443" t="str">
        <f>T("김광수")</f>
        <v>김광수</v>
      </c>
      <c r="H1443" t="str">
        <f t="shared" si="170"/>
        <v>스토리위즈</v>
      </c>
      <c r="I1443" t="str">
        <f>T("회귀의 전설")</f>
        <v>회귀의 전설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 s="2">
        <v>70</v>
      </c>
      <c r="AT1443" t="str">
        <f>T("9788997946006")</f>
        <v>9788997946006</v>
      </c>
      <c r="AV1443" t="str">
        <f t="shared" si="171"/>
        <v>판타지 웹소설 &gt; 현대 판타지</v>
      </c>
    </row>
    <row r="1444" spans="1:48" x14ac:dyDescent="0.4">
      <c r="A1444">
        <v>1525004030</v>
      </c>
      <c r="B1444">
        <v>1525006707</v>
      </c>
      <c r="C1444" t="str">
        <f>T("회귀의 전설 2부 590화")</f>
        <v>회귀의 전설 2부 590화</v>
      </c>
      <c r="D1444" t="str">
        <f>T("590")</f>
        <v>590</v>
      </c>
      <c r="E1444" t="str">
        <f>T("김광수")</f>
        <v>김광수</v>
      </c>
      <c r="H1444" t="str">
        <f t="shared" si="170"/>
        <v>스토리위즈</v>
      </c>
      <c r="I1444" t="str">
        <f>T("회귀의 전설")</f>
        <v>회귀의 전설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100</v>
      </c>
      <c r="AH1444">
        <v>1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P1444" s="2">
        <v>70</v>
      </c>
      <c r="AT1444" t="str">
        <f>T("9791191102086")</f>
        <v>9791191102086</v>
      </c>
      <c r="AV1444" t="str">
        <f t="shared" si="171"/>
        <v>판타지 웹소설 &gt; 현대 판타지</v>
      </c>
    </row>
    <row r="1445" spans="1:48" x14ac:dyDescent="0.4">
      <c r="A1445">
        <v>1525004030</v>
      </c>
      <c r="B1445">
        <v>1525004266</v>
      </c>
      <c r="C1445" t="str">
        <f>T("회귀의 전설 237화")</f>
        <v>회귀의 전설 237화</v>
      </c>
      <c r="D1445" t="str">
        <f>T("237")</f>
        <v>237</v>
      </c>
      <c r="E1445" t="str">
        <f>T("김광수")</f>
        <v>김광수</v>
      </c>
      <c r="H1445" t="str">
        <f t="shared" si="170"/>
        <v>스토리위즈</v>
      </c>
      <c r="I1445" t="str">
        <f>T("회귀의 전설")</f>
        <v>회귀의 전설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100</v>
      </c>
      <c r="AH1445">
        <v>1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P1445" s="2">
        <v>70</v>
      </c>
      <c r="AT1445" t="str">
        <f>T("9788997946006")</f>
        <v>9788997946006</v>
      </c>
      <c r="AV1445" t="str">
        <f t="shared" si="171"/>
        <v>판타지 웹소설 &gt; 현대 판타지</v>
      </c>
    </row>
    <row r="1446" spans="1:48" x14ac:dyDescent="0.4">
      <c r="A1446">
        <v>1525008545</v>
      </c>
      <c r="B1446">
        <v>1525008576</v>
      </c>
      <c r="C1446" t="str">
        <f>T("소년연애담 48화")</f>
        <v>소년연애담 48화</v>
      </c>
      <c r="D1446" t="str">
        <f>T("48")</f>
        <v>48</v>
      </c>
      <c r="E1446" t="str">
        <f>T("나나코")</f>
        <v>나나코</v>
      </c>
      <c r="H1446" t="str">
        <f>T("블러쉬")</f>
        <v>블러쉬</v>
      </c>
      <c r="I1446" t="str">
        <f>T("소년연애담")</f>
        <v>소년연애담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100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100</v>
      </c>
      <c r="AN1446">
        <v>0</v>
      </c>
      <c r="AO1446">
        <v>0</v>
      </c>
      <c r="AP1446" s="2">
        <v>70</v>
      </c>
      <c r="AR1446" t="str">
        <f>T("0000000000000")</f>
        <v>0000000000000</v>
      </c>
      <c r="AT1446" t="str">
        <f>T("9791164890729")</f>
        <v>9791164890729</v>
      </c>
      <c r="AU1446" t="str">
        <f>T("B12")</f>
        <v>B12</v>
      </c>
      <c r="AV1446" t="str">
        <f>T("BL 웹소설 &gt; 현대물")</f>
        <v>BL 웹소설 &gt; 현대물</v>
      </c>
    </row>
    <row r="1447" spans="1:48" x14ac:dyDescent="0.4">
      <c r="A1447">
        <v>1525010579</v>
      </c>
      <c r="B1447">
        <v>1525010195</v>
      </c>
      <c r="C1447" t="str">
        <f>T("법보다 주먹 383화")</f>
        <v>법보다 주먹 383화</v>
      </c>
      <c r="D1447" t="str">
        <f>T("383")</f>
        <v>383</v>
      </c>
      <c r="E1447" t="str">
        <f>T("백범(白帆)")</f>
        <v>백범(白帆)</v>
      </c>
      <c r="H1447" t="str">
        <f>T("에필로그")</f>
        <v>에필로그</v>
      </c>
      <c r="I1447" t="str">
        <f>T("법보다 주먹")</f>
        <v>법보다 주먹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100</v>
      </c>
      <c r="AH1447">
        <v>1</v>
      </c>
      <c r="AI1447">
        <v>0</v>
      </c>
      <c r="AJ1447">
        <v>0</v>
      </c>
      <c r="AK1447">
        <v>100</v>
      </c>
      <c r="AL1447">
        <v>0</v>
      </c>
      <c r="AM1447">
        <v>0</v>
      </c>
      <c r="AN1447">
        <v>0</v>
      </c>
      <c r="AO1447">
        <v>0</v>
      </c>
      <c r="AP1447" s="2">
        <v>70</v>
      </c>
      <c r="AT1447" t="str">
        <f>T("9791164489367")</f>
        <v>9791164489367</v>
      </c>
      <c r="AV1447" t="str">
        <f>T("판타지 웹소설 &gt; 현대 판타지")</f>
        <v>판타지 웹소설 &gt; 현대 판타지</v>
      </c>
    </row>
    <row r="1448" spans="1:48" x14ac:dyDescent="0.4">
      <c r="A1448">
        <v>1525004030</v>
      </c>
      <c r="B1448">
        <v>1525012788</v>
      </c>
      <c r="C1448" t="str">
        <f>T("회귀의 전설 1093화")</f>
        <v>회귀의 전설 1093화</v>
      </c>
      <c r="D1448" t="str">
        <f>T("1093")</f>
        <v>1093</v>
      </c>
      <c r="E1448" t="str">
        <f>T("김광수")</f>
        <v>김광수</v>
      </c>
      <c r="H1448" t="str">
        <f>T("스토리위즈")</f>
        <v>스토리위즈</v>
      </c>
      <c r="I1448" t="str">
        <f>T("회귀의 전설")</f>
        <v>회귀의 전설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100</v>
      </c>
      <c r="AH1448">
        <v>1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P1448" s="2">
        <v>70</v>
      </c>
      <c r="AT1448" t="str">
        <f>T("9791191102086")</f>
        <v>9791191102086</v>
      </c>
      <c r="AV1448" t="str">
        <f>T("판타지 웹소설 &gt; 현대 판타지")</f>
        <v>판타지 웹소설 &gt; 현대 판타지</v>
      </c>
    </row>
    <row r="1449" spans="1:48" x14ac:dyDescent="0.4">
      <c r="A1449">
        <v>1525007872</v>
      </c>
      <c r="B1449">
        <v>1525007874</v>
      </c>
      <c r="C1449" t="str">
        <f>T("아침이 오지 않아도 21화")</f>
        <v>아침이 오지 않아도 21화</v>
      </c>
      <c r="D1449" t="str">
        <f>T("21")</f>
        <v>21</v>
      </c>
      <c r="E1449" t="str">
        <f>T("홍영")</f>
        <v>홍영</v>
      </c>
      <c r="H1449" t="str">
        <f>T("러브스토리")</f>
        <v>러브스토리</v>
      </c>
      <c r="I1449" t="str">
        <f>T("아침이 오지 않아도")</f>
        <v>아침이 오지 않아도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100</v>
      </c>
      <c r="AH1449">
        <v>1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P1449" s="2">
        <v>70</v>
      </c>
      <c r="AR1449" t="str">
        <f>T("0000000000000")</f>
        <v>0000000000000</v>
      </c>
      <c r="AT1449" t="str">
        <f>T("9791164899708")</f>
        <v>9791164899708</v>
      </c>
      <c r="AV1449" t="str">
        <f>T("로맨스 웹소설 &gt; 현대물")</f>
        <v>로맨스 웹소설 &gt; 현대물</v>
      </c>
    </row>
    <row r="1450" spans="1:48" x14ac:dyDescent="0.4">
      <c r="A1450">
        <v>1525004030</v>
      </c>
      <c r="B1450">
        <v>1525007039</v>
      </c>
      <c r="C1450" t="str">
        <f>T("회귀의 전설 2부 923화")</f>
        <v>회귀의 전설 2부 923화</v>
      </c>
      <c r="D1450" t="str">
        <f>T("923")</f>
        <v>923</v>
      </c>
      <c r="E1450" t="str">
        <f>T("김광수")</f>
        <v>김광수</v>
      </c>
      <c r="H1450" t="str">
        <f t="shared" ref="H1450:H1463" si="172">T("스토리위즈")</f>
        <v>스토리위즈</v>
      </c>
      <c r="I1450" t="str">
        <f>T("회귀의 전설")</f>
        <v>회귀의 전설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 s="2">
        <v>70</v>
      </c>
      <c r="AT1450" t="str">
        <f>T("9791191102086")</f>
        <v>9791191102086</v>
      </c>
      <c r="AV1450" t="str">
        <f>T("판타지 웹소설 &gt; 현대 판타지")</f>
        <v>판타지 웹소설 &gt; 현대 판타지</v>
      </c>
    </row>
    <row r="1451" spans="1:48" x14ac:dyDescent="0.4">
      <c r="A1451">
        <v>2313011400</v>
      </c>
      <c r="B1451">
        <v>1525007681</v>
      </c>
      <c r="C1451" t="str">
        <f>T("최종 보스 23권 6화")</f>
        <v>최종 보스 23권 6화</v>
      </c>
      <c r="D1451" t="str">
        <f>T("459")</f>
        <v>459</v>
      </c>
      <c r="E1451" t="str">
        <f>T("무장")</f>
        <v>무장</v>
      </c>
      <c r="H1451" t="str">
        <f t="shared" si="172"/>
        <v>스토리위즈</v>
      </c>
      <c r="I1451" t="str">
        <f>T("최종 보스 : 빛을 향해 달리는 그림자")</f>
        <v>최종 보스 : 빛을 향해 달리는 그림자</v>
      </c>
      <c r="J1451">
        <v>100</v>
      </c>
      <c r="K1451">
        <v>100</v>
      </c>
      <c r="L1451">
        <v>1</v>
      </c>
      <c r="M1451">
        <v>0</v>
      </c>
      <c r="N1451">
        <v>100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200</v>
      </c>
      <c r="AL1451">
        <v>0</v>
      </c>
      <c r="AM1451">
        <v>0</v>
      </c>
      <c r="AN1451">
        <v>0</v>
      </c>
      <c r="AO1451">
        <v>0</v>
      </c>
      <c r="AP1451" s="2">
        <v>140</v>
      </c>
      <c r="AT1451" t="str">
        <f>T("9791166067563")</f>
        <v>9791166067563</v>
      </c>
      <c r="AV1451" t="str">
        <f>T("판타지 웹소설 &gt; 현대 판타지")</f>
        <v>판타지 웹소설 &gt; 현대 판타지</v>
      </c>
    </row>
    <row r="1452" spans="1:48" x14ac:dyDescent="0.4">
      <c r="A1452">
        <v>1525004989</v>
      </c>
      <c r="B1452">
        <v>1525005608</v>
      </c>
      <c r="C1452" t="str">
        <f>T("신룡전설 119화")</f>
        <v>신룡전설 119화</v>
      </c>
      <c r="D1452" t="str">
        <f>T("119")</f>
        <v>119</v>
      </c>
      <c r="E1452" t="str">
        <f>T("가람검")</f>
        <v>가람검</v>
      </c>
      <c r="H1452" t="str">
        <f t="shared" si="172"/>
        <v>스토리위즈</v>
      </c>
      <c r="I1452" t="str">
        <f>T("신룡전설")</f>
        <v>신룡전설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 s="2">
        <v>70</v>
      </c>
      <c r="AT1452" t="str">
        <f>T("9791159283505")</f>
        <v>9791159283505</v>
      </c>
      <c r="AV1452" t="str">
        <f>T("판타지 웹소설 &gt; 무협 소설")</f>
        <v>판타지 웹소설 &gt; 무협 소설</v>
      </c>
    </row>
    <row r="1453" spans="1:48" x14ac:dyDescent="0.4">
      <c r="A1453">
        <v>1525002409</v>
      </c>
      <c r="B1453">
        <v>1525002545</v>
      </c>
      <c r="C1453" t="str">
        <f>T("스포트라이트 137화")</f>
        <v>스포트라이트 137화</v>
      </c>
      <c r="D1453" t="str">
        <f>T("137")</f>
        <v>137</v>
      </c>
      <c r="E1453" t="str">
        <f>T("전혁")</f>
        <v>전혁</v>
      </c>
      <c r="H1453" t="str">
        <f t="shared" si="172"/>
        <v>스토리위즈</v>
      </c>
      <c r="I1453" t="str">
        <f>T("스포트라이트")</f>
        <v>스포트라이트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 s="2">
        <v>70</v>
      </c>
      <c r="AT1453" t="str">
        <f>T("9791159286841")</f>
        <v>9791159286841</v>
      </c>
      <c r="AV1453" t="str">
        <f>T("판타지 웹소설 &gt; 현대 판타지")</f>
        <v>판타지 웹소설 &gt; 현대 판타지</v>
      </c>
    </row>
    <row r="1454" spans="1:48" x14ac:dyDescent="0.4">
      <c r="A1454">
        <v>1525004030</v>
      </c>
      <c r="B1454">
        <v>1525006987</v>
      </c>
      <c r="C1454" t="str">
        <f>T("회귀의 전설 2부 871화")</f>
        <v>회귀의 전설 2부 871화</v>
      </c>
      <c r="D1454" t="str">
        <f>T("871")</f>
        <v>871</v>
      </c>
      <c r="E1454" t="str">
        <f>T("김광수")</f>
        <v>김광수</v>
      </c>
      <c r="H1454" t="str">
        <f t="shared" si="172"/>
        <v>스토리위즈</v>
      </c>
      <c r="I1454" t="str">
        <f>T("회귀의 전설")</f>
        <v>회귀의 전설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1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 s="2">
        <v>70</v>
      </c>
      <c r="AT1454" t="str">
        <f>T("9791191102086")</f>
        <v>9791191102086</v>
      </c>
      <c r="AV1454" t="str">
        <f>T("판타지 웹소설 &gt; 현대 판타지")</f>
        <v>판타지 웹소설 &gt; 현대 판타지</v>
      </c>
    </row>
    <row r="1455" spans="1:48" x14ac:dyDescent="0.4">
      <c r="A1455">
        <v>2313011400</v>
      </c>
      <c r="B1455">
        <v>1525007585</v>
      </c>
      <c r="C1455" t="str">
        <f>T("최종 보스 18권 11화")</f>
        <v>최종 보스 18권 11화</v>
      </c>
      <c r="D1455" t="str">
        <f>T("363")</f>
        <v>363</v>
      </c>
      <c r="E1455" t="str">
        <f>T("무장")</f>
        <v>무장</v>
      </c>
      <c r="H1455" t="str">
        <f t="shared" si="172"/>
        <v>스토리위즈</v>
      </c>
      <c r="I1455" t="str">
        <f>T("최종 보스 : 빛을 향해 달리는 그림자")</f>
        <v>최종 보스 : 빛을 향해 달리는 그림자</v>
      </c>
      <c r="J1455">
        <v>100</v>
      </c>
      <c r="K1455">
        <v>100</v>
      </c>
      <c r="L1455">
        <v>1</v>
      </c>
      <c r="M1455">
        <v>0</v>
      </c>
      <c r="N1455">
        <v>100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200</v>
      </c>
      <c r="AL1455">
        <v>0</v>
      </c>
      <c r="AM1455">
        <v>0</v>
      </c>
      <c r="AN1455">
        <v>0</v>
      </c>
      <c r="AO1455">
        <v>0</v>
      </c>
      <c r="AP1455" s="2">
        <v>140</v>
      </c>
      <c r="AT1455" t="str">
        <f>T("9791166067563")</f>
        <v>9791166067563</v>
      </c>
      <c r="AV1455" t="str">
        <f>T("판타지 웹소설 &gt; 현대 판타지")</f>
        <v>판타지 웹소설 &gt; 현대 판타지</v>
      </c>
    </row>
    <row r="1456" spans="1:48" x14ac:dyDescent="0.4">
      <c r="A1456">
        <v>1525004030</v>
      </c>
      <c r="B1456">
        <v>1525004310</v>
      </c>
      <c r="C1456" t="str">
        <f>T("회귀의 전설 281화")</f>
        <v>회귀의 전설 281화</v>
      </c>
      <c r="D1456" t="str">
        <f>T("281")</f>
        <v>281</v>
      </c>
      <c r="E1456" t="str">
        <f>T("김광수")</f>
        <v>김광수</v>
      </c>
      <c r="H1456" t="str">
        <f t="shared" si="172"/>
        <v>스토리위즈</v>
      </c>
      <c r="I1456" t="str">
        <f>T("회귀의 전설")</f>
        <v>회귀의 전설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 s="2">
        <v>70</v>
      </c>
      <c r="AT1456" t="str">
        <f>T("9788997946006")</f>
        <v>9788997946006</v>
      </c>
      <c r="AV1456" t="str">
        <f>T("판타지 웹소설 &gt; 현대 판타지")</f>
        <v>판타지 웹소설 &gt; 현대 판타지</v>
      </c>
    </row>
    <row r="1457" spans="1:48" x14ac:dyDescent="0.4">
      <c r="A1457">
        <v>1525004030</v>
      </c>
      <c r="B1457">
        <v>1525004422</v>
      </c>
      <c r="C1457" t="str">
        <f>T("회귀의 전설 406화")</f>
        <v>회귀의 전설 406화</v>
      </c>
      <c r="D1457" t="str">
        <f>T("406")</f>
        <v>406</v>
      </c>
      <c r="E1457" t="str">
        <f>T("김광수")</f>
        <v>김광수</v>
      </c>
      <c r="H1457" t="str">
        <f t="shared" si="172"/>
        <v>스토리위즈</v>
      </c>
      <c r="I1457" t="str">
        <f>T("회귀의 전설")</f>
        <v>회귀의 전설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 s="2">
        <v>70</v>
      </c>
      <c r="AT1457" t="str">
        <f>T("9788997946006")</f>
        <v>9788997946006</v>
      </c>
      <c r="AV1457" t="str">
        <f>T("판타지 웹소설 &gt; 현대 판타지")</f>
        <v>판타지 웹소설 &gt; 현대 판타지</v>
      </c>
    </row>
    <row r="1458" spans="1:48" x14ac:dyDescent="0.4">
      <c r="A1458">
        <v>1525004988</v>
      </c>
      <c r="B1458">
        <v>1525005326</v>
      </c>
      <c r="C1458" t="str">
        <f>T("용무쌍 39화")</f>
        <v>용무쌍 39화</v>
      </c>
      <c r="D1458" t="str">
        <f>T("39")</f>
        <v>39</v>
      </c>
      <c r="E1458" t="str">
        <f>T("권용찬")</f>
        <v>권용찬</v>
      </c>
      <c r="H1458" t="str">
        <f t="shared" si="172"/>
        <v>스토리위즈</v>
      </c>
      <c r="I1458" t="str">
        <f>T("용무쌍")</f>
        <v>용무쌍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 s="2">
        <v>70</v>
      </c>
      <c r="AT1458" t="str">
        <f>T("9791159284861")</f>
        <v>9791159284861</v>
      </c>
      <c r="AV1458" t="str">
        <f>T("판타지 웹소설 &gt; 무협 소설")</f>
        <v>판타지 웹소설 &gt; 무협 소설</v>
      </c>
    </row>
    <row r="1459" spans="1:48" x14ac:dyDescent="0.4">
      <c r="A1459">
        <v>1525004030</v>
      </c>
      <c r="B1459">
        <v>1525006755</v>
      </c>
      <c r="C1459" t="str">
        <f>T("회귀의 전설 2부 638화")</f>
        <v>회귀의 전설 2부 638화</v>
      </c>
      <c r="D1459" t="str">
        <f>T("638")</f>
        <v>638</v>
      </c>
      <c r="E1459" t="str">
        <f>T("김광수")</f>
        <v>김광수</v>
      </c>
      <c r="H1459" t="str">
        <f t="shared" si="172"/>
        <v>스토리위즈</v>
      </c>
      <c r="I1459" t="str">
        <f>T("회귀의 전설")</f>
        <v>회귀의 전설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 s="2">
        <v>70</v>
      </c>
      <c r="AT1459" t="str">
        <f>T("9791191102086")</f>
        <v>9791191102086</v>
      </c>
      <c r="AV1459" t="str">
        <f>T("판타지 웹소설 &gt; 현대 판타지")</f>
        <v>판타지 웹소설 &gt; 현대 판타지</v>
      </c>
    </row>
    <row r="1460" spans="1:48" x14ac:dyDescent="0.4">
      <c r="A1460">
        <v>1525004030</v>
      </c>
      <c r="B1460">
        <v>1525004502</v>
      </c>
      <c r="C1460" t="str">
        <f>T("회귀의 전설 486화")</f>
        <v>회귀의 전설 486화</v>
      </c>
      <c r="D1460" t="str">
        <f>T("486")</f>
        <v>486</v>
      </c>
      <c r="E1460" t="str">
        <f>T("김광수")</f>
        <v>김광수</v>
      </c>
      <c r="H1460" t="str">
        <f t="shared" si="172"/>
        <v>스토리위즈</v>
      </c>
      <c r="I1460" t="str">
        <f>T("회귀의 전설")</f>
        <v>회귀의 전설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 s="2">
        <v>70</v>
      </c>
      <c r="AT1460" t="str">
        <f>T("9788997946006")</f>
        <v>9788997946006</v>
      </c>
      <c r="AV1460" t="str">
        <f>T("판타지 웹소설 &gt; 현대 판타지")</f>
        <v>판타지 웹소설 &gt; 현대 판타지</v>
      </c>
    </row>
    <row r="1461" spans="1:48" x14ac:dyDescent="0.4">
      <c r="A1461">
        <v>1525004989</v>
      </c>
      <c r="B1461">
        <v>1525005528</v>
      </c>
      <c r="C1461" t="str">
        <f>T("신룡전설 39화")</f>
        <v>신룡전설 39화</v>
      </c>
      <c r="D1461" t="str">
        <f>T("39")</f>
        <v>39</v>
      </c>
      <c r="E1461" t="str">
        <f>T("가람검")</f>
        <v>가람검</v>
      </c>
      <c r="H1461" t="str">
        <f t="shared" si="172"/>
        <v>스토리위즈</v>
      </c>
      <c r="I1461" t="str">
        <f>T("신룡전설")</f>
        <v>신룡전설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 s="2">
        <v>70</v>
      </c>
      <c r="AT1461" t="str">
        <f>T("9791159283505")</f>
        <v>9791159283505</v>
      </c>
      <c r="AV1461" t="str">
        <f>T("판타지 웹소설 &gt; 무협 소설")</f>
        <v>판타지 웹소설 &gt; 무협 소설</v>
      </c>
    </row>
    <row r="1462" spans="1:48" x14ac:dyDescent="0.4">
      <c r="A1462">
        <v>1525000569</v>
      </c>
      <c r="B1462">
        <v>1525000636</v>
      </c>
      <c r="C1462" t="str">
        <f>T("스트라이커 67화")</f>
        <v>스트라이커 67화</v>
      </c>
      <c r="D1462" t="str">
        <f>T("67")</f>
        <v>67</v>
      </c>
      <c r="E1462" t="str">
        <f>T("독고진")</f>
        <v>독고진</v>
      </c>
      <c r="H1462" t="str">
        <f t="shared" si="172"/>
        <v>스토리위즈</v>
      </c>
      <c r="I1462" t="str">
        <f>T("스트라이커")</f>
        <v>스트라이커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P1462" s="2">
        <v>70</v>
      </c>
      <c r="AT1462" t="str">
        <f>T("9791170151678")</f>
        <v>9791170151678</v>
      </c>
      <c r="AV1462" t="str">
        <f>T("판타지 웹소설 &gt; 현대 판타지")</f>
        <v>판타지 웹소설 &gt; 현대 판타지</v>
      </c>
    </row>
    <row r="1463" spans="1:48" x14ac:dyDescent="0.4">
      <c r="A1463">
        <v>1525004030</v>
      </c>
      <c r="B1463">
        <v>1525007071</v>
      </c>
      <c r="C1463" t="str">
        <f>T("회귀의 전설 2부 955화")</f>
        <v>회귀의 전설 2부 955화</v>
      </c>
      <c r="D1463" t="str">
        <f>T("955")</f>
        <v>955</v>
      </c>
      <c r="E1463" t="str">
        <f>T("김광수")</f>
        <v>김광수</v>
      </c>
      <c r="H1463" t="str">
        <f t="shared" si="172"/>
        <v>스토리위즈</v>
      </c>
      <c r="I1463" t="str">
        <f>T("회귀의 전설")</f>
        <v>회귀의 전설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100</v>
      </c>
      <c r="AH1463">
        <v>1</v>
      </c>
      <c r="AI1463">
        <v>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P1463" s="2">
        <v>70</v>
      </c>
      <c r="AT1463" t="str">
        <f>T("9791191102086")</f>
        <v>9791191102086</v>
      </c>
      <c r="AV1463" t="str">
        <f>T("판타지 웹소설 &gt; 현대 판타지")</f>
        <v>판타지 웹소설 &gt; 현대 판타지</v>
      </c>
    </row>
    <row r="1464" spans="1:48" x14ac:dyDescent="0.4">
      <c r="A1464">
        <v>1525007923</v>
      </c>
      <c r="B1464">
        <v>1525007906</v>
      </c>
      <c r="C1464" t="str">
        <f>T("운상연담: 화불능귀일락 107화")</f>
        <v>운상연담: 화불능귀일락 107화</v>
      </c>
      <c r="D1464" t="str">
        <f>T("107")</f>
        <v>107</v>
      </c>
      <c r="E1464" t="str">
        <f>T("피모")</f>
        <v>피모</v>
      </c>
      <c r="H1464" t="str">
        <f>T("쉬라즈")</f>
        <v>쉬라즈</v>
      </c>
      <c r="I1464" t="str">
        <f>T("운상연담: 화불능귀일락")</f>
        <v>운상연담: 화불능귀일락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100</v>
      </c>
      <c r="AH1464">
        <v>1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P1464" s="2">
        <v>70</v>
      </c>
      <c r="AT1464" t="str">
        <f>T("9791164896646")</f>
        <v>9791164896646</v>
      </c>
      <c r="AV1464" t="str">
        <f>T("로맨스 웹소설 &gt; 역사/시대물")</f>
        <v>로맨스 웹소설 &gt; 역사/시대물</v>
      </c>
    </row>
    <row r="1465" spans="1:48" x14ac:dyDescent="0.4">
      <c r="A1465">
        <v>2313011400</v>
      </c>
      <c r="B1465">
        <v>1525007617</v>
      </c>
      <c r="C1465" t="str">
        <f>T("최종 보스 20권 2화")</f>
        <v>최종 보스 20권 2화</v>
      </c>
      <c r="D1465" t="str">
        <f>T("395")</f>
        <v>395</v>
      </c>
      <c r="E1465" t="str">
        <f>T("무장")</f>
        <v>무장</v>
      </c>
      <c r="H1465" t="str">
        <f>T("스토리위즈")</f>
        <v>스토리위즈</v>
      </c>
      <c r="I1465" t="str">
        <f>T("최종 보스 : 빛을 향해 달리는 그림자")</f>
        <v>최종 보스 : 빛을 향해 달리는 그림자</v>
      </c>
      <c r="J1465">
        <v>100</v>
      </c>
      <c r="K1465">
        <v>100</v>
      </c>
      <c r="L1465">
        <v>1</v>
      </c>
      <c r="M1465">
        <v>0</v>
      </c>
      <c r="N1465">
        <v>100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200</v>
      </c>
      <c r="AL1465">
        <v>0</v>
      </c>
      <c r="AM1465">
        <v>0</v>
      </c>
      <c r="AN1465">
        <v>0</v>
      </c>
      <c r="AO1465">
        <v>0</v>
      </c>
      <c r="AP1465" s="2">
        <v>140</v>
      </c>
      <c r="AT1465" t="str">
        <f>T("9791166067563")</f>
        <v>9791166067563</v>
      </c>
      <c r="AV1465" t="str">
        <f>T("판타지 웹소설 &gt; 현대 판타지")</f>
        <v>판타지 웹소설 &gt; 현대 판타지</v>
      </c>
    </row>
    <row r="1466" spans="1:48" x14ac:dyDescent="0.4">
      <c r="A1466">
        <v>1525004030</v>
      </c>
      <c r="B1466">
        <v>1525004342</v>
      </c>
      <c r="C1466" t="str">
        <f>T("회귀의 전설 314화")</f>
        <v>회귀의 전설 314화</v>
      </c>
      <c r="D1466" t="str">
        <f>T("314")</f>
        <v>314</v>
      </c>
      <c r="E1466" t="str">
        <f>T("김광수")</f>
        <v>김광수</v>
      </c>
      <c r="H1466" t="str">
        <f>T("스토리위즈")</f>
        <v>스토리위즈</v>
      </c>
      <c r="I1466" t="str">
        <f>T("회귀의 전설")</f>
        <v>회귀의 전설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100</v>
      </c>
      <c r="AH1466">
        <v>1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P1466" s="2">
        <v>70</v>
      </c>
      <c r="AT1466" t="str">
        <f>T("9788997946006")</f>
        <v>9788997946006</v>
      </c>
      <c r="AV1466" t="str">
        <f>T("판타지 웹소설 &gt; 현대 판타지")</f>
        <v>판타지 웹소설 &gt; 현대 판타지</v>
      </c>
    </row>
    <row r="1467" spans="1:48" x14ac:dyDescent="0.4">
      <c r="A1467">
        <v>1525004030</v>
      </c>
      <c r="B1467">
        <v>1525007143</v>
      </c>
      <c r="C1467" t="str">
        <f>T("회귀의 전설 2부 1026화")</f>
        <v>회귀의 전설 2부 1026화</v>
      </c>
      <c r="D1467" t="str">
        <f>T("1026")</f>
        <v>1026</v>
      </c>
      <c r="E1467" t="str">
        <f>T("김광수")</f>
        <v>김광수</v>
      </c>
      <c r="H1467" t="str">
        <f>T("스토리위즈")</f>
        <v>스토리위즈</v>
      </c>
      <c r="I1467" t="str">
        <f>T("회귀의 전설")</f>
        <v>회귀의 전설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100</v>
      </c>
      <c r="AH1467">
        <v>1</v>
      </c>
      <c r="AI1467">
        <v>0</v>
      </c>
      <c r="AJ1467">
        <v>0</v>
      </c>
      <c r="AK1467">
        <v>100</v>
      </c>
      <c r="AL1467">
        <v>0</v>
      </c>
      <c r="AM1467">
        <v>0</v>
      </c>
      <c r="AN1467">
        <v>0</v>
      </c>
      <c r="AO1467">
        <v>0</v>
      </c>
      <c r="AP1467" s="2">
        <v>70</v>
      </c>
      <c r="AT1467" t="str">
        <f>T("9791191102086")</f>
        <v>9791191102086</v>
      </c>
      <c r="AV1467" t="str">
        <f>T("판타지 웹소설 &gt; 현대 판타지")</f>
        <v>판타지 웹소설 &gt; 현대 판타지</v>
      </c>
    </row>
    <row r="1468" spans="1:48" x14ac:dyDescent="0.4">
      <c r="A1468">
        <v>1525004030</v>
      </c>
      <c r="B1468">
        <v>1525004454</v>
      </c>
      <c r="C1468" t="str">
        <f>T("회귀의 전설 438화")</f>
        <v>회귀의 전설 438화</v>
      </c>
      <c r="D1468" t="str">
        <f>T("438")</f>
        <v>438</v>
      </c>
      <c r="E1468" t="str">
        <f>T("김광수")</f>
        <v>김광수</v>
      </c>
      <c r="H1468" t="str">
        <f>T("스토리위즈")</f>
        <v>스토리위즈</v>
      </c>
      <c r="I1468" t="str">
        <f>T("회귀의 전설")</f>
        <v>회귀의 전설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100</v>
      </c>
      <c r="AH1468">
        <v>1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P1468" s="2">
        <v>70</v>
      </c>
      <c r="AT1468" t="str">
        <f>T("9788997946006")</f>
        <v>9788997946006</v>
      </c>
      <c r="AV1468" t="str">
        <f>T("판타지 웹소설 &gt; 현대 판타지")</f>
        <v>판타지 웹소설 &gt; 현대 판타지</v>
      </c>
    </row>
    <row r="1469" spans="1:48" x14ac:dyDescent="0.4">
      <c r="A1469">
        <v>1525004030</v>
      </c>
      <c r="B1469">
        <v>1525004534</v>
      </c>
      <c r="C1469" t="str">
        <f>T("회귀의 전설 511화")</f>
        <v>회귀의 전설 511화</v>
      </c>
      <c r="D1469" t="str">
        <f>T("511")</f>
        <v>511</v>
      </c>
      <c r="E1469" t="str">
        <f>T("김광수")</f>
        <v>김광수</v>
      </c>
      <c r="H1469" t="str">
        <f>T("스토리위즈")</f>
        <v>스토리위즈</v>
      </c>
      <c r="I1469" t="str">
        <f>T("회귀의 전설")</f>
        <v>회귀의 전설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100</v>
      </c>
      <c r="AH1469">
        <v>1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P1469" s="2">
        <v>70</v>
      </c>
      <c r="AT1469" t="str">
        <f>T("9788997946006")</f>
        <v>9788997946006</v>
      </c>
      <c r="AV1469" t="str">
        <f>T("판타지 웹소설 &gt; 현대 판타지")</f>
        <v>판타지 웹소설 &gt; 현대 판타지</v>
      </c>
    </row>
    <row r="1470" spans="1:48" x14ac:dyDescent="0.4">
      <c r="A1470">
        <v>1525008545</v>
      </c>
      <c r="B1470">
        <v>1525008544</v>
      </c>
      <c r="C1470" t="str">
        <f>T("소년연애담 19화")</f>
        <v>소년연애담 19화</v>
      </c>
      <c r="D1470" t="str">
        <f>T("19")</f>
        <v>19</v>
      </c>
      <c r="E1470" t="str">
        <f>T("나나코")</f>
        <v>나나코</v>
      </c>
      <c r="H1470" t="str">
        <f>T("블러쉬")</f>
        <v>블러쉬</v>
      </c>
      <c r="I1470" t="str">
        <f>T("소년연애담")</f>
        <v>소년연애담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100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100</v>
      </c>
      <c r="AN1470">
        <v>0</v>
      </c>
      <c r="AO1470">
        <v>0</v>
      </c>
      <c r="AP1470" s="2">
        <v>70</v>
      </c>
      <c r="AR1470" t="str">
        <f>T("0000000000000")</f>
        <v>0000000000000</v>
      </c>
      <c r="AT1470" t="str">
        <f>T("9791164890729")</f>
        <v>9791164890729</v>
      </c>
      <c r="AU1470" t="str">
        <f>T("B12")</f>
        <v>B12</v>
      </c>
      <c r="AV1470" t="str">
        <f>T("BL 웹소설 &gt; 현대물")</f>
        <v>BL 웹소설 &gt; 현대물</v>
      </c>
    </row>
    <row r="1471" spans="1:48" x14ac:dyDescent="0.4">
      <c r="A1471">
        <v>1525004989</v>
      </c>
      <c r="B1471">
        <v>1525005560</v>
      </c>
      <c r="C1471" t="str">
        <f>T("신룡전설 71화")</f>
        <v>신룡전설 71화</v>
      </c>
      <c r="D1471" t="str">
        <f>T("71")</f>
        <v>71</v>
      </c>
      <c r="E1471" t="str">
        <f>T("가람검")</f>
        <v>가람검</v>
      </c>
      <c r="H1471" t="str">
        <f>T("스토리위즈")</f>
        <v>스토리위즈</v>
      </c>
      <c r="I1471" t="str">
        <f>T("신룡전설")</f>
        <v>신룡전설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100</v>
      </c>
      <c r="AH1471">
        <v>1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P1471" s="2">
        <v>70</v>
      </c>
      <c r="AT1471" t="str">
        <f>T("9791159283505")</f>
        <v>9791159283505</v>
      </c>
      <c r="AV1471" t="str">
        <f>T("판타지 웹소설 &gt; 무협 소설")</f>
        <v>판타지 웹소설 &gt; 무협 소설</v>
      </c>
    </row>
    <row r="1472" spans="1:48" x14ac:dyDescent="0.4">
      <c r="A1472">
        <v>1525008604</v>
      </c>
      <c r="B1472">
        <v>1525008600</v>
      </c>
      <c r="C1472" t="str">
        <f>T("우아한 곡선 16화")</f>
        <v>우아한 곡선 16화</v>
      </c>
      <c r="D1472" t="str">
        <f>T("16")</f>
        <v>16</v>
      </c>
      <c r="E1472" t="str">
        <f>T("용가리맛쿠키")</f>
        <v>용가리맛쿠키</v>
      </c>
      <c r="H1472" t="str">
        <f>T("블러쉬")</f>
        <v>블러쉬</v>
      </c>
      <c r="I1472" t="str">
        <f>T("우아한 곡선")</f>
        <v>우아한 곡선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100</v>
      </c>
      <c r="AH1472">
        <v>1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P1472" s="2">
        <v>70</v>
      </c>
      <c r="AR1472" t="str">
        <f>T("0000000000000")</f>
        <v>0000000000000</v>
      </c>
      <c r="AT1472" t="str">
        <f>T("9791164896615")</f>
        <v>9791164896615</v>
      </c>
      <c r="AV1472" t="str">
        <f>T("BL 웹소설 &gt; 현대물")</f>
        <v>BL 웹소설 &gt; 현대물</v>
      </c>
    </row>
    <row r="1473" spans="1:48" x14ac:dyDescent="0.4">
      <c r="A1473">
        <v>1525004030</v>
      </c>
      <c r="B1473">
        <v>1525007103</v>
      </c>
      <c r="C1473" t="str">
        <f>T("회귀의 전설 2부 987화")</f>
        <v>회귀의 전설 2부 987화</v>
      </c>
      <c r="D1473" t="str">
        <f>T("987")</f>
        <v>987</v>
      </c>
      <c r="E1473" t="str">
        <f>T("김광수")</f>
        <v>김광수</v>
      </c>
      <c r="H1473" t="str">
        <f>T("스토리위즈")</f>
        <v>스토리위즈</v>
      </c>
      <c r="I1473" t="str">
        <f>T("회귀의 전설")</f>
        <v>회귀의 전설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</v>
      </c>
      <c r="AH1473">
        <v>1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P1473" s="2">
        <v>70</v>
      </c>
      <c r="AT1473" t="str">
        <f>T("9791191102086")</f>
        <v>9791191102086</v>
      </c>
      <c r="AV1473" t="str">
        <f>T("판타지 웹소설 &gt; 현대 판타지")</f>
        <v>판타지 웹소설 &gt; 현대 판타지</v>
      </c>
    </row>
    <row r="1474" spans="1:48" x14ac:dyDescent="0.4">
      <c r="A1474">
        <v>1525007923</v>
      </c>
      <c r="B1474">
        <v>1525007995</v>
      </c>
      <c r="C1474" t="str">
        <f>T("운상연담: 화불능귀일락 85화")</f>
        <v>운상연담: 화불능귀일락 85화</v>
      </c>
      <c r="D1474" t="str">
        <f>T("85")</f>
        <v>85</v>
      </c>
      <c r="E1474" t="str">
        <f>T("피모")</f>
        <v>피모</v>
      </c>
      <c r="H1474" t="str">
        <f>T("쉬라즈")</f>
        <v>쉬라즈</v>
      </c>
      <c r="I1474" t="str">
        <f>T("운상연담: 화불능귀일락")</f>
        <v>운상연담: 화불능귀일락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100</v>
      </c>
      <c r="AH1474">
        <v>1</v>
      </c>
      <c r="AI1474">
        <v>0</v>
      </c>
      <c r="AJ1474">
        <v>0</v>
      </c>
      <c r="AK1474">
        <v>100</v>
      </c>
      <c r="AL1474">
        <v>0</v>
      </c>
      <c r="AM1474">
        <v>0</v>
      </c>
      <c r="AN1474">
        <v>0</v>
      </c>
      <c r="AO1474">
        <v>0</v>
      </c>
      <c r="AP1474" s="2">
        <v>70</v>
      </c>
      <c r="AT1474" t="str">
        <f>T("9791164896646")</f>
        <v>9791164896646</v>
      </c>
      <c r="AV1474" t="str">
        <f>T("로맨스 웹소설 &gt; 역사/시대물")</f>
        <v>로맨스 웹소설 &gt; 역사/시대물</v>
      </c>
    </row>
    <row r="1475" spans="1:48" x14ac:dyDescent="0.4">
      <c r="A1475">
        <v>1525010579</v>
      </c>
      <c r="B1475">
        <v>1525010238</v>
      </c>
      <c r="C1475" t="str">
        <f>T("법보다 주먹 340화")</f>
        <v>법보다 주먹 340화</v>
      </c>
      <c r="D1475" t="str">
        <f>T("340")</f>
        <v>340</v>
      </c>
      <c r="E1475" t="str">
        <f>T("백범(白帆)")</f>
        <v>백범(白帆)</v>
      </c>
      <c r="H1475" t="str">
        <f>T("에필로그")</f>
        <v>에필로그</v>
      </c>
      <c r="I1475" t="str">
        <f>T("법보다 주먹")</f>
        <v>법보다 주먹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1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P1475" s="2">
        <v>70</v>
      </c>
      <c r="AT1475" t="str">
        <f>T("9791164489367")</f>
        <v>9791164489367</v>
      </c>
      <c r="AV1475" t="str">
        <f>T("판타지 웹소설 &gt; 현대 판타지")</f>
        <v>판타지 웹소설 &gt; 현대 판타지</v>
      </c>
    </row>
    <row r="1476" spans="1:48" x14ac:dyDescent="0.4">
      <c r="A1476">
        <v>1525002864</v>
      </c>
      <c r="B1476">
        <v>1525002896</v>
      </c>
      <c r="C1476" t="str">
        <f>T("소드마스터의 환생 33화")</f>
        <v>소드마스터의 환생 33화</v>
      </c>
      <c r="D1476" t="str">
        <f>T("33")</f>
        <v>33</v>
      </c>
      <c r="E1476" t="str">
        <f>T("파란영")</f>
        <v>파란영</v>
      </c>
      <c r="H1476" t="str">
        <f>T("스토리위즈")</f>
        <v>스토리위즈</v>
      </c>
      <c r="I1476" t="str">
        <f>T("소드마스터의 환생")</f>
        <v>소드마스터의 환생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100</v>
      </c>
      <c r="AH1476">
        <v>1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P1476" s="2">
        <v>70</v>
      </c>
      <c r="AT1476" t="str">
        <f>T("9791159287527")</f>
        <v>9791159287527</v>
      </c>
      <c r="AV1476" t="str">
        <f>T("판타지 웹소설 &gt; 정통 판타지")</f>
        <v>판타지 웹소설 &gt; 정통 판타지</v>
      </c>
    </row>
    <row r="1477" spans="1:48" x14ac:dyDescent="0.4">
      <c r="A1477">
        <v>1525004030</v>
      </c>
      <c r="B1477">
        <v>1525004415</v>
      </c>
      <c r="C1477" t="str">
        <f>T("회귀의 전설 399화")</f>
        <v>회귀의 전설 399화</v>
      </c>
      <c r="D1477" t="str">
        <f>T("399")</f>
        <v>399</v>
      </c>
      <c r="E1477" t="str">
        <f>T("김광수")</f>
        <v>김광수</v>
      </c>
      <c r="H1477" t="str">
        <f>T("스토리위즈")</f>
        <v>스토리위즈</v>
      </c>
      <c r="I1477" t="str">
        <f>T("회귀의 전설")</f>
        <v>회귀의 전설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100</v>
      </c>
      <c r="AH1477">
        <v>1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P1477" s="2">
        <v>70</v>
      </c>
      <c r="AT1477" t="str">
        <f>T("9788997946006")</f>
        <v>9788997946006</v>
      </c>
      <c r="AV1477" t="str">
        <f>T("판타지 웹소설 &gt; 현대 판타지")</f>
        <v>판타지 웹소설 &gt; 현대 판타지</v>
      </c>
    </row>
    <row r="1478" spans="1:48" x14ac:dyDescent="0.4">
      <c r="A1478">
        <v>1525004030</v>
      </c>
      <c r="B1478">
        <v>1525006748</v>
      </c>
      <c r="C1478" t="str">
        <f>T("회귀의 전설 2부 631화")</f>
        <v>회귀의 전설 2부 631화</v>
      </c>
      <c r="D1478" t="str">
        <f>T("631")</f>
        <v>631</v>
      </c>
      <c r="E1478" t="str">
        <f>T("김광수")</f>
        <v>김광수</v>
      </c>
      <c r="H1478" t="str">
        <f>T("스토리위즈")</f>
        <v>스토리위즈</v>
      </c>
      <c r="I1478" t="str">
        <f>T("회귀의 전설")</f>
        <v>회귀의 전설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100</v>
      </c>
      <c r="AH1478">
        <v>1</v>
      </c>
      <c r="AI1478">
        <v>0</v>
      </c>
      <c r="AJ1478">
        <v>0</v>
      </c>
      <c r="AK1478">
        <v>100</v>
      </c>
      <c r="AL1478">
        <v>0</v>
      </c>
      <c r="AM1478">
        <v>0</v>
      </c>
      <c r="AN1478">
        <v>0</v>
      </c>
      <c r="AO1478">
        <v>0</v>
      </c>
      <c r="AP1478" s="2">
        <v>70</v>
      </c>
      <c r="AT1478" t="str">
        <f>T("9791191102086")</f>
        <v>9791191102086</v>
      </c>
      <c r="AV1478" t="str">
        <f>T("판타지 웹소설 &gt; 현대 판타지")</f>
        <v>판타지 웹소설 &gt; 현대 판타지</v>
      </c>
    </row>
    <row r="1479" spans="1:48" x14ac:dyDescent="0.4">
      <c r="A1479">
        <v>1525004030</v>
      </c>
      <c r="B1479">
        <v>1525004495</v>
      </c>
      <c r="C1479" t="str">
        <f>T("회귀의 전설 479화")</f>
        <v>회귀의 전설 479화</v>
      </c>
      <c r="D1479" t="str">
        <f>T("479")</f>
        <v>479</v>
      </c>
      <c r="E1479" t="str">
        <f>T("김광수")</f>
        <v>김광수</v>
      </c>
      <c r="H1479" t="str">
        <f>T("스토리위즈")</f>
        <v>스토리위즈</v>
      </c>
      <c r="I1479" t="str">
        <f>T("회귀의 전설")</f>
        <v>회귀의 전설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100</v>
      </c>
      <c r="AH1479">
        <v>1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P1479" s="2">
        <v>70</v>
      </c>
      <c r="AT1479" t="str">
        <f>T("9788997946006")</f>
        <v>9788997946006</v>
      </c>
      <c r="AV1479" t="str">
        <f>T("판타지 웹소설 &gt; 현대 판타지")</f>
        <v>판타지 웹소설 &gt; 현대 판타지</v>
      </c>
    </row>
    <row r="1480" spans="1:48" x14ac:dyDescent="0.4">
      <c r="A1480">
        <v>1525000569</v>
      </c>
      <c r="B1480">
        <v>1525000616</v>
      </c>
      <c r="C1480" t="str">
        <f>T("스트라이커 48화")</f>
        <v>스트라이커 48화</v>
      </c>
      <c r="D1480" t="str">
        <f>T("48")</f>
        <v>48</v>
      </c>
      <c r="E1480" t="str">
        <f>T("독고진")</f>
        <v>독고진</v>
      </c>
      <c r="H1480" t="str">
        <f>T("스토리위즈")</f>
        <v>스토리위즈</v>
      </c>
      <c r="I1480" t="str">
        <f>T("스트라이커")</f>
        <v>스트라이커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</v>
      </c>
      <c r="AH1480">
        <v>1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P1480" s="2">
        <v>70</v>
      </c>
      <c r="AT1480" t="str">
        <f>T("9791170151678")</f>
        <v>9791170151678</v>
      </c>
      <c r="AV1480" t="str">
        <f>T("판타지 웹소설 &gt; 현대 판타지")</f>
        <v>판타지 웹소설 &gt; 현대 판타지</v>
      </c>
    </row>
    <row r="1481" spans="1:48" x14ac:dyDescent="0.4">
      <c r="A1481">
        <v>1525007923</v>
      </c>
      <c r="B1481">
        <v>1525007899</v>
      </c>
      <c r="C1481" t="str">
        <f>T("운상연담: 화불능귀일락 100화")</f>
        <v>운상연담: 화불능귀일락 100화</v>
      </c>
      <c r="D1481" t="str">
        <f>T("100")</f>
        <v>100</v>
      </c>
      <c r="E1481" t="str">
        <f>T("피모")</f>
        <v>피모</v>
      </c>
      <c r="H1481" t="str">
        <f>T("쉬라즈")</f>
        <v>쉬라즈</v>
      </c>
      <c r="I1481" t="str">
        <f>T("운상연담: 화불능귀일락")</f>
        <v>운상연담: 화불능귀일락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100</v>
      </c>
      <c r="AH1481">
        <v>1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P1481" s="2">
        <v>70</v>
      </c>
      <c r="AT1481" t="str">
        <f>T("9791164896646")</f>
        <v>9791164896646</v>
      </c>
      <c r="AV1481" t="str">
        <f>T("로맨스 웹소설 &gt; 역사/시대물")</f>
        <v>로맨스 웹소설 &gt; 역사/시대물</v>
      </c>
    </row>
    <row r="1482" spans="1:48" x14ac:dyDescent="0.4">
      <c r="A1482">
        <v>1525004030</v>
      </c>
      <c r="B1482">
        <v>1525007064</v>
      </c>
      <c r="C1482" t="str">
        <f>T("회귀의 전설 2부 948화")</f>
        <v>회귀의 전설 2부 948화</v>
      </c>
      <c r="D1482" t="str">
        <f>T("948")</f>
        <v>948</v>
      </c>
      <c r="E1482" t="str">
        <f>T("김광수")</f>
        <v>김광수</v>
      </c>
      <c r="H1482" t="str">
        <f t="shared" ref="H1482:H1490" si="173">T("스토리위즈")</f>
        <v>스토리위즈</v>
      </c>
      <c r="I1482" t="str">
        <f>T("회귀의 전설")</f>
        <v>회귀의 전설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100</v>
      </c>
      <c r="AH1482">
        <v>1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P1482" s="2">
        <v>70</v>
      </c>
      <c r="AT1482" t="str">
        <f>T("9791191102086")</f>
        <v>9791191102086</v>
      </c>
      <c r="AV1482" t="str">
        <f>T("판타지 웹소설 &gt; 현대 판타지")</f>
        <v>판타지 웹소설 &gt; 현대 판타지</v>
      </c>
    </row>
    <row r="1483" spans="1:48" x14ac:dyDescent="0.4">
      <c r="A1483">
        <v>1525004989</v>
      </c>
      <c r="B1483">
        <v>1525005633</v>
      </c>
      <c r="C1483" t="str">
        <f>T("신룡전설 144화")</f>
        <v>신룡전설 144화</v>
      </c>
      <c r="D1483" t="str">
        <f>T("144")</f>
        <v>144</v>
      </c>
      <c r="E1483" t="str">
        <f>T("가람검")</f>
        <v>가람검</v>
      </c>
      <c r="H1483" t="str">
        <f t="shared" si="173"/>
        <v>스토리위즈</v>
      </c>
      <c r="I1483" t="str">
        <f>T("신룡전설")</f>
        <v>신룡전설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100</v>
      </c>
      <c r="AH1483">
        <v>1</v>
      </c>
      <c r="AI1483">
        <v>0</v>
      </c>
      <c r="AJ1483">
        <v>0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 s="2">
        <v>70</v>
      </c>
      <c r="AT1483" t="str">
        <f>T("9791159283505")</f>
        <v>9791159283505</v>
      </c>
      <c r="AV1483" t="str">
        <f>T("판타지 웹소설 &gt; 무협 소설")</f>
        <v>판타지 웹소설 &gt; 무협 소설</v>
      </c>
    </row>
    <row r="1484" spans="1:48" x14ac:dyDescent="0.4">
      <c r="A1484">
        <v>2313011400</v>
      </c>
      <c r="B1484">
        <v>1525007610</v>
      </c>
      <c r="C1484" t="str">
        <f>T("최종 보스 19권 16화")</f>
        <v>최종 보스 19권 16화</v>
      </c>
      <c r="D1484" t="str">
        <f>T("388")</f>
        <v>388</v>
      </c>
      <c r="E1484" t="str">
        <f>T("무장")</f>
        <v>무장</v>
      </c>
      <c r="H1484" t="str">
        <f t="shared" si="173"/>
        <v>스토리위즈</v>
      </c>
      <c r="I1484" t="str">
        <f>T("최종 보스 : 빛을 향해 달리는 그림자")</f>
        <v>최종 보스 : 빛을 향해 달리는 그림자</v>
      </c>
      <c r="J1484">
        <v>100</v>
      </c>
      <c r="K1484">
        <v>100</v>
      </c>
      <c r="L1484">
        <v>1</v>
      </c>
      <c r="M1484">
        <v>0</v>
      </c>
      <c r="N1484">
        <v>100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200</v>
      </c>
      <c r="AL1484">
        <v>0</v>
      </c>
      <c r="AM1484">
        <v>0</v>
      </c>
      <c r="AN1484">
        <v>0</v>
      </c>
      <c r="AO1484">
        <v>0</v>
      </c>
      <c r="AP1484" s="2">
        <v>140</v>
      </c>
      <c r="AT1484" t="str">
        <f>T("9791166067563")</f>
        <v>9791166067563</v>
      </c>
      <c r="AV1484" t="str">
        <f>T("판타지 웹소설 &gt; 현대 판타지")</f>
        <v>판타지 웹소설 &gt; 현대 판타지</v>
      </c>
    </row>
    <row r="1485" spans="1:48" x14ac:dyDescent="0.4">
      <c r="A1485">
        <v>1525004030</v>
      </c>
      <c r="B1485">
        <v>1525004335</v>
      </c>
      <c r="C1485" t="str">
        <f>T("회귀의 전설 306화")</f>
        <v>회귀의 전설 306화</v>
      </c>
      <c r="D1485" t="str">
        <f>T("306")</f>
        <v>306</v>
      </c>
      <c r="E1485" t="str">
        <f>T("김광수")</f>
        <v>김광수</v>
      </c>
      <c r="H1485" t="str">
        <f t="shared" si="173"/>
        <v>스토리위즈</v>
      </c>
      <c r="I1485" t="str">
        <f>T("회귀의 전설")</f>
        <v>회귀의 전설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100</v>
      </c>
      <c r="AH1485">
        <v>1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P1485" s="2">
        <v>70</v>
      </c>
      <c r="AT1485" t="str">
        <f>T("9788997946006")</f>
        <v>9788997946006</v>
      </c>
      <c r="AV1485" t="str">
        <f>T("판타지 웹소설 &gt; 현대 판타지")</f>
        <v>판타지 웹소설 &gt; 현대 판타지</v>
      </c>
    </row>
    <row r="1486" spans="1:48" x14ac:dyDescent="0.4">
      <c r="A1486">
        <v>1525004030</v>
      </c>
      <c r="B1486">
        <v>1525007136</v>
      </c>
      <c r="C1486" t="str">
        <f>T("회귀의 전설 2부 1020화")</f>
        <v>회귀의 전설 2부 1020화</v>
      </c>
      <c r="D1486" t="str">
        <f>T("1020")</f>
        <v>1020</v>
      </c>
      <c r="E1486" t="str">
        <f>T("김광수")</f>
        <v>김광수</v>
      </c>
      <c r="H1486" t="str">
        <f t="shared" si="173"/>
        <v>스토리위즈</v>
      </c>
      <c r="I1486" t="str">
        <f>T("회귀의 전설")</f>
        <v>회귀의 전설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P1486" s="2">
        <v>70</v>
      </c>
      <c r="AT1486" t="str">
        <f>T("9791191102086")</f>
        <v>9791191102086</v>
      </c>
      <c r="AV1486" t="str">
        <f>T("판타지 웹소설 &gt; 현대 판타지")</f>
        <v>판타지 웹소설 &gt; 현대 판타지</v>
      </c>
    </row>
    <row r="1487" spans="1:48" x14ac:dyDescent="0.4">
      <c r="A1487">
        <v>1525004030</v>
      </c>
      <c r="B1487">
        <v>1525004447</v>
      </c>
      <c r="C1487" t="str">
        <f>T("회귀의 전설 431화")</f>
        <v>회귀의 전설 431화</v>
      </c>
      <c r="D1487" t="str">
        <f>T("431")</f>
        <v>431</v>
      </c>
      <c r="E1487" t="str">
        <f>T("김광수")</f>
        <v>김광수</v>
      </c>
      <c r="H1487" t="str">
        <f t="shared" si="173"/>
        <v>스토리위즈</v>
      </c>
      <c r="I1487" t="str">
        <f>T("회귀의 전설")</f>
        <v>회귀의 전설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100</v>
      </c>
      <c r="AH1487">
        <v>1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P1487" s="2">
        <v>70</v>
      </c>
      <c r="AT1487" t="str">
        <f>T("9788997946006")</f>
        <v>9788997946006</v>
      </c>
      <c r="AV1487" t="str">
        <f>T("판타지 웹소설 &gt; 현대 판타지")</f>
        <v>판타지 웹소설 &gt; 현대 판타지</v>
      </c>
    </row>
    <row r="1488" spans="1:48" x14ac:dyDescent="0.4">
      <c r="A1488">
        <v>1525004030</v>
      </c>
      <c r="B1488">
        <v>1525004527</v>
      </c>
      <c r="C1488" t="str">
        <f>T("회귀의 전설 504화")</f>
        <v>회귀의 전설 504화</v>
      </c>
      <c r="D1488" t="str">
        <f>T("504")</f>
        <v>504</v>
      </c>
      <c r="E1488" t="str">
        <f>T("김광수")</f>
        <v>김광수</v>
      </c>
      <c r="H1488" t="str">
        <f t="shared" si="173"/>
        <v>스토리위즈</v>
      </c>
      <c r="I1488" t="str">
        <f>T("회귀의 전설")</f>
        <v>회귀의 전설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100</v>
      </c>
      <c r="AH1488">
        <v>1</v>
      </c>
      <c r="AI1488">
        <v>0</v>
      </c>
      <c r="AJ1488">
        <v>0</v>
      </c>
      <c r="AK1488">
        <v>100</v>
      </c>
      <c r="AL1488">
        <v>0</v>
      </c>
      <c r="AM1488">
        <v>0</v>
      </c>
      <c r="AN1488">
        <v>0</v>
      </c>
      <c r="AO1488">
        <v>0</v>
      </c>
      <c r="AP1488" s="2">
        <v>70</v>
      </c>
      <c r="AT1488" t="str">
        <f>T("9788997946006")</f>
        <v>9788997946006</v>
      </c>
      <c r="AV1488" t="str">
        <f>T("판타지 웹소설 &gt; 현대 판타지")</f>
        <v>판타지 웹소설 &gt; 현대 판타지</v>
      </c>
    </row>
    <row r="1489" spans="1:48" x14ac:dyDescent="0.4">
      <c r="A1489">
        <v>1525004989</v>
      </c>
      <c r="B1489">
        <v>1525005553</v>
      </c>
      <c r="C1489" t="str">
        <f>T("신룡전설 64화")</f>
        <v>신룡전설 64화</v>
      </c>
      <c r="D1489" t="str">
        <f>T("64")</f>
        <v>64</v>
      </c>
      <c r="E1489" t="str">
        <f>T("가람검")</f>
        <v>가람검</v>
      </c>
      <c r="H1489" t="str">
        <f t="shared" si="173"/>
        <v>스토리위즈</v>
      </c>
      <c r="I1489" t="str">
        <f>T("신룡전설")</f>
        <v>신룡전설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100</v>
      </c>
      <c r="AH1489">
        <v>1</v>
      </c>
      <c r="AI1489">
        <v>0</v>
      </c>
      <c r="AJ1489">
        <v>0</v>
      </c>
      <c r="AK1489">
        <v>100</v>
      </c>
      <c r="AL1489">
        <v>0</v>
      </c>
      <c r="AM1489">
        <v>0</v>
      </c>
      <c r="AN1489">
        <v>0</v>
      </c>
      <c r="AO1489">
        <v>0</v>
      </c>
      <c r="AP1489" s="2">
        <v>70</v>
      </c>
      <c r="AT1489" t="str">
        <f>T("9791159283505")</f>
        <v>9791159283505</v>
      </c>
      <c r="AV1489" t="str">
        <f>T("판타지 웹소설 &gt; 무협 소설")</f>
        <v>판타지 웹소설 &gt; 무협 소설</v>
      </c>
    </row>
    <row r="1490" spans="1:48" x14ac:dyDescent="0.4">
      <c r="A1490">
        <v>1525004030</v>
      </c>
      <c r="B1490">
        <v>1525007096</v>
      </c>
      <c r="C1490" t="str">
        <f>T("회귀의 전설 2부 980화")</f>
        <v>회귀의 전설 2부 980화</v>
      </c>
      <c r="D1490" t="str">
        <f>T("980")</f>
        <v>980</v>
      </c>
      <c r="E1490" t="str">
        <f>T("김광수")</f>
        <v>김광수</v>
      </c>
      <c r="H1490" t="str">
        <f t="shared" si="173"/>
        <v>스토리위즈</v>
      </c>
      <c r="I1490" t="str">
        <f>T("회귀의 전설")</f>
        <v>회귀의 전설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100</v>
      </c>
      <c r="AH1490">
        <v>1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P1490" s="2">
        <v>70</v>
      </c>
      <c r="AT1490" t="str">
        <f>T("9791191102086")</f>
        <v>9791191102086</v>
      </c>
      <c r="AV1490" t="str">
        <f>T("판타지 웹소설 &gt; 현대 판타지")</f>
        <v>판타지 웹소설 &gt; 현대 판타지</v>
      </c>
    </row>
    <row r="1491" spans="1:48" x14ac:dyDescent="0.4">
      <c r="A1491">
        <v>1525007923</v>
      </c>
      <c r="B1491">
        <v>1525007987</v>
      </c>
      <c r="C1491" t="str">
        <f>T("운상연담: 화불능귀일락 78화")</f>
        <v>운상연담: 화불능귀일락 78화</v>
      </c>
      <c r="D1491" t="str">
        <f>T("78")</f>
        <v>78</v>
      </c>
      <c r="E1491" t="str">
        <f>T("피모")</f>
        <v>피모</v>
      </c>
      <c r="H1491" t="str">
        <f>T("쉬라즈")</f>
        <v>쉬라즈</v>
      </c>
      <c r="I1491" t="str">
        <f>T("운상연담: 화불능귀일락")</f>
        <v>운상연담: 화불능귀일락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100</v>
      </c>
      <c r="AH1491">
        <v>1</v>
      </c>
      <c r="AI1491">
        <v>0</v>
      </c>
      <c r="AJ1491">
        <v>0</v>
      </c>
      <c r="AK1491">
        <v>100</v>
      </c>
      <c r="AL1491">
        <v>0</v>
      </c>
      <c r="AM1491">
        <v>0</v>
      </c>
      <c r="AN1491">
        <v>0</v>
      </c>
      <c r="AO1491">
        <v>0</v>
      </c>
      <c r="AP1491" s="2">
        <v>70</v>
      </c>
      <c r="AT1491" t="str">
        <f>T("9791164896646")</f>
        <v>9791164896646</v>
      </c>
      <c r="AV1491" t="str">
        <f>T("로맨스 웹소설 &gt; 역사/시대물")</f>
        <v>로맨스 웹소설 &gt; 역사/시대물</v>
      </c>
    </row>
    <row r="1492" spans="1:48" x14ac:dyDescent="0.4">
      <c r="A1492">
        <v>1525004030</v>
      </c>
      <c r="B1492">
        <v>1525004367</v>
      </c>
      <c r="C1492" t="str">
        <f>T("회귀의 전설 339화")</f>
        <v>회귀의 전설 339화</v>
      </c>
      <c r="D1492" t="str">
        <f>T("339")</f>
        <v>339</v>
      </c>
      <c r="E1492" t="str">
        <f>T("김광수")</f>
        <v>김광수</v>
      </c>
      <c r="H1492" t="str">
        <f>T("스토리위즈")</f>
        <v>스토리위즈</v>
      </c>
      <c r="I1492" t="str">
        <f>T("회귀의 전설")</f>
        <v>회귀의 전설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P1492" s="2">
        <v>70</v>
      </c>
      <c r="AT1492" t="str">
        <f>T("9788997946006")</f>
        <v>9788997946006</v>
      </c>
      <c r="AV1492" t="str">
        <f>T("판타지 웹소설 &gt; 현대 판타지")</f>
        <v>판타지 웹소설 &gt; 현대 판타지</v>
      </c>
    </row>
    <row r="1493" spans="1:48" x14ac:dyDescent="0.4">
      <c r="A1493">
        <v>2313011400</v>
      </c>
      <c r="B1493">
        <v>1525007642</v>
      </c>
      <c r="C1493" t="str">
        <f>T("최종 보스 21권 7화")</f>
        <v>최종 보스 21권 7화</v>
      </c>
      <c r="D1493" t="str">
        <f>T("420")</f>
        <v>420</v>
      </c>
      <c r="E1493" t="str">
        <f>T("무장")</f>
        <v>무장</v>
      </c>
      <c r="H1493" t="str">
        <f>T("스토리위즈")</f>
        <v>스토리위즈</v>
      </c>
      <c r="I1493" t="str">
        <f>T("최종 보스 : 빛을 향해 달리는 그림자")</f>
        <v>최종 보스 : 빛을 향해 달리는 그림자</v>
      </c>
      <c r="J1493">
        <v>100</v>
      </c>
      <c r="K1493">
        <v>100</v>
      </c>
      <c r="L1493">
        <v>1</v>
      </c>
      <c r="M1493">
        <v>0</v>
      </c>
      <c r="N1493">
        <v>100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200</v>
      </c>
      <c r="AL1493">
        <v>0</v>
      </c>
      <c r="AM1493">
        <v>0</v>
      </c>
      <c r="AN1493">
        <v>0</v>
      </c>
      <c r="AO1493">
        <v>0</v>
      </c>
      <c r="AP1493" s="2">
        <v>140</v>
      </c>
      <c r="AT1493" t="str">
        <f>T("9791166067563")</f>
        <v>9791166067563</v>
      </c>
      <c r="AV1493" t="str">
        <f>T("판타지 웹소설 &gt; 현대 판타지")</f>
        <v>판타지 웹소설 &gt; 현대 판타지</v>
      </c>
    </row>
    <row r="1494" spans="1:48" x14ac:dyDescent="0.4">
      <c r="A1494">
        <v>1525004030</v>
      </c>
      <c r="B1494">
        <v>1525004543</v>
      </c>
      <c r="C1494" t="str">
        <f>T("회귀의 전설 520화")</f>
        <v>회귀의 전설 520화</v>
      </c>
      <c r="D1494" t="str">
        <f>T("520")</f>
        <v>520</v>
      </c>
      <c r="E1494" t="str">
        <f>T("김광수")</f>
        <v>김광수</v>
      </c>
      <c r="H1494" t="str">
        <f>T("스토리위즈")</f>
        <v>스토리위즈</v>
      </c>
      <c r="I1494" t="str">
        <f>T("회귀의 전설")</f>
        <v>회귀의 전설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P1494" s="2">
        <v>70</v>
      </c>
      <c r="AT1494" t="str">
        <f>T("9788997946006")</f>
        <v>9788997946006</v>
      </c>
      <c r="AV1494" t="str">
        <f>T("판타지 웹소설 &gt; 현대 판타지")</f>
        <v>판타지 웹소설 &gt; 현대 판타지</v>
      </c>
    </row>
    <row r="1495" spans="1:48" x14ac:dyDescent="0.4">
      <c r="A1495">
        <v>1525002125</v>
      </c>
      <c r="B1495">
        <v>1525002386</v>
      </c>
      <c r="C1495" t="str">
        <f>T("신을 죽이러 갑니다 262화")</f>
        <v>신을 죽이러 갑니다 262화</v>
      </c>
      <c r="D1495" t="str">
        <f>T("262")</f>
        <v>262</v>
      </c>
      <c r="E1495" t="str">
        <f>T("독고진")</f>
        <v>독고진</v>
      </c>
      <c r="H1495" t="str">
        <f>T("스토리위즈")</f>
        <v>스토리위즈</v>
      </c>
      <c r="I1495" t="str">
        <f>T("신을 죽이러 갑니다")</f>
        <v>신을 죽이러 갑니다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100</v>
      </c>
      <c r="AH1495">
        <v>1</v>
      </c>
      <c r="AI1495">
        <v>0</v>
      </c>
      <c r="AJ1495">
        <v>0</v>
      </c>
      <c r="AK1495">
        <v>100</v>
      </c>
      <c r="AL1495">
        <v>0</v>
      </c>
      <c r="AM1495">
        <v>0</v>
      </c>
      <c r="AN1495">
        <v>0</v>
      </c>
      <c r="AO1495">
        <v>0</v>
      </c>
      <c r="AP1495" s="2">
        <v>70</v>
      </c>
      <c r="AT1495" t="str">
        <f>T("9791159285806")</f>
        <v>9791159285806</v>
      </c>
      <c r="AV1495" t="str">
        <f>T("판타지 웹소설 &gt; 퓨전 판타지")</f>
        <v>판타지 웹소설 &gt; 퓨전 판타지</v>
      </c>
    </row>
    <row r="1496" spans="1:48" x14ac:dyDescent="0.4">
      <c r="A1496">
        <v>1525004030</v>
      </c>
      <c r="B1496">
        <v>1525004479</v>
      </c>
      <c r="C1496" t="str">
        <f>T("회귀의 전설 463화")</f>
        <v>회귀의 전설 463화</v>
      </c>
      <c r="D1496" t="str">
        <f>T("463")</f>
        <v>463</v>
      </c>
      <c r="E1496" t="str">
        <f>T("김광수")</f>
        <v>김광수</v>
      </c>
      <c r="H1496" t="str">
        <f>T("스토리위즈")</f>
        <v>스토리위즈</v>
      </c>
      <c r="I1496" t="str">
        <f>T("회귀의 전설")</f>
        <v>회귀의 전설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100</v>
      </c>
      <c r="AH1496">
        <v>1</v>
      </c>
      <c r="AI1496">
        <v>0</v>
      </c>
      <c r="AJ1496">
        <v>0</v>
      </c>
      <c r="AK1496">
        <v>100</v>
      </c>
      <c r="AL1496">
        <v>0</v>
      </c>
      <c r="AM1496">
        <v>0</v>
      </c>
      <c r="AN1496">
        <v>0</v>
      </c>
      <c r="AO1496">
        <v>0</v>
      </c>
      <c r="AP1496" s="2">
        <v>70</v>
      </c>
      <c r="AT1496" t="str">
        <f>T("9788997946006")</f>
        <v>9788997946006</v>
      </c>
      <c r="AV1496" t="str">
        <f>T("판타지 웹소설 &gt; 현대 판타지")</f>
        <v>판타지 웹소설 &gt; 현대 판타지</v>
      </c>
    </row>
    <row r="1497" spans="1:48" x14ac:dyDescent="0.4">
      <c r="A1497">
        <v>1525008545</v>
      </c>
      <c r="B1497">
        <v>1525008569</v>
      </c>
      <c r="C1497" t="str">
        <f>T("소년연애담 41화")</f>
        <v>소년연애담 41화</v>
      </c>
      <c r="D1497" t="str">
        <f>T("41")</f>
        <v>41</v>
      </c>
      <c r="E1497" t="str">
        <f>T("나나코")</f>
        <v>나나코</v>
      </c>
      <c r="H1497" t="str">
        <f>T("블러쉬")</f>
        <v>블러쉬</v>
      </c>
      <c r="I1497" t="str">
        <f>T("소년연애담")</f>
        <v>소년연애담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100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100</v>
      </c>
      <c r="AN1497">
        <v>0</v>
      </c>
      <c r="AO1497">
        <v>0</v>
      </c>
      <c r="AP1497" s="2">
        <v>70</v>
      </c>
      <c r="AR1497" t="str">
        <f>T("0000000000000")</f>
        <v>0000000000000</v>
      </c>
      <c r="AT1497" t="str">
        <f>T("9791164890729")</f>
        <v>9791164890729</v>
      </c>
      <c r="AU1497" t="str">
        <f>T("B12")</f>
        <v>B12</v>
      </c>
      <c r="AV1497" t="str">
        <f>T("BL 웹소설 &gt; 현대물")</f>
        <v>BL 웹소설 &gt; 현대물</v>
      </c>
    </row>
    <row r="1498" spans="1:48" x14ac:dyDescent="0.4">
      <c r="A1498">
        <v>1525010579</v>
      </c>
      <c r="B1498">
        <v>1525010187</v>
      </c>
      <c r="C1498" t="str">
        <f>T("법보다 주먹 391화")</f>
        <v>법보다 주먹 391화</v>
      </c>
      <c r="D1498" t="str">
        <f>T("391")</f>
        <v>391</v>
      </c>
      <c r="E1498" t="str">
        <f>T("백범(白帆)")</f>
        <v>백범(白帆)</v>
      </c>
      <c r="H1498" t="str">
        <f>T("에필로그")</f>
        <v>에필로그</v>
      </c>
      <c r="I1498" t="str">
        <f>T("법보다 주먹")</f>
        <v>법보다 주먹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100</v>
      </c>
      <c r="AH1498">
        <v>1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P1498" s="2">
        <v>70</v>
      </c>
      <c r="AT1498" t="str">
        <f>T("9791164489367")</f>
        <v>9791164489367</v>
      </c>
      <c r="AV1498" t="str">
        <f>T("판타지 웹소설 &gt; 현대 판타지")</f>
        <v>판타지 웹소설 &gt; 현대 판타지</v>
      </c>
    </row>
    <row r="1499" spans="1:48" x14ac:dyDescent="0.4">
      <c r="A1499">
        <v>1525004030</v>
      </c>
      <c r="B1499">
        <v>1525007128</v>
      </c>
      <c r="C1499" t="str">
        <f>T("회귀의 전설 2부 1012화")</f>
        <v>회귀의 전설 2부 1012화</v>
      </c>
      <c r="D1499" t="str">
        <f>T("1012")</f>
        <v>1012</v>
      </c>
      <c r="E1499" t="str">
        <f>T("김광수")</f>
        <v>김광수</v>
      </c>
      <c r="H1499" t="str">
        <f>T("스토리위즈")</f>
        <v>스토리위즈</v>
      </c>
      <c r="I1499" t="str">
        <f>T("회귀의 전설")</f>
        <v>회귀의 전설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100</v>
      </c>
      <c r="AH1499">
        <v>1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P1499" s="2">
        <v>70</v>
      </c>
      <c r="AT1499" t="str">
        <f>T("9791191102086")</f>
        <v>9791191102086</v>
      </c>
      <c r="AV1499" t="str">
        <f>T("판타지 웹소설 &gt; 현대 판타지")</f>
        <v>판타지 웹소설 &gt; 현대 판타지</v>
      </c>
    </row>
    <row r="1500" spans="1:48" x14ac:dyDescent="0.4">
      <c r="A1500">
        <v>1525000569</v>
      </c>
      <c r="B1500">
        <v>1525000765</v>
      </c>
      <c r="C1500" t="str">
        <f>T("스트라이커 194화")</f>
        <v>스트라이커 194화</v>
      </c>
      <c r="D1500" t="str">
        <f>T("194")</f>
        <v>194</v>
      </c>
      <c r="E1500" t="str">
        <f>T("독고진")</f>
        <v>독고진</v>
      </c>
      <c r="H1500" t="str">
        <f>T("스토리위즈")</f>
        <v>스토리위즈</v>
      </c>
      <c r="I1500" t="str">
        <f>T("스트라이커")</f>
        <v>스트라이커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1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P1500" s="2">
        <v>70</v>
      </c>
      <c r="AT1500" t="str">
        <f>T("9791170151678")</f>
        <v>9791170151678</v>
      </c>
      <c r="AV1500" t="str">
        <f>T("판타지 웹소설 &gt; 현대 판타지")</f>
        <v>판타지 웹소설 &gt; 현대 판타지</v>
      </c>
    </row>
    <row r="1501" spans="1:48" x14ac:dyDescent="0.4">
      <c r="A1501">
        <v>1525002409</v>
      </c>
      <c r="B1501">
        <v>1525002609</v>
      </c>
      <c r="C1501" t="str">
        <f>T("스포트라이트 201화")</f>
        <v>스포트라이트 201화</v>
      </c>
      <c r="D1501" t="str">
        <f>T("201")</f>
        <v>201</v>
      </c>
      <c r="E1501" t="str">
        <f>T("전혁")</f>
        <v>전혁</v>
      </c>
      <c r="H1501" t="str">
        <f>T("스토리위즈")</f>
        <v>스토리위즈</v>
      </c>
      <c r="I1501" t="str">
        <f>T("스포트라이트")</f>
        <v>스포트라이트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100</v>
      </c>
      <c r="AH1501">
        <v>1</v>
      </c>
      <c r="AI1501">
        <v>0</v>
      </c>
      <c r="AJ1501">
        <v>0</v>
      </c>
      <c r="AK1501">
        <v>100</v>
      </c>
      <c r="AL1501">
        <v>0</v>
      </c>
      <c r="AM1501">
        <v>0</v>
      </c>
      <c r="AN1501">
        <v>0</v>
      </c>
      <c r="AO1501">
        <v>0</v>
      </c>
      <c r="AP1501" s="2">
        <v>70</v>
      </c>
      <c r="AT1501" t="str">
        <f>T("9791159286841")</f>
        <v>9791159286841</v>
      </c>
      <c r="AV1501" t="str">
        <f>T("판타지 웹소설 &gt; 현대 판타지")</f>
        <v>판타지 웹소설 &gt; 현대 판타지</v>
      </c>
    </row>
    <row r="1502" spans="1:48" x14ac:dyDescent="0.4">
      <c r="A1502">
        <v>1525007872</v>
      </c>
      <c r="B1502">
        <v>1525007866</v>
      </c>
      <c r="C1502" t="str">
        <f>T("아침이 오지 않아도 14화")</f>
        <v>아침이 오지 않아도 14화</v>
      </c>
      <c r="D1502" t="str">
        <f>T("14")</f>
        <v>14</v>
      </c>
      <c r="E1502" t="str">
        <f>T("홍영")</f>
        <v>홍영</v>
      </c>
      <c r="H1502" t="str">
        <f>T("러브스토리")</f>
        <v>러브스토리</v>
      </c>
      <c r="I1502" t="str">
        <f>T("아침이 오지 않아도")</f>
        <v>아침이 오지 않아도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100</v>
      </c>
      <c r="AH1502">
        <v>1</v>
      </c>
      <c r="AI1502">
        <v>0</v>
      </c>
      <c r="AJ1502">
        <v>0</v>
      </c>
      <c r="AK1502">
        <v>100</v>
      </c>
      <c r="AL1502">
        <v>0</v>
      </c>
      <c r="AM1502">
        <v>0</v>
      </c>
      <c r="AN1502">
        <v>0</v>
      </c>
      <c r="AO1502">
        <v>0</v>
      </c>
      <c r="AP1502" s="2">
        <v>70</v>
      </c>
      <c r="AR1502" t="str">
        <f>T("0000000000000")</f>
        <v>0000000000000</v>
      </c>
      <c r="AT1502" t="str">
        <f>T("9791164899708")</f>
        <v>9791164899708</v>
      </c>
      <c r="AV1502" t="str">
        <f>T("로맨스 웹소설 &gt; 현대물")</f>
        <v>로맨스 웹소설 &gt; 현대물</v>
      </c>
    </row>
    <row r="1503" spans="1:48" x14ac:dyDescent="0.4">
      <c r="A1503">
        <v>2313011400</v>
      </c>
      <c r="B1503">
        <v>1525007674</v>
      </c>
      <c r="C1503" t="str">
        <f>T("최종 보스 22권 19화")</f>
        <v>최종 보스 22권 19화</v>
      </c>
      <c r="D1503" t="str">
        <f>T("452")</f>
        <v>452</v>
      </c>
      <c r="E1503" t="str">
        <f>T("무장")</f>
        <v>무장</v>
      </c>
      <c r="H1503" t="str">
        <f t="shared" ref="H1503:H1508" si="174">T("스토리위즈")</f>
        <v>스토리위즈</v>
      </c>
      <c r="I1503" t="str">
        <f>T("최종 보스 : 빛을 향해 달리는 그림자")</f>
        <v>최종 보스 : 빛을 향해 달리는 그림자</v>
      </c>
      <c r="J1503">
        <v>100</v>
      </c>
      <c r="K1503">
        <v>100</v>
      </c>
      <c r="L1503">
        <v>1</v>
      </c>
      <c r="M1503">
        <v>0</v>
      </c>
      <c r="N1503">
        <v>100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200</v>
      </c>
      <c r="AL1503">
        <v>0</v>
      </c>
      <c r="AM1503">
        <v>0</v>
      </c>
      <c r="AN1503">
        <v>0</v>
      </c>
      <c r="AO1503">
        <v>0</v>
      </c>
      <c r="AP1503" s="2">
        <v>140</v>
      </c>
      <c r="AT1503" t="str">
        <f>T("9791166067563")</f>
        <v>9791166067563</v>
      </c>
      <c r="AV1503" t="str">
        <f>T("판타지 웹소설 &gt; 현대 판타지")</f>
        <v>판타지 웹소설 &gt; 현대 판타지</v>
      </c>
    </row>
    <row r="1504" spans="1:48" x14ac:dyDescent="0.4">
      <c r="A1504">
        <v>1525004030</v>
      </c>
      <c r="B1504">
        <v>1525007032</v>
      </c>
      <c r="C1504" t="str">
        <f>T("회귀의 전설 2부 916화")</f>
        <v>회귀의 전설 2부 916화</v>
      </c>
      <c r="D1504" t="str">
        <f>T("916")</f>
        <v>916</v>
      </c>
      <c r="E1504" t="str">
        <f>T("김광수")</f>
        <v>김광수</v>
      </c>
      <c r="H1504" t="str">
        <f t="shared" si="174"/>
        <v>스토리위즈</v>
      </c>
      <c r="I1504" t="str">
        <f>T("회귀의 전설")</f>
        <v>회귀의 전설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100</v>
      </c>
      <c r="AH1504">
        <v>1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P1504" s="2">
        <v>70</v>
      </c>
      <c r="AT1504" t="str">
        <f>T("9791191102086")</f>
        <v>9791191102086</v>
      </c>
      <c r="AV1504" t="str">
        <f>T("판타지 웹소설 &gt; 현대 판타지")</f>
        <v>판타지 웹소설 &gt; 현대 판타지</v>
      </c>
    </row>
    <row r="1505" spans="1:48" x14ac:dyDescent="0.4">
      <c r="A1505">
        <v>1525004989</v>
      </c>
      <c r="B1505">
        <v>1525005601</v>
      </c>
      <c r="C1505" t="str">
        <f>T("신룡전설 112화")</f>
        <v>신룡전설 112화</v>
      </c>
      <c r="D1505" t="str">
        <f>T("112")</f>
        <v>112</v>
      </c>
      <c r="E1505" t="str">
        <f>T("가람검")</f>
        <v>가람검</v>
      </c>
      <c r="H1505" t="str">
        <f t="shared" si="174"/>
        <v>스토리위즈</v>
      </c>
      <c r="I1505" t="str">
        <f>T("신룡전설")</f>
        <v>신룡전설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100</v>
      </c>
      <c r="AH1505">
        <v>1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P1505" s="2">
        <v>70</v>
      </c>
      <c r="AT1505" t="str">
        <f>T("9791159283505")</f>
        <v>9791159283505</v>
      </c>
      <c r="AV1505" t="str">
        <f>T("판타지 웹소설 &gt; 무협 소설")</f>
        <v>판타지 웹소설 &gt; 무협 소설</v>
      </c>
    </row>
    <row r="1506" spans="1:48" x14ac:dyDescent="0.4">
      <c r="A1506">
        <v>1525002409</v>
      </c>
      <c r="B1506">
        <v>1525002538</v>
      </c>
      <c r="C1506" t="str">
        <f>T("스포트라이트 130화")</f>
        <v>스포트라이트 130화</v>
      </c>
      <c r="D1506" t="str">
        <f>T("130")</f>
        <v>130</v>
      </c>
      <c r="E1506" t="str">
        <f>T("전혁")</f>
        <v>전혁</v>
      </c>
      <c r="H1506" t="str">
        <f t="shared" si="174"/>
        <v>스토리위즈</v>
      </c>
      <c r="I1506" t="str">
        <f>T("스포트라이트")</f>
        <v>스포트라이트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100</v>
      </c>
      <c r="AH1506">
        <v>1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P1506" s="2">
        <v>70</v>
      </c>
      <c r="AT1506" t="str">
        <f>T("9791159286841")</f>
        <v>9791159286841</v>
      </c>
      <c r="AV1506" t="str">
        <f>T("판타지 웹소설 &gt; 현대 판타지")</f>
        <v>판타지 웹소설 &gt; 현대 판타지</v>
      </c>
    </row>
    <row r="1507" spans="1:48" x14ac:dyDescent="0.4">
      <c r="A1507">
        <v>1525004030</v>
      </c>
      <c r="B1507">
        <v>1525006980</v>
      </c>
      <c r="C1507" t="str">
        <f>T("회귀의 전설 2부 864화")</f>
        <v>회귀의 전설 2부 864화</v>
      </c>
      <c r="D1507" t="str">
        <f>T("864")</f>
        <v>864</v>
      </c>
      <c r="E1507" t="str">
        <f>T("김광수")</f>
        <v>김광수</v>
      </c>
      <c r="H1507" t="str">
        <f t="shared" si="174"/>
        <v>스토리위즈</v>
      </c>
      <c r="I1507" t="str">
        <f>T("회귀의 전설")</f>
        <v>회귀의 전설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100</v>
      </c>
      <c r="AH1507">
        <v>1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P1507" s="2">
        <v>70</v>
      </c>
      <c r="AT1507" t="str">
        <f>T("9791191102086")</f>
        <v>9791191102086</v>
      </c>
      <c r="AV1507" t="str">
        <f>T("판타지 웹소설 &gt; 현대 판타지")</f>
        <v>판타지 웹소설 &gt; 현대 판타지</v>
      </c>
    </row>
    <row r="1508" spans="1:48" x14ac:dyDescent="0.4">
      <c r="A1508">
        <v>1525004030</v>
      </c>
      <c r="B1508">
        <v>1525004303</v>
      </c>
      <c r="C1508" t="str">
        <f>T("회귀의 전설 274화")</f>
        <v>회귀의 전설 274화</v>
      </c>
      <c r="D1508" t="str">
        <f>T("274")</f>
        <v>274</v>
      </c>
      <c r="E1508" t="str">
        <f>T("김광수")</f>
        <v>김광수</v>
      </c>
      <c r="H1508" t="str">
        <f t="shared" si="174"/>
        <v>스토리위즈</v>
      </c>
      <c r="I1508" t="str">
        <f>T("회귀의 전설")</f>
        <v>회귀의 전설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100</v>
      </c>
      <c r="AH1508">
        <v>1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P1508" s="2">
        <v>70</v>
      </c>
      <c r="AT1508" t="str">
        <f>T("9788997946006")</f>
        <v>9788997946006</v>
      </c>
      <c r="AV1508" t="str">
        <f>T("판타지 웹소설 &gt; 현대 판타지")</f>
        <v>판타지 웹소설 &gt; 현대 판타지</v>
      </c>
    </row>
    <row r="1509" spans="1:48" x14ac:dyDescent="0.4">
      <c r="A1509">
        <v>1525011523</v>
      </c>
      <c r="B1509">
        <v>1525011499</v>
      </c>
      <c r="C1509" t="str">
        <f>T("남창목가 25화")</f>
        <v>남창목가 25화</v>
      </c>
      <c r="D1509" t="str">
        <f>T("25")</f>
        <v>25</v>
      </c>
      <c r="E1509" t="str">
        <f>T("최재봉")</f>
        <v>최재봉</v>
      </c>
      <c r="H1509" t="str">
        <f>T("에필로그")</f>
        <v>에필로그</v>
      </c>
      <c r="I1509" t="str">
        <f>T("남창목가")</f>
        <v>남창목가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100</v>
      </c>
      <c r="AH1509">
        <v>1</v>
      </c>
      <c r="AI1509">
        <v>0</v>
      </c>
      <c r="AJ1509">
        <v>0</v>
      </c>
      <c r="AK1509">
        <v>100</v>
      </c>
      <c r="AL1509">
        <v>0</v>
      </c>
      <c r="AM1509">
        <v>0</v>
      </c>
      <c r="AN1509">
        <v>0</v>
      </c>
      <c r="AO1509">
        <v>0</v>
      </c>
      <c r="AP1509" s="2">
        <v>70</v>
      </c>
      <c r="AT1509" t="str">
        <f>T("9791164482849")</f>
        <v>9791164482849</v>
      </c>
      <c r="AV1509" t="str">
        <f>T("판타지 웹소설 &gt; 무협 소설")</f>
        <v>판타지 웹소설 &gt; 무협 소설</v>
      </c>
    </row>
    <row r="1510" spans="1:48" x14ac:dyDescent="0.4">
      <c r="A1510">
        <v>1525004030</v>
      </c>
      <c r="B1510">
        <v>1525004360</v>
      </c>
      <c r="C1510" t="str">
        <f>T("회귀의 전설 332화")</f>
        <v>회귀의 전설 332화</v>
      </c>
      <c r="D1510" t="str">
        <f>T("332")</f>
        <v>332</v>
      </c>
      <c r="E1510" t="str">
        <f>T("김광수")</f>
        <v>김광수</v>
      </c>
      <c r="H1510" t="str">
        <f>T("스토리위즈")</f>
        <v>스토리위즈</v>
      </c>
      <c r="I1510" t="str">
        <f>T("회귀의 전설")</f>
        <v>회귀의 전설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100</v>
      </c>
      <c r="AH1510">
        <v>1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P1510" s="2">
        <v>70</v>
      </c>
      <c r="AT1510" t="str">
        <f>T("9788997946006")</f>
        <v>9788997946006</v>
      </c>
      <c r="AV1510" t="str">
        <f>T("판타지 웹소설 &gt; 현대 판타지")</f>
        <v>판타지 웹소설 &gt; 현대 판타지</v>
      </c>
    </row>
    <row r="1511" spans="1:48" x14ac:dyDescent="0.4">
      <c r="A1511">
        <v>1525004989</v>
      </c>
      <c r="B1511">
        <v>1525005522</v>
      </c>
      <c r="C1511" t="str">
        <f>T("신룡전설 33화")</f>
        <v>신룡전설 33화</v>
      </c>
      <c r="D1511" t="str">
        <f>T("33")</f>
        <v>33</v>
      </c>
      <c r="E1511" t="str">
        <f>T("가람검")</f>
        <v>가람검</v>
      </c>
      <c r="H1511" t="str">
        <f>T("스토리위즈")</f>
        <v>스토리위즈</v>
      </c>
      <c r="I1511" t="str">
        <f>T("신룡전설")</f>
        <v>신룡전설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100</v>
      </c>
      <c r="AH1511">
        <v>1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P1511" s="2">
        <v>70</v>
      </c>
      <c r="AT1511" t="str">
        <f>T("9791159283505")</f>
        <v>9791159283505</v>
      </c>
      <c r="AV1511" t="str">
        <f>T("판타지 웹소설 &gt; 무협 소설")</f>
        <v>판타지 웹소설 &gt; 무협 소설</v>
      </c>
    </row>
    <row r="1512" spans="1:48" x14ac:dyDescent="0.4">
      <c r="A1512">
        <v>1525004030</v>
      </c>
      <c r="B1512">
        <v>1525004472</v>
      </c>
      <c r="C1512" t="str">
        <f>T("회귀의 전설 456화")</f>
        <v>회귀의 전설 456화</v>
      </c>
      <c r="D1512" t="str">
        <f>T("456")</f>
        <v>456</v>
      </c>
      <c r="E1512" t="str">
        <f>T("김광수")</f>
        <v>김광수</v>
      </c>
      <c r="H1512" t="str">
        <f>T("스토리위즈")</f>
        <v>스토리위즈</v>
      </c>
      <c r="I1512" t="str">
        <f>T("회귀의 전설")</f>
        <v>회귀의 전설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100</v>
      </c>
      <c r="AH1512">
        <v>1</v>
      </c>
      <c r="AI1512">
        <v>0</v>
      </c>
      <c r="AJ1512">
        <v>0</v>
      </c>
      <c r="AK1512">
        <v>100</v>
      </c>
      <c r="AL1512">
        <v>0</v>
      </c>
      <c r="AM1512">
        <v>0</v>
      </c>
      <c r="AN1512">
        <v>0</v>
      </c>
      <c r="AO1512">
        <v>0</v>
      </c>
      <c r="AP1512" s="2">
        <v>70</v>
      </c>
      <c r="AT1512" t="str">
        <f>T("9788997946006")</f>
        <v>9788997946006</v>
      </c>
      <c r="AV1512" t="str">
        <f>T("판타지 웹소설 &gt; 현대 판타지")</f>
        <v>판타지 웹소설 &gt; 현대 판타지</v>
      </c>
    </row>
    <row r="1513" spans="1:48" x14ac:dyDescent="0.4">
      <c r="A1513">
        <v>1525008545</v>
      </c>
      <c r="B1513">
        <v>1525008562</v>
      </c>
      <c r="C1513" t="str">
        <f>T("소년연애담 35화")</f>
        <v>소년연애담 35화</v>
      </c>
      <c r="D1513" t="str">
        <f>T("35")</f>
        <v>35</v>
      </c>
      <c r="E1513" t="str">
        <f>T("나나코")</f>
        <v>나나코</v>
      </c>
      <c r="H1513" t="str">
        <f>T("블러쉬")</f>
        <v>블러쉬</v>
      </c>
      <c r="I1513" t="str">
        <f>T("소년연애담")</f>
        <v>소년연애담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100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100</v>
      </c>
      <c r="AN1513">
        <v>0</v>
      </c>
      <c r="AO1513">
        <v>0</v>
      </c>
      <c r="AP1513" s="2">
        <v>70</v>
      </c>
      <c r="AR1513" t="str">
        <f>T("0000000000000")</f>
        <v>0000000000000</v>
      </c>
      <c r="AT1513" t="str">
        <f>T("9791164890729")</f>
        <v>9791164890729</v>
      </c>
      <c r="AU1513" t="str">
        <f>T("B12")</f>
        <v>B12</v>
      </c>
      <c r="AV1513" t="str">
        <f>T("BL 웹소설 &gt; 현대물")</f>
        <v>BL 웹소설 &gt; 현대물</v>
      </c>
    </row>
    <row r="1514" spans="1:48" x14ac:dyDescent="0.4">
      <c r="A1514">
        <v>1525004989</v>
      </c>
      <c r="B1514">
        <v>1525005578</v>
      </c>
      <c r="C1514" t="str">
        <f>T("신룡전설 89화")</f>
        <v>신룡전설 89화</v>
      </c>
      <c r="D1514" t="str">
        <f>T("89")</f>
        <v>89</v>
      </c>
      <c r="E1514" t="str">
        <f>T("가람검")</f>
        <v>가람검</v>
      </c>
      <c r="H1514" t="str">
        <f>T("스토리위즈")</f>
        <v>스토리위즈</v>
      </c>
      <c r="I1514" t="str">
        <f>T("신룡전설")</f>
        <v>신룡전설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100</v>
      </c>
      <c r="AH1514">
        <v>1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P1514" s="2">
        <v>70</v>
      </c>
      <c r="AT1514" t="str">
        <f>T("9791159283505")</f>
        <v>9791159283505</v>
      </c>
      <c r="AV1514" t="str">
        <f>T("판타지 웹소설 &gt; 무협 소설")</f>
        <v>판타지 웹소설 &gt; 무협 소설</v>
      </c>
    </row>
    <row r="1515" spans="1:48" x14ac:dyDescent="0.4">
      <c r="A1515">
        <v>1525010579</v>
      </c>
      <c r="B1515">
        <v>1525010176</v>
      </c>
      <c r="C1515" t="str">
        <f>T("법보다 주먹 402화")</f>
        <v>법보다 주먹 402화</v>
      </c>
      <c r="D1515" t="str">
        <f>T("402")</f>
        <v>402</v>
      </c>
      <c r="E1515" t="str">
        <f>T("백범(白帆)")</f>
        <v>백범(白帆)</v>
      </c>
      <c r="H1515" t="str">
        <f>T("에필로그")</f>
        <v>에필로그</v>
      </c>
      <c r="I1515" t="str">
        <f>T("법보다 주먹")</f>
        <v>법보다 주먹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100</v>
      </c>
      <c r="AH1515">
        <v>1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P1515" s="2">
        <v>70</v>
      </c>
      <c r="AT1515" t="str">
        <f>T("9791164489367")</f>
        <v>9791164489367</v>
      </c>
      <c r="AV1515" t="str">
        <f t="shared" ref="AV1515:AV1521" si="175">T("판타지 웹소설 &gt; 현대 판타지")</f>
        <v>판타지 웹소설 &gt; 현대 판타지</v>
      </c>
    </row>
    <row r="1516" spans="1:48" x14ac:dyDescent="0.4">
      <c r="A1516">
        <v>1525004030</v>
      </c>
      <c r="B1516">
        <v>1525007121</v>
      </c>
      <c r="C1516" t="str">
        <f>T("회귀의 전설 2부 1005화")</f>
        <v>회귀의 전설 2부 1005화</v>
      </c>
      <c r="D1516" t="str">
        <f>T("1005")</f>
        <v>1005</v>
      </c>
      <c r="E1516" t="str">
        <f>T("김광수")</f>
        <v>김광수</v>
      </c>
      <c r="H1516" t="str">
        <f t="shared" ref="H1516:H1522" si="176">T("스토리위즈")</f>
        <v>스토리위즈</v>
      </c>
      <c r="I1516" t="str">
        <f>T("회귀의 전설")</f>
        <v>회귀의 전설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100</v>
      </c>
      <c r="AH1516">
        <v>1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P1516" s="2">
        <v>70</v>
      </c>
      <c r="AT1516" t="str">
        <f>T("9791191102086")</f>
        <v>9791191102086</v>
      </c>
      <c r="AV1516" t="str">
        <f t="shared" si="175"/>
        <v>판타지 웹소설 &gt; 현대 판타지</v>
      </c>
    </row>
    <row r="1517" spans="1:48" x14ac:dyDescent="0.4">
      <c r="A1517">
        <v>1525004030</v>
      </c>
      <c r="B1517">
        <v>1525004376</v>
      </c>
      <c r="C1517" t="str">
        <f>T("회귀의 전설 348화")</f>
        <v>회귀의 전설 348화</v>
      </c>
      <c r="D1517" t="str">
        <f>T("348")</f>
        <v>348</v>
      </c>
      <c r="E1517" t="str">
        <f>T("김광수")</f>
        <v>김광수</v>
      </c>
      <c r="H1517" t="str">
        <f t="shared" si="176"/>
        <v>스토리위즈</v>
      </c>
      <c r="I1517" t="str">
        <f>T("회귀의 전설")</f>
        <v>회귀의 전설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100</v>
      </c>
      <c r="AH1517">
        <v>1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P1517" s="2">
        <v>70</v>
      </c>
      <c r="AT1517" t="str">
        <f>T("9788997946006")</f>
        <v>9788997946006</v>
      </c>
      <c r="AV1517" t="str">
        <f t="shared" si="175"/>
        <v>판타지 웹소설 &gt; 현대 판타지</v>
      </c>
    </row>
    <row r="1518" spans="1:48" x14ac:dyDescent="0.4">
      <c r="A1518">
        <v>1525002409</v>
      </c>
      <c r="B1518">
        <v>1525002599</v>
      </c>
      <c r="C1518" t="str">
        <f>T("스포트라이트 191화")</f>
        <v>스포트라이트 191화</v>
      </c>
      <c r="D1518" t="str">
        <f>T("191")</f>
        <v>191</v>
      </c>
      <c r="E1518" t="str">
        <f>T("전혁")</f>
        <v>전혁</v>
      </c>
      <c r="H1518" t="str">
        <f t="shared" si="176"/>
        <v>스토리위즈</v>
      </c>
      <c r="I1518" t="str">
        <f>T("스포트라이트")</f>
        <v>스포트라이트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100</v>
      </c>
      <c r="AH1518">
        <v>1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P1518" s="2">
        <v>70</v>
      </c>
      <c r="AT1518" t="str">
        <f>T("9791159286841")</f>
        <v>9791159286841</v>
      </c>
      <c r="AV1518" t="str">
        <f t="shared" si="175"/>
        <v>판타지 웹소설 &gt; 현대 판타지</v>
      </c>
    </row>
    <row r="1519" spans="1:48" x14ac:dyDescent="0.4">
      <c r="A1519">
        <v>2313011400</v>
      </c>
      <c r="B1519">
        <v>1525007667</v>
      </c>
      <c r="C1519" t="str">
        <f>T("최종 보스 22권 12화")</f>
        <v>최종 보스 22권 12화</v>
      </c>
      <c r="D1519" t="str">
        <f>T("445")</f>
        <v>445</v>
      </c>
      <c r="E1519" t="str">
        <f>T("무장")</f>
        <v>무장</v>
      </c>
      <c r="H1519" t="str">
        <f t="shared" si="176"/>
        <v>스토리위즈</v>
      </c>
      <c r="I1519" t="str">
        <f>T("최종 보스 : 빛을 향해 달리는 그림자")</f>
        <v>최종 보스 : 빛을 향해 달리는 그림자</v>
      </c>
      <c r="J1519">
        <v>100</v>
      </c>
      <c r="K1519">
        <v>100</v>
      </c>
      <c r="L1519">
        <v>1</v>
      </c>
      <c r="M1519">
        <v>0</v>
      </c>
      <c r="N1519">
        <v>100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200</v>
      </c>
      <c r="AL1519">
        <v>0</v>
      </c>
      <c r="AM1519">
        <v>0</v>
      </c>
      <c r="AN1519">
        <v>0</v>
      </c>
      <c r="AO1519">
        <v>0</v>
      </c>
      <c r="AP1519" s="2">
        <v>140</v>
      </c>
      <c r="AT1519" t="str">
        <f>T("9791166067563")</f>
        <v>9791166067563</v>
      </c>
      <c r="AV1519" t="str">
        <f t="shared" si="175"/>
        <v>판타지 웹소설 &gt; 현대 판타지</v>
      </c>
    </row>
    <row r="1520" spans="1:48" x14ac:dyDescent="0.4">
      <c r="A1520">
        <v>1525004030</v>
      </c>
      <c r="B1520">
        <v>1525007025</v>
      </c>
      <c r="C1520" t="str">
        <f>T("회귀의 전설 2부 909화")</f>
        <v>회귀의 전설 2부 909화</v>
      </c>
      <c r="D1520" t="str">
        <f>T("909")</f>
        <v>909</v>
      </c>
      <c r="E1520" t="str">
        <f>T("김광수")</f>
        <v>김광수</v>
      </c>
      <c r="H1520" t="str">
        <f t="shared" si="176"/>
        <v>스토리위즈</v>
      </c>
      <c r="I1520" t="str">
        <f>T("회귀의 전설")</f>
        <v>회귀의 전설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100</v>
      </c>
      <c r="AH1520">
        <v>1</v>
      </c>
      <c r="AI1520">
        <v>0</v>
      </c>
      <c r="AJ1520">
        <v>0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 s="2">
        <v>70</v>
      </c>
      <c r="AT1520" t="str">
        <f>T("9791191102086")</f>
        <v>9791191102086</v>
      </c>
      <c r="AV1520" t="str">
        <f t="shared" si="175"/>
        <v>판타지 웹소설 &gt; 현대 판타지</v>
      </c>
    </row>
    <row r="1521" spans="1:48" x14ac:dyDescent="0.4">
      <c r="A1521">
        <v>1525004030</v>
      </c>
      <c r="B1521">
        <v>1525006725</v>
      </c>
      <c r="C1521" t="str">
        <f>T("회귀의 전설 2부 608화")</f>
        <v>회귀의 전설 2부 608화</v>
      </c>
      <c r="D1521" t="str">
        <f>T("608")</f>
        <v>608</v>
      </c>
      <c r="E1521" t="str">
        <f>T("김광수")</f>
        <v>김광수</v>
      </c>
      <c r="H1521" t="str">
        <f t="shared" si="176"/>
        <v>스토리위즈</v>
      </c>
      <c r="I1521" t="str">
        <f>T("회귀의 전설")</f>
        <v>회귀의 전설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100</v>
      </c>
      <c r="AH1521">
        <v>1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P1521" s="2">
        <v>70</v>
      </c>
      <c r="AT1521" t="str">
        <f>T("9791191102086")</f>
        <v>9791191102086</v>
      </c>
      <c r="AV1521" t="str">
        <f t="shared" si="175"/>
        <v>판타지 웹소설 &gt; 현대 판타지</v>
      </c>
    </row>
    <row r="1522" spans="1:48" x14ac:dyDescent="0.4">
      <c r="A1522">
        <v>1525004989</v>
      </c>
      <c r="B1522">
        <v>1525005594</v>
      </c>
      <c r="C1522" t="str">
        <f>T("신룡전설 105화")</f>
        <v>신룡전설 105화</v>
      </c>
      <c r="D1522" t="str">
        <f>T("105")</f>
        <v>105</v>
      </c>
      <c r="E1522" t="str">
        <f>T("가람검")</f>
        <v>가람검</v>
      </c>
      <c r="H1522" t="str">
        <f t="shared" si="176"/>
        <v>스토리위즈</v>
      </c>
      <c r="I1522" t="str">
        <f>T("신룡전설")</f>
        <v>신룡전설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100</v>
      </c>
      <c r="AH1522">
        <v>1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P1522" s="2">
        <v>70</v>
      </c>
      <c r="AT1522" t="str">
        <f>T("9791159283505")</f>
        <v>9791159283505</v>
      </c>
      <c r="AV1522" t="str">
        <f>T("판타지 웹소설 &gt; 무협 소설")</f>
        <v>판타지 웹소설 &gt; 무협 소설</v>
      </c>
    </row>
    <row r="1523" spans="1:48" x14ac:dyDescent="0.4">
      <c r="A1523">
        <v>1525008545</v>
      </c>
      <c r="B1523">
        <v>1525008538</v>
      </c>
      <c r="C1523" t="str">
        <f>T("소년연애담 13화")</f>
        <v>소년연애담 13화</v>
      </c>
      <c r="D1523" t="str">
        <f>T("13")</f>
        <v>13</v>
      </c>
      <c r="E1523" t="str">
        <f>T("나나코")</f>
        <v>나나코</v>
      </c>
      <c r="H1523" t="str">
        <f>T("블러쉬")</f>
        <v>블러쉬</v>
      </c>
      <c r="I1523" t="str">
        <f>T("소년연애담")</f>
        <v>소년연애담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100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100</v>
      </c>
      <c r="AN1523">
        <v>0</v>
      </c>
      <c r="AO1523">
        <v>0</v>
      </c>
      <c r="AP1523" s="2">
        <v>70</v>
      </c>
      <c r="AR1523" t="str">
        <f>T("0000000000000")</f>
        <v>0000000000000</v>
      </c>
      <c r="AT1523" t="str">
        <f>T("9791164890729")</f>
        <v>9791164890729</v>
      </c>
      <c r="AU1523" t="str">
        <f>T("B12")</f>
        <v>B12</v>
      </c>
      <c r="AV1523" t="str">
        <f>T("BL 웹소설 &gt; 현대물")</f>
        <v>BL 웹소설 &gt; 현대물</v>
      </c>
    </row>
    <row r="1524" spans="1:48" x14ac:dyDescent="0.4">
      <c r="A1524">
        <v>1525004030</v>
      </c>
      <c r="B1524">
        <v>1525006973</v>
      </c>
      <c r="C1524" t="str">
        <f>T("회귀의 전설 2부 857화")</f>
        <v>회귀의 전설 2부 857화</v>
      </c>
      <c r="D1524" t="str">
        <f>T("857")</f>
        <v>857</v>
      </c>
      <c r="E1524" t="str">
        <f>T("김광수")</f>
        <v>김광수</v>
      </c>
      <c r="H1524" t="str">
        <f>T("스토리위즈")</f>
        <v>스토리위즈</v>
      </c>
      <c r="I1524" t="str">
        <f>T("회귀의 전설")</f>
        <v>회귀의 전설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P1524" s="2">
        <v>70</v>
      </c>
      <c r="AT1524" t="str">
        <f>T("9791191102086")</f>
        <v>9791191102086</v>
      </c>
      <c r="AV1524" t="str">
        <f>T("판타지 웹소설 &gt; 현대 판타지")</f>
        <v>판타지 웹소설 &gt; 현대 판타지</v>
      </c>
    </row>
    <row r="1525" spans="1:48" x14ac:dyDescent="0.4">
      <c r="A1525">
        <v>1525004030</v>
      </c>
      <c r="B1525">
        <v>1525004296</v>
      </c>
      <c r="C1525" t="str">
        <f>T("회귀의 전설 267화")</f>
        <v>회귀의 전설 267화</v>
      </c>
      <c r="D1525" t="str">
        <f>T("267")</f>
        <v>267</v>
      </c>
      <c r="E1525" t="str">
        <f>T("김광수")</f>
        <v>김광수</v>
      </c>
      <c r="H1525" t="str">
        <f>T("스토리위즈")</f>
        <v>스토리위즈</v>
      </c>
      <c r="I1525" t="str">
        <f>T("회귀의 전설")</f>
        <v>회귀의 전설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0</v>
      </c>
      <c r="AJ1525">
        <v>0</v>
      </c>
      <c r="AK1525">
        <v>100</v>
      </c>
      <c r="AL1525">
        <v>0</v>
      </c>
      <c r="AM1525">
        <v>0</v>
      </c>
      <c r="AN1525">
        <v>0</v>
      </c>
      <c r="AO1525">
        <v>0</v>
      </c>
      <c r="AP1525" s="2">
        <v>70</v>
      </c>
      <c r="AT1525" t="str">
        <f>T("9788997946006")</f>
        <v>9788997946006</v>
      </c>
      <c r="AV1525" t="str">
        <f>T("판타지 웹소설 &gt; 현대 판타지")</f>
        <v>판타지 웹소설 &gt; 현대 판타지</v>
      </c>
    </row>
    <row r="1526" spans="1:48" x14ac:dyDescent="0.4">
      <c r="A1526">
        <v>1525008604</v>
      </c>
      <c r="B1526">
        <v>1525008594</v>
      </c>
      <c r="C1526" t="str">
        <f>T("우아한 곡선 10화")</f>
        <v>우아한 곡선 10화</v>
      </c>
      <c r="D1526" t="str">
        <f>T("10")</f>
        <v>10</v>
      </c>
      <c r="E1526" t="str">
        <f>T("용가리맛쿠키")</f>
        <v>용가리맛쿠키</v>
      </c>
      <c r="H1526" t="str">
        <f>T("블러쉬")</f>
        <v>블러쉬</v>
      </c>
      <c r="I1526" t="str">
        <f>T("우아한 곡선")</f>
        <v>우아한 곡선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100</v>
      </c>
      <c r="AH1526">
        <v>1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P1526" s="2">
        <v>70</v>
      </c>
      <c r="AR1526" t="str">
        <f>T("0000000000000")</f>
        <v>0000000000000</v>
      </c>
      <c r="AT1526" t="str">
        <f>T("9791164896615")</f>
        <v>9791164896615</v>
      </c>
      <c r="AV1526" t="str">
        <f>T("BL 웹소설 &gt; 현대물")</f>
        <v>BL 웹소설 &gt; 현대물</v>
      </c>
    </row>
    <row r="1527" spans="1:48" x14ac:dyDescent="0.4">
      <c r="A1527">
        <v>1525010579</v>
      </c>
      <c r="B1527">
        <v>1525010221</v>
      </c>
      <c r="C1527" t="str">
        <f>T("법보다 주먹 357화")</f>
        <v>법보다 주먹 357화</v>
      </c>
      <c r="D1527" t="str">
        <f>T("357")</f>
        <v>357</v>
      </c>
      <c r="E1527" t="str">
        <f>T("백범(白帆)")</f>
        <v>백범(白帆)</v>
      </c>
      <c r="H1527" t="str">
        <f>T("에필로그")</f>
        <v>에필로그</v>
      </c>
      <c r="I1527" t="str">
        <f>T("법보다 주먹")</f>
        <v>법보다 주먹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0</v>
      </c>
      <c r="AJ1527">
        <v>0</v>
      </c>
      <c r="AK1527">
        <v>100</v>
      </c>
      <c r="AL1527">
        <v>0</v>
      </c>
      <c r="AM1527">
        <v>0</v>
      </c>
      <c r="AN1527">
        <v>0</v>
      </c>
      <c r="AO1527">
        <v>0</v>
      </c>
      <c r="AP1527" s="2">
        <v>70</v>
      </c>
      <c r="AT1527" t="str">
        <f>T("9791164489367")</f>
        <v>9791164489367</v>
      </c>
      <c r="AV1527" t="str">
        <f>T("판타지 웹소설 &gt; 현대 판타지")</f>
        <v>판타지 웹소설 &gt; 현대 판타지</v>
      </c>
    </row>
    <row r="1528" spans="1:48" x14ac:dyDescent="0.4">
      <c r="A1528">
        <v>1525004030</v>
      </c>
      <c r="B1528">
        <v>1525004408</v>
      </c>
      <c r="C1528" t="str">
        <f>T("회귀의 전설 380화")</f>
        <v>회귀의 전설 380화</v>
      </c>
      <c r="D1528" t="str">
        <f>T("380")</f>
        <v>380</v>
      </c>
      <c r="E1528" t="str">
        <f>T("김광수")</f>
        <v>김광수</v>
      </c>
      <c r="H1528" t="str">
        <f>T("스토리위즈")</f>
        <v>스토리위즈</v>
      </c>
      <c r="I1528" t="str">
        <f>T("회귀의 전설")</f>
        <v>회귀의 전설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P1528" s="2">
        <v>70</v>
      </c>
      <c r="AT1528" t="str">
        <f>T("9788997946006")</f>
        <v>9788997946006</v>
      </c>
      <c r="AV1528" t="str">
        <f>T("판타지 웹소설 &gt; 현대 판타지")</f>
        <v>판타지 웹소설 &gt; 현대 판타지</v>
      </c>
    </row>
    <row r="1529" spans="1:48" x14ac:dyDescent="0.4">
      <c r="A1529">
        <v>1525004030</v>
      </c>
      <c r="B1529">
        <v>1525004488</v>
      </c>
      <c r="C1529" t="str">
        <f>T("회귀의 전설 472화")</f>
        <v>회귀의 전설 472화</v>
      </c>
      <c r="D1529" t="str">
        <f>T("472")</f>
        <v>472</v>
      </c>
      <c r="E1529" t="str">
        <f>T("김광수")</f>
        <v>김광수</v>
      </c>
      <c r="H1529" t="str">
        <f>T("스토리위즈")</f>
        <v>스토리위즈</v>
      </c>
      <c r="I1529" t="str">
        <f>T("회귀의 전설")</f>
        <v>회귀의 전설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P1529" s="2">
        <v>70</v>
      </c>
      <c r="AT1529" t="str">
        <f>T("9788997946006")</f>
        <v>9788997946006</v>
      </c>
      <c r="AV1529" t="str">
        <f>T("판타지 웹소설 &gt; 현대 판타지")</f>
        <v>판타지 웹소설 &gt; 현대 판타지</v>
      </c>
    </row>
    <row r="1530" spans="1:48" x14ac:dyDescent="0.4">
      <c r="A1530">
        <v>1525000569</v>
      </c>
      <c r="B1530">
        <v>1525000599</v>
      </c>
      <c r="C1530" t="str">
        <f>T("스트라이커 31화")</f>
        <v>스트라이커 31화</v>
      </c>
      <c r="D1530" t="str">
        <f>T("31")</f>
        <v>31</v>
      </c>
      <c r="E1530" t="str">
        <f>T("독고진")</f>
        <v>독고진</v>
      </c>
      <c r="H1530" t="str">
        <f>T("스토리위즈")</f>
        <v>스토리위즈</v>
      </c>
      <c r="I1530" t="str">
        <f>T("스트라이커")</f>
        <v>스트라이커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100</v>
      </c>
      <c r="AH1530">
        <v>1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P1530" s="2">
        <v>70</v>
      </c>
      <c r="AT1530" t="str">
        <f>T("9791170151678")</f>
        <v>9791170151678</v>
      </c>
      <c r="AV1530" t="str">
        <f>T("판타지 웹소설 &gt; 현대 판타지")</f>
        <v>판타지 웹소설 &gt; 현대 판타지</v>
      </c>
    </row>
    <row r="1531" spans="1:48" x14ac:dyDescent="0.4">
      <c r="A1531">
        <v>1525007872</v>
      </c>
      <c r="B1531">
        <v>1525007892</v>
      </c>
      <c r="C1531" t="str">
        <f>T("아침이 오지 않아도 3화")</f>
        <v>아침이 오지 않아도 3화</v>
      </c>
      <c r="D1531" t="str">
        <f>T("3")</f>
        <v>3</v>
      </c>
      <c r="E1531" t="str">
        <f>T("홍영")</f>
        <v>홍영</v>
      </c>
      <c r="H1531" t="str">
        <f>T("러브스토리")</f>
        <v>러브스토리</v>
      </c>
      <c r="I1531" t="str">
        <f>T("아침이 오지 않아도")</f>
        <v>아침이 오지 않아도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100</v>
      </c>
      <c r="AH1531">
        <v>1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P1531" s="2">
        <v>70</v>
      </c>
      <c r="AR1531" t="str">
        <f>T("0000000000000")</f>
        <v>0000000000000</v>
      </c>
      <c r="AT1531" t="str">
        <f>T("9791164899708")</f>
        <v>9791164899708</v>
      </c>
      <c r="AV1531" t="str">
        <f>T("로맨스 웹소설 &gt; 현대물")</f>
        <v>로맨스 웹소설 &gt; 현대물</v>
      </c>
    </row>
    <row r="1532" spans="1:48" x14ac:dyDescent="0.4">
      <c r="A1532">
        <v>1525004030</v>
      </c>
      <c r="B1532">
        <v>1525007057</v>
      </c>
      <c r="C1532" t="str">
        <f>T("회귀의 전설 2부 941화")</f>
        <v>회귀의 전설 2부 941화</v>
      </c>
      <c r="D1532" t="str">
        <f>T("941")</f>
        <v>941</v>
      </c>
      <c r="E1532" t="str">
        <f>T("김광수")</f>
        <v>김광수</v>
      </c>
      <c r="H1532" t="str">
        <f t="shared" ref="H1532:H1542" si="177">T("스토리위즈")</f>
        <v>스토리위즈</v>
      </c>
      <c r="I1532" t="str">
        <f>T("회귀의 전설")</f>
        <v>회귀의 전설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100</v>
      </c>
      <c r="AH1532">
        <v>1</v>
      </c>
      <c r="AI1532">
        <v>0</v>
      </c>
      <c r="AJ1532">
        <v>0</v>
      </c>
      <c r="AK1532">
        <v>100</v>
      </c>
      <c r="AL1532">
        <v>0</v>
      </c>
      <c r="AM1532">
        <v>0</v>
      </c>
      <c r="AN1532">
        <v>0</v>
      </c>
      <c r="AO1532">
        <v>0</v>
      </c>
      <c r="AP1532" s="2">
        <v>70</v>
      </c>
      <c r="AT1532" t="str">
        <f>T("9791191102086")</f>
        <v>9791191102086</v>
      </c>
      <c r="AV1532" t="str">
        <f>T("판타지 웹소설 &gt; 현대 판타지")</f>
        <v>판타지 웹소설 &gt; 현대 판타지</v>
      </c>
    </row>
    <row r="1533" spans="1:48" x14ac:dyDescent="0.4">
      <c r="A1533">
        <v>1525004989</v>
      </c>
      <c r="B1533">
        <v>1525005626</v>
      </c>
      <c r="C1533" t="str">
        <f>T("신룡전설 137화")</f>
        <v>신룡전설 137화</v>
      </c>
      <c r="D1533" t="str">
        <f>T("137")</f>
        <v>137</v>
      </c>
      <c r="E1533" t="str">
        <f>T("가람검")</f>
        <v>가람검</v>
      </c>
      <c r="H1533" t="str">
        <f t="shared" si="177"/>
        <v>스토리위즈</v>
      </c>
      <c r="I1533" t="str">
        <f>T("신룡전설")</f>
        <v>신룡전설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100</v>
      </c>
      <c r="AH1533">
        <v>1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P1533" s="2">
        <v>70</v>
      </c>
      <c r="AT1533" t="str">
        <f>T("9791159283505")</f>
        <v>9791159283505</v>
      </c>
      <c r="AV1533" t="str">
        <f>T("판타지 웹소설 &gt; 무협 소설")</f>
        <v>판타지 웹소설 &gt; 무협 소설</v>
      </c>
    </row>
    <row r="1534" spans="1:48" x14ac:dyDescent="0.4">
      <c r="A1534">
        <v>2313011400</v>
      </c>
      <c r="B1534">
        <v>1525007699</v>
      </c>
      <c r="C1534" t="str">
        <f>T("최종 보스 24권 4화")</f>
        <v>최종 보스 24권 4화</v>
      </c>
      <c r="D1534" t="str">
        <f>T("477")</f>
        <v>477</v>
      </c>
      <c r="E1534" t="str">
        <f>T("무장")</f>
        <v>무장</v>
      </c>
      <c r="H1534" t="str">
        <f t="shared" si="177"/>
        <v>스토리위즈</v>
      </c>
      <c r="I1534" t="str">
        <f>T("최종 보스 : 빛을 향해 달리는 그림자")</f>
        <v>최종 보스 : 빛을 향해 달리는 그림자</v>
      </c>
      <c r="J1534">
        <v>100</v>
      </c>
      <c r="K1534">
        <v>100</v>
      </c>
      <c r="L1534">
        <v>1</v>
      </c>
      <c r="M1534">
        <v>0</v>
      </c>
      <c r="N1534">
        <v>100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200</v>
      </c>
      <c r="AL1534">
        <v>0</v>
      </c>
      <c r="AM1534">
        <v>0</v>
      </c>
      <c r="AN1534">
        <v>0</v>
      </c>
      <c r="AO1534">
        <v>0</v>
      </c>
      <c r="AP1534" s="2">
        <v>140</v>
      </c>
      <c r="AT1534" t="str">
        <f>T("9791166067563")</f>
        <v>9791166067563</v>
      </c>
      <c r="AV1534" t="str">
        <f>T("판타지 웹소설 &gt; 현대 판타지")</f>
        <v>판타지 웹소설 &gt; 현대 판타지</v>
      </c>
    </row>
    <row r="1535" spans="1:48" x14ac:dyDescent="0.4">
      <c r="A1535">
        <v>1525004030</v>
      </c>
      <c r="B1535">
        <v>1525007005</v>
      </c>
      <c r="C1535" t="str">
        <f>T("회귀의 전설 2부 889화")</f>
        <v>회귀의 전설 2부 889화</v>
      </c>
      <c r="D1535" t="str">
        <f>T("889")</f>
        <v>889</v>
      </c>
      <c r="E1535" t="str">
        <f>T("김광수")</f>
        <v>김광수</v>
      </c>
      <c r="H1535" t="str">
        <f t="shared" si="177"/>
        <v>스토리위즈</v>
      </c>
      <c r="I1535" t="str">
        <f>T("회귀의 전설")</f>
        <v>회귀의 전설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100</v>
      </c>
      <c r="AH1535">
        <v>1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P1535" s="2">
        <v>70</v>
      </c>
      <c r="AT1535" t="str">
        <f>T("9791191102086")</f>
        <v>9791191102086</v>
      </c>
      <c r="AV1535" t="str">
        <f>T("판타지 웹소설 &gt; 현대 판타지")</f>
        <v>판타지 웹소설 &gt; 현대 판타지</v>
      </c>
    </row>
    <row r="1536" spans="1:48" x14ac:dyDescent="0.4">
      <c r="A1536">
        <v>2313011400</v>
      </c>
      <c r="B1536">
        <v>1525007603</v>
      </c>
      <c r="C1536" t="str">
        <f>T("최종 보스 19권 9화")</f>
        <v>최종 보스 19권 9화</v>
      </c>
      <c r="D1536" t="str">
        <f>T("381")</f>
        <v>381</v>
      </c>
      <c r="E1536" t="str">
        <f>T("무장")</f>
        <v>무장</v>
      </c>
      <c r="H1536" t="str">
        <f t="shared" si="177"/>
        <v>스토리위즈</v>
      </c>
      <c r="I1536" t="str">
        <f>T("최종 보스 : 빛을 향해 달리는 그림자")</f>
        <v>최종 보스 : 빛을 향해 달리는 그림자</v>
      </c>
      <c r="J1536">
        <v>100</v>
      </c>
      <c r="K1536">
        <v>100</v>
      </c>
      <c r="L1536">
        <v>1</v>
      </c>
      <c r="M1536">
        <v>0</v>
      </c>
      <c r="N1536">
        <v>100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200</v>
      </c>
      <c r="AL1536">
        <v>0</v>
      </c>
      <c r="AM1536">
        <v>0</v>
      </c>
      <c r="AN1536">
        <v>0</v>
      </c>
      <c r="AO1536">
        <v>0</v>
      </c>
      <c r="AP1536" s="2">
        <v>140</v>
      </c>
      <c r="AT1536" t="str">
        <f>T("9791166067563")</f>
        <v>9791166067563</v>
      </c>
      <c r="AV1536" t="str">
        <f>T("판타지 웹소설 &gt; 현대 판타지")</f>
        <v>판타지 웹소설 &gt; 현대 판타지</v>
      </c>
    </row>
    <row r="1537" spans="1:48" x14ac:dyDescent="0.4">
      <c r="A1537">
        <v>1525004030</v>
      </c>
      <c r="B1537">
        <v>1525004328</v>
      </c>
      <c r="C1537" t="str">
        <f>T("회귀의 전설 299화")</f>
        <v>회귀의 전설 299화</v>
      </c>
      <c r="D1537" t="str">
        <f>T("299")</f>
        <v>299</v>
      </c>
      <c r="E1537" t="str">
        <f>T("김광수")</f>
        <v>김광수</v>
      </c>
      <c r="H1537" t="str">
        <f t="shared" si="177"/>
        <v>스토리위즈</v>
      </c>
      <c r="I1537" t="str">
        <f>T("회귀의 전설")</f>
        <v>회귀의 전설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100</v>
      </c>
      <c r="AH1537">
        <v>1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P1537" s="2">
        <v>70</v>
      </c>
      <c r="AT1537" t="str">
        <f>T("9788997946006")</f>
        <v>9788997946006</v>
      </c>
      <c r="AV1537" t="str">
        <f>T("판타지 웹소설 &gt; 현대 판타지")</f>
        <v>판타지 웹소설 &gt; 현대 판타지</v>
      </c>
    </row>
    <row r="1538" spans="1:48" x14ac:dyDescent="0.4">
      <c r="A1538">
        <v>1525004988</v>
      </c>
      <c r="B1538">
        <v>1525005344</v>
      </c>
      <c r="C1538" t="str">
        <f>T("용무쌍 57화")</f>
        <v>용무쌍 57화</v>
      </c>
      <c r="D1538" t="str">
        <f>T("57")</f>
        <v>57</v>
      </c>
      <c r="E1538" t="str">
        <f>T("권용찬")</f>
        <v>권용찬</v>
      </c>
      <c r="H1538" t="str">
        <f t="shared" si="177"/>
        <v>스토리위즈</v>
      </c>
      <c r="I1538" t="str">
        <f>T("용무쌍")</f>
        <v>용무쌍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100</v>
      </c>
      <c r="AH1538">
        <v>1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P1538" s="2">
        <v>70</v>
      </c>
      <c r="AT1538" t="str">
        <f>T("9791159284861")</f>
        <v>9791159284861</v>
      </c>
      <c r="AV1538" t="str">
        <f>T("판타지 웹소설 &gt; 무협 소설")</f>
        <v>판타지 웹소설 &gt; 무협 소설</v>
      </c>
    </row>
    <row r="1539" spans="1:48" x14ac:dyDescent="0.4">
      <c r="A1539">
        <v>1525004030</v>
      </c>
      <c r="B1539">
        <v>1525004440</v>
      </c>
      <c r="C1539" t="str">
        <f>T("회귀의 전설 424화")</f>
        <v>회귀의 전설 424화</v>
      </c>
      <c r="D1539" t="str">
        <f>T("424")</f>
        <v>424</v>
      </c>
      <c r="E1539" t="str">
        <f>T("김광수")</f>
        <v>김광수</v>
      </c>
      <c r="H1539" t="str">
        <f t="shared" si="177"/>
        <v>스토리위즈</v>
      </c>
      <c r="I1539" t="str">
        <f>T("회귀의 전설")</f>
        <v>회귀의 전설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100</v>
      </c>
      <c r="AH1539">
        <v>1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P1539" s="2">
        <v>70</v>
      </c>
      <c r="AT1539" t="str">
        <f>T("9788997946006")</f>
        <v>9788997946006</v>
      </c>
      <c r="AV1539" t="str">
        <f>T("판타지 웹소설 &gt; 현대 판타지")</f>
        <v>판타지 웹소설 &gt; 현대 판타지</v>
      </c>
    </row>
    <row r="1540" spans="1:48" x14ac:dyDescent="0.4">
      <c r="A1540">
        <v>1525004030</v>
      </c>
      <c r="B1540">
        <v>1525004520</v>
      </c>
      <c r="C1540" t="str">
        <f>T("회귀의 전설 391화")</f>
        <v>회귀의 전설 391화</v>
      </c>
      <c r="D1540" t="str">
        <f>T("391")</f>
        <v>391</v>
      </c>
      <c r="E1540" t="str">
        <f>T("김광수")</f>
        <v>김광수</v>
      </c>
      <c r="H1540" t="str">
        <f t="shared" si="177"/>
        <v>스토리위즈</v>
      </c>
      <c r="I1540" t="str">
        <f>T("회귀의 전설")</f>
        <v>회귀의 전설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100</v>
      </c>
      <c r="AH1540">
        <v>1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P1540" s="2">
        <v>70</v>
      </c>
      <c r="AT1540" t="str">
        <f>T("9788997946006")</f>
        <v>9788997946006</v>
      </c>
      <c r="AV1540" t="str">
        <f>T("판타지 웹소설 &gt; 현대 판타지")</f>
        <v>판타지 웹소설 &gt; 현대 판타지</v>
      </c>
    </row>
    <row r="1541" spans="1:48" x14ac:dyDescent="0.4">
      <c r="A1541">
        <v>1525004989</v>
      </c>
      <c r="B1541">
        <v>1525005546</v>
      </c>
      <c r="C1541" t="str">
        <f>T("신룡전설 57화")</f>
        <v>신룡전설 57화</v>
      </c>
      <c r="D1541" t="str">
        <f>T("57")</f>
        <v>57</v>
      </c>
      <c r="E1541" t="str">
        <f>T("가람검")</f>
        <v>가람검</v>
      </c>
      <c r="H1541" t="str">
        <f t="shared" si="177"/>
        <v>스토리위즈</v>
      </c>
      <c r="I1541" t="str">
        <f>T("신룡전설")</f>
        <v>신룡전설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100</v>
      </c>
      <c r="AH1541">
        <v>1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P1541" s="2">
        <v>70</v>
      </c>
      <c r="AT1541" t="str">
        <f>T("9791159283505")</f>
        <v>9791159283505</v>
      </c>
      <c r="AV1541" t="str">
        <f>T("판타지 웹소설 &gt; 무협 소설")</f>
        <v>판타지 웹소설 &gt; 무협 소설</v>
      </c>
    </row>
    <row r="1542" spans="1:48" x14ac:dyDescent="0.4">
      <c r="A1542">
        <v>1525004030</v>
      </c>
      <c r="B1542">
        <v>1525007089</v>
      </c>
      <c r="C1542" t="str">
        <f>T("회귀의 전설 2부 973화")</f>
        <v>회귀의 전설 2부 973화</v>
      </c>
      <c r="D1542" t="str">
        <f>T("973")</f>
        <v>973</v>
      </c>
      <c r="E1542" t="str">
        <f>T("김광수")</f>
        <v>김광수</v>
      </c>
      <c r="H1542" t="str">
        <f t="shared" si="177"/>
        <v>스토리위즈</v>
      </c>
      <c r="I1542" t="str">
        <f>T("회귀의 전설")</f>
        <v>회귀의 전설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</v>
      </c>
      <c r="AH1542">
        <v>1</v>
      </c>
      <c r="AI1542">
        <v>0</v>
      </c>
      <c r="AJ1542">
        <v>0</v>
      </c>
      <c r="AK1542">
        <v>100</v>
      </c>
      <c r="AL1542">
        <v>0</v>
      </c>
      <c r="AM1542">
        <v>0</v>
      </c>
      <c r="AN1542">
        <v>0</v>
      </c>
      <c r="AO1542">
        <v>0</v>
      </c>
      <c r="AP1542" s="2">
        <v>70</v>
      </c>
      <c r="AT1542" t="str">
        <f>T("9791191102086")</f>
        <v>9791191102086</v>
      </c>
      <c r="AV1542" t="str">
        <f>T("판타지 웹소설 &gt; 현대 판타지")</f>
        <v>판타지 웹소설 &gt; 현대 판타지</v>
      </c>
    </row>
    <row r="1543" spans="1:48" x14ac:dyDescent="0.4">
      <c r="A1543">
        <v>1525007923</v>
      </c>
      <c r="B1543">
        <v>1525007980</v>
      </c>
      <c r="C1543" t="str">
        <f>T("운상연담: 화불능귀일락 71화")</f>
        <v>운상연담: 화불능귀일락 71화</v>
      </c>
      <c r="D1543" t="str">
        <f>T("71")</f>
        <v>71</v>
      </c>
      <c r="E1543" t="str">
        <f>T("피모")</f>
        <v>피모</v>
      </c>
      <c r="H1543" t="str">
        <f>T("쉬라즈")</f>
        <v>쉬라즈</v>
      </c>
      <c r="I1543" t="str">
        <f>T("운상연담: 화불능귀일락")</f>
        <v>운상연담: 화불능귀일락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100</v>
      </c>
      <c r="AH1543">
        <v>1</v>
      </c>
      <c r="AI1543">
        <v>0</v>
      </c>
      <c r="AJ1543">
        <v>0</v>
      </c>
      <c r="AK1543">
        <v>100</v>
      </c>
      <c r="AL1543">
        <v>0</v>
      </c>
      <c r="AM1543">
        <v>0</v>
      </c>
      <c r="AN1543">
        <v>0</v>
      </c>
      <c r="AO1543">
        <v>0</v>
      </c>
      <c r="AP1543" s="2">
        <v>70</v>
      </c>
      <c r="AT1543" t="str">
        <f>T("9791164896646")</f>
        <v>9791164896646</v>
      </c>
      <c r="AV1543" t="str">
        <f>T("로맨스 웹소설 &gt; 역사/시대물")</f>
        <v>로맨스 웹소설 &gt; 역사/시대물</v>
      </c>
    </row>
    <row r="1544" spans="1:48" x14ac:dyDescent="0.4">
      <c r="A1544">
        <v>2313011400</v>
      </c>
      <c r="B1544">
        <v>1525007635</v>
      </c>
      <c r="C1544" t="str">
        <f>T("최종 보스 20권 20화")</f>
        <v>최종 보스 20권 20화</v>
      </c>
      <c r="D1544" t="str">
        <f>T("413")</f>
        <v>413</v>
      </c>
      <c r="E1544" t="str">
        <f>T("무장")</f>
        <v>무장</v>
      </c>
      <c r="H1544" t="str">
        <f>T("스토리위즈")</f>
        <v>스토리위즈</v>
      </c>
      <c r="I1544" t="str">
        <f>T("최종 보스 : 빛을 향해 달리는 그림자")</f>
        <v>최종 보스 : 빛을 향해 달리는 그림자</v>
      </c>
      <c r="J1544">
        <v>100</v>
      </c>
      <c r="K1544">
        <v>100</v>
      </c>
      <c r="L1544">
        <v>1</v>
      </c>
      <c r="M1544">
        <v>0</v>
      </c>
      <c r="N1544">
        <v>100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200</v>
      </c>
      <c r="AL1544">
        <v>0</v>
      </c>
      <c r="AM1544">
        <v>0</v>
      </c>
      <c r="AN1544">
        <v>0</v>
      </c>
      <c r="AO1544">
        <v>0</v>
      </c>
      <c r="AP1544" s="2">
        <v>140</v>
      </c>
      <c r="AT1544" t="str">
        <f>T("9791166067563")</f>
        <v>9791166067563</v>
      </c>
      <c r="AV1544" t="str">
        <f>T("판타지 웹소설 &gt; 현대 판타지")</f>
        <v>판타지 웹소설 &gt; 현대 판타지</v>
      </c>
    </row>
    <row r="1545" spans="1:48" x14ac:dyDescent="0.4">
      <c r="A1545">
        <v>1525004030</v>
      </c>
      <c r="B1545">
        <v>1525004401</v>
      </c>
      <c r="C1545" t="str">
        <f>T("회귀의 전설 373화")</f>
        <v>회귀의 전설 373화</v>
      </c>
      <c r="D1545" t="str">
        <f>T("373")</f>
        <v>373</v>
      </c>
      <c r="E1545" t="str">
        <f>T("김광수")</f>
        <v>김광수</v>
      </c>
      <c r="H1545" t="str">
        <f>T("스토리위즈")</f>
        <v>스토리위즈</v>
      </c>
      <c r="I1545" t="str">
        <f>T("회귀의 전설")</f>
        <v>회귀의 전설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100</v>
      </c>
      <c r="AH1545">
        <v>1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P1545" s="2">
        <v>70</v>
      </c>
      <c r="AT1545" t="str">
        <f>T("9788997946006")</f>
        <v>9788997946006</v>
      </c>
      <c r="AV1545" t="str">
        <f>T("판타지 웹소설 &gt; 현대 판타지")</f>
        <v>판타지 웹소설 &gt; 현대 판타지</v>
      </c>
    </row>
    <row r="1546" spans="1:48" x14ac:dyDescent="0.4">
      <c r="A1546">
        <v>1525004030</v>
      </c>
      <c r="B1546">
        <v>1525006734</v>
      </c>
      <c r="C1546" t="str">
        <f>T("회귀의 전설 2부 617화")</f>
        <v>회귀의 전설 2부 617화</v>
      </c>
      <c r="D1546" t="str">
        <f>T("617")</f>
        <v>617</v>
      </c>
      <c r="E1546" t="str">
        <f>T("김광수")</f>
        <v>김광수</v>
      </c>
      <c r="H1546" t="str">
        <f>T("스토리위즈")</f>
        <v>스토리위즈</v>
      </c>
      <c r="I1546" t="str">
        <f>T("회귀의 전설")</f>
        <v>회귀의 전설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100</v>
      </c>
      <c r="AH1546">
        <v>1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P1546" s="2">
        <v>70</v>
      </c>
      <c r="AT1546" t="str">
        <f>T("9791191102086")</f>
        <v>9791191102086</v>
      </c>
      <c r="AV1546" t="str">
        <f>T("판타지 웹소설 &gt; 현대 판타지")</f>
        <v>판타지 웹소설 &gt; 현대 판타지</v>
      </c>
    </row>
    <row r="1547" spans="1:48" x14ac:dyDescent="0.4">
      <c r="A1547">
        <v>1525007872</v>
      </c>
      <c r="B1547">
        <v>1525007885</v>
      </c>
      <c r="C1547" t="str">
        <f>T("아침이 오지 않아도 31화")</f>
        <v>아침이 오지 않아도 31화</v>
      </c>
      <c r="D1547" t="str">
        <f>T("31")</f>
        <v>31</v>
      </c>
      <c r="E1547" t="str">
        <f>T("홍영")</f>
        <v>홍영</v>
      </c>
      <c r="H1547" t="str">
        <f>T("러브스토리")</f>
        <v>러브스토리</v>
      </c>
      <c r="I1547" t="str">
        <f>T("아침이 오지 않아도")</f>
        <v>아침이 오지 않아도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 s="2">
        <v>70</v>
      </c>
      <c r="AR1547" t="str">
        <f>T("0000000000000")</f>
        <v>0000000000000</v>
      </c>
      <c r="AT1547" t="str">
        <f>T("9791164899708")</f>
        <v>9791164899708</v>
      </c>
      <c r="AV1547" t="str">
        <f>T("로맨스 웹소설 &gt; 현대물")</f>
        <v>로맨스 웹소설 &gt; 현대물</v>
      </c>
    </row>
    <row r="1548" spans="1:48" x14ac:dyDescent="0.4">
      <c r="A1548">
        <v>1525004030</v>
      </c>
      <c r="B1548">
        <v>1525007050</v>
      </c>
      <c r="C1548" t="str">
        <f>T("회귀의 전설 2부 934화")</f>
        <v>회귀의 전설 2부 934화</v>
      </c>
      <c r="D1548" t="str">
        <f>T("934")</f>
        <v>934</v>
      </c>
      <c r="E1548" t="str">
        <f>T("김광수")</f>
        <v>김광수</v>
      </c>
      <c r="H1548" t="str">
        <f t="shared" ref="H1548:H1566" si="178">T("스토리위즈")</f>
        <v>스토리위즈</v>
      </c>
      <c r="I1548" t="str">
        <f>T("회귀의 전설")</f>
        <v>회귀의 전설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 s="2">
        <v>70</v>
      </c>
      <c r="AT1548" t="str">
        <f>T("9791191102086")</f>
        <v>9791191102086</v>
      </c>
      <c r="AV1548" t="str">
        <f>T("판타지 웹소설 &gt; 현대 판타지")</f>
        <v>판타지 웹소설 &gt; 현대 판타지</v>
      </c>
    </row>
    <row r="1549" spans="1:48" x14ac:dyDescent="0.4">
      <c r="A1549">
        <v>2313011400</v>
      </c>
      <c r="B1549">
        <v>1525007692</v>
      </c>
      <c r="C1549" t="str">
        <f>T("최종 보스 23권 17화")</f>
        <v>최종 보스 23권 17화</v>
      </c>
      <c r="D1549" t="str">
        <f>T("470")</f>
        <v>470</v>
      </c>
      <c r="E1549" t="str">
        <f>T("무장")</f>
        <v>무장</v>
      </c>
      <c r="H1549" t="str">
        <f t="shared" si="178"/>
        <v>스토리위즈</v>
      </c>
      <c r="I1549" t="str">
        <f>T("최종 보스 : 빛을 향해 달리는 그림자")</f>
        <v>최종 보스 : 빛을 향해 달리는 그림자</v>
      </c>
      <c r="J1549">
        <v>100</v>
      </c>
      <c r="K1549">
        <v>100</v>
      </c>
      <c r="L1549">
        <v>1</v>
      </c>
      <c r="M1549">
        <v>0</v>
      </c>
      <c r="N1549">
        <v>100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200</v>
      </c>
      <c r="AH1549">
        <v>2</v>
      </c>
      <c r="AI1549">
        <v>0</v>
      </c>
      <c r="AJ1549">
        <v>0</v>
      </c>
      <c r="AK1549">
        <v>200</v>
      </c>
      <c r="AL1549">
        <v>0</v>
      </c>
      <c r="AM1549">
        <v>0</v>
      </c>
      <c r="AN1549">
        <v>0</v>
      </c>
      <c r="AO1549">
        <v>0</v>
      </c>
      <c r="AP1549" s="2">
        <v>140</v>
      </c>
      <c r="AT1549" t="str">
        <f>T("9791166067563")</f>
        <v>9791166067563</v>
      </c>
      <c r="AV1549" t="str">
        <f>T("판타지 웹소설 &gt; 현대 판타지")</f>
        <v>판타지 웹소설 &gt; 현대 판타지</v>
      </c>
    </row>
    <row r="1550" spans="1:48" x14ac:dyDescent="0.4">
      <c r="A1550">
        <v>1525004988</v>
      </c>
      <c r="B1550">
        <v>1525005321</v>
      </c>
      <c r="C1550" t="str">
        <f>T("용무쌍 34화")</f>
        <v>용무쌍 34화</v>
      </c>
      <c r="D1550" t="str">
        <f>T("34")</f>
        <v>34</v>
      </c>
      <c r="E1550" t="str">
        <f>T("권용찬")</f>
        <v>권용찬</v>
      </c>
      <c r="H1550" t="str">
        <f t="shared" si="178"/>
        <v>스토리위즈</v>
      </c>
      <c r="I1550" t="str">
        <f>T("용무쌍")</f>
        <v>용무쌍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 s="2">
        <v>70</v>
      </c>
      <c r="AT1550" t="str">
        <f>T("9791159284861")</f>
        <v>9791159284861</v>
      </c>
      <c r="AV1550" t="str">
        <f>T("판타지 웹소설 &gt; 무협 소설")</f>
        <v>판타지 웹소설 &gt; 무협 소설</v>
      </c>
    </row>
    <row r="1551" spans="1:48" x14ac:dyDescent="0.4">
      <c r="A1551">
        <v>1525004989</v>
      </c>
      <c r="B1551">
        <v>1525005619</v>
      </c>
      <c r="C1551" t="str">
        <f>T("신룡전설 130화")</f>
        <v>신룡전설 130화</v>
      </c>
      <c r="D1551" t="str">
        <f>T("130")</f>
        <v>130</v>
      </c>
      <c r="E1551" t="str">
        <f>T("가람검")</f>
        <v>가람검</v>
      </c>
      <c r="H1551" t="str">
        <f t="shared" si="178"/>
        <v>스토리위즈</v>
      </c>
      <c r="I1551" t="str">
        <f>T("신룡전설")</f>
        <v>신룡전설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 s="2">
        <v>70</v>
      </c>
      <c r="AT1551" t="str">
        <f>T("9791159283505")</f>
        <v>9791159283505</v>
      </c>
      <c r="AV1551" t="str">
        <f>T("판타지 웹소설 &gt; 무협 소설")</f>
        <v>판타지 웹소설 &gt; 무협 소설</v>
      </c>
    </row>
    <row r="1552" spans="1:48" x14ac:dyDescent="0.4">
      <c r="A1552">
        <v>1525002409</v>
      </c>
      <c r="B1552">
        <v>1525002568</v>
      </c>
      <c r="C1552" t="str">
        <f>T("스포트라이트 160화")</f>
        <v>스포트라이트 160화</v>
      </c>
      <c r="D1552" t="str">
        <f>T("160")</f>
        <v>160</v>
      </c>
      <c r="E1552" t="str">
        <f>T("전혁")</f>
        <v>전혁</v>
      </c>
      <c r="H1552" t="str">
        <f t="shared" si="178"/>
        <v>스토리위즈</v>
      </c>
      <c r="I1552" t="str">
        <f>T("스포트라이트")</f>
        <v>스포트라이트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 s="2">
        <v>70</v>
      </c>
      <c r="AT1552" t="str">
        <f>T("9791159286841")</f>
        <v>9791159286841</v>
      </c>
      <c r="AV1552" t="str">
        <f>T("판타지 웹소설 &gt; 현대 판타지")</f>
        <v>판타지 웹소설 &gt; 현대 판타지</v>
      </c>
    </row>
    <row r="1553" spans="1:48" x14ac:dyDescent="0.4">
      <c r="A1553">
        <v>1525004030</v>
      </c>
      <c r="B1553">
        <v>1525006998</v>
      </c>
      <c r="C1553" t="str">
        <f>T("회귀의 전설 2부 882화")</f>
        <v>회귀의 전설 2부 882화</v>
      </c>
      <c r="D1553" t="str">
        <f>T("882")</f>
        <v>882</v>
      </c>
      <c r="E1553" t="str">
        <f>T("김광수")</f>
        <v>김광수</v>
      </c>
      <c r="H1553" t="str">
        <f t="shared" si="178"/>
        <v>스토리위즈</v>
      </c>
      <c r="I1553" t="str">
        <f>T("회귀의 전설")</f>
        <v>회귀의 전설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 s="2">
        <v>70</v>
      </c>
      <c r="AT1553" t="str">
        <f>T("9791191102086")</f>
        <v>9791191102086</v>
      </c>
      <c r="AV1553" t="str">
        <f>T("판타지 웹소설 &gt; 현대 판타지")</f>
        <v>판타지 웹소설 &gt; 현대 판타지</v>
      </c>
    </row>
    <row r="1554" spans="1:48" x14ac:dyDescent="0.4">
      <c r="A1554">
        <v>1525004030</v>
      </c>
      <c r="B1554">
        <v>1525004321</v>
      </c>
      <c r="C1554" t="str">
        <f>T("회귀의 전설 292화")</f>
        <v>회귀의 전설 292화</v>
      </c>
      <c r="D1554" t="str">
        <f>T("292")</f>
        <v>292</v>
      </c>
      <c r="E1554" t="str">
        <f>T("김광수")</f>
        <v>김광수</v>
      </c>
      <c r="H1554" t="str">
        <f t="shared" si="178"/>
        <v>스토리위즈</v>
      </c>
      <c r="I1554" t="str">
        <f>T("회귀의 전설")</f>
        <v>회귀의 전설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 s="2">
        <v>70</v>
      </c>
      <c r="AT1554" t="str">
        <f>T("9788997946006")</f>
        <v>9788997946006</v>
      </c>
      <c r="AV1554" t="str">
        <f>T("판타지 웹소설 &gt; 현대 판타지")</f>
        <v>판타지 웹소설 &gt; 현대 판타지</v>
      </c>
    </row>
    <row r="1555" spans="1:48" x14ac:dyDescent="0.4">
      <c r="A1555">
        <v>1525004988</v>
      </c>
      <c r="B1555">
        <v>1525005337</v>
      </c>
      <c r="C1555" t="str">
        <f>T("용무쌍 50화")</f>
        <v>용무쌍 50화</v>
      </c>
      <c r="D1555" t="str">
        <f>T("50")</f>
        <v>50</v>
      </c>
      <c r="E1555" t="str">
        <f>T("권용찬")</f>
        <v>권용찬</v>
      </c>
      <c r="H1555" t="str">
        <f t="shared" si="178"/>
        <v>스토리위즈</v>
      </c>
      <c r="I1555" t="str">
        <f>T("용무쌍")</f>
        <v>용무쌍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 s="2">
        <v>70</v>
      </c>
      <c r="AT1555" t="str">
        <f>T("9791159284861")</f>
        <v>9791159284861</v>
      </c>
      <c r="AV1555" t="str">
        <f>T("판타지 웹소설 &gt; 무협 소설")</f>
        <v>판타지 웹소설 &gt; 무협 소설</v>
      </c>
    </row>
    <row r="1556" spans="1:48" x14ac:dyDescent="0.4">
      <c r="A1556">
        <v>1525004030</v>
      </c>
      <c r="B1556">
        <v>1525004433</v>
      </c>
      <c r="C1556" t="str">
        <f>T("회귀의 전설 417화")</f>
        <v>회귀의 전설 417화</v>
      </c>
      <c r="D1556" t="str">
        <f>T("417")</f>
        <v>417</v>
      </c>
      <c r="E1556" t="str">
        <f>T("김광수")</f>
        <v>김광수</v>
      </c>
      <c r="H1556" t="str">
        <f t="shared" si="178"/>
        <v>스토리위즈</v>
      </c>
      <c r="I1556" t="str">
        <f>T("회귀의 전설")</f>
        <v>회귀의 전설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P1556" s="2">
        <v>70</v>
      </c>
      <c r="AT1556" t="str">
        <f>T("9788997946006")</f>
        <v>9788997946006</v>
      </c>
      <c r="AV1556" t="str">
        <f>T("판타지 웹소설 &gt; 현대 판타지")</f>
        <v>판타지 웹소설 &gt; 현대 판타지</v>
      </c>
    </row>
    <row r="1557" spans="1:48" x14ac:dyDescent="0.4">
      <c r="A1557">
        <v>1525004030</v>
      </c>
      <c r="B1557">
        <v>1525004513</v>
      </c>
      <c r="C1557" t="str">
        <f>T("회귀의 전설 384화")</f>
        <v>회귀의 전설 384화</v>
      </c>
      <c r="D1557" t="str">
        <f>T("384")</f>
        <v>384</v>
      </c>
      <c r="E1557" t="str">
        <f>T("김광수")</f>
        <v>김광수</v>
      </c>
      <c r="H1557" t="str">
        <f t="shared" si="178"/>
        <v>스토리위즈</v>
      </c>
      <c r="I1557" t="str">
        <f>T("회귀의 전설")</f>
        <v>회귀의 전설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 s="2">
        <v>70</v>
      </c>
      <c r="AT1557" t="str">
        <f>T("9788997946006")</f>
        <v>9788997946006</v>
      </c>
      <c r="AV1557" t="str">
        <f>T("판타지 웹소설 &gt; 현대 판타지")</f>
        <v>판타지 웹소설 &gt; 현대 판타지</v>
      </c>
    </row>
    <row r="1558" spans="1:48" x14ac:dyDescent="0.4">
      <c r="A1558">
        <v>1525004989</v>
      </c>
      <c r="B1558">
        <v>1525005539</v>
      </c>
      <c r="C1558" t="str">
        <f>T("신룡전설 50화")</f>
        <v>신룡전설 50화</v>
      </c>
      <c r="D1558" t="str">
        <f>T("50")</f>
        <v>50</v>
      </c>
      <c r="E1558" t="str">
        <f>T("가람검")</f>
        <v>가람검</v>
      </c>
      <c r="H1558" t="str">
        <f t="shared" si="178"/>
        <v>스토리위즈</v>
      </c>
      <c r="I1558" t="str">
        <f>T("신룡전설")</f>
        <v>신룡전설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 s="2">
        <v>70</v>
      </c>
      <c r="AT1558" t="str">
        <f>T("9791159283505")</f>
        <v>9791159283505</v>
      </c>
      <c r="AV1558" t="str">
        <f>T("판타지 웹소설 &gt; 무협 소설")</f>
        <v>판타지 웹소설 &gt; 무협 소설</v>
      </c>
    </row>
    <row r="1559" spans="1:48" x14ac:dyDescent="0.4">
      <c r="A1559">
        <v>1525000569</v>
      </c>
      <c r="B1559">
        <v>1525000717</v>
      </c>
      <c r="C1559" t="str">
        <f>T("스트라이커 147화")</f>
        <v>스트라이커 147화</v>
      </c>
      <c r="D1559" t="str">
        <f>T("147")</f>
        <v>147</v>
      </c>
      <c r="E1559" t="str">
        <f>T("독고진")</f>
        <v>독고진</v>
      </c>
      <c r="H1559" t="str">
        <f t="shared" si="178"/>
        <v>스토리위즈</v>
      </c>
      <c r="I1559" t="str">
        <f>T("스트라이커")</f>
        <v>스트라이커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 s="2">
        <v>70</v>
      </c>
      <c r="AT1559" t="str">
        <f>T("9791170151678")</f>
        <v>9791170151678</v>
      </c>
      <c r="AV1559" t="str">
        <f>T("판타지 웹소설 &gt; 현대 판타지")</f>
        <v>판타지 웹소설 &gt; 현대 판타지</v>
      </c>
    </row>
    <row r="1560" spans="1:48" x14ac:dyDescent="0.4">
      <c r="A1560">
        <v>1525004030</v>
      </c>
      <c r="B1560">
        <v>1525007082</v>
      </c>
      <c r="C1560" t="str">
        <f>T("회귀의 전설 2부 966화")</f>
        <v>회귀의 전설 2부 966화</v>
      </c>
      <c r="D1560" t="str">
        <f>T("966")</f>
        <v>966</v>
      </c>
      <c r="E1560" t="str">
        <f>T("김광수")</f>
        <v>김광수</v>
      </c>
      <c r="H1560" t="str">
        <f t="shared" si="178"/>
        <v>스토리위즈</v>
      </c>
      <c r="I1560" t="str">
        <f>T("회귀의 전설")</f>
        <v>회귀의 전설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 s="2">
        <v>70</v>
      </c>
      <c r="AT1560" t="str">
        <f>T("9791191102086")</f>
        <v>9791191102086</v>
      </c>
      <c r="AV1560" t="str">
        <f>T("판타지 웹소설 &gt; 현대 판타지")</f>
        <v>판타지 웹소설 &gt; 현대 판타지</v>
      </c>
    </row>
    <row r="1561" spans="1:48" x14ac:dyDescent="0.4">
      <c r="A1561">
        <v>2313011400</v>
      </c>
      <c r="B1561">
        <v>1525007724</v>
      </c>
      <c r="C1561" t="str">
        <f>T("최종 보스 25권 9화")</f>
        <v>최종 보스 25권 9화</v>
      </c>
      <c r="D1561" t="str">
        <f>T("502")</f>
        <v>502</v>
      </c>
      <c r="E1561" t="str">
        <f>T("무장")</f>
        <v>무장</v>
      </c>
      <c r="H1561" t="str">
        <f t="shared" si="178"/>
        <v>스토리위즈</v>
      </c>
      <c r="I1561" t="str">
        <f>T("최종 보스 : 빛을 향해 달리는 그림자")</f>
        <v>최종 보스 : 빛을 향해 달리는 그림자</v>
      </c>
      <c r="J1561">
        <v>100</v>
      </c>
      <c r="K1561">
        <v>100</v>
      </c>
      <c r="L1561">
        <v>1</v>
      </c>
      <c r="M1561">
        <v>0</v>
      </c>
      <c r="N1561">
        <v>100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200</v>
      </c>
      <c r="AH1561">
        <v>2</v>
      </c>
      <c r="AI1561">
        <v>0</v>
      </c>
      <c r="AJ1561">
        <v>0</v>
      </c>
      <c r="AK1561">
        <v>200</v>
      </c>
      <c r="AL1561">
        <v>0</v>
      </c>
      <c r="AM1561">
        <v>0</v>
      </c>
      <c r="AN1561">
        <v>0</v>
      </c>
      <c r="AO1561">
        <v>0</v>
      </c>
      <c r="AP1561" s="2">
        <v>140</v>
      </c>
      <c r="AT1561" t="str">
        <f>T("9791166067563")</f>
        <v>9791166067563</v>
      </c>
      <c r="AV1561" t="str">
        <f>T("판타지 웹소설 &gt; 현대 판타지")</f>
        <v>판타지 웹소설 &gt; 현대 판타지</v>
      </c>
    </row>
    <row r="1562" spans="1:48" x14ac:dyDescent="0.4">
      <c r="A1562">
        <v>2313011400</v>
      </c>
      <c r="B1562">
        <v>1525007628</v>
      </c>
      <c r="C1562" t="str">
        <f>T("최종 보스 20권 13화")</f>
        <v>최종 보스 20권 13화</v>
      </c>
      <c r="D1562" t="str">
        <f>T("406")</f>
        <v>406</v>
      </c>
      <c r="E1562" t="str">
        <f>T("무장")</f>
        <v>무장</v>
      </c>
      <c r="H1562" t="str">
        <f t="shared" si="178"/>
        <v>스토리위즈</v>
      </c>
      <c r="I1562" t="str">
        <f>T("최종 보스 : 빛을 향해 달리는 그림자")</f>
        <v>최종 보스 : 빛을 향해 달리는 그림자</v>
      </c>
      <c r="J1562">
        <v>100</v>
      </c>
      <c r="K1562">
        <v>100</v>
      </c>
      <c r="L1562">
        <v>1</v>
      </c>
      <c r="M1562">
        <v>0</v>
      </c>
      <c r="N1562">
        <v>200</v>
      </c>
      <c r="O1562">
        <v>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300</v>
      </c>
      <c r="AL1562">
        <v>0</v>
      </c>
      <c r="AM1562">
        <v>0</v>
      </c>
      <c r="AN1562">
        <v>0</v>
      </c>
      <c r="AO1562">
        <v>0</v>
      </c>
      <c r="AP1562" s="2">
        <v>210</v>
      </c>
      <c r="AT1562" t="str">
        <f>T("9791166067563")</f>
        <v>9791166067563</v>
      </c>
      <c r="AV1562" t="str">
        <f>T("판타지 웹소설 &gt; 현대 판타지")</f>
        <v>판타지 웹소설 &gt; 현대 판타지</v>
      </c>
    </row>
    <row r="1563" spans="1:48" x14ac:dyDescent="0.4">
      <c r="A1563">
        <v>1525004030</v>
      </c>
      <c r="B1563">
        <v>1525004353</v>
      </c>
      <c r="C1563" t="str">
        <f>T("회귀의 전설 325화")</f>
        <v>회귀의 전설 325화</v>
      </c>
      <c r="D1563" t="str">
        <f>T("325")</f>
        <v>325</v>
      </c>
      <c r="E1563" t="str">
        <f>T("김광수")</f>
        <v>김광수</v>
      </c>
      <c r="H1563" t="str">
        <f t="shared" si="178"/>
        <v>스토리위즈</v>
      </c>
      <c r="I1563" t="str">
        <f>T("회귀의 전설")</f>
        <v>회귀의 전설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100</v>
      </c>
      <c r="AL1563">
        <v>0</v>
      </c>
      <c r="AM1563">
        <v>0</v>
      </c>
      <c r="AN1563">
        <v>0</v>
      </c>
      <c r="AO1563">
        <v>0</v>
      </c>
      <c r="AP1563" s="2">
        <v>70</v>
      </c>
      <c r="AT1563" t="str">
        <f>T("9788997946006")</f>
        <v>9788997946006</v>
      </c>
      <c r="AV1563" t="str">
        <f>T("판타지 웹소설 &gt; 현대 판타지")</f>
        <v>판타지 웹소설 &gt; 현대 판타지</v>
      </c>
    </row>
    <row r="1564" spans="1:48" x14ac:dyDescent="0.4">
      <c r="A1564">
        <v>1525004989</v>
      </c>
      <c r="B1564">
        <v>1525005515</v>
      </c>
      <c r="C1564" t="str">
        <f>T("신룡전설 26화")</f>
        <v>신룡전설 26화</v>
      </c>
      <c r="D1564" t="str">
        <f>T("26")</f>
        <v>26</v>
      </c>
      <c r="E1564" t="str">
        <f>T("가람검")</f>
        <v>가람검</v>
      </c>
      <c r="H1564" t="str">
        <f t="shared" si="178"/>
        <v>스토리위즈</v>
      </c>
      <c r="I1564" t="str">
        <f>T("신룡전설")</f>
        <v>신룡전설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 s="2">
        <v>70</v>
      </c>
      <c r="AT1564" t="str">
        <f>T("9791159283505")</f>
        <v>9791159283505</v>
      </c>
      <c r="AV1564" t="str">
        <f>T("판타지 웹소설 &gt; 무협 소설")</f>
        <v>판타지 웹소설 &gt; 무협 소설</v>
      </c>
    </row>
    <row r="1565" spans="1:48" x14ac:dyDescent="0.4">
      <c r="A1565">
        <v>1525004030</v>
      </c>
      <c r="B1565">
        <v>1525007154</v>
      </c>
      <c r="C1565" t="str">
        <f>T("회귀의 전설 2부 1037화")</f>
        <v>회귀의 전설 2부 1037화</v>
      </c>
      <c r="D1565" t="str">
        <f>T("1037")</f>
        <v>1037</v>
      </c>
      <c r="E1565" t="str">
        <f>T("김광수")</f>
        <v>김광수</v>
      </c>
      <c r="H1565" t="str">
        <f t="shared" si="178"/>
        <v>스토리위즈</v>
      </c>
      <c r="I1565" t="str">
        <f>T("회귀의 전설")</f>
        <v>회귀의 전설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 s="2">
        <v>70</v>
      </c>
      <c r="AT1565" t="str">
        <f>T("9791191102086")</f>
        <v>9791191102086</v>
      </c>
      <c r="AV1565" t="str">
        <f>T("판타지 웹소설 &gt; 현대 판타지")</f>
        <v>판타지 웹소설 &gt; 현대 판타지</v>
      </c>
    </row>
    <row r="1566" spans="1:48" x14ac:dyDescent="0.4">
      <c r="A1566">
        <v>1525004030</v>
      </c>
      <c r="B1566">
        <v>1525004465</v>
      </c>
      <c r="C1566" t="str">
        <f>T("회귀의 전설 449화")</f>
        <v>회귀의 전설 449화</v>
      </c>
      <c r="D1566" t="str">
        <f>T("449")</f>
        <v>449</v>
      </c>
      <c r="E1566" t="str">
        <f>T("김광수")</f>
        <v>김광수</v>
      </c>
      <c r="H1566" t="str">
        <f t="shared" si="178"/>
        <v>스토리위즈</v>
      </c>
      <c r="I1566" t="str">
        <f>T("회귀의 전설")</f>
        <v>회귀의 전설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 s="2">
        <v>70</v>
      </c>
      <c r="AT1566" t="str">
        <f>T("9788997946006")</f>
        <v>9788997946006</v>
      </c>
      <c r="AV1566" t="str">
        <f>T("판타지 웹소설 &gt; 현대 판타지")</f>
        <v>판타지 웹소설 &gt; 현대 판타지</v>
      </c>
    </row>
    <row r="1567" spans="1:48" x14ac:dyDescent="0.4">
      <c r="A1567">
        <v>1525008545</v>
      </c>
      <c r="B1567">
        <v>1525008555</v>
      </c>
      <c r="C1567" t="str">
        <f>T("소년연애담 29화")</f>
        <v>소년연애담 29화</v>
      </c>
      <c r="D1567" t="str">
        <f>T("29")</f>
        <v>29</v>
      </c>
      <c r="E1567" t="str">
        <f>T("나나코")</f>
        <v>나나코</v>
      </c>
      <c r="H1567" t="str">
        <f>T("블러쉬")</f>
        <v>블러쉬</v>
      </c>
      <c r="I1567" t="str">
        <f>T("소년연애담")</f>
        <v>소년연애담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100</v>
      </c>
      <c r="AN1567">
        <v>0</v>
      </c>
      <c r="AO1567">
        <v>0</v>
      </c>
      <c r="AP1567" s="2">
        <v>70</v>
      </c>
      <c r="AR1567" t="str">
        <f>T("0000000000000")</f>
        <v>0000000000000</v>
      </c>
      <c r="AT1567" t="str">
        <f>T("9791164890729")</f>
        <v>9791164890729</v>
      </c>
      <c r="AU1567" t="str">
        <f>T("B12")</f>
        <v>B12</v>
      </c>
      <c r="AV1567" t="str">
        <f>T("BL 웹소설 &gt; 현대물")</f>
        <v>BL 웹소설 &gt; 현대물</v>
      </c>
    </row>
    <row r="1568" spans="1:48" x14ac:dyDescent="0.4">
      <c r="A1568">
        <v>1525004989</v>
      </c>
      <c r="B1568">
        <v>1525005571</v>
      </c>
      <c r="C1568" t="str">
        <f>T("신룡전설 82화")</f>
        <v>신룡전설 82화</v>
      </c>
      <c r="D1568" t="str">
        <f>T("82")</f>
        <v>82</v>
      </c>
      <c r="E1568" t="str">
        <f>T("가람검")</f>
        <v>가람검</v>
      </c>
      <c r="H1568" t="str">
        <f>T("스토리위즈")</f>
        <v>스토리위즈</v>
      </c>
      <c r="I1568" t="str">
        <f>T("신룡전설")</f>
        <v>신룡전설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 s="2">
        <v>70</v>
      </c>
      <c r="AT1568" t="str">
        <f>T("9791159283505")</f>
        <v>9791159283505</v>
      </c>
      <c r="AV1568" t="str">
        <f>T("판타지 웹소설 &gt; 무협 소설")</f>
        <v>판타지 웹소설 &gt; 무협 소설</v>
      </c>
    </row>
    <row r="1569" spans="1:48" x14ac:dyDescent="0.4">
      <c r="A1569">
        <v>1525008604</v>
      </c>
      <c r="B1569">
        <v>1525008679</v>
      </c>
      <c r="C1569" t="str">
        <f>T("우아한 곡선 8화")</f>
        <v>우아한 곡선 8화</v>
      </c>
      <c r="D1569" t="str">
        <f>T("8")</f>
        <v>8</v>
      </c>
      <c r="E1569" t="str">
        <f>T("용가리맛쿠키")</f>
        <v>용가리맛쿠키</v>
      </c>
      <c r="H1569" t="str">
        <f>T("블러쉬")</f>
        <v>블러쉬</v>
      </c>
      <c r="I1569" t="str">
        <f>T("우아한 곡선")</f>
        <v>우아한 곡선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 s="2">
        <v>70</v>
      </c>
      <c r="AR1569" t="str">
        <f>T("0000000000000")</f>
        <v>0000000000000</v>
      </c>
      <c r="AT1569" t="str">
        <f>T("9791164896615")</f>
        <v>9791164896615</v>
      </c>
      <c r="AV1569" t="str">
        <f>T("BL 웹소설 &gt; 현대물")</f>
        <v>BL 웹소설 &gt; 현대물</v>
      </c>
    </row>
    <row r="1570" spans="1:48" x14ac:dyDescent="0.4">
      <c r="A1570">
        <v>1525004030</v>
      </c>
      <c r="B1570">
        <v>1525007114</v>
      </c>
      <c r="C1570" t="str">
        <f>T("회귀의 전설 2부 998화")</f>
        <v>회귀의 전설 2부 998화</v>
      </c>
      <c r="D1570" t="str">
        <f>T("998")</f>
        <v>998</v>
      </c>
      <c r="E1570" t="str">
        <f>T("김광수")</f>
        <v>김광수</v>
      </c>
      <c r="H1570" t="str">
        <f>T("스토리위즈")</f>
        <v>스토리위즈</v>
      </c>
      <c r="I1570" t="str">
        <f>T("회귀의 전설")</f>
        <v>회귀의 전설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 s="2">
        <v>70</v>
      </c>
      <c r="AT1570" t="str">
        <f>T("9791191102086")</f>
        <v>9791191102086</v>
      </c>
      <c r="AV1570" t="str">
        <f>T("판타지 웹소설 &gt; 현대 판타지")</f>
        <v>판타지 웹소설 &gt; 현대 판타지</v>
      </c>
    </row>
    <row r="1571" spans="1:48" x14ac:dyDescent="0.4">
      <c r="A1571">
        <v>1525007923</v>
      </c>
      <c r="B1571">
        <v>1525008007</v>
      </c>
      <c r="C1571" t="str">
        <f>T("운상연담: 화불능귀일락 96화")</f>
        <v>운상연담: 화불능귀일락 96화</v>
      </c>
      <c r="D1571" t="str">
        <f>T("96")</f>
        <v>96</v>
      </c>
      <c r="E1571" t="str">
        <f>T("피모")</f>
        <v>피모</v>
      </c>
      <c r="H1571" t="str">
        <f>T("쉬라즈")</f>
        <v>쉬라즈</v>
      </c>
      <c r="I1571" t="str">
        <f>T("운상연담: 화불능귀일락")</f>
        <v>운상연담: 화불능귀일락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 s="2">
        <v>70</v>
      </c>
      <c r="AT1571" t="str">
        <f>T("9791164896646")</f>
        <v>9791164896646</v>
      </c>
      <c r="AV1571" t="str">
        <f>T("로맨스 웹소설 &gt; 역사/시대물")</f>
        <v>로맨스 웹소설 &gt; 역사/시대물</v>
      </c>
    </row>
    <row r="1572" spans="1:48" x14ac:dyDescent="0.4">
      <c r="A1572">
        <v>1525002864</v>
      </c>
      <c r="B1572">
        <v>1525002907</v>
      </c>
      <c r="C1572" t="str">
        <f>T("소드마스터의 환생 44화")</f>
        <v>소드마스터의 환생 44화</v>
      </c>
      <c r="D1572" t="str">
        <f>T("44")</f>
        <v>44</v>
      </c>
      <c r="E1572" t="str">
        <f>T("파란영")</f>
        <v>파란영</v>
      </c>
      <c r="H1572" t="str">
        <f>T("스토리위즈")</f>
        <v>스토리위즈</v>
      </c>
      <c r="I1572" t="str">
        <f>T("소드마스터의 환생")</f>
        <v>소드마스터의 환생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100</v>
      </c>
      <c r="AL1572">
        <v>0</v>
      </c>
      <c r="AM1572">
        <v>0</v>
      </c>
      <c r="AN1572">
        <v>0</v>
      </c>
      <c r="AO1572">
        <v>0</v>
      </c>
      <c r="AP1572" s="2">
        <v>70</v>
      </c>
      <c r="AT1572" t="str">
        <f>T("9791159287527")</f>
        <v>9791159287527</v>
      </c>
      <c r="AV1572" t="str">
        <f>T("판타지 웹소설 &gt; 정통 판타지")</f>
        <v>판타지 웹소설 &gt; 정통 판타지</v>
      </c>
    </row>
    <row r="1573" spans="1:48" x14ac:dyDescent="0.4">
      <c r="A1573">
        <v>1525002409</v>
      </c>
      <c r="B1573">
        <v>1525002588</v>
      </c>
      <c r="C1573" t="str">
        <f>T("스포트라이트 180화")</f>
        <v>스포트라이트 180화</v>
      </c>
      <c r="D1573" t="str">
        <f>T("180")</f>
        <v>180</v>
      </c>
      <c r="E1573" t="str">
        <f>T("전혁")</f>
        <v>전혁</v>
      </c>
      <c r="H1573" t="str">
        <f>T("스토리위즈")</f>
        <v>스토리위즈</v>
      </c>
      <c r="I1573" t="str">
        <f>T("스포트라이트")</f>
        <v>스포트라이트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 s="2">
        <v>70</v>
      </c>
      <c r="AT1573" t="str">
        <f>T("9791159286841")</f>
        <v>9791159286841</v>
      </c>
      <c r="AV1573" t="str">
        <f>T("판타지 웹소설 &gt; 현대 판타지")</f>
        <v>판타지 웹소설 &gt; 현대 판타지</v>
      </c>
    </row>
    <row r="1574" spans="1:48" x14ac:dyDescent="0.4">
      <c r="A1574">
        <v>2313011400</v>
      </c>
      <c r="B1574">
        <v>1525007660</v>
      </c>
      <c r="C1574" t="str">
        <f>T("최종 보스 22권 5화")</f>
        <v>최종 보스 22권 5화</v>
      </c>
      <c r="D1574" t="str">
        <f>T("438")</f>
        <v>438</v>
      </c>
      <c r="E1574" t="str">
        <f>T("무장")</f>
        <v>무장</v>
      </c>
      <c r="H1574" t="str">
        <f>T("스토리위즈")</f>
        <v>스토리위즈</v>
      </c>
      <c r="I1574" t="str">
        <f>T("최종 보스 : 빛을 향해 달리는 그림자")</f>
        <v>최종 보스 : 빛을 향해 달리는 그림자</v>
      </c>
      <c r="J1574">
        <v>100</v>
      </c>
      <c r="K1574">
        <v>100</v>
      </c>
      <c r="L1574">
        <v>1</v>
      </c>
      <c r="M1574">
        <v>0</v>
      </c>
      <c r="N1574">
        <v>100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200</v>
      </c>
      <c r="AH1574">
        <v>2</v>
      </c>
      <c r="AI1574">
        <v>0</v>
      </c>
      <c r="AJ1574">
        <v>0</v>
      </c>
      <c r="AK1574">
        <v>200</v>
      </c>
      <c r="AL1574">
        <v>0</v>
      </c>
      <c r="AM1574">
        <v>0</v>
      </c>
      <c r="AN1574">
        <v>0</v>
      </c>
      <c r="AO1574">
        <v>0</v>
      </c>
      <c r="AP1574" s="2">
        <v>140</v>
      </c>
      <c r="AT1574" t="str">
        <f>T("9791166067563")</f>
        <v>9791166067563</v>
      </c>
      <c r="AV1574" t="str">
        <f>T("판타지 웹소설 &gt; 현대 판타지")</f>
        <v>판타지 웹소설 &gt; 현대 판타지</v>
      </c>
    </row>
    <row r="1575" spans="1:48" x14ac:dyDescent="0.4">
      <c r="A1575">
        <v>1525004030</v>
      </c>
      <c r="B1575">
        <v>1525006718</v>
      </c>
      <c r="C1575" t="str">
        <f>T("회귀의 전설 2부 601화")</f>
        <v>회귀의 전설 2부 601화</v>
      </c>
      <c r="D1575" t="str">
        <f>T("601")</f>
        <v>601</v>
      </c>
      <c r="E1575" t="str">
        <f>T("김광수")</f>
        <v>김광수</v>
      </c>
      <c r="H1575" t="str">
        <f>T("스토리위즈")</f>
        <v>스토리위즈</v>
      </c>
      <c r="I1575" t="str">
        <f>T("회귀의 전설")</f>
        <v>회귀의 전설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 s="2">
        <v>70</v>
      </c>
      <c r="AT1575" t="str">
        <f>T("9791191102086")</f>
        <v>9791191102086</v>
      </c>
      <c r="AV1575" t="str">
        <f>T("판타지 웹소설 &gt; 현대 판타지")</f>
        <v>판타지 웹소설 &gt; 현대 판타지</v>
      </c>
    </row>
    <row r="1576" spans="1:48" x14ac:dyDescent="0.4">
      <c r="A1576">
        <v>1525004989</v>
      </c>
      <c r="B1576">
        <v>1525005587</v>
      </c>
      <c r="C1576" t="str">
        <f>T("신룡전설 98화")</f>
        <v>신룡전설 98화</v>
      </c>
      <c r="D1576" t="str">
        <f>T("98")</f>
        <v>98</v>
      </c>
      <c r="E1576" t="str">
        <f>T("가람검")</f>
        <v>가람검</v>
      </c>
      <c r="H1576" t="str">
        <f>T("스토리위즈")</f>
        <v>스토리위즈</v>
      </c>
      <c r="I1576" t="str">
        <f>T("신룡전설")</f>
        <v>신룡전설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 s="2">
        <v>70</v>
      </c>
      <c r="AT1576" t="str">
        <f>T("9791159283505")</f>
        <v>9791159283505</v>
      </c>
      <c r="AV1576" t="str">
        <f>T("판타지 웹소설 &gt; 무협 소설")</f>
        <v>판타지 웹소설 &gt; 무협 소설</v>
      </c>
    </row>
    <row r="1577" spans="1:48" x14ac:dyDescent="0.4">
      <c r="A1577">
        <v>1525008276</v>
      </c>
      <c r="B1577">
        <v>1525008340</v>
      </c>
      <c r="C1577" t="str">
        <f>T("달보드레 외전 7")</f>
        <v>달보드레 외전 7</v>
      </c>
      <c r="D1577" t="str">
        <f>T("74")</f>
        <v>74</v>
      </c>
      <c r="E1577" t="str">
        <f>T("시아")</f>
        <v>시아</v>
      </c>
      <c r="H1577" t="str">
        <f>T("비엘스토리")</f>
        <v>비엘스토리</v>
      </c>
      <c r="I1577" t="str">
        <f>T("달보드레")</f>
        <v>달보드레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 s="2">
        <v>70</v>
      </c>
      <c r="AR1577" t="str">
        <f>T("0000000000000")</f>
        <v>0000000000000</v>
      </c>
      <c r="AT1577" t="str">
        <f>T("9791164899715")</f>
        <v>9791164899715</v>
      </c>
      <c r="AV1577" t="str">
        <f>T("BL 웹소설 &gt; 현대물")</f>
        <v>BL 웹소설 &gt; 현대물</v>
      </c>
    </row>
    <row r="1578" spans="1:48" x14ac:dyDescent="0.4">
      <c r="A1578">
        <v>1525004030</v>
      </c>
      <c r="B1578">
        <v>1525006966</v>
      </c>
      <c r="C1578" t="str">
        <f>T("회귀의 전설 2부 850화")</f>
        <v>회귀의 전설 2부 850화</v>
      </c>
      <c r="D1578" t="str">
        <f>T("850")</f>
        <v>850</v>
      </c>
      <c r="E1578" t="str">
        <f>T("김광수")</f>
        <v>김광수</v>
      </c>
      <c r="H1578" t="str">
        <f>T("스토리위즈")</f>
        <v>스토리위즈</v>
      </c>
      <c r="I1578" t="str">
        <f>T("회귀의 전설")</f>
        <v>회귀의 전설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P1578" s="2">
        <v>70</v>
      </c>
      <c r="AT1578" t="str">
        <f>T("9791191102086")</f>
        <v>9791191102086</v>
      </c>
      <c r="AV1578" t="str">
        <f>T("판타지 웹소설 &gt; 현대 판타지")</f>
        <v>판타지 웹소설 &gt; 현대 판타지</v>
      </c>
    </row>
    <row r="1579" spans="1:48" x14ac:dyDescent="0.4">
      <c r="A1579">
        <v>2313011400</v>
      </c>
      <c r="B1579">
        <v>1525007580</v>
      </c>
      <c r="C1579" t="str">
        <f>T("최종 보스 18권 6화")</f>
        <v>최종 보스 18권 6화</v>
      </c>
      <c r="D1579" t="str">
        <f>T("358")</f>
        <v>358</v>
      </c>
      <c r="E1579" t="str">
        <f>T("무장")</f>
        <v>무장</v>
      </c>
      <c r="H1579" t="str">
        <f>T("스토리위즈")</f>
        <v>스토리위즈</v>
      </c>
      <c r="I1579" t="str">
        <f>T("최종 보스 : 빛을 향해 달리는 그림자")</f>
        <v>최종 보스 : 빛을 향해 달리는 그림자</v>
      </c>
      <c r="J1579">
        <v>100</v>
      </c>
      <c r="K1579">
        <v>100</v>
      </c>
      <c r="L1579">
        <v>1</v>
      </c>
      <c r="M1579">
        <v>0</v>
      </c>
      <c r="N1579">
        <v>100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200</v>
      </c>
      <c r="AH1579">
        <v>2</v>
      </c>
      <c r="AI1579">
        <v>0</v>
      </c>
      <c r="AJ1579">
        <v>0</v>
      </c>
      <c r="AK1579">
        <v>200</v>
      </c>
      <c r="AL1579">
        <v>0</v>
      </c>
      <c r="AM1579">
        <v>0</v>
      </c>
      <c r="AN1579">
        <v>0</v>
      </c>
      <c r="AO1579">
        <v>0</v>
      </c>
      <c r="AP1579" s="2">
        <v>140</v>
      </c>
      <c r="AT1579" t="str">
        <f>T("9791166067563")</f>
        <v>9791166067563</v>
      </c>
      <c r="AV1579" t="str">
        <f>T("판타지 웹소설 &gt; 현대 판타지")</f>
        <v>판타지 웹소설 &gt; 현대 판타지</v>
      </c>
    </row>
    <row r="1580" spans="1:48" x14ac:dyDescent="0.4">
      <c r="A1580">
        <v>1525004030</v>
      </c>
      <c r="B1580">
        <v>1525004289</v>
      </c>
      <c r="C1580" t="str">
        <f>T("회귀의 전설 260화")</f>
        <v>회귀의 전설 260화</v>
      </c>
      <c r="D1580" t="str">
        <f>T("260")</f>
        <v>260</v>
      </c>
      <c r="E1580" t="str">
        <f>T("김광수")</f>
        <v>김광수</v>
      </c>
      <c r="H1580" t="str">
        <f>T("스토리위즈")</f>
        <v>스토리위즈</v>
      </c>
      <c r="I1580" t="str">
        <f>T("회귀의 전설")</f>
        <v>회귀의 전설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 s="2">
        <v>70</v>
      </c>
      <c r="AT1580" t="str">
        <f>T("9788997946006")</f>
        <v>9788997946006</v>
      </c>
      <c r="AV1580" t="str">
        <f>T("판타지 웹소설 &gt; 현대 판타지")</f>
        <v>판타지 웹소설 &gt; 현대 판타지</v>
      </c>
    </row>
    <row r="1581" spans="1:48" x14ac:dyDescent="0.4">
      <c r="A1581">
        <v>1525008545</v>
      </c>
      <c r="B1581">
        <v>1525008587</v>
      </c>
      <c r="C1581" t="str">
        <f>T("소년연애담 58화")</f>
        <v>소년연애담 58화</v>
      </c>
      <c r="D1581" t="str">
        <f>T("58")</f>
        <v>58</v>
      </c>
      <c r="E1581" t="str">
        <f>T("나나코")</f>
        <v>나나코</v>
      </c>
      <c r="H1581" t="str">
        <f>T("블러쉬")</f>
        <v>블러쉬</v>
      </c>
      <c r="I1581" t="str">
        <f>T("소년연애담")</f>
        <v>소년연애담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100</v>
      </c>
      <c r="AN1581">
        <v>0</v>
      </c>
      <c r="AO1581">
        <v>0</v>
      </c>
      <c r="AP1581" s="2">
        <v>70</v>
      </c>
      <c r="AR1581" t="str">
        <f>T("0000000000000")</f>
        <v>0000000000000</v>
      </c>
      <c r="AT1581" t="str">
        <f>T("9791164890729")</f>
        <v>9791164890729</v>
      </c>
      <c r="AV1581" t="str">
        <f>T("BL 웹소설 &gt; 현대물")</f>
        <v>BL 웹소설 &gt; 현대물</v>
      </c>
    </row>
    <row r="1582" spans="1:48" x14ac:dyDescent="0.4">
      <c r="A1582">
        <v>1525010579</v>
      </c>
      <c r="B1582">
        <v>1525010214</v>
      </c>
      <c r="C1582" t="str">
        <f>T("법보다 주먹 364화")</f>
        <v>법보다 주먹 364화</v>
      </c>
      <c r="D1582" t="str">
        <f>T("364")</f>
        <v>364</v>
      </c>
      <c r="E1582" t="str">
        <f>T("백범(白帆)")</f>
        <v>백범(白帆)</v>
      </c>
      <c r="H1582" t="str">
        <f>T("에필로그")</f>
        <v>에필로그</v>
      </c>
      <c r="I1582" t="str">
        <f>T("법보다 주먹")</f>
        <v>법보다 주먹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 s="2">
        <v>70</v>
      </c>
      <c r="AT1582" t="str">
        <f>T("9791164489367")</f>
        <v>9791164489367</v>
      </c>
      <c r="AV1582" t="str">
        <f>T("판타지 웹소설 &gt; 현대 판타지")</f>
        <v>판타지 웹소설 &gt; 현대 판타지</v>
      </c>
    </row>
    <row r="1583" spans="1:48" x14ac:dyDescent="0.4">
      <c r="A1583">
        <v>1525004030</v>
      </c>
      <c r="B1583">
        <v>1525004346</v>
      </c>
      <c r="C1583" t="str">
        <f>T("회귀의 전설 318화")</f>
        <v>회귀의 전설 318화</v>
      </c>
      <c r="D1583" t="str">
        <f>T("318")</f>
        <v>318</v>
      </c>
      <c r="E1583" t="str">
        <f>T("김광수")</f>
        <v>김광수</v>
      </c>
      <c r="H1583" t="str">
        <f>T("스토리위즈")</f>
        <v>스토리위즈</v>
      </c>
      <c r="I1583" t="str">
        <f>T("회귀의 전설")</f>
        <v>회귀의 전설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 s="2">
        <v>70</v>
      </c>
      <c r="AT1583" t="str">
        <f>T("9788997946006")</f>
        <v>9788997946006</v>
      </c>
      <c r="AV1583" t="str">
        <f>T("판타지 웹소설 &gt; 현대 판타지")</f>
        <v>판타지 웹소설 &gt; 현대 판타지</v>
      </c>
    </row>
    <row r="1584" spans="1:48" x14ac:dyDescent="0.4">
      <c r="A1584">
        <v>1525004030</v>
      </c>
      <c r="B1584">
        <v>1525007147</v>
      </c>
      <c r="C1584" t="str">
        <f>T("회귀의 전설 2부 1030화")</f>
        <v>회귀의 전설 2부 1030화</v>
      </c>
      <c r="D1584" t="str">
        <f>T("1030")</f>
        <v>1030</v>
      </c>
      <c r="E1584" t="str">
        <f>T("김광수")</f>
        <v>김광수</v>
      </c>
      <c r="H1584" t="str">
        <f>T("스토리위즈")</f>
        <v>스토리위즈</v>
      </c>
      <c r="I1584" t="str">
        <f>T("회귀의 전설")</f>
        <v>회귀의 전설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 s="2">
        <v>70</v>
      </c>
      <c r="AT1584" t="str">
        <f>T("9791191102086")</f>
        <v>9791191102086</v>
      </c>
      <c r="AV1584" t="str">
        <f>T("판타지 웹소설 &gt; 현대 판타지")</f>
        <v>판타지 웹소설 &gt; 현대 판타지</v>
      </c>
    </row>
    <row r="1585" spans="1:48" x14ac:dyDescent="0.4">
      <c r="A1585">
        <v>1525004030</v>
      </c>
      <c r="B1585">
        <v>1525004458</v>
      </c>
      <c r="C1585" t="str">
        <f>T("회귀의 전설 442화")</f>
        <v>회귀의 전설 442화</v>
      </c>
      <c r="D1585" t="str">
        <f>T("442")</f>
        <v>442</v>
      </c>
      <c r="E1585" t="str">
        <f>T("김광수")</f>
        <v>김광수</v>
      </c>
      <c r="H1585" t="str">
        <f>T("스토리위즈")</f>
        <v>스토리위즈</v>
      </c>
      <c r="I1585" t="str">
        <f>T("회귀의 전설")</f>
        <v>회귀의 전설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 s="2">
        <v>70</v>
      </c>
      <c r="AT1585" t="str">
        <f>T("9788997946006")</f>
        <v>9788997946006</v>
      </c>
      <c r="AV1585" t="str">
        <f>T("판타지 웹소설 &gt; 현대 판타지")</f>
        <v>판타지 웹소설 &gt; 현대 판타지</v>
      </c>
    </row>
    <row r="1586" spans="1:48" x14ac:dyDescent="0.4">
      <c r="A1586">
        <v>1525008545</v>
      </c>
      <c r="B1586">
        <v>1525008548</v>
      </c>
      <c r="C1586" t="str">
        <f>T("소년연애담 22화")</f>
        <v>소년연애담 22화</v>
      </c>
      <c r="D1586" t="str">
        <f>T("22")</f>
        <v>22</v>
      </c>
      <c r="E1586" t="str">
        <f>T("나나코")</f>
        <v>나나코</v>
      </c>
      <c r="H1586" t="str">
        <f>T("블러쉬")</f>
        <v>블러쉬</v>
      </c>
      <c r="I1586" t="str">
        <f>T("소년연애담")</f>
        <v>소년연애담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100</v>
      </c>
      <c r="AN1586">
        <v>0</v>
      </c>
      <c r="AO1586">
        <v>0</v>
      </c>
      <c r="AP1586" s="2">
        <v>70</v>
      </c>
      <c r="AR1586" t="str">
        <f>T("0000000000000")</f>
        <v>0000000000000</v>
      </c>
      <c r="AT1586" t="str">
        <f>T("9791164890729")</f>
        <v>9791164890729</v>
      </c>
      <c r="AU1586" t="str">
        <f>T("B12")</f>
        <v>B12</v>
      </c>
      <c r="AV1586" t="str">
        <f>T("BL 웹소설 &gt; 현대물")</f>
        <v>BL 웹소설 &gt; 현대물</v>
      </c>
    </row>
    <row r="1587" spans="1:48" x14ac:dyDescent="0.4">
      <c r="A1587">
        <v>1525004989</v>
      </c>
      <c r="B1587">
        <v>1525005564</v>
      </c>
      <c r="C1587" t="str">
        <f>T("신룡전설 75화")</f>
        <v>신룡전설 75화</v>
      </c>
      <c r="D1587" t="str">
        <f>T("75")</f>
        <v>75</v>
      </c>
      <c r="E1587" t="str">
        <f>T("가람검")</f>
        <v>가람검</v>
      </c>
      <c r="H1587" t="str">
        <f>T("스토리위즈")</f>
        <v>스토리위즈</v>
      </c>
      <c r="I1587" t="str">
        <f>T("신룡전설")</f>
        <v>신룡전설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 s="2">
        <v>70</v>
      </c>
      <c r="AT1587" t="str">
        <f>T("9791159283505")</f>
        <v>9791159283505</v>
      </c>
      <c r="AV1587" t="str">
        <f>T("판타지 웹소설 &gt; 무협 소설")</f>
        <v>판타지 웹소설 &gt; 무협 소설</v>
      </c>
    </row>
    <row r="1588" spans="1:48" x14ac:dyDescent="0.4">
      <c r="A1588">
        <v>1525004030</v>
      </c>
      <c r="B1588">
        <v>1525007107</v>
      </c>
      <c r="C1588" t="str">
        <f>T("회귀의 전설 2부 991화")</f>
        <v>회귀의 전설 2부 991화</v>
      </c>
      <c r="D1588" t="str">
        <f>T("991")</f>
        <v>991</v>
      </c>
      <c r="E1588" t="str">
        <f>T("김광수")</f>
        <v>김광수</v>
      </c>
      <c r="H1588" t="str">
        <f>T("스토리위즈")</f>
        <v>스토리위즈</v>
      </c>
      <c r="I1588" t="str">
        <f>T("회귀의 전설")</f>
        <v>회귀의 전설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 s="2">
        <v>70</v>
      </c>
      <c r="AT1588" t="str">
        <f>T("9791191102086")</f>
        <v>9791191102086</v>
      </c>
      <c r="AV1588" t="str">
        <f>T("판타지 웹소설 &gt; 현대 판타지")</f>
        <v>판타지 웹소설 &gt; 현대 판타지</v>
      </c>
    </row>
    <row r="1589" spans="1:48" x14ac:dyDescent="0.4">
      <c r="A1589">
        <v>1525007923</v>
      </c>
      <c r="B1589">
        <v>1525007999</v>
      </c>
      <c r="C1589" t="str">
        <f>T("운상연담: 화불능귀일락 89화")</f>
        <v>운상연담: 화불능귀일락 89화</v>
      </c>
      <c r="D1589" t="str">
        <f>T("89")</f>
        <v>89</v>
      </c>
      <c r="E1589" t="str">
        <f>T("피모")</f>
        <v>피모</v>
      </c>
      <c r="H1589" t="str">
        <f>T("쉬라즈")</f>
        <v>쉬라즈</v>
      </c>
      <c r="I1589" t="str">
        <f>T("운상연담: 화불능귀일락")</f>
        <v>운상연담: 화불능귀일락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 s="2">
        <v>70</v>
      </c>
      <c r="AT1589" t="str">
        <f>T("9791164896646")</f>
        <v>9791164896646</v>
      </c>
      <c r="AV1589" t="str">
        <f>T("로맨스 웹소설 &gt; 역사/시대물")</f>
        <v>로맨스 웹소설 &gt; 역사/시대물</v>
      </c>
    </row>
    <row r="1590" spans="1:48" x14ac:dyDescent="0.4">
      <c r="A1590">
        <v>1525010579</v>
      </c>
      <c r="B1590">
        <v>1525010243</v>
      </c>
      <c r="C1590" t="str">
        <f>T("법보다 주먹 335화")</f>
        <v>법보다 주먹 335화</v>
      </c>
      <c r="D1590" t="str">
        <f>T("335")</f>
        <v>335</v>
      </c>
      <c r="E1590" t="str">
        <f>T("백범(白帆)")</f>
        <v>백범(白帆)</v>
      </c>
      <c r="H1590" t="str">
        <f>T("에필로그")</f>
        <v>에필로그</v>
      </c>
      <c r="I1590" t="str">
        <f>T("법보다 주먹")</f>
        <v>법보다 주먹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 s="2">
        <v>70</v>
      </c>
      <c r="AT1590" t="str">
        <f>T("9791164489367")</f>
        <v>9791164489367</v>
      </c>
      <c r="AV1590" t="str">
        <f>T("판타지 웹소설 &gt; 현대 판타지")</f>
        <v>판타지 웹소설 &gt; 현대 판타지</v>
      </c>
    </row>
    <row r="1591" spans="1:48" x14ac:dyDescent="0.4">
      <c r="A1591">
        <v>1525002864</v>
      </c>
      <c r="B1591">
        <v>1525002900</v>
      </c>
      <c r="C1591" t="str">
        <f>T("소드마스터의 환생 37화")</f>
        <v>소드마스터의 환생 37화</v>
      </c>
      <c r="D1591" t="str">
        <f>T("37")</f>
        <v>37</v>
      </c>
      <c r="E1591" t="str">
        <f>T("파란영")</f>
        <v>파란영</v>
      </c>
      <c r="H1591" t="str">
        <f t="shared" ref="H1591:H1596" si="179">T("스토리위즈")</f>
        <v>스토리위즈</v>
      </c>
      <c r="I1591" t="str">
        <f>T("소드마스터의 환생")</f>
        <v>소드마스터의 환생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 s="2">
        <v>70</v>
      </c>
      <c r="AT1591" t="str">
        <f>T("9791159287527")</f>
        <v>9791159287527</v>
      </c>
      <c r="AV1591" t="str">
        <f>T("판타지 웹소설 &gt; 정통 판타지")</f>
        <v>판타지 웹소설 &gt; 정통 판타지</v>
      </c>
    </row>
    <row r="1592" spans="1:48" x14ac:dyDescent="0.4">
      <c r="A1592">
        <v>1525002409</v>
      </c>
      <c r="B1592">
        <v>1525002571</v>
      </c>
      <c r="C1592" t="str">
        <f>T("스포트라이트 163화")</f>
        <v>스포트라이트 163화</v>
      </c>
      <c r="D1592" t="str">
        <f>T("163")</f>
        <v>163</v>
      </c>
      <c r="E1592" t="str">
        <f>T("전혁")</f>
        <v>전혁</v>
      </c>
      <c r="H1592" t="str">
        <f t="shared" si="179"/>
        <v>스토리위즈</v>
      </c>
      <c r="I1592" t="str">
        <f>T("스포트라이트")</f>
        <v>스포트라이트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 s="2">
        <v>70</v>
      </c>
      <c r="AT1592" t="str">
        <f>T("9791159286841")</f>
        <v>9791159286841</v>
      </c>
      <c r="AV1592" t="str">
        <f>T("판타지 웹소설 &gt; 현대 판타지")</f>
        <v>판타지 웹소설 &gt; 현대 판타지</v>
      </c>
    </row>
    <row r="1593" spans="1:48" x14ac:dyDescent="0.4">
      <c r="A1593">
        <v>2313011400</v>
      </c>
      <c r="B1593">
        <v>1525007653</v>
      </c>
      <c r="C1593" t="str">
        <f>T("최종 보스 21권 18화")</f>
        <v>최종 보스 21권 18화</v>
      </c>
      <c r="D1593" t="str">
        <f>T("431")</f>
        <v>431</v>
      </c>
      <c r="E1593" t="str">
        <f>T("무장")</f>
        <v>무장</v>
      </c>
      <c r="H1593" t="str">
        <f t="shared" si="179"/>
        <v>스토리위즈</v>
      </c>
      <c r="I1593" t="str">
        <f>T("최종 보스 : 빛을 향해 달리는 그림자")</f>
        <v>최종 보스 : 빛을 향해 달리는 그림자</v>
      </c>
      <c r="J1593">
        <v>100</v>
      </c>
      <c r="K1593">
        <v>100</v>
      </c>
      <c r="L1593">
        <v>1</v>
      </c>
      <c r="M1593">
        <v>0</v>
      </c>
      <c r="N1593">
        <v>100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200</v>
      </c>
      <c r="AH1593">
        <v>2</v>
      </c>
      <c r="AI1593">
        <v>0</v>
      </c>
      <c r="AJ1593">
        <v>0</v>
      </c>
      <c r="AK1593">
        <v>200</v>
      </c>
      <c r="AL1593">
        <v>0</v>
      </c>
      <c r="AM1593">
        <v>0</v>
      </c>
      <c r="AN1593">
        <v>0</v>
      </c>
      <c r="AO1593">
        <v>0</v>
      </c>
      <c r="AP1593" s="2">
        <v>140</v>
      </c>
      <c r="AT1593" t="str">
        <f>T("9791166067563")</f>
        <v>9791166067563</v>
      </c>
      <c r="AV1593" t="str">
        <f>T("판타지 웹소설 &gt; 현대 판타지")</f>
        <v>판타지 웹소설 &gt; 현대 판타지</v>
      </c>
    </row>
    <row r="1594" spans="1:48" x14ac:dyDescent="0.4">
      <c r="A1594">
        <v>1525004030</v>
      </c>
      <c r="B1594">
        <v>1525004554</v>
      </c>
      <c r="C1594" t="str">
        <f>T("회귀의 전설 503화")</f>
        <v>회귀의 전설 503화</v>
      </c>
      <c r="D1594" t="str">
        <f>T("503")</f>
        <v>503</v>
      </c>
      <c r="E1594" t="str">
        <f>T("김광수")</f>
        <v>김광수</v>
      </c>
      <c r="H1594" t="str">
        <f t="shared" si="179"/>
        <v>스토리위즈</v>
      </c>
      <c r="I1594" t="str">
        <f>T("회귀의 전설")</f>
        <v>회귀의 전설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 s="2">
        <v>70</v>
      </c>
      <c r="AT1594" t="str">
        <f>T("9788997946006")</f>
        <v>9788997946006</v>
      </c>
      <c r="AV1594" t="str">
        <f>T("판타지 웹소설 &gt; 현대 판타지")</f>
        <v>판타지 웹소설 &gt; 현대 판타지</v>
      </c>
    </row>
    <row r="1595" spans="1:48" x14ac:dyDescent="0.4">
      <c r="A1595">
        <v>1525004030</v>
      </c>
      <c r="B1595">
        <v>1525006711</v>
      </c>
      <c r="C1595" t="str">
        <f>T("회귀의 전설 2부 594화")</f>
        <v>회귀의 전설 2부 594화</v>
      </c>
      <c r="D1595" t="str">
        <f>T("594")</f>
        <v>594</v>
      </c>
      <c r="E1595" t="str">
        <f>T("김광수")</f>
        <v>김광수</v>
      </c>
      <c r="H1595" t="str">
        <f t="shared" si="179"/>
        <v>스토리위즈</v>
      </c>
      <c r="I1595" t="str">
        <f>T("회귀의 전설")</f>
        <v>회귀의 전설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 s="2">
        <v>70</v>
      </c>
      <c r="AT1595" t="str">
        <f>T("9791191102086")</f>
        <v>9791191102086</v>
      </c>
      <c r="AV1595" t="str">
        <f>T("판타지 웹소설 &gt; 현대 판타지")</f>
        <v>판타지 웹소설 &gt; 현대 판타지</v>
      </c>
    </row>
    <row r="1596" spans="1:48" x14ac:dyDescent="0.4">
      <c r="A1596">
        <v>1525004989</v>
      </c>
      <c r="B1596">
        <v>1525005580</v>
      </c>
      <c r="C1596" t="str">
        <f>T("신룡전설 91화")</f>
        <v>신룡전설 91화</v>
      </c>
      <c r="D1596" t="str">
        <f>T("91")</f>
        <v>91</v>
      </c>
      <c r="E1596" t="str">
        <f>T("가람검")</f>
        <v>가람검</v>
      </c>
      <c r="H1596" t="str">
        <f t="shared" si="179"/>
        <v>스토리위즈</v>
      </c>
      <c r="I1596" t="str">
        <f>T("신룡전설")</f>
        <v>신룡전설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 s="2">
        <v>70</v>
      </c>
      <c r="AT1596" t="str">
        <f>T("9791159283505")</f>
        <v>9791159283505</v>
      </c>
      <c r="AV1596" t="str">
        <f>T("판타지 웹소설 &gt; 무협 소설")</f>
        <v>판타지 웹소설 &gt; 무협 소설</v>
      </c>
    </row>
    <row r="1597" spans="1:48" x14ac:dyDescent="0.4">
      <c r="A1597">
        <v>1525008276</v>
      </c>
      <c r="B1597">
        <v>1525008333</v>
      </c>
      <c r="C1597" t="str">
        <f>T("달보드레 외전 1")</f>
        <v>달보드레 외전 1</v>
      </c>
      <c r="D1597" t="str">
        <f>T("68")</f>
        <v>68</v>
      </c>
      <c r="E1597" t="str">
        <f>T("시아")</f>
        <v>시아</v>
      </c>
      <c r="H1597" t="str">
        <f>T("비엘스토리")</f>
        <v>비엘스토리</v>
      </c>
      <c r="I1597" t="str">
        <f>T("달보드레")</f>
        <v>달보드레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 s="2">
        <v>70</v>
      </c>
      <c r="AR1597" t="str">
        <f>T("0000000000000")</f>
        <v>0000000000000</v>
      </c>
      <c r="AT1597" t="str">
        <f>T("9791164899715")</f>
        <v>9791164899715</v>
      </c>
      <c r="AV1597" t="str">
        <f>T("BL 웹소설 &gt; 현대물")</f>
        <v>BL 웹소설 &gt; 현대물</v>
      </c>
    </row>
    <row r="1598" spans="1:48" x14ac:dyDescent="0.4">
      <c r="A1598">
        <v>1525004989</v>
      </c>
      <c r="B1598">
        <v>1525005636</v>
      </c>
      <c r="C1598" t="str">
        <f>T("신룡전설 147화")</f>
        <v>신룡전설 147화</v>
      </c>
      <c r="D1598" t="str">
        <f>T("147")</f>
        <v>147</v>
      </c>
      <c r="E1598" t="str">
        <f>T("가람검")</f>
        <v>가람검</v>
      </c>
      <c r="H1598" t="str">
        <f>T("스토리위즈")</f>
        <v>스토리위즈</v>
      </c>
      <c r="I1598" t="str">
        <f>T("신룡전설")</f>
        <v>신룡전설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 s="2">
        <v>70</v>
      </c>
      <c r="AT1598" t="str">
        <f>T("9791159283505")</f>
        <v>9791159283505</v>
      </c>
      <c r="AV1598" t="str">
        <f>T("판타지 웹소설 &gt; 무협 소설")</f>
        <v>판타지 웹소설 &gt; 무협 소설</v>
      </c>
    </row>
    <row r="1599" spans="1:48" x14ac:dyDescent="0.4">
      <c r="A1599">
        <v>1525004030</v>
      </c>
      <c r="B1599">
        <v>1525004282</v>
      </c>
      <c r="C1599" t="str">
        <f>T("회귀의 전설 253화")</f>
        <v>회귀의 전설 253화</v>
      </c>
      <c r="D1599" t="str">
        <f>T("253")</f>
        <v>253</v>
      </c>
      <c r="E1599" t="str">
        <f>T("김광수")</f>
        <v>김광수</v>
      </c>
      <c r="H1599" t="str">
        <f>T("스토리위즈")</f>
        <v>스토리위즈</v>
      </c>
      <c r="I1599" t="str">
        <f>T("회귀의 전설")</f>
        <v>회귀의 전설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 s="2">
        <v>70</v>
      </c>
      <c r="AT1599" t="str">
        <f>T("9788997946006")</f>
        <v>9788997946006</v>
      </c>
      <c r="AV1599" t="str">
        <f>T("판타지 웹소설 &gt; 현대 판타지")</f>
        <v>판타지 웹소설 &gt; 현대 판타지</v>
      </c>
    </row>
    <row r="1600" spans="1:48" x14ac:dyDescent="0.4">
      <c r="A1600">
        <v>1525008545</v>
      </c>
      <c r="B1600">
        <v>1525008580</v>
      </c>
      <c r="C1600" t="str">
        <f>T("소년연애담 51화")</f>
        <v>소년연애담 51화</v>
      </c>
      <c r="D1600" t="str">
        <f>T("51")</f>
        <v>51</v>
      </c>
      <c r="E1600" t="str">
        <f>T("나나코")</f>
        <v>나나코</v>
      </c>
      <c r="H1600" t="str">
        <f>T("블러쉬")</f>
        <v>블러쉬</v>
      </c>
      <c r="I1600" t="str">
        <f>T("소년연애담")</f>
        <v>소년연애담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100</v>
      </c>
      <c r="AN1600">
        <v>0</v>
      </c>
      <c r="AO1600">
        <v>0</v>
      </c>
      <c r="AP1600" s="2">
        <v>70</v>
      </c>
      <c r="AR1600" t="str">
        <f>T("0000000000000")</f>
        <v>0000000000000</v>
      </c>
      <c r="AT1600" t="str">
        <f>T("9791164890729")</f>
        <v>9791164890729</v>
      </c>
      <c r="AU1600" t="str">
        <f>T("B12")</f>
        <v>B12</v>
      </c>
      <c r="AV1600" t="str">
        <f>T("BL 웹소설 &gt; 현대물")</f>
        <v>BL 웹소설 &gt; 현대물</v>
      </c>
    </row>
    <row r="1601" spans="1:48" x14ac:dyDescent="0.4">
      <c r="A1601">
        <v>1525010579</v>
      </c>
      <c r="B1601">
        <v>1525010201</v>
      </c>
      <c r="C1601" t="str">
        <f>T("법보다 주먹 377화")</f>
        <v>법보다 주먹 377화</v>
      </c>
      <c r="D1601" t="str">
        <f>T("377")</f>
        <v>377</v>
      </c>
      <c r="E1601" t="str">
        <f>T("백범(白帆)")</f>
        <v>백범(白帆)</v>
      </c>
      <c r="H1601" t="str">
        <f>T("에필로그")</f>
        <v>에필로그</v>
      </c>
      <c r="I1601" t="str">
        <f>T("법보다 주먹")</f>
        <v>법보다 주먹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 s="2">
        <v>70</v>
      </c>
      <c r="AT1601" t="str">
        <f>T("9791164489367")</f>
        <v>9791164489367</v>
      </c>
      <c r="AV1601" t="str">
        <f>T("판타지 웹소설 &gt; 현대 판타지")</f>
        <v>판타지 웹소설 &gt; 현대 판타지</v>
      </c>
    </row>
    <row r="1602" spans="1:48" x14ac:dyDescent="0.4">
      <c r="A1602">
        <v>1525004030</v>
      </c>
      <c r="B1602">
        <v>1525012856</v>
      </c>
      <c r="C1602" t="str">
        <f>T("회귀의 전설 1161화")</f>
        <v>회귀의 전설 1161화</v>
      </c>
      <c r="D1602" t="str">
        <f>T("1161")</f>
        <v>1161</v>
      </c>
      <c r="E1602" t="str">
        <f>T("김광수")</f>
        <v>김광수</v>
      </c>
      <c r="H1602" t="str">
        <f>T("스토리위즈")</f>
        <v>스토리위즈</v>
      </c>
      <c r="I1602" t="str">
        <f>T("회귀의 전설")</f>
        <v>회귀의 전설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P1602" s="2">
        <v>70</v>
      </c>
      <c r="AT1602" t="str">
        <f>T("9791191102086")</f>
        <v>9791191102086</v>
      </c>
      <c r="AV1602" t="str">
        <f>T("판타지 웹소설 &gt; 현대 판타지")</f>
        <v>판타지 웹소설 &gt; 현대 판타지</v>
      </c>
    </row>
    <row r="1603" spans="1:48" x14ac:dyDescent="0.4">
      <c r="A1603">
        <v>1525004030</v>
      </c>
      <c r="B1603">
        <v>1525004394</v>
      </c>
      <c r="C1603" t="str">
        <f>T("회귀의 전설 366화")</f>
        <v>회귀의 전설 366화</v>
      </c>
      <c r="D1603" t="str">
        <f>T("366")</f>
        <v>366</v>
      </c>
      <c r="E1603" t="str">
        <f>T("김광수")</f>
        <v>김광수</v>
      </c>
      <c r="H1603" t="str">
        <f>T("스토리위즈")</f>
        <v>스토리위즈</v>
      </c>
      <c r="I1603" t="str">
        <f>T("회귀의 전설")</f>
        <v>회귀의 전설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1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 s="2">
        <v>70</v>
      </c>
      <c r="AT1603" t="str">
        <f>T("9788997946006")</f>
        <v>9788997946006</v>
      </c>
      <c r="AV1603" t="str">
        <f>T("판타지 웹소설 &gt; 현대 판타지")</f>
        <v>판타지 웹소설 &gt; 현대 판타지</v>
      </c>
    </row>
    <row r="1604" spans="1:48" x14ac:dyDescent="0.4">
      <c r="A1604">
        <v>1525004030</v>
      </c>
      <c r="B1604">
        <v>1525006727</v>
      </c>
      <c r="C1604" t="str">
        <f>T("회귀의 전설 2부 610화")</f>
        <v>회귀의 전설 2부 610화</v>
      </c>
      <c r="D1604" t="str">
        <f>T("610")</f>
        <v>610</v>
      </c>
      <c r="E1604" t="str">
        <f>T("김광수")</f>
        <v>김광수</v>
      </c>
      <c r="H1604" t="str">
        <f>T("스토리위즈")</f>
        <v>스토리위즈</v>
      </c>
      <c r="I1604" t="str">
        <f>T("회귀의 전설")</f>
        <v>회귀의 전설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 s="2">
        <v>70</v>
      </c>
      <c r="AT1604" t="str">
        <f>T("9791191102086")</f>
        <v>9791191102086</v>
      </c>
      <c r="AV1604" t="str">
        <f>T("판타지 웹소설 &gt; 현대 판타지")</f>
        <v>판타지 웹소설 &gt; 현대 판타지</v>
      </c>
    </row>
    <row r="1605" spans="1:48" x14ac:dyDescent="0.4">
      <c r="A1605">
        <v>1525007872</v>
      </c>
      <c r="B1605">
        <v>1525007878</v>
      </c>
      <c r="C1605" t="str">
        <f>T("아침이 오지 않아도 25화")</f>
        <v>아침이 오지 않아도 25화</v>
      </c>
      <c r="D1605" t="str">
        <f>T("25")</f>
        <v>25</v>
      </c>
      <c r="E1605" t="str">
        <f>T("홍영")</f>
        <v>홍영</v>
      </c>
      <c r="H1605" t="str">
        <f>T("러브스토리")</f>
        <v>러브스토리</v>
      </c>
      <c r="I1605" t="str">
        <f>T("아침이 오지 않아도")</f>
        <v>아침이 오지 않아도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 s="2">
        <v>70</v>
      </c>
      <c r="AR1605" t="str">
        <f>T("0000000000000")</f>
        <v>0000000000000</v>
      </c>
      <c r="AT1605" t="str">
        <f>T("9791164899708")</f>
        <v>9791164899708</v>
      </c>
      <c r="AV1605" t="str">
        <f>T("로맨스 웹소설 &gt; 현대물")</f>
        <v>로맨스 웹소설 &gt; 현대물</v>
      </c>
    </row>
    <row r="1606" spans="1:48" x14ac:dyDescent="0.4">
      <c r="A1606">
        <v>1525004030</v>
      </c>
      <c r="B1606">
        <v>1525007043</v>
      </c>
      <c r="C1606" t="str">
        <f>T("회귀의 전설 2부 927화")</f>
        <v>회귀의 전설 2부 927화</v>
      </c>
      <c r="D1606" t="str">
        <f>T("927")</f>
        <v>927</v>
      </c>
      <c r="E1606" t="str">
        <f>T("김광수")</f>
        <v>김광수</v>
      </c>
      <c r="H1606" t="str">
        <f t="shared" ref="H1606:H1621" si="180">T("스토리위즈")</f>
        <v>스토리위즈</v>
      </c>
      <c r="I1606" t="str">
        <f>T("회귀의 전설")</f>
        <v>회귀의 전설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 s="2">
        <v>70</v>
      </c>
      <c r="AT1606" t="str">
        <f>T("9791191102086")</f>
        <v>9791191102086</v>
      </c>
      <c r="AV1606" t="str">
        <f>T("판타지 웹소설 &gt; 현대 판타지")</f>
        <v>판타지 웹소설 &gt; 현대 판타지</v>
      </c>
    </row>
    <row r="1607" spans="1:48" x14ac:dyDescent="0.4">
      <c r="A1607">
        <v>2313011400</v>
      </c>
      <c r="B1607">
        <v>1525007685</v>
      </c>
      <c r="C1607" t="str">
        <f>T("최종 보스 23권 10화")</f>
        <v>최종 보스 23권 10화</v>
      </c>
      <c r="D1607" t="str">
        <f>T("463")</f>
        <v>463</v>
      </c>
      <c r="E1607" t="str">
        <f>T("무장")</f>
        <v>무장</v>
      </c>
      <c r="H1607" t="str">
        <f t="shared" si="180"/>
        <v>스토리위즈</v>
      </c>
      <c r="I1607" t="str">
        <f>T("최종 보스 : 빛을 향해 달리는 그림자")</f>
        <v>최종 보스 : 빛을 향해 달리는 그림자</v>
      </c>
      <c r="J1607">
        <v>100</v>
      </c>
      <c r="K1607">
        <v>100</v>
      </c>
      <c r="L1607">
        <v>1</v>
      </c>
      <c r="M1607">
        <v>0</v>
      </c>
      <c r="N1607">
        <v>100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200</v>
      </c>
      <c r="AH1607">
        <v>2</v>
      </c>
      <c r="AI1607">
        <v>0</v>
      </c>
      <c r="AJ1607">
        <v>0</v>
      </c>
      <c r="AK1607">
        <v>200</v>
      </c>
      <c r="AL1607">
        <v>0</v>
      </c>
      <c r="AM1607">
        <v>0</v>
      </c>
      <c r="AN1607">
        <v>0</v>
      </c>
      <c r="AO1607">
        <v>0</v>
      </c>
      <c r="AP1607" s="2">
        <v>140</v>
      </c>
      <c r="AT1607" t="str">
        <f>T("9791166067563")</f>
        <v>9791166067563</v>
      </c>
      <c r="AV1607" t="str">
        <f>T("판타지 웹소설 &gt; 현대 판타지")</f>
        <v>판타지 웹소설 &gt; 현대 판타지</v>
      </c>
    </row>
    <row r="1608" spans="1:48" x14ac:dyDescent="0.4">
      <c r="A1608">
        <v>1525004988</v>
      </c>
      <c r="B1608">
        <v>1525005314</v>
      </c>
      <c r="C1608" t="str">
        <f>T("용무쌍 27화")</f>
        <v>용무쌍 27화</v>
      </c>
      <c r="D1608" t="str">
        <f>T("27")</f>
        <v>27</v>
      </c>
      <c r="E1608" t="str">
        <f>T("권용찬")</f>
        <v>권용찬</v>
      </c>
      <c r="H1608" t="str">
        <f t="shared" si="180"/>
        <v>스토리위즈</v>
      </c>
      <c r="I1608" t="str">
        <f>T("용무쌍")</f>
        <v>용무쌍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 s="2">
        <v>70</v>
      </c>
      <c r="AT1608" t="str">
        <f>T("9791159284861")</f>
        <v>9791159284861</v>
      </c>
      <c r="AV1608" t="str">
        <f>T("판타지 웹소설 &gt; 무협 소설")</f>
        <v>판타지 웹소설 &gt; 무협 소설</v>
      </c>
    </row>
    <row r="1609" spans="1:48" x14ac:dyDescent="0.4">
      <c r="A1609">
        <v>1525004989</v>
      </c>
      <c r="B1609">
        <v>1525005612</v>
      </c>
      <c r="C1609" t="str">
        <f>T("신룡전설 123화")</f>
        <v>신룡전설 123화</v>
      </c>
      <c r="D1609" t="str">
        <f>T("123")</f>
        <v>123</v>
      </c>
      <c r="E1609" t="str">
        <f>T("가람검")</f>
        <v>가람검</v>
      </c>
      <c r="H1609" t="str">
        <f t="shared" si="180"/>
        <v>스토리위즈</v>
      </c>
      <c r="I1609" t="str">
        <f>T("신룡전설")</f>
        <v>신룡전설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 s="2">
        <v>70</v>
      </c>
      <c r="AT1609" t="str">
        <f>T("9791159283505")</f>
        <v>9791159283505</v>
      </c>
      <c r="AV1609" t="str">
        <f>T("판타지 웹소설 &gt; 무협 소설")</f>
        <v>판타지 웹소설 &gt; 무협 소설</v>
      </c>
    </row>
    <row r="1610" spans="1:48" x14ac:dyDescent="0.4">
      <c r="A1610">
        <v>1525002409</v>
      </c>
      <c r="B1610">
        <v>1525002557</v>
      </c>
      <c r="C1610" t="str">
        <f>T("스포트라이트 149화")</f>
        <v>스포트라이트 149화</v>
      </c>
      <c r="D1610" t="str">
        <f>T("149")</f>
        <v>149</v>
      </c>
      <c r="E1610" t="str">
        <f>T("전혁")</f>
        <v>전혁</v>
      </c>
      <c r="H1610" t="str">
        <f t="shared" si="180"/>
        <v>스토리위즈</v>
      </c>
      <c r="I1610" t="str">
        <f>T("스포트라이트")</f>
        <v>스포트라이트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 s="2">
        <v>70</v>
      </c>
      <c r="AT1610" t="str">
        <f>T("9791159286841")</f>
        <v>9791159286841</v>
      </c>
      <c r="AV1610" t="str">
        <f>T("판타지 웹소설 &gt; 현대 판타지")</f>
        <v>판타지 웹소설 &gt; 현대 판타지</v>
      </c>
    </row>
    <row r="1611" spans="1:48" x14ac:dyDescent="0.4">
      <c r="A1611">
        <v>1525004030</v>
      </c>
      <c r="B1611">
        <v>1525006991</v>
      </c>
      <c r="C1611" t="str">
        <f>T("회귀의 전설 2부 875화")</f>
        <v>회귀의 전설 2부 875화</v>
      </c>
      <c r="D1611" t="str">
        <f>T("875")</f>
        <v>875</v>
      </c>
      <c r="E1611" t="str">
        <f>T("김광수")</f>
        <v>김광수</v>
      </c>
      <c r="H1611" t="str">
        <f t="shared" si="180"/>
        <v>스토리위즈</v>
      </c>
      <c r="I1611" t="str">
        <f>T("회귀의 전설")</f>
        <v>회귀의 전설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 s="2">
        <v>70</v>
      </c>
      <c r="AT1611" t="str">
        <f>T("9791191102086")</f>
        <v>9791191102086</v>
      </c>
      <c r="AV1611" t="str">
        <f>T("판타지 웹소설 &gt; 현대 판타지")</f>
        <v>판타지 웹소설 &gt; 현대 판타지</v>
      </c>
    </row>
    <row r="1612" spans="1:48" x14ac:dyDescent="0.4">
      <c r="A1612">
        <v>1525004030</v>
      </c>
      <c r="B1612">
        <v>1525006647</v>
      </c>
      <c r="C1612" t="str">
        <f>T("회귀의 전설 2부 530화")</f>
        <v>회귀의 전설 2부 530화</v>
      </c>
      <c r="D1612" t="str">
        <f>T("530")</f>
        <v>530</v>
      </c>
      <c r="E1612" t="str">
        <f>T("김광수")</f>
        <v>김광수</v>
      </c>
      <c r="H1612" t="str">
        <f t="shared" si="180"/>
        <v>스토리위즈</v>
      </c>
      <c r="I1612" t="str">
        <f>T("회귀의 전설")</f>
        <v>회귀의 전설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1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 s="2">
        <v>70</v>
      </c>
      <c r="AT1612" t="str">
        <f>T("9791191102086")</f>
        <v>9791191102086</v>
      </c>
      <c r="AV1612" t="str">
        <f>T("판타지 웹소설 &gt; 현대 판타지")</f>
        <v>판타지 웹소설 &gt; 현대 판타지</v>
      </c>
    </row>
    <row r="1613" spans="1:48" x14ac:dyDescent="0.4">
      <c r="A1613">
        <v>2313011400</v>
      </c>
      <c r="B1613">
        <v>1525007589</v>
      </c>
      <c r="C1613" t="str">
        <f>T("최종 보스 18권 15화")</f>
        <v>최종 보스 18권 15화</v>
      </c>
      <c r="D1613" t="str">
        <f>T("367")</f>
        <v>367</v>
      </c>
      <c r="E1613" t="str">
        <f>T("무장")</f>
        <v>무장</v>
      </c>
      <c r="H1613" t="str">
        <f t="shared" si="180"/>
        <v>스토리위즈</v>
      </c>
      <c r="I1613" t="str">
        <f>T("최종 보스 : 빛을 향해 달리는 그림자")</f>
        <v>최종 보스 : 빛을 향해 달리는 그림자</v>
      </c>
      <c r="J1613">
        <v>100</v>
      </c>
      <c r="K1613">
        <v>100</v>
      </c>
      <c r="L1613">
        <v>1</v>
      </c>
      <c r="M1613">
        <v>0</v>
      </c>
      <c r="N1613">
        <v>100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200</v>
      </c>
      <c r="AH1613">
        <v>2</v>
      </c>
      <c r="AI1613">
        <v>0</v>
      </c>
      <c r="AJ1613">
        <v>0</v>
      </c>
      <c r="AK1613">
        <v>200</v>
      </c>
      <c r="AL1613">
        <v>0</v>
      </c>
      <c r="AM1613">
        <v>0</v>
      </c>
      <c r="AN1613">
        <v>0</v>
      </c>
      <c r="AO1613">
        <v>0</v>
      </c>
      <c r="AP1613" s="2">
        <v>140</v>
      </c>
      <c r="AT1613" t="str">
        <f>T("9791166067563")</f>
        <v>9791166067563</v>
      </c>
      <c r="AV1613" t="str">
        <f>T("판타지 웹소설 &gt; 현대 판타지")</f>
        <v>판타지 웹소설 &gt; 현대 판타지</v>
      </c>
    </row>
    <row r="1614" spans="1:48" x14ac:dyDescent="0.4">
      <c r="A1614">
        <v>1525004030</v>
      </c>
      <c r="B1614">
        <v>1525004314</v>
      </c>
      <c r="C1614" t="str">
        <f>T("회귀의 전설 285화")</f>
        <v>회귀의 전설 285화</v>
      </c>
      <c r="D1614" t="str">
        <f>T("285")</f>
        <v>285</v>
      </c>
      <c r="E1614" t="str">
        <f>T("김광수")</f>
        <v>김광수</v>
      </c>
      <c r="H1614" t="str">
        <f t="shared" si="180"/>
        <v>스토리위즈</v>
      </c>
      <c r="I1614" t="str">
        <f>T("회귀의 전설")</f>
        <v>회귀의 전설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 s="2">
        <v>70</v>
      </c>
      <c r="AT1614" t="str">
        <f>T("9788997946006")</f>
        <v>9788997946006</v>
      </c>
      <c r="AV1614" t="str">
        <f>T("판타지 웹소설 &gt; 현대 판타지")</f>
        <v>판타지 웹소설 &gt; 현대 판타지</v>
      </c>
    </row>
    <row r="1615" spans="1:48" x14ac:dyDescent="0.4">
      <c r="A1615">
        <v>1525004988</v>
      </c>
      <c r="B1615">
        <v>1525005330</v>
      </c>
      <c r="C1615" t="str">
        <f>T("용무쌍 43화")</f>
        <v>용무쌍 43화</v>
      </c>
      <c r="D1615" t="str">
        <f>T("43")</f>
        <v>43</v>
      </c>
      <c r="E1615" t="str">
        <f>T("권용찬")</f>
        <v>권용찬</v>
      </c>
      <c r="H1615" t="str">
        <f t="shared" si="180"/>
        <v>스토리위즈</v>
      </c>
      <c r="I1615" t="str">
        <f>T("용무쌍")</f>
        <v>용무쌍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 s="2">
        <v>70</v>
      </c>
      <c r="AT1615" t="str">
        <f>T("9791159284861")</f>
        <v>9791159284861</v>
      </c>
      <c r="AV1615" t="str">
        <f>T("판타지 웹소설 &gt; 무협 소설")</f>
        <v>판타지 웹소설 &gt; 무협 소설</v>
      </c>
    </row>
    <row r="1616" spans="1:48" x14ac:dyDescent="0.4">
      <c r="A1616">
        <v>1525004030</v>
      </c>
      <c r="B1616">
        <v>1525004426</v>
      </c>
      <c r="C1616" t="str">
        <f>T("회귀의 전설 410화")</f>
        <v>회귀의 전설 410화</v>
      </c>
      <c r="D1616" t="str">
        <f>T("410")</f>
        <v>410</v>
      </c>
      <c r="E1616" t="str">
        <f>T("김광수")</f>
        <v>김광수</v>
      </c>
      <c r="H1616" t="str">
        <f t="shared" si="180"/>
        <v>스토리위즈</v>
      </c>
      <c r="I1616" t="str">
        <f>T("회귀의 전설")</f>
        <v>회귀의 전설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 s="2">
        <v>70</v>
      </c>
      <c r="AT1616" t="str">
        <f>T("9788997946006")</f>
        <v>9788997946006</v>
      </c>
      <c r="AV1616" t="str">
        <f>T("판타지 웹소설 &gt; 현대 판타지")</f>
        <v>판타지 웹소설 &gt; 현대 판타지</v>
      </c>
    </row>
    <row r="1617" spans="1:48" x14ac:dyDescent="0.4">
      <c r="A1617">
        <v>1525004030</v>
      </c>
      <c r="B1617">
        <v>1525006759</v>
      </c>
      <c r="C1617" t="str">
        <f>T("회귀의 전설 2부 642화")</f>
        <v>회귀의 전설 2부 642화</v>
      </c>
      <c r="D1617" t="str">
        <f>T("642")</f>
        <v>642</v>
      </c>
      <c r="E1617" t="str">
        <f>T("김광수")</f>
        <v>김광수</v>
      </c>
      <c r="H1617" t="str">
        <f t="shared" si="180"/>
        <v>스토리위즈</v>
      </c>
      <c r="I1617" t="str">
        <f>T("회귀의 전설")</f>
        <v>회귀의 전설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 s="2">
        <v>70</v>
      </c>
      <c r="AT1617" t="str">
        <f>T("9791191102086")</f>
        <v>9791191102086</v>
      </c>
      <c r="AV1617" t="str">
        <f>T("판타지 웹소설 &gt; 현대 판타지")</f>
        <v>판타지 웹소설 &gt; 현대 판타지</v>
      </c>
    </row>
    <row r="1618" spans="1:48" x14ac:dyDescent="0.4">
      <c r="A1618">
        <v>1525004030</v>
      </c>
      <c r="B1618">
        <v>1525004506</v>
      </c>
      <c r="C1618" t="str">
        <f>T("회귀의 전설 490화")</f>
        <v>회귀의 전설 490화</v>
      </c>
      <c r="D1618" t="str">
        <f>T("490")</f>
        <v>490</v>
      </c>
      <c r="E1618" t="str">
        <f>T("김광수")</f>
        <v>김광수</v>
      </c>
      <c r="H1618" t="str">
        <f t="shared" si="180"/>
        <v>스토리위즈</v>
      </c>
      <c r="I1618" t="str">
        <f>T("회귀의 전설")</f>
        <v>회귀의 전설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1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 s="2">
        <v>70</v>
      </c>
      <c r="AT1618" t="str">
        <f>T("9788997946006")</f>
        <v>9788997946006</v>
      </c>
      <c r="AV1618" t="str">
        <f>T("판타지 웹소설 &gt; 현대 판타지")</f>
        <v>판타지 웹소설 &gt; 현대 판타지</v>
      </c>
    </row>
    <row r="1619" spans="1:48" x14ac:dyDescent="0.4">
      <c r="A1619">
        <v>1525004989</v>
      </c>
      <c r="B1619">
        <v>1525005532</v>
      </c>
      <c r="C1619" t="str">
        <f>T("신룡전설 43화")</f>
        <v>신룡전설 43화</v>
      </c>
      <c r="D1619" t="str">
        <f>T("43")</f>
        <v>43</v>
      </c>
      <c r="E1619" t="str">
        <f>T("가람검")</f>
        <v>가람검</v>
      </c>
      <c r="H1619" t="str">
        <f t="shared" si="180"/>
        <v>스토리위즈</v>
      </c>
      <c r="I1619" t="str">
        <f>T("신룡전설")</f>
        <v>신룡전설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 s="2">
        <v>70</v>
      </c>
      <c r="AT1619" t="str">
        <f>T("9791159283505")</f>
        <v>9791159283505</v>
      </c>
      <c r="AV1619" t="str">
        <f>T("판타지 웹소설 &gt; 무협 소설")</f>
        <v>판타지 웹소설 &gt; 무협 소설</v>
      </c>
    </row>
    <row r="1620" spans="1:48" x14ac:dyDescent="0.4">
      <c r="A1620">
        <v>1525000569</v>
      </c>
      <c r="B1620">
        <v>1525000648</v>
      </c>
      <c r="C1620" t="str">
        <f>T("스트라이커 79화")</f>
        <v>스트라이커 79화</v>
      </c>
      <c r="D1620" t="str">
        <f>T("79")</f>
        <v>79</v>
      </c>
      <c r="E1620" t="str">
        <f>T("독고진")</f>
        <v>독고진</v>
      </c>
      <c r="H1620" t="str">
        <f t="shared" si="180"/>
        <v>스토리위즈</v>
      </c>
      <c r="I1620" t="str">
        <f>T("스트라이커")</f>
        <v>스트라이커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 s="2">
        <v>70</v>
      </c>
      <c r="AT1620" t="str">
        <f>T("9791170151678")</f>
        <v>9791170151678</v>
      </c>
      <c r="AV1620" t="str">
        <f>T("판타지 웹소설 &gt; 현대 판타지")</f>
        <v>판타지 웹소설 &gt; 현대 판타지</v>
      </c>
    </row>
    <row r="1621" spans="1:48" x14ac:dyDescent="0.4">
      <c r="A1621">
        <v>1525004030</v>
      </c>
      <c r="B1621">
        <v>1525007075</v>
      </c>
      <c r="C1621" t="str">
        <f>T("회귀의 전설 2부 959화")</f>
        <v>회귀의 전설 2부 959화</v>
      </c>
      <c r="D1621" t="str">
        <f>T("959")</f>
        <v>959</v>
      </c>
      <c r="E1621" t="str">
        <f>T("김광수")</f>
        <v>김광수</v>
      </c>
      <c r="H1621" t="str">
        <f t="shared" si="180"/>
        <v>스토리위즈</v>
      </c>
      <c r="I1621" t="str">
        <f>T("회귀의 전설")</f>
        <v>회귀의 전설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 s="2">
        <v>70</v>
      </c>
      <c r="AT1621" t="str">
        <f>T("9791191102086")</f>
        <v>9791191102086</v>
      </c>
      <c r="AV1621" t="str">
        <f>T("판타지 웹소설 &gt; 현대 판타지")</f>
        <v>판타지 웹소설 &gt; 현대 판타지</v>
      </c>
    </row>
    <row r="1622" spans="1:48" x14ac:dyDescent="0.4">
      <c r="A1622">
        <v>1525007923</v>
      </c>
      <c r="B1622">
        <v>1525007911</v>
      </c>
      <c r="C1622" t="str">
        <f>T("운상연담: 화불능귀일락 111화")</f>
        <v>운상연담: 화불능귀일락 111화</v>
      </c>
      <c r="D1622" t="str">
        <f>T("111")</f>
        <v>111</v>
      </c>
      <c r="E1622" t="str">
        <f>T("피모")</f>
        <v>피모</v>
      </c>
      <c r="H1622" t="str">
        <f>T("쉬라즈")</f>
        <v>쉬라즈</v>
      </c>
      <c r="I1622" t="str">
        <f>T("운상연담: 화불능귀일락")</f>
        <v>운상연담: 화불능귀일락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 s="2">
        <v>70</v>
      </c>
      <c r="AT1622" t="str">
        <f>T("9791164896646")</f>
        <v>9791164896646</v>
      </c>
      <c r="AV1622" t="str">
        <f>T("로맨스 웹소설 &gt; 역사/시대물")</f>
        <v>로맨스 웹소설 &gt; 역사/시대물</v>
      </c>
    </row>
    <row r="1623" spans="1:48" x14ac:dyDescent="0.4">
      <c r="A1623">
        <v>2313011400</v>
      </c>
      <c r="B1623">
        <v>1525007621</v>
      </c>
      <c r="C1623" t="str">
        <f>T("최종 보스 20권 6화")</f>
        <v>최종 보스 20권 6화</v>
      </c>
      <c r="D1623" t="str">
        <f>T("399")</f>
        <v>399</v>
      </c>
      <c r="E1623" t="str">
        <f>T("무장")</f>
        <v>무장</v>
      </c>
      <c r="H1623" t="str">
        <f>T("스토리위즈")</f>
        <v>스토리위즈</v>
      </c>
      <c r="I1623" t="str">
        <f>T("최종 보스 : 빛을 향해 달리는 그림자")</f>
        <v>최종 보스 : 빛을 향해 달리는 그림자</v>
      </c>
      <c r="J1623">
        <v>100</v>
      </c>
      <c r="K1623">
        <v>100</v>
      </c>
      <c r="L1623">
        <v>1</v>
      </c>
      <c r="M1623">
        <v>0</v>
      </c>
      <c r="N1623">
        <v>100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200</v>
      </c>
      <c r="AH1623">
        <v>2</v>
      </c>
      <c r="AI1623">
        <v>0</v>
      </c>
      <c r="AJ1623">
        <v>0</v>
      </c>
      <c r="AK1623">
        <v>200</v>
      </c>
      <c r="AL1623">
        <v>0</v>
      </c>
      <c r="AM1623">
        <v>0</v>
      </c>
      <c r="AN1623">
        <v>0</v>
      </c>
      <c r="AO1623">
        <v>0</v>
      </c>
      <c r="AP1623" s="2">
        <v>140</v>
      </c>
      <c r="AT1623" t="str">
        <f>T("9791166067563")</f>
        <v>9791166067563</v>
      </c>
      <c r="AV1623" t="str">
        <f>T("판타지 웹소설 &gt; 현대 판타지")</f>
        <v>판타지 웹소설 &gt; 현대 판타지</v>
      </c>
    </row>
    <row r="1624" spans="1:48" x14ac:dyDescent="0.4">
      <c r="A1624">
        <v>1525002409</v>
      </c>
      <c r="B1624">
        <v>1525002617</v>
      </c>
      <c r="C1624" t="str">
        <f>T("스포트라이트 209화")</f>
        <v>스포트라이트 209화</v>
      </c>
      <c r="D1624" t="str">
        <f>T("209")</f>
        <v>209</v>
      </c>
      <c r="E1624" t="str">
        <f>T("전혁")</f>
        <v>전혁</v>
      </c>
      <c r="H1624" t="str">
        <f>T("스토리위즈")</f>
        <v>스토리위즈</v>
      </c>
      <c r="I1624" t="str">
        <f>T("스포트라이트")</f>
        <v>스포트라이트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100</v>
      </c>
      <c r="AH1624">
        <v>1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P1624" s="2">
        <v>70</v>
      </c>
      <c r="AT1624" t="str">
        <f>T("9791159286841")</f>
        <v>9791159286841</v>
      </c>
      <c r="AV1624" t="str">
        <f>T("판타지 웹소설 &gt; 현대 판타지")</f>
        <v>판타지 웹소설 &gt; 현대 판타지</v>
      </c>
    </row>
    <row r="1625" spans="1:48" x14ac:dyDescent="0.4">
      <c r="A1625">
        <v>1525007872</v>
      </c>
      <c r="B1625">
        <v>1525007870</v>
      </c>
      <c r="C1625" t="str">
        <f>T("아침이 오지 않아도 18화")</f>
        <v>아침이 오지 않아도 18화</v>
      </c>
      <c r="D1625" t="str">
        <f>T("18")</f>
        <v>18</v>
      </c>
      <c r="E1625" t="str">
        <f>T("홍영")</f>
        <v>홍영</v>
      </c>
      <c r="H1625" t="str">
        <f>T("러브스토리")</f>
        <v>러브스토리</v>
      </c>
      <c r="I1625" t="str">
        <f>T("아침이 오지 않아도")</f>
        <v>아침이 오지 않아도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</v>
      </c>
      <c r="AH1625">
        <v>1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P1625" s="2">
        <v>70</v>
      </c>
      <c r="AR1625" t="str">
        <f>T("0000000000000")</f>
        <v>0000000000000</v>
      </c>
      <c r="AT1625" t="str">
        <f>T("9791164899708")</f>
        <v>9791164899708</v>
      </c>
      <c r="AV1625" t="str">
        <f>T("로맨스 웹소설 &gt; 현대물")</f>
        <v>로맨스 웹소설 &gt; 현대물</v>
      </c>
    </row>
    <row r="1626" spans="1:48" x14ac:dyDescent="0.4">
      <c r="A1626">
        <v>1525004030</v>
      </c>
      <c r="B1626">
        <v>1525007036</v>
      </c>
      <c r="C1626" t="str">
        <f>T("회귀의 전설 2부 920화")</f>
        <v>회귀의 전설 2부 920화</v>
      </c>
      <c r="D1626" t="str">
        <f>T("920")</f>
        <v>920</v>
      </c>
      <c r="E1626" t="str">
        <f>T("김광수")</f>
        <v>김광수</v>
      </c>
      <c r="H1626" t="str">
        <f t="shared" ref="H1626:H1638" si="181">T("스토리위즈")</f>
        <v>스토리위즈</v>
      </c>
      <c r="I1626" t="str">
        <f>T("회귀의 전설")</f>
        <v>회귀의 전설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100</v>
      </c>
      <c r="AH1626">
        <v>1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P1626" s="2">
        <v>70</v>
      </c>
      <c r="AT1626" t="str">
        <f>T("9791191102086")</f>
        <v>9791191102086</v>
      </c>
      <c r="AV1626" t="str">
        <f>T("판타지 웹소설 &gt; 현대 판타지")</f>
        <v>판타지 웹소설 &gt; 현대 판타지</v>
      </c>
    </row>
    <row r="1627" spans="1:48" x14ac:dyDescent="0.4">
      <c r="A1627">
        <v>2313011400</v>
      </c>
      <c r="B1627">
        <v>1525007678</v>
      </c>
      <c r="C1627" t="str">
        <f>T("최종 보스 23권 3화")</f>
        <v>최종 보스 23권 3화</v>
      </c>
      <c r="D1627" t="str">
        <f>T("456")</f>
        <v>456</v>
      </c>
      <c r="E1627" t="str">
        <f>T("무장")</f>
        <v>무장</v>
      </c>
      <c r="H1627" t="str">
        <f t="shared" si="181"/>
        <v>스토리위즈</v>
      </c>
      <c r="I1627" t="str">
        <f>T("최종 보스 : 빛을 향해 달리는 그림자")</f>
        <v>최종 보스 : 빛을 향해 달리는 그림자</v>
      </c>
      <c r="J1627">
        <v>100</v>
      </c>
      <c r="K1627">
        <v>100</v>
      </c>
      <c r="L1627">
        <v>1</v>
      </c>
      <c r="M1627">
        <v>0</v>
      </c>
      <c r="N1627">
        <v>100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200</v>
      </c>
      <c r="AH1627">
        <v>2</v>
      </c>
      <c r="AI1627">
        <v>0</v>
      </c>
      <c r="AJ1627">
        <v>0</v>
      </c>
      <c r="AK1627">
        <v>200</v>
      </c>
      <c r="AL1627">
        <v>0</v>
      </c>
      <c r="AM1627">
        <v>0</v>
      </c>
      <c r="AN1627">
        <v>0</v>
      </c>
      <c r="AO1627">
        <v>0</v>
      </c>
      <c r="AP1627" s="2">
        <v>140</v>
      </c>
      <c r="AT1627" t="str">
        <f>T("9791166067563")</f>
        <v>9791166067563</v>
      </c>
      <c r="AV1627" t="str">
        <f>T("판타지 웹소설 &gt; 현대 판타지")</f>
        <v>판타지 웹소설 &gt; 현대 판타지</v>
      </c>
    </row>
    <row r="1628" spans="1:48" x14ac:dyDescent="0.4">
      <c r="A1628">
        <v>1525004989</v>
      </c>
      <c r="B1628">
        <v>1525005605</v>
      </c>
      <c r="C1628" t="str">
        <f>T("신룡전설 116화")</f>
        <v>신룡전설 116화</v>
      </c>
      <c r="D1628" t="str">
        <f>T("116")</f>
        <v>116</v>
      </c>
      <c r="E1628" t="str">
        <f>T("가람검")</f>
        <v>가람검</v>
      </c>
      <c r="H1628" t="str">
        <f t="shared" si="181"/>
        <v>스토리위즈</v>
      </c>
      <c r="I1628" t="str">
        <f>T("신룡전설")</f>
        <v>신룡전설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100</v>
      </c>
      <c r="AH1628">
        <v>1</v>
      </c>
      <c r="AI1628">
        <v>0</v>
      </c>
      <c r="AJ1628">
        <v>0</v>
      </c>
      <c r="AK1628">
        <v>100</v>
      </c>
      <c r="AL1628">
        <v>0</v>
      </c>
      <c r="AM1628">
        <v>0</v>
      </c>
      <c r="AN1628">
        <v>0</v>
      </c>
      <c r="AO1628">
        <v>0</v>
      </c>
      <c r="AP1628" s="2">
        <v>70</v>
      </c>
      <c r="AT1628" t="str">
        <f>T("9791159283505")</f>
        <v>9791159283505</v>
      </c>
      <c r="AV1628" t="str">
        <f>T("판타지 웹소설 &gt; 무협 소설")</f>
        <v>판타지 웹소설 &gt; 무협 소설</v>
      </c>
    </row>
    <row r="1629" spans="1:48" x14ac:dyDescent="0.4">
      <c r="A1629">
        <v>1525002409</v>
      </c>
      <c r="B1629">
        <v>1525002542</v>
      </c>
      <c r="C1629" t="str">
        <f>T("스포트라이트 134화")</f>
        <v>스포트라이트 134화</v>
      </c>
      <c r="D1629" t="str">
        <f>T("134")</f>
        <v>134</v>
      </c>
      <c r="E1629" t="str">
        <f>T("전혁")</f>
        <v>전혁</v>
      </c>
      <c r="H1629" t="str">
        <f t="shared" si="181"/>
        <v>스토리위즈</v>
      </c>
      <c r="I1629" t="str">
        <f>T("스포트라이트")</f>
        <v>스포트라이트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0</v>
      </c>
      <c r="AJ1629">
        <v>0</v>
      </c>
      <c r="AK1629">
        <v>100</v>
      </c>
      <c r="AL1629">
        <v>0</v>
      </c>
      <c r="AM1629">
        <v>0</v>
      </c>
      <c r="AN1629">
        <v>0</v>
      </c>
      <c r="AO1629">
        <v>0</v>
      </c>
      <c r="AP1629" s="2">
        <v>70</v>
      </c>
      <c r="AT1629" t="str">
        <f>T("9791159286841")</f>
        <v>9791159286841</v>
      </c>
      <c r="AV1629" t="str">
        <f>T("판타지 웹소설 &gt; 현대 판타지")</f>
        <v>판타지 웹소설 &gt; 현대 판타지</v>
      </c>
    </row>
    <row r="1630" spans="1:48" x14ac:dyDescent="0.4">
      <c r="A1630">
        <v>1525004030</v>
      </c>
      <c r="B1630">
        <v>1525006984</v>
      </c>
      <c r="C1630" t="str">
        <f>T("회귀의 전설 2부 868화")</f>
        <v>회귀의 전설 2부 868화</v>
      </c>
      <c r="D1630" t="str">
        <f>T("868")</f>
        <v>868</v>
      </c>
      <c r="E1630" t="str">
        <f>T("김광수")</f>
        <v>김광수</v>
      </c>
      <c r="H1630" t="str">
        <f t="shared" si="181"/>
        <v>스토리위즈</v>
      </c>
      <c r="I1630" t="str">
        <f>T("회귀의 전설")</f>
        <v>회귀의 전설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100</v>
      </c>
      <c r="AH1630">
        <v>1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P1630" s="2">
        <v>70</v>
      </c>
      <c r="AT1630" t="str">
        <f>T("9791191102086")</f>
        <v>9791191102086</v>
      </c>
      <c r="AV1630" t="str">
        <f>T("판타지 웹소설 &gt; 현대 판타지")</f>
        <v>판타지 웹소설 &gt; 현대 판타지</v>
      </c>
    </row>
    <row r="1631" spans="1:48" x14ac:dyDescent="0.4">
      <c r="A1631">
        <v>1525004030</v>
      </c>
      <c r="B1631">
        <v>1525004307</v>
      </c>
      <c r="C1631" t="str">
        <f>T("회귀의 전설 278화")</f>
        <v>회귀의 전설 278화</v>
      </c>
      <c r="D1631" t="str">
        <f>T("278")</f>
        <v>278</v>
      </c>
      <c r="E1631" t="str">
        <f>T("김광수")</f>
        <v>김광수</v>
      </c>
      <c r="H1631" t="str">
        <f t="shared" si="181"/>
        <v>스토리위즈</v>
      </c>
      <c r="I1631" t="str">
        <f>T("회귀의 전설")</f>
        <v>회귀의 전설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1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P1631" s="2">
        <v>70</v>
      </c>
      <c r="AT1631" t="str">
        <f>T("9788997946006")</f>
        <v>9788997946006</v>
      </c>
      <c r="AV1631" t="str">
        <f>T("판타지 웹소설 &gt; 현대 판타지")</f>
        <v>판타지 웹소설 &gt; 현대 판타지</v>
      </c>
    </row>
    <row r="1632" spans="1:48" x14ac:dyDescent="0.4">
      <c r="A1632">
        <v>1525004030</v>
      </c>
      <c r="B1632">
        <v>1525004419</v>
      </c>
      <c r="C1632" t="str">
        <f>T("회귀의 전설 403화")</f>
        <v>회귀의 전설 403화</v>
      </c>
      <c r="D1632" t="str">
        <f>T("403")</f>
        <v>403</v>
      </c>
      <c r="E1632" t="str">
        <f>T("김광수")</f>
        <v>김광수</v>
      </c>
      <c r="H1632" t="str">
        <f t="shared" si="181"/>
        <v>스토리위즈</v>
      </c>
      <c r="I1632" t="str">
        <f>T("회귀의 전설")</f>
        <v>회귀의 전설</v>
      </c>
      <c r="J1632">
        <v>100</v>
      </c>
      <c r="K1632">
        <v>100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100</v>
      </c>
      <c r="AH1632">
        <v>1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0</v>
      </c>
      <c r="AO1632">
        <v>0</v>
      </c>
      <c r="AP1632" s="2">
        <v>70</v>
      </c>
      <c r="AT1632" t="str">
        <f>T("9788997946006")</f>
        <v>9788997946006</v>
      </c>
      <c r="AV1632" t="str">
        <f>T("판타지 웹소설 &gt; 현대 판타지")</f>
        <v>판타지 웹소설 &gt; 현대 판타지</v>
      </c>
    </row>
    <row r="1633" spans="1:48" x14ac:dyDescent="0.4">
      <c r="A1633">
        <v>1525004988</v>
      </c>
      <c r="B1633">
        <v>1525005323</v>
      </c>
      <c r="C1633" t="str">
        <f>T("용무쌍 36화")</f>
        <v>용무쌍 36화</v>
      </c>
      <c r="D1633" t="str">
        <f>T("36")</f>
        <v>36</v>
      </c>
      <c r="E1633" t="str">
        <f>T("권용찬")</f>
        <v>권용찬</v>
      </c>
      <c r="H1633" t="str">
        <f t="shared" si="181"/>
        <v>스토리위즈</v>
      </c>
      <c r="I1633" t="str">
        <f>T("용무쌍")</f>
        <v>용무쌍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</v>
      </c>
      <c r="AH1633">
        <v>1</v>
      </c>
      <c r="AI1633">
        <v>0</v>
      </c>
      <c r="AJ1633">
        <v>0</v>
      </c>
      <c r="AK1633">
        <v>100</v>
      </c>
      <c r="AL1633">
        <v>0</v>
      </c>
      <c r="AM1633">
        <v>0</v>
      </c>
      <c r="AN1633">
        <v>0</v>
      </c>
      <c r="AO1633">
        <v>0</v>
      </c>
      <c r="AP1633" s="2">
        <v>70</v>
      </c>
      <c r="AT1633" t="str">
        <f>T("9791159284861")</f>
        <v>9791159284861</v>
      </c>
      <c r="AV1633" t="str">
        <f>T("판타지 웹소설 &gt; 무협 소설")</f>
        <v>판타지 웹소설 &gt; 무협 소설</v>
      </c>
    </row>
    <row r="1634" spans="1:48" x14ac:dyDescent="0.4">
      <c r="A1634">
        <v>1525004030</v>
      </c>
      <c r="B1634">
        <v>1525006752</v>
      </c>
      <c r="C1634" t="str">
        <f>T("회귀의 전설 2부 635화")</f>
        <v>회귀의 전설 2부 635화</v>
      </c>
      <c r="D1634" t="str">
        <f>T("635")</f>
        <v>635</v>
      </c>
      <c r="E1634" t="str">
        <f>T("김광수")</f>
        <v>김광수</v>
      </c>
      <c r="H1634" t="str">
        <f t="shared" si="181"/>
        <v>스토리위즈</v>
      </c>
      <c r="I1634" t="str">
        <f>T("회귀의 전설")</f>
        <v>회귀의 전설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100</v>
      </c>
      <c r="AH1634">
        <v>1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P1634" s="2">
        <v>70</v>
      </c>
      <c r="AT1634" t="str">
        <f>T("9791191102086")</f>
        <v>9791191102086</v>
      </c>
      <c r="AV1634" t="str">
        <f>T("판타지 웹소설 &gt; 현대 판타지")</f>
        <v>판타지 웹소설 &gt; 현대 판타지</v>
      </c>
    </row>
    <row r="1635" spans="1:48" x14ac:dyDescent="0.4">
      <c r="A1635">
        <v>1525004030</v>
      </c>
      <c r="B1635">
        <v>1525004499</v>
      </c>
      <c r="C1635" t="str">
        <f>T("회귀의 전설 483화")</f>
        <v>회귀의 전설 483화</v>
      </c>
      <c r="D1635" t="str">
        <f>T("483")</f>
        <v>483</v>
      </c>
      <c r="E1635" t="str">
        <f>T("김광수")</f>
        <v>김광수</v>
      </c>
      <c r="H1635" t="str">
        <f t="shared" si="181"/>
        <v>스토리위즈</v>
      </c>
      <c r="I1635" t="str">
        <f>T("회귀의 전설")</f>
        <v>회귀의 전설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100</v>
      </c>
      <c r="AH1635">
        <v>1</v>
      </c>
      <c r="AI1635">
        <v>0</v>
      </c>
      <c r="AJ1635">
        <v>0</v>
      </c>
      <c r="AK1635">
        <v>100</v>
      </c>
      <c r="AL1635">
        <v>0</v>
      </c>
      <c r="AM1635">
        <v>0</v>
      </c>
      <c r="AN1635">
        <v>0</v>
      </c>
      <c r="AO1635">
        <v>0</v>
      </c>
      <c r="AP1635" s="2">
        <v>70</v>
      </c>
      <c r="AT1635" t="str">
        <f>T("9788997946006")</f>
        <v>9788997946006</v>
      </c>
      <c r="AV1635" t="str">
        <f>T("판타지 웹소설 &gt; 현대 판타지")</f>
        <v>판타지 웹소설 &gt; 현대 판타지</v>
      </c>
    </row>
    <row r="1636" spans="1:48" x14ac:dyDescent="0.4">
      <c r="A1636">
        <v>1525004989</v>
      </c>
      <c r="B1636">
        <v>1525005525</v>
      </c>
      <c r="C1636" t="str">
        <f>T("신룡전설 36화")</f>
        <v>신룡전설 36화</v>
      </c>
      <c r="D1636" t="str">
        <f>T("36")</f>
        <v>36</v>
      </c>
      <c r="E1636" t="str">
        <f>T("가람검")</f>
        <v>가람검</v>
      </c>
      <c r="H1636" t="str">
        <f t="shared" si="181"/>
        <v>스토리위즈</v>
      </c>
      <c r="I1636" t="str">
        <f>T("신룡전설")</f>
        <v>신룡전설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100</v>
      </c>
      <c r="AH1636">
        <v>1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P1636" s="2">
        <v>70</v>
      </c>
      <c r="AT1636" t="str">
        <f>T("9791159283505")</f>
        <v>9791159283505</v>
      </c>
      <c r="AV1636" t="str">
        <f>T("판타지 웹소설 &gt; 무협 소설")</f>
        <v>판타지 웹소설 &gt; 무협 소설</v>
      </c>
    </row>
    <row r="1637" spans="1:48" x14ac:dyDescent="0.4">
      <c r="A1637">
        <v>1525000569</v>
      </c>
      <c r="B1637">
        <v>1525000623</v>
      </c>
      <c r="C1637" t="str">
        <f>T("스트라이커 54화")</f>
        <v>스트라이커 54화</v>
      </c>
      <c r="D1637" t="str">
        <f>T("54")</f>
        <v>54</v>
      </c>
      <c r="E1637" t="str">
        <f>T("독고진")</f>
        <v>독고진</v>
      </c>
      <c r="H1637" t="str">
        <f t="shared" si="181"/>
        <v>스토리위즈</v>
      </c>
      <c r="I1637" t="str">
        <f>T("스트라이커")</f>
        <v>스트라이커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100</v>
      </c>
      <c r="AH1637">
        <v>1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P1637" s="2">
        <v>70</v>
      </c>
      <c r="AT1637" t="str">
        <f>T("9791170151678")</f>
        <v>9791170151678</v>
      </c>
      <c r="AV1637" t="str">
        <f>T("판타지 웹소설 &gt; 현대 판타지")</f>
        <v>판타지 웹소설 &gt; 현대 판타지</v>
      </c>
    </row>
    <row r="1638" spans="1:48" x14ac:dyDescent="0.4">
      <c r="A1638">
        <v>1525004030</v>
      </c>
      <c r="B1638">
        <v>1525007068</v>
      </c>
      <c r="C1638" t="str">
        <f>T("회귀의 전설 2부 952화")</f>
        <v>회귀의 전설 2부 952화</v>
      </c>
      <c r="D1638" t="str">
        <f>T("952")</f>
        <v>952</v>
      </c>
      <c r="E1638" t="str">
        <f>T("김광수")</f>
        <v>김광수</v>
      </c>
      <c r="H1638" t="str">
        <f t="shared" si="181"/>
        <v>스토리위즈</v>
      </c>
      <c r="I1638" t="str">
        <f>T("회귀의 전설")</f>
        <v>회귀의 전설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</v>
      </c>
      <c r="AH1638">
        <v>1</v>
      </c>
      <c r="AI1638">
        <v>0</v>
      </c>
      <c r="AJ1638">
        <v>0</v>
      </c>
      <c r="AK1638">
        <v>100</v>
      </c>
      <c r="AL1638">
        <v>0</v>
      </c>
      <c r="AM1638">
        <v>0</v>
      </c>
      <c r="AN1638">
        <v>0</v>
      </c>
      <c r="AO1638">
        <v>0</v>
      </c>
      <c r="AP1638" s="2">
        <v>70</v>
      </c>
      <c r="AT1638" t="str">
        <f>T("9791191102086")</f>
        <v>9791191102086</v>
      </c>
      <c r="AV1638" t="str">
        <f>T("판타지 웹소설 &gt; 현대 판타지")</f>
        <v>판타지 웹소설 &gt; 현대 판타지</v>
      </c>
    </row>
    <row r="1639" spans="1:48" x14ac:dyDescent="0.4">
      <c r="A1639">
        <v>1525007923</v>
      </c>
      <c r="B1639">
        <v>1525007903</v>
      </c>
      <c r="C1639" t="str">
        <f>T("운상연담: 화불능귀일락 104화")</f>
        <v>운상연담: 화불능귀일락 104화</v>
      </c>
      <c r="D1639" t="str">
        <f>T("104")</f>
        <v>104</v>
      </c>
      <c r="E1639" t="str">
        <f>T("피모")</f>
        <v>피모</v>
      </c>
      <c r="H1639" t="str">
        <f>T("쉬라즈")</f>
        <v>쉬라즈</v>
      </c>
      <c r="I1639" t="str">
        <f>T("운상연담: 화불능귀일락")</f>
        <v>운상연담: 화불능귀일락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100</v>
      </c>
      <c r="AH1639">
        <v>1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P1639" s="2">
        <v>70</v>
      </c>
      <c r="AT1639" t="str">
        <f>T("9791164896646")</f>
        <v>9791164896646</v>
      </c>
      <c r="AV1639" t="str">
        <f>T("로맨스 웹소설 &gt; 역사/시대물")</f>
        <v>로맨스 웹소설 &gt; 역사/시대물</v>
      </c>
    </row>
    <row r="1640" spans="1:48" x14ac:dyDescent="0.4">
      <c r="A1640">
        <v>2313011400</v>
      </c>
      <c r="B1640">
        <v>1525007614</v>
      </c>
      <c r="C1640" t="str">
        <f>T("최종 보스 19권 20화")</f>
        <v>최종 보스 19권 20화</v>
      </c>
      <c r="D1640" t="str">
        <f>T("392")</f>
        <v>392</v>
      </c>
      <c r="E1640" t="str">
        <f>T("무장")</f>
        <v>무장</v>
      </c>
      <c r="H1640" t="str">
        <f>T("스토리위즈")</f>
        <v>스토리위즈</v>
      </c>
      <c r="I1640" t="str">
        <f>T("최종 보스 : 빛을 향해 달리는 그림자")</f>
        <v>최종 보스 : 빛을 향해 달리는 그림자</v>
      </c>
      <c r="J1640">
        <v>100</v>
      </c>
      <c r="K1640">
        <v>100</v>
      </c>
      <c r="L1640">
        <v>1</v>
      </c>
      <c r="M1640">
        <v>0</v>
      </c>
      <c r="N1640">
        <v>100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200</v>
      </c>
      <c r="AH1640">
        <v>2</v>
      </c>
      <c r="AI1640">
        <v>0</v>
      </c>
      <c r="AJ1640">
        <v>0</v>
      </c>
      <c r="AK1640">
        <v>200</v>
      </c>
      <c r="AL1640">
        <v>0</v>
      </c>
      <c r="AM1640">
        <v>0</v>
      </c>
      <c r="AN1640">
        <v>0</v>
      </c>
      <c r="AO1640">
        <v>0</v>
      </c>
      <c r="AP1640" s="2">
        <v>140</v>
      </c>
      <c r="AT1640" t="str">
        <f>T("9791166067563")</f>
        <v>9791166067563</v>
      </c>
      <c r="AV1640" t="str">
        <f>T("판타지 웹소설 &gt; 현대 판타지")</f>
        <v>판타지 웹소설 &gt; 현대 판타지</v>
      </c>
    </row>
    <row r="1641" spans="1:48" x14ac:dyDescent="0.4">
      <c r="A1641">
        <v>1525004030</v>
      </c>
      <c r="B1641">
        <v>1525004339</v>
      </c>
      <c r="C1641" t="str">
        <f>T("회귀의 전설 310화")</f>
        <v>회귀의 전설 310화</v>
      </c>
      <c r="D1641" t="str">
        <f>T("310")</f>
        <v>310</v>
      </c>
      <c r="E1641" t="str">
        <f>T("김광수")</f>
        <v>김광수</v>
      </c>
      <c r="H1641" t="str">
        <f>T("스토리위즈")</f>
        <v>스토리위즈</v>
      </c>
      <c r="I1641" t="str">
        <f>T("회귀의 전설")</f>
        <v>회귀의 전설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100</v>
      </c>
      <c r="AH1641">
        <v>1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P1641" s="2">
        <v>70</v>
      </c>
      <c r="AT1641" t="str">
        <f>T("9788997946006")</f>
        <v>9788997946006</v>
      </c>
      <c r="AV1641" t="str">
        <f>T("판타지 웹소설 &gt; 현대 판타지")</f>
        <v>판타지 웹소설 &gt; 현대 판타지</v>
      </c>
    </row>
    <row r="1642" spans="1:48" x14ac:dyDescent="0.4">
      <c r="A1642">
        <v>1525004030</v>
      </c>
      <c r="B1642">
        <v>1525007140</v>
      </c>
      <c r="C1642" t="str">
        <f>T("회귀의 전설 2부 1024화")</f>
        <v>회귀의 전설 2부 1024화</v>
      </c>
      <c r="D1642" t="str">
        <f>T("1024")</f>
        <v>1024</v>
      </c>
      <c r="E1642" t="str">
        <f>T("김광수")</f>
        <v>김광수</v>
      </c>
      <c r="H1642" t="str">
        <f>T("스토리위즈")</f>
        <v>스토리위즈</v>
      </c>
      <c r="I1642" t="str">
        <f>T("회귀의 전설")</f>
        <v>회귀의 전설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100</v>
      </c>
      <c r="AH1642">
        <v>1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P1642" s="2">
        <v>70</v>
      </c>
      <c r="AT1642" t="str">
        <f>T("9791191102086")</f>
        <v>9791191102086</v>
      </c>
      <c r="AV1642" t="str">
        <f>T("판타지 웹소설 &gt; 현대 판타지")</f>
        <v>판타지 웹소설 &gt; 현대 판타지</v>
      </c>
    </row>
    <row r="1643" spans="1:48" x14ac:dyDescent="0.4">
      <c r="A1643">
        <v>1525004030</v>
      </c>
      <c r="B1643">
        <v>1525004451</v>
      </c>
      <c r="C1643" t="str">
        <f>T("회귀의 전설 435화")</f>
        <v>회귀의 전설 435화</v>
      </c>
      <c r="D1643" t="str">
        <f>T("435")</f>
        <v>435</v>
      </c>
      <c r="E1643" t="str">
        <f>T("김광수")</f>
        <v>김광수</v>
      </c>
      <c r="H1643" t="str">
        <f>T("스토리위즈")</f>
        <v>스토리위즈</v>
      </c>
      <c r="I1643" t="str">
        <f>T("회귀의 전설")</f>
        <v>회귀의 전설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100</v>
      </c>
      <c r="AH1643">
        <v>1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P1643" s="2">
        <v>70</v>
      </c>
      <c r="AT1643" t="str">
        <f>T("9788997946006")</f>
        <v>9788997946006</v>
      </c>
      <c r="AV1643" t="str">
        <f>T("판타지 웹소설 &gt; 현대 판타지")</f>
        <v>판타지 웹소설 &gt; 현대 판타지</v>
      </c>
    </row>
    <row r="1644" spans="1:48" x14ac:dyDescent="0.4">
      <c r="A1644">
        <v>1525004030</v>
      </c>
      <c r="B1644">
        <v>1525004531</v>
      </c>
      <c r="C1644" t="str">
        <f>T("회귀의 전설 508화")</f>
        <v>회귀의 전설 508화</v>
      </c>
      <c r="D1644" t="str">
        <f>T("508")</f>
        <v>508</v>
      </c>
      <c r="E1644" t="str">
        <f>T("김광수")</f>
        <v>김광수</v>
      </c>
      <c r="H1644" t="str">
        <f>T("스토리위즈")</f>
        <v>스토리위즈</v>
      </c>
      <c r="I1644" t="str">
        <f>T("회귀의 전설")</f>
        <v>회귀의 전설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100</v>
      </c>
      <c r="AH1644">
        <v>1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P1644" s="2">
        <v>70</v>
      </c>
      <c r="AT1644" t="str">
        <f>T("9788997946006")</f>
        <v>9788997946006</v>
      </c>
      <c r="AV1644" t="str">
        <f>T("판타지 웹소설 &gt; 현대 판타지")</f>
        <v>판타지 웹소설 &gt; 현대 판타지</v>
      </c>
    </row>
    <row r="1645" spans="1:48" x14ac:dyDescent="0.4">
      <c r="A1645">
        <v>1525008545</v>
      </c>
      <c r="B1645">
        <v>1525008541</v>
      </c>
      <c r="C1645" t="str">
        <f>T("소년연애담 16화")</f>
        <v>소년연애담 16화</v>
      </c>
      <c r="D1645" t="str">
        <f>T("16")</f>
        <v>16</v>
      </c>
      <c r="E1645" t="str">
        <f>T("나나코")</f>
        <v>나나코</v>
      </c>
      <c r="H1645" t="str">
        <f>T("블러쉬")</f>
        <v>블러쉬</v>
      </c>
      <c r="I1645" t="str">
        <f>T("소년연애담")</f>
        <v>소년연애담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100</v>
      </c>
      <c r="AH1645">
        <v>1</v>
      </c>
      <c r="AI1645">
        <v>0</v>
      </c>
      <c r="AJ1645">
        <v>0</v>
      </c>
      <c r="AK1645">
        <v>20</v>
      </c>
      <c r="AL1645">
        <v>0</v>
      </c>
      <c r="AM1645">
        <v>80</v>
      </c>
      <c r="AN1645">
        <v>0</v>
      </c>
      <c r="AO1645">
        <v>0</v>
      </c>
      <c r="AP1645" s="2">
        <v>70</v>
      </c>
      <c r="AR1645" t="str">
        <f>T("0000000000000")</f>
        <v>0000000000000</v>
      </c>
      <c r="AT1645" t="str">
        <f>T("9791164890729")</f>
        <v>9791164890729</v>
      </c>
      <c r="AU1645" t="str">
        <f>T("B12")</f>
        <v>B12</v>
      </c>
      <c r="AV1645" t="str">
        <f>T("BL 웹소설 &gt; 현대물")</f>
        <v>BL 웹소설 &gt; 현대물</v>
      </c>
    </row>
    <row r="1646" spans="1:48" x14ac:dyDescent="0.4">
      <c r="A1646">
        <v>1525004989</v>
      </c>
      <c r="B1646">
        <v>1525005557</v>
      </c>
      <c r="C1646" t="str">
        <f>T("신룡전설 68화")</f>
        <v>신룡전설 68화</v>
      </c>
      <c r="D1646" t="str">
        <f>T("68")</f>
        <v>68</v>
      </c>
      <c r="E1646" t="str">
        <f>T("가람검")</f>
        <v>가람검</v>
      </c>
      <c r="H1646" t="str">
        <f>T("스토리위즈")</f>
        <v>스토리위즈</v>
      </c>
      <c r="I1646" t="str">
        <f>T("신룡전설")</f>
        <v>신룡전설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100</v>
      </c>
      <c r="AH1646">
        <v>1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P1646" s="2">
        <v>70</v>
      </c>
      <c r="AT1646" t="str">
        <f>T("9791159283505")</f>
        <v>9791159283505</v>
      </c>
      <c r="AV1646" t="str">
        <f>T("판타지 웹소설 &gt; 무협 소설")</f>
        <v>판타지 웹소설 &gt; 무협 소설</v>
      </c>
    </row>
    <row r="1647" spans="1:48" x14ac:dyDescent="0.4">
      <c r="A1647">
        <v>1525008604</v>
      </c>
      <c r="B1647">
        <v>1525008597</v>
      </c>
      <c r="C1647" t="str">
        <f>T("우아한 곡선 13화")</f>
        <v>우아한 곡선 13화</v>
      </c>
      <c r="D1647" t="str">
        <f>T("13")</f>
        <v>13</v>
      </c>
      <c r="E1647" t="str">
        <f>T("용가리맛쿠키")</f>
        <v>용가리맛쿠키</v>
      </c>
      <c r="H1647" t="str">
        <f>T("블러쉬")</f>
        <v>블러쉬</v>
      </c>
      <c r="I1647" t="str">
        <f>T("우아한 곡선")</f>
        <v>우아한 곡선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100</v>
      </c>
      <c r="AH1647">
        <v>1</v>
      </c>
      <c r="AI1647">
        <v>0</v>
      </c>
      <c r="AJ1647">
        <v>0</v>
      </c>
      <c r="AK1647">
        <v>100</v>
      </c>
      <c r="AL1647">
        <v>0</v>
      </c>
      <c r="AM1647">
        <v>0</v>
      </c>
      <c r="AN1647">
        <v>0</v>
      </c>
      <c r="AO1647">
        <v>0</v>
      </c>
      <c r="AP1647" s="2">
        <v>70</v>
      </c>
      <c r="AR1647" t="str">
        <f>T("0000000000000")</f>
        <v>0000000000000</v>
      </c>
      <c r="AT1647" t="str">
        <f>T("9791164896615")</f>
        <v>9791164896615</v>
      </c>
      <c r="AV1647" t="str">
        <f>T("BL 웹소설 &gt; 현대물")</f>
        <v>BL 웹소설 &gt; 현대물</v>
      </c>
    </row>
    <row r="1648" spans="1:48" x14ac:dyDescent="0.4">
      <c r="A1648">
        <v>1525004030</v>
      </c>
      <c r="B1648">
        <v>1525007100</v>
      </c>
      <c r="C1648" t="str">
        <f>T("회귀의 전설 2부 984화")</f>
        <v>회귀의 전설 2부 984화</v>
      </c>
      <c r="D1648" t="str">
        <f>T("984")</f>
        <v>984</v>
      </c>
      <c r="E1648" t="str">
        <f>T("김광수")</f>
        <v>김광수</v>
      </c>
      <c r="H1648" t="str">
        <f>T("스토리위즈")</f>
        <v>스토리위즈</v>
      </c>
      <c r="I1648" t="str">
        <f>T("회귀의 전설")</f>
        <v>회귀의 전설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100</v>
      </c>
      <c r="AH1648">
        <v>1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P1648" s="2">
        <v>70</v>
      </c>
      <c r="AT1648" t="str">
        <f>T("9791191102086")</f>
        <v>9791191102086</v>
      </c>
      <c r="AV1648" t="str">
        <f>T("판타지 웹소설 &gt; 현대 판타지")</f>
        <v>판타지 웹소설 &gt; 현대 판타지</v>
      </c>
    </row>
    <row r="1649" spans="1:48" x14ac:dyDescent="0.4">
      <c r="A1649">
        <v>1525007923</v>
      </c>
      <c r="B1649">
        <v>1525007992</v>
      </c>
      <c r="C1649" t="str">
        <f>T("운상연담: 화불능귀일락 82화")</f>
        <v>운상연담: 화불능귀일락 82화</v>
      </c>
      <c r="D1649" t="str">
        <f>T("82")</f>
        <v>82</v>
      </c>
      <c r="E1649" t="str">
        <f>T("피모")</f>
        <v>피모</v>
      </c>
      <c r="H1649" t="str">
        <f>T("쉬라즈")</f>
        <v>쉬라즈</v>
      </c>
      <c r="I1649" t="str">
        <f>T("운상연담: 화불능귀일락")</f>
        <v>운상연담: 화불능귀일락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100</v>
      </c>
      <c r="AH1649">
        <v>1</v>
      </c>
      <c r="AI1649">
        <v>0</v>
      </c>
      <c r="AJ1649">
        <v>0</v>
      </c>
      <c r="AK1649">
        <v>100</v>
      </c>
      <c r="AL1649">
        <v>0</v>
      </c>
      <c r="AM1649">
        <v>0</v>
      </c>
      <c r="AN1649">
        <v>0</v>
      </c>
      <c r="AO1649">
        <v>0</v>
      </c>
      <c r="AP1649" s="2">
        <v>70</v>
      </c>
      <c r="AT1649" t="str">
        <f>T("9791164896646")</f>
        <v>9791164896646</v>
      </c>
      <c r="AV1649" t="str">
        <f>T("로맨스 웹소설 &gt; 역사/시대물")</f>
        <v>로맨스 웹소설 &gt; 역사/시대물</v>
      </c>
    </row>
    <row r="1650" spans="1:48" x14ac:dyDescent="0.4">
      <c r="A1650">
        <v>1525010579</v>
      </c>
      <c r="B1650">
        <v>1525010230</v>
      </c>
      <c r="C1650" t="str">
        <f>T("법보다 주먹 348화")</f>
        <v>법보다 주먹 348화</v>
      </c>
      <c r="D1650" t="str">
        <f>T("348")</f>
        <v>348</v>
      </c>
      <c r="E1650" t="str">
        <f>T("백범(白帆)")</f>
        <v>백범(白帆)</v>
      </c>
      <c r="H1650" t="str">
        <f>T("에필로그")</f>
        <v>에필로그</v>
      </c>
      <c r="I1650" t="str">
        <f>T("법보다 주먹")</f>
        <v>법보다 주먹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100</v>
      </c>
      <c r="AH1650">
        <v>1</v>
      </c>
      <c r="AI1650">
        <v>0</v>
      </c>
      <c r="AJ1650">
        <v>0</v>
      </c>
      <c r="AK1650">
        <v>100</v>
      </c>
      <c r="AL1650">
        <v>0</v>
      </c>
      <c r="AM1650">
        <v>0</v>
      </c>
      <c r="AN1650">
        <v>0</v>
      </c>
      <c r="AO1650">
        <v>0</v>
      </c>
      <c r="AP1650" s="2">
        <v>70</v>
      </c>
      <c r="AT1650" t="str">
        <f>T("9791164489367")</f>
        <v>9791164489367</v>
      </c>
      <c r="AV1650" t="str">
        <f>T("판타지 웹소설 &gt; 현대 판타지")</f>
        <v>판타지 웹소설 &gt; 현대 판타지</v>
      </c>
    </row>
    <row r="1651" spans="1:48" x14ac:dyDescent="0.4">
      <c r="A1651">
        <v>1525002864</v>
      </c>
      <c r="B1651">
        <v>1525002893</v>
      </c>
      <c r="C1651" t="str">
        <f>T("소드마스터의 환생 30화")</f>
        <v>소드마스터의 환생 30화</v>
      </c>
      <c r="D1651" t="str">
        <f>T("30")</f>
        <v>30</v>
      </c>
      <c r="E1651" t="str">
        <f>T("파란영")</f>
        <v>파란영</v>
      </c>
      <c r="H1651" t="str">
        <f>T("스토리위즈")</f>
        <v>스토리위즈</v>
      </c>
      <c r="I1651" t="str">
        <f>T("소드마스터의 환생")</f>
        <v>소드마스터의 환생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100</v>
      </c>
      <c r="AH1651">
        <v>1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P1651" s="2">
        <v>70</v>
      </c>
      <c r="AT1651" t="str">
        <f>T("9791159287527")</f>
        <v>9791159287527</v>
      </c>
      <c r="AV1651" t="str">
        <f>T("판타지 웹소설 &gt; 정통 판타지")</f>
        <v>판타지 웹소설 &gt; 정통 판타지</v>
      </c>
    </row>
    <row r="1652" spans="1:48" x14ac:dyDescent="0.4">
      <c r="A1652">
        <v>1525004030</v>
      </c>
      <c r="B1652">
        <v>1525004547</v>
      </c>
      <c r="C1652" t="str">
        <f>T("회귀의 전설 524화")</f>
        <v>회귀의 전설 524화</v>
      </c>
      <c r="D1652" t="str">
        <f>T("524")</f>
        <v>524</v>
      </c>
      <c r="E1652" t="str">
        <f>T("김광수")</f>
        <v>김광수</v>
      </c>
      <c r="H1652" t="str">
        <f>T("스토리위즈")</f>
        <v>스토리위즈</v>
      </c>
      <c r="I1652" t="str">
        <f>T("회귀의 전설")</f>
        <v>회귀의 전설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100</v>
      </c>
      <c r="AH1652">
        <v>1</v>
      </c>
      <c r="AI1652">
        <v>0</v>
      </c>
      <c r="AJ1652">
        <v>0</v>
      </c>
      <c r="AK1652">
        <v>100</v>
      </c>
      <c r="AL1652">
        <v>0</v>
      </c>
      <c r="AM1652">
        <v>0</v>
      </c>
      <c r="AN1652">
        <v>0</v>
      </c>
      <c r="AO1652">
        <v>0</v>
      </c>
      <c r="AP1652" s="2">
        <v>70</v>
      </c>
      <c r="AT1652" t="str">
        <f>T("9788997946006")</f>
        <v>9788997946006</v>
      </c>
      <c r="AV1652" t="str">
        <f>T("판타지 웹소설 &gt; 현대 판타지")</f>
        <v>판타지 웹소설 &gt; 현대 판타지</v>
      </c>
    </row>
    <row r="1653" spans="1:48" x14ac:dyDescent="0.4">
      <c r="A1653">
        <v>1525004030</v>
      </c>
      <c r="B1653">
        <v>1525004263</v>
      </c>
      <c r="C1653" t="str">
        <f>T("회귀의 전설 234화")</f>
        <v>회귀의 전설 234화</v>
      </c>
      <c r="D1653" t="str">
        <f>T("234")</f>
        <v>234</v>
      </c>
      <c r="E1653" t="str">
        <f>T("김광수")</f>
        <v>김광수</v>
      </c>
      <c r="H1653" t="str">
        <f>T("스토리위즈")</f>
        <v>스토리위즈</v>
      </c>
      <c r="I1653" t="str">
        <f>T("회귀의 전설")</f>
        <v>회귀의 전설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100</v>
      </c>
      <c r="AH1653">
        <v>1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P1653" s="2">
        <v>70</v>
      </c>
      <c r="AT1653" t="str">
        <f>T("9788997946006")</f>
        <v>9788997946006</v>
      </c>
      <c r="AV1653" t="str">
        <f>T("판타지 웹소설 &gt; 현대 판타지")</f>
        <v>판타지 웹소설 &gt; 현대 판타지</v>
      </c>
    </row>
    <row r="1654" spans="1:48" x14ac:dyDescent="0.4">
      <c r="A1654">
        <v>1525008545</v>
      </c>
      <c r="B1654">
        <v>1525008573</v>
      </c>
      <c r="C1654" t="str">
        <f>T("소년연애담 45화")</f>
        <v>소년연애담 45화</v>
      </c>
      <c r="D1654" t="str">
        <f>T("45")</f>
        <v>45</v>
      </c>
      <c r="E1654" t="str">
        <f>T("나나코")</f>
        <v>나나코</v>
      </c>
      <c r="H1654" t="str">
        <f>T("블러쉬")</f>
        <v>블러쉬</v>
      </c>
      <c r="I1654" t="str">
        <f>T("소년연애담")</f>
        <v>소년연애담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100</v>
      </c>
      <c r="AN1654">
        <v>0</v>
      </c>
      <c r="AO1654">
        <v>0</v>
      </c>
      <c r="AP1654" s="2">
        <v>70</v>
      </c>
      <c r="AR1654" t="str">
        <f>T("0000000000000")</f>
        <v>0000000000000</v>
      </c>
      <c r="AT1654" t="str">
        <f>T("9791164890729")</f>
        <v>9791164890729</v>
      </c>
      <c r="AU1654" t="str">
        <f>T("B12")</f>
        <v>B12</v>
      </c>
      <c r="AV1654" t="str">
        <f>T("BL 웹소설 &gt; 현대물")</f>
        <v>BL 웹소설 &gt; 현대물</v>
      </c>
    </row>
    <row r="1655" spans="1:48" x14ac:dyDescent="0.4">
      <c r="A1655">
        <v>1525010579</v>
      </c>
      <c r="B1655">
        <v>1525010191</v>
      </c>
      <c r="C1655" t="str">
        <f>T("법보다 주먹 387화")</f>
        <v>법보다 주먹 387화</v>
      </c>
      <c r="D1655" t="str">
        <f>T("387")</f>
        <v>387</v>
      </c>
      <c r="E1655" t="str">
        <f>T("백범(白帆)")</f>
        <v>백범(白帆)</v>
      </c>
      <c r="H1655" t="str">
        <f>T("에필로그")</f>
        <v>에필로그</v>
      </c>
      <c r="I1655" t="str">
        <f>T("법보다 주먹")</f>
        <v>법보다 주먹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100</v>
      </c>
      <c r="AH1655">
        <v>1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P1655" s="2">
        <v>70</v>
      </c>
      <c r="AT1655" t="str">
        <f>T("9791164489367")</f>
        <v>9791164489367</v>
      </c>
      <c r="AV1655" t="str">
        <f t="shared" ref="AV1655:AV1660" si="182">T("판타지 웹소설 &gt; 현대 판타지")</f>
        <v>판타지 웹소설 &gt; 현대 판타지</v>
      </c>
    </row>
    <row r="1656" spans="1:48" x14ac:dyDescent="0.4">
      <c r="A1656">
        <v>1525004030</v>
      </c>
      <c r="B1656">
        <v>1525012779</v>
      </c>
      <c r="C1656" t="str">
        <f>T("회귀의 전설 1084화")</f>
        <v>회귀의 전설 1084화</v>
      </c>
      <c r="D1656" t="str">
        <f>T("1084")</f>
        <v>1084</v>
      </c>
      <c r="E1656" t="str">
        <f>T("김광수")</f>
        <v>김광수</v>
      </c>
      <c r="H1656" t="str">
        <f t="shared" ref="H1656:H1662" si="183">T("스토리위즈")</f>
        <v>스토리위즈</v>
      </c>
      <c r="I1656" t="str">
        <f>T("회귀의 전설")</f>
        <v>회귀의 전설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100</v>
      </c>
      <c r="AH1656">
        <v>1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P1656" s="2">
        <v>70</v>
      </c>
      <c r="AT1656" t="str">
        <f>T("9791191102086")</f>
        <v>9791191102086</v>
      </c>
      <c r="AV1656" t="str">
        <f t="shared" si="182"/>
        <v>판타지 웹소설 &gt; 현대 판타지</v>
      </c>
    </row>
    <row r="1657" spans="1:48" x14ac:dyDescent="0.4">
      <c r="A1657">
        <v>1525004030</v>
      </c>
      <c r="B1657">
        <v>1525004332</v>
      </c>
      <c r="C1657" t="str">
        <f>T("회귀의 전설 303화")</f>
        <v>회귀의 전설 303화</v>
      </c>
      <c r="D1657" t="str">
        <f>T("303")</f>
        <v>303</v>
      </c>
      <c r="E1657" t="str">
        <f>T("김광수")</f>
        <v>김광수</v>
      </c>
      <c r="H1657" t="str">
        <f t="shared" si="183"/>
        <v>스토리위즈</v>
      </c>
      <c r="I1657" t="str">
        <f>T("회귀의 전설")</f>
        <v>회귀의 전설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100</v>
      </c>
      <c r="AH1657">
        <v>1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P1657" s="2">
        <v>70</v>
      </c>
      <c r="AT1657" t="str">
        <f>T("9788997946006")</f>
        <v>9788997946006</v>
      </c>
      <c r="AV1657" t="str">
        <f t="shared" si="182"/>
        <v>판타지 웹소설 &gt; 현대 판타지</v>
      </c>
    </row>
    <row r="1658" spans="1:48" x14ac:dyDescent="0.4">
      <c r="A1658">
        <v>1525004030</v>
      </c>
      <c r="B1658">
        <v>1525007133</v>
      </c>
      <c r="C1658" t="str">
        <f>T("회귀의 전설 2부 1017화")</f>
        <v>회귀의 전설 2부 1017화</v>
      </c>
      <c r="D1658" t="str">
        <f>T("1017")</f>
        <v>1017</v>
      </c>
      <c r="E1658" t="str">
        <f>T("김광수")</f>
        <v>김광수</v>
      </c>
      <c r="H1658" t="str">
        <f t="shared" si="183"/>
        <v>스토리위즈</v>
      </c>
      <c r="I1658" t="str">
        <f>T("회귀의 전설")</f>
        <v>회귀의 전설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100</v>
      </c>
      <c r="AH1658">
        <v>1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P1658" s="2">
        <v>70</v>
      </c>
      <c r="AT1658" t="str">
        <f>T("9791191102086")</f>
        <v>9791191102086</v>
      </c>
      <c r="AV1658" t="str">
        <f t="shared" si="182"/>
        <v>판타지 웹소설 &gt; 현대 판타지</v>
      </c>
    </row>
    <row r="1659" spans="1:48" x14ac:dyDescent="0.4">
      <c r="A1659">
        <v>1525004030</v>
      </c>
      <c r="B1659">
        <v>1525004444</v>
      </c>
      <c r="C1659" t="str">
        <f>T("회귀의 전설 428화")</f>
        <v>회귀의 전설 428화</v>
      </c>
      <c r="D1659" t="str">
        <f>T("428")</f>
        <v>428</v>
      </c>
      <c r="E1659" t="str">
        <f>T("김광수")</f>
        <v>김광수</v>
      </c>
      <c r="H1659" t="str">
        <f t="shared" si="183"/>
        <v>스토리위즈</v>
      </c>
      <c r="I1659" t="str">
        <f>T("회귀의 전설")</f>
        <v>회귀의 전설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100</v>
      </c>
      <c r="AH1659">
        <v>1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P1659" s="2">
        <v>70</v>
      </c>
      <c r="AT1659" t="str">
        <f>T("9788997946006")</f>
        <v>9788997946006</v>
      </c>
      <c r="AV1659" t="str">
        <f t="shared" si="182"/>
        <v>판타지 웹소설 &gt; 현대 판타지</v>
      </c>
    </row>
    <row r="1660" spans="1:48" x14ac:dyDescent="0.4">
      <c r="A1660">
        <v>1525004030</v>
      </c>
      <c r="B1660">
        <v>1525004524</v>
      </c>
      <c r="C1660" t="str">
        <f>T("회귀의 전설 395화")</f>
        <v>회귀의 전설 395화</v>
      </c>
      <c r="D1660" t="str">
        <f>T("395")</f>
        <v>395</v>
      </c>
      <c r="E1660" t="str">
        <f>T("김광수")</f>
        <v>김광수</v>
      </c>
      <c r="H1660" t="str">
        <f t="shared" si="183"/>
        <v>스토리위즈</v>
      </c>
      <c r="I1660" t="str">
        <f>T("회귀의 전설")</f>
        <v>회귀의 전설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1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 s="2">
        <v>70</v>
      </c>
      <c r="AT1660" t="str">
        <f>T("9788997946006")</f>
        <v>9788997946006</v>
      </c>
      <c r="AV1660" t="str">
        <f t="shared" si="182"/>
        <v>판타지 웹소설 &gt; 현대 판타지</v>
      </c>
    </row>
    <row r="1661" spans="1:48" x14ac:dyDescent="0.4">
      <c r="A1661">
        <v>1525004989</v>
      </c>
      <c r="B1661">
        <v>1525005550</v>
      </c>
      <c r="C1661" t="str">
        <f>T("신룡전설 61화")</f>
        <v>신룡전설 61화</v>
      </c>
      <c r="D1661" t="str">
        <f>T("61")</f>
        <v>61</v>
      </c>
      <c r="E1661" t="str">
        <f>T("가람검")</f>
        <v>가람검</v>
      </c>
      <c r="H1661" t="str">
        <f t="shared" si="183"/>
        <v>스토리위즈</v>
      </c>
      <c r="I1661" t="str">
        <f>T("신룡전설")</f>
        <v>신룡전설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 s="2">
        <v>70</v>
      </c>
      <c r="AT1661" t="str">
        <f>T("9791159283505")</f>
        <v>9791159283505</v>
      </c>
      <c r="AV1661" t="str">
        <f>T("판타지 웹소설 &gt; 무협 소설")</f>
        <v>판타지 웹소설 &gt; 무협 소설</v>
      </c>
    </row>
    <row r="1662" spans="1:48" x14ac:dyDescent="0.4">
      <c r="A1662">
        <v>1525004030</v>
      </c>
      <c r="B1662">
        <v>1525007093</v>
      </c>
      <c r="C1662" t="str">
        <f>T("회귀의 전설 2부 977화")</f>
        <v>회귀의 전설 2부 977화</v>
      </c>
      <c r="D1662" t="str">
        <f>T("977")</f>
        <v>977</v>
      </c>
      <c r="E1662" t="str">
        <f>T("김광수")</f>
        <v>김광수</v>
      </c>
      <c r="H1662" t="str">
        <f t="shared" si="183"/>
        <v>스토리위즈</v>
      </c>
      <c r="I1662" t="str">
        <f>T("회귀의 전설")</f>
        <v>회귀의 전설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 s="2">
        <v>70</v>
      </c>
      <c r="AT1662" t="str">
        <f>T("9791191102086")</f>
        <v>9791191102086</v>
      </c>
      <c r="AV1662" t="str">
        <f>T("판타지 웹소설 &gt; 현대 판타지")</f>
        <v>판타지 웹소설 &gt; 현대 판타지</v>
      </c>
    </row>
    <row r="1663" spans="1:48" x14ac:dyDescent="0.4">
      <c r="A1663">
        <v>1525007923</v>
      </c>
      <c r="B1663">
        <v>1525007984</v>
      </c>
      <c r="C1663" t="str">
        <f>T("운상연담: 화불능귀일락 75화")</f>
        <v>운상연담: 화불능귀일락 75화</v>
      </c>
      <c r="D1663" t="str">
        <f>T("75")</f>
        <v>75</v>
      </c>
      <c r="E1663" t="str">
        <f>T("피모")</f>
        <v>피모</v>
      </c>
      <c r="H1663" t="str">
        <f>T("쉬라즈")</f>
        <v>쉬라즈</v>
      </c>
      <c r="I1663" t="str">
        <f>T("운상연담: 화불능귀일락")</f>
        <v>운상연담: 화불능귀일락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 s="2">
        <v>70</v>
      </c>
      <c r="AT1663" t="str">
        <f>T("9791164896646")</f>
        <v>9791164896646</v>
      </c>
      <c r="AV1663" t="str">
        <f>T("로맨스 웹소설 &gt; 역사/시대물")</f>
        <v>로맨스 웹소설 &gt; 역사/시대물</v>
      </c>
    </row>
    <row r="1664" spans="1:48" x14ac:dyDescent="0.4">
      <c r="A1664">
        <v>1525004030</v>
      </c>
      <c r="B1664">
        <v>1525004364</v>
      </c>
      <c r="C1664" t="str">
        <f>T("회귀의 전설 336화")</f>
        <v>회귀의 전설 336화</v>
      </c>
      <c r="D1664" t="str">
        <f>T("336")</f>
        <v>336</v>
      </c>
      <c r="E1664" t="str">
        <f>T("김광수")</f>
        <v>김광수</v>
      </c>
      <c r="H1664" t="str">
        <f>T("스토리위즈")</f>
        <v>스토리위즈</v>
      </c>
      <c r="I1664" t="str">
        <f>T("회귀의 전설")</f>
        <v>회귀의 전설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 s="2">
        <v>70</v>
      </c>
      <c r="AT1664" t="str">
        <f>T("9788997946006")</f>
        <v>9788997946006</v>
      </c>
      <c r="AV1664" t="str">
        <f>T("판타지 웹소설 &gt; 현대 판타지")</f>
        <v>판타지 웹소설 &gt; 현대 판타지</v>
      </c>
    </row>
    <row r="1665" spans="1:48" x14ac:dyDescent="0.4">
      <c r="A1665">
        <v>2313011400</v>
      </c>
      <c r="B1665">
        <v>1525007639</v>
      </c>
      <c r="C1665" t="str">
        <f>T("최종 보스 21권 4화")</f>
        <v>최종 보스 21권 4화</v>
      </c>
      <c r="D1665" t="str">
        <f>T("417")</f>
        <v>417</v>
      </c>
      <c r="E1665" t="str">
        <f>T("무장")</f>
        <v>무장</v>
      </c>
      <c r="H1665" t="str">
        <f>T("스토리위즈")</f>
        <v>스토리위즈</v>
      </c>
      <c r="I1665" t="str">
        <f>T("최종 보스 : 빛을 향해 달리는 그림자")</f>
        <v>최종 보스 : 빛을 향해 달리는 그림자</v>
      </c>
      <c r="J1665">
        <v>100</v>
      </c>
      <c r="K1665">
        <v>100</v>
      </c>
      <c r="L1665">
        <v>1</v>
      </c>
      <c r="M1665">
        <v>0</v>
      </c>
      <c r="N1665">
        <v>100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200</v>
      </c>
      <c r="AH1665">
        <v>2</v>
      </c>
      <c r="AI1665">
        <v>0</v>
      </c>
      <c r="AJ1665">
        <v>0</v>
      </c>
      <c r="AK1665">
        <v>200</v>
      </c>
      <c r="AL1665">
        <v>0</v>
      </c>
      <c r="AM1665">
        <v>0</v>
      </c>
      <c r="AN1665">
        <v>0</v>
      </c>
      <c r="AO1665">
        <v>0</v>
      </c>
      <c r="AP1665" s="2">
        <v>140</v>
      </c>
      <c r="AT1665" t="str">
        <f>T("9791166067563")</f>
        <v>9791166067563</v>
      </c>
      <c r="AV1665" t="str">
        <f>T("판타지 웹소설 &gt; 현대 판타지")</f>
        <v>판타지 웹소설 &gt; 현대 판타지</v>
      </c>
    </row>
    <row r="1666" spans="1:48" x14ac:dyDescent="0.4">
      <c r="A1666">
        <v>1525004030</v>
      </c>
      <c r="B1666">
        <v>1525004540</v>
      </c>
      <c r="C1666" t="str">
        <f>T("회귀의 전설 517화")</f>
        <v>회귀의 전설 517화</v>
      </c>
      <c r="D1666" t="str">
        <f>T("517")</f>
        <v>517</v>
      </c>
      <c r="E1666" t="str">
        <f>T("김광수")</f>
        <v>김광수</v>
      </c>
      <c r="H1666" t="str">
        <f>T("스토리위즈")</f>
        <v>스토리위즈</v>
      </c>
      <c r="I1666" t="str">
        <f>T("회귀의 전설")</f>
        <v>회귀의 전설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 s="2">
        <v>70</v>
      </c>
      <c r="AT1666" t="str">
        <f>T("9788997946006")</f>
        <v>9788997946006</v>
      </c>
      <c r="AV1666" t="str">
        <f>T("판타지 웹소설 &gt; 현대 판타지")</f>
        <v>판타지 웹소설 &gt; 현대 판타지</v>
      </c>
    </row>
    <row r="1667" spans="1:48" x14ac:dyDescent="0.4">
      <c r="A1667">
        <v>1525004030</v>
      </c>
      <c r="B1667">
        <v>1525004476</v>
      </c>
      <c r="C1667" t="str">
        <f>T("회귀의 전설 460화")</f>
        <v>회귀의 전설 460화</v>
      </c>
      <c r="D1667" t="str">
        <f>T("460")</f>
        <v>460</v>
      </c>
      <c r="E1667" t="str">
        <f>T("김광수")</f>
        <v>김광수</v>
      </c>
      <c r="H1667" t="str">
        <f>T("스토리위즈")</f>
        <v>스토리위즈</v>
      </c>
      <c r="I1667" t="str">
        <f>T("회귀의 전설")</f>
        <v>회귀의 전설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 s="2">
        <v>70</v>
      </c>
      <c r="AT1667" t="str">
        <f>T("9788997946006")</f>
        <v>9788997946006</v>
      </c>
      <c r="AV1667" t="str">
        <f>T("판타지 웹소설 &gt; 현대 판타지")</f>
        <v>판타지 웹소설 &gt; 현대 판타지</v>
      </c>
    </row>
    <row r="1668" spans="1:48" x14ac:dyDescent="0.4">
      <c r="A1668">
        <v>1525008545</v>
      </c>
      <c r="B1668">
        <v>1525008566</v>
      </c>
      <c r="C1668" t="str">
        <f>T("소년연애담 39화")</f>
        <v>소년연애담 39화</v>
      </c>
      <c r="D1668" t="str">
        <f>T("39")</f>
        <v>39</v>
      </c>
      <c r="E1668" t="str">
        <f>T("나나코")</f>
        <v>나나코</v>
      </c>
      <c r="H1668" t="str">
        <f>T("블러쉬")</f>
        <v>블러쉬</v>
      </c>
      <c r="I1668" t="str">
        <f>T("소년연애담")</f>
        <v>소년연애담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100</v>
      </c>
      <c r="AN1668">
        <v>0</v>
      </c>
      <c r="AO1668">
        <v>0</v>
      </c>
      <c r="AP1668" s="2">
        <v>70</v>
      </c>
      <c r="AR1668" t="str">
        <f>T("0000000000000")</f>
        <v>0000000000000</v>
      </c>
      <c r="AT1668" t="str">
        <f>T("9791164890729")</f>
        <v>9791164890729</v>
      </c>
      <c r="AU1668" t="str">
        <f>T("B12")</f>
        <v>B12</v>
      </c>
      <c r="AV1668" t="str">
        <f>T("BL 웹소설 &gt; 현대물")</f>
        <v>BL 웹소설 &gt; 현대물</v>
      </c>
    </row>
    <row r="1669" spans="1:48" x14ac:dyDescent="0.4">
      <c r="A1669">
        <v>1525010579</v>
      </c>
      <c r="B1669">
        <v>1525010184</v>
      </c>
      <c r="C1669" t="str">
        <f>T("법보다 주먹 394화")</f>
        <v>법보다 주먹 394화</v>
      </c>
      <c r="D1669" t="str">
        <f>T("394")</f>
        <v>394</v>
      </c>
      <c r="E1669" t="str">
        <f>T("백범(白帆)")</f>
        <v>백범(白帆)</v>
      </c>
      <c r="H1669" t="str">
        <f>T("에필로그")</f>
        <v>에필로그</v>
      </c>
      <c r="I1669" t="str">
        <f>T("법보다 주먹")</f>
        <v>법보다 주먹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 s="2">
        <v>70</v>
      </c>
      <c r="AT1669" t="str">
        <f>T("9791164489367")</f>
        <v>9791164489367</v>
      </c>
      <c r="AV1669" t="str">
        <f>T("판타지 웹소설 &gt; 현대 판타지")</f>
        <v>판타지 웹소설 &gt; 현대 판타지</v>
      </c>
    </row>
    <row r="1670" spans="1:48" x14ac:dyDescent="0.4">
      <c r="A1670">
        <v>1525004030</v>
      </c>
      <c r="B1670">
        <v>1525007125</v>
      </c>
      <c r="C1670" t="str">
        <f>T("회귀의 전설 2부 1009화")</f>
        <v>회귀의 전설 2부 1009화</v>
      </c>
      <c r="D1670" t="str">
        <f>T("1009")</f>
        <v>1009</v>
      </c>
      <c r="E1670" t="str">
        <f>T("김광수")</f>
        <v>김광수</v>
      </c>
      <c r="H1670" t="str">
        <f>T("스토리위즈")</f>
        <v>스토리위즈</v>
      </c>
      <c r="I1670" t="str">
        <f>T("회귀의 전설")</f>
        <v>회귀의 전설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1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 s="2">
        <v>70</v>
      </c>
      <c r="AT1670" t="str">
        <f>T("9791191102086")</f>
        <v>9791191102086</v>
      </c>
      <c r="AV1670" t="str">
        <f>T("판타지 웹소설 &gt; 현대 판타지")</f>
        <v>판타지 웹소설 &gt; 현대 판타지</v>
      </c>
    </row>
    <row r="1671" spans="1:48" x14ac:dyDescent="0.4">
      <c r="A1671">
        <v>1525004030</v>
      </c>
      <c r="B1671">
        <v>1525004380</v>
      </c>
      <c r="C1671" t="str">
        <f>T("회귀의 전설 352화")</f>
        <v>회귀의 전설 352화</v>
      </c>
      <c r="D1671" t="str">
        <f>T("352")</f>
        <v>352</v>
      </c>
      <c r="E1671" t="str">
        <f>T("김광수")</f>
        <v>김광수</v>
      </c>
      <c r="H1671" t="str">
        <f>T("스토리위즈")</f>
        <v>스토리위즈</v>
      </c>
      <c r="I1671" t="str">
        <f>T("회귀의 전설")</f>
        <v>회귀의 전설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 s="2">
        <v>70</v>
      </c>
      <c r="AT1671" t="str">
        <f>T("9788997946006")</f>
        <v>9788997946006</v>
      </c>
      <c r="AV1671" t="str">
        <f>T("판타지 웹소설 &gt; 현대 판타지")</f>
        <v>판타지 웹소설 &gt; 현대 판타지</v>
      </c>
    </row>
    <row r="1672" spans="1:48" x14ac:dyDescent="0.4">
      <c r="A1672">
        <v>1525000569</v>
      </c>
      <c r="B1672">
        <v>1525000739</v>
      </c>
      <c r="C1672" t="str">
        <f>T("스트라이커 169화")</f>
        <v>스트라이커 169화</v>
      </c>
      <c r="D1672" t="str">
        <f>T("169")</f>
        <v>169</v>
      </c>
      <c r="E1672" t="str">
        <f>T("독고진")</f>
        <v>독고진</v>
      </c>
      <c r="H1672" t="str">
        <f>T("스토리위즈")</f>
        <v>스토리위즈</v>
      </c>
      <c r="I1672" t="str">
        <f>T("스트라이커")</f>
        <v>스트라이커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 s="2">
        <v>70</v>
      </c>
      <c r="AT1672" t="str">
        <f>T("9791170151678")</f>
        <v>9791170151678</v>
      </c>
      <c r="AV1672" t="str">
        <f>T("판타지 웹소설 &gt; 현대 판타지")</f>
        <v>판타지 웹소설 &gt; 현대 판타지</v>
      </c>
    </row>
    <row r="1673" spans="1:48" x14ac:dyDescent="0.4">
      <c r="A1673">
        <v>1525002409</v>
      </c>
      <c r="B1673">
        <v>1525002605</v>
      </c>
      <c r="C1673" t="str">
        <f>T("스포트라이트 197화")</f>
        <v>스포트라이트 197화</v>
      </c>
      <c r="D1673" t="str">
        <f>T("197")</f>
        <v>197</v>
      </c>
      <c r="E1673" t="str">
        <f>T("전혁")</f>
        <v>전혁</v>
      </c>
      <c r="H1673" t="str">
        <f>T("스토리위즈")</f>
        <v>스토리위즈</v>
      </c>
      <c r="I1673" t="str">
        <f>T("스포트라이트")</f>
        <v>스포트라이트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 s="2">
        <v>70</v>
      </c>
      <c r="AT1673" t="str">
        <f>T("9791159286841")</f>
        <v>9791159286841</v>
      </c>
      <c r="AV1673" t="str">
        <f>T("판타지 웹소설 &gt; 현대 판타지")</f>
        <v>판타지 웹소설 &gt; 현대 판타지</v>
      </c>
    </row>
    <row r="1674" spans="1:48" x14ac:dyDescent="0.4">
      <c r="A1674">
        <v>1525007872</v>
      </c>
      <c r="B1674">
        <v>1525007863</v>
      </c>
      <c r="C1674" t="str">
        <f>T("아침이 오지 않아도 11화")</f>
        <v>아침이 오지 않아도 11화</v>
      </c>
      <c r="D1674" t="str">
        <f>T("11")</f>
        <v>11</v>
      </c>
      <c r="E1674" t="str">
        <f>T("홍영")</f>
        <v>홍영</v>
      </c>
      <c r="H1674" t="str">
        <f>T("러브스토리")</f>
        <v>러브스토리</v>
      </c>
      <c r="I1674" t="str">
        <f>T("아침이 오지 않아도")</f>
        <v>아침이 오지 않아도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 s="2">
        <v>70</v>
      </c>
      <c r="AR1674" t="str">
        <f>T("0000000000000")</f>
        <v>0000000000000</v>
      </c>
      <c r="AT1674" t="str">
        <f>T("9791164899708")</f>
        <v>9791164899708</v>
      </c>
      <c r="AV1674" t="str">
        <f>T("로맨스 웹소설 &gt; 현대물")</f>
        <v>로맨스 웹소설 &gt; 현대물</v>
      </c>
    </row>
    <row r="1675" spans="1:48" x14ac:dyDescent="0.4">
      <c r="A1675">
        <v>2313011400</v>
      </c>
      <c r="B1675">
        <v>1525007671</v>
      </c>
      <c r="C1675" t="str">
        <f>T("최종 보스 22권 16화")</f>
        <v>최종 보스 22권 16화</v>
      </c>
      <c r="D1675" t="str">
        <f>T("449")</f>
        <v>449</v>
      </c>
      <c r="E1675" t="str">
        <f>T("무장")</f>
        <v>무장</v>
      </c>
      <c r="H1675" t="str">
        <f t="shared" ref="H1675:H1680" si="184">T("스토리위즈")</f>
        <v>스토리위즈</v>
      </c>
      <c r="I1675" t="str">
        <f>T("최종 보스 : 빛을 향해 달리는 그림자")</f>
        <v>최종 보스 : 빛을 향해 달리는 그림자</v>
      </c>
      <c r="J1675">
        <v>100</v>
      </c>
      <c r="K1675">
        <v>100</v>
      </c>
      <c r="L1675">
        <v>1</v>
      </c>
      <c r="M1675">
        <v>0</v>
      </c>
      <c r="N1675">
        <v>100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200</v>
      </c>
      <c r="AH1675">
        <v>2</v>
      </c>
      <c r="AI1675">
        <v>0</v>
      </c>
      <c r="AJ1675">
        <v>0</v>
      </c>
      <c r="AK1675">
        <v>200</v>
      </c>
      <c r="AL1675">
        <v>0</v>
      </c>
      <c r="AM1675">
        <v>0</v>
      </c>
      <c r="AN1675">
        <v>0</v>
      </c>
      <c r="AO1675">
        <v>0</v>
      </c>
      <c r="AP1675" s="2">
        <v>140</v>
      </c>
      <c r="AT1675" t="str">
        <f>T("9791166067563")</f>
        <v>9791166067563</v>
      </c>
      <c r="AV1675" t="str">
        <f>T("판타지 웹소설 &gt; 현대 판타지")</f>
        <v>판타지 웹소설 &gt; 현대 판타지</v>
      </c>
    </row>
    <row r="1676" spans="1:48" x14ac:dyDescent="0.4">
      <c r="A1676">
        <v>1525004030</v>
      </c>
      <c r="B1676">
        <v>1525007029</v>
      </c>
      <c r="C1676" t="str">
        <f>T("회귀의 전설 2부 913화")</f>
        <v>회귀의 전설 2부 913화</v>
      </c>
      <c r="D1676" t="str">
        <f>T("913")</f>
        <v>913</v>
      </c>
      <c r="E1676" t="str">
        <f>T("김광수")</f>
        <v>김광수</v>
      </c>
      <c r="H1676" t="str">
        <f t="shared" si="184"/>
        <v>스토리위즈</v>
      </c>
      <c r="I1676" t="str">
        <f>T("회귀의 전설")</f>
        <v>회귀의 전설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 s="2">
        <v>70</v>
      </c>
      <c r="AT1676" t="str">
        <f>T("9791191102086")</f>
        <v>9791191102086</v>
      </c>
      <c r="AV1676" t="str">
        <f>T("판타지 웹소설 &gt; 현대 판타지")</f>
        <v>판타지 웹소설 &gt; 현대 판타지</v>
      </c>
    </row>
    <row r="1677" spans="1:48" x14ac:dyDescent="0.4">
      <c r="A1677">
        <v>1525004989</v>
      </c>
      <c r="B1677">
        <v>1525005598</v>
      </c>
      <c r="C1677" t="str">
        <f>T("신룡전설 109화")</f>
        <v>신룡전설 109화</v>
      </c>
      <c r="D1677" t="str">
        <f>T("109")</f>
        <v>109</v>
      </c>
      <c r="E1677" t="str">
        <f>T("가람검")</f>
        <v>가람검</v>
      </c>
      <c r="H1677" t="str">
        <f t="shared" si="184"/>
        <v>스토리위즈</v>
      </c>
      <c r="I1677" t="str">
        <f>T("신룡전설")</f>
        <v>신룡전설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 s="2">
        <v>70</v>
      </c>
      <c r="AT1677" t="str">
        <f>T("9791159283505")</f>
        <v>9791159283505</v>
      </c>
      <c r="AV1677" t="str">
        <f>T("판타지 웹소설 &gt; 무협 소설")</f>
        <v>판타지 웹소설 &gt; 무협 소설</v>
      </c>
    </row>
    <row r="1678" spans="1:48" x14ac:dyDescent="0.4">
      <c r="A1678">
        <v>1525002409</v>
      </c>
      <c r="B1678">
        <v>1525002535</v>
      </c>
      <c r="C1678" t="str">
        <f>T("스포트라이트 127화")</f>
        <v>스포트라이트 127화</v>
      </c>
      <c r="D1678" t="str">
        <f>T("127")</f>
        <v>127</v>
      </c>
      <c r="E1678" t="str">
        <f>T("전혁")</f>
        <v>전혁</v>
      </c>
      <c r="H1678" t="str">
        <f t="shared" si="184"/>
        <v>스토리위즈</v>
      </c>
      <c r="I1678" t="str">
        <f>T("스포트라이트")</f>
        <v>스포트라이트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 s="2">
        <v>70</v>
      </c>
      <c r="AT1678" t="str">
        <f>T("9791159286841")</f>
        <v>9791159286841</v>
      </c>
      <c r="AV1678" t="str">
        <f>T("판타지 웹소설 &gt; 현대 판타지")</f>
        <v>판타지 웹소설 &gt; 현대 판타지</v>
      </c>
    </row>
    <row r="1679" spans="1:48" x14ac:dyDescent="0.4">
      <c r="A1679">
        <v>1525004030</v>
      </c>
      <c r="B1679">
        <v>1525006977</v>
      </c>
      <c r="C1679" t="str">
        <f>T("회귀의 전설 2부 861화")</f>
        <v>회귀의 전설 2부 861화</v>
      </c>
      <c r="D1679" t="str">
        <f>T("861")</f>
        <v>861</v>
      </c>
      <c r="E1679" t="str">
        <f>T("김광수")</f>
        <v>김광수</v>
      </c>
      <c r="H1679" t="str">
        <f t="shared" si="184"/>
        <v>스토리위즈</v>
      </c>
      <c r="I1679" t="str">
        <f>T("회귀의 전설")</f>
        <v>회귀의 전설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 s="2">
        <v>70</v>
      </c>
      <c r="AT1679" t="str">
        <f>T("9791191102086")</f>
        <v>9791191102086</v>
      </c>
      <c r="AV1679" t="str">
        <f>T("판타지 웹소설 &gt; 현대 판타지")</f>
        <v>판타지 웹소설 &gt; 현대 판타지</v>
      </c>
    </row>
    <row r="1680" spans="1:48" x14ac:dyDescent="0.4">
      <c r="A1680">
        <v>1525004030</v>
      </c>
      <c r="B1680">
        <v>1525004300</v>
      </c>
      <c r="C1680" t="str">
        <f>T("회귀의 전설 271화")</f>
        <v>회귀의 전설 271화</v>
      </c>
      <c r="D1680" t="str">
        <f>T("271")</f>
        <v>271</v>
      </c>
      <c r="E1680" t="str">
        <f>T("김광수")</f>
        <v>김광수</v>
      </c>
      <c r="H1680" t="str">
        <f t="shared" si="184"/>
        <v>스토리위즈</v>
      </c>
      <c r="I1680" t="str">
        <f>T("회귀의 전설")</f>
        <v>회귀의 전설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 s="2">
        <v>70</v>
      </c>
      <c r="AT1680" t="str">
        <f>T("9788997946006")</f>
        <v>9788997946006</v>
      </c>
      <c r="AV1680" t="str">
        <f>T("판타지 웹소설 &gt; 현대 판타지")</f>
        <v>판타지 웹소설 &gt; 현대 판타지</v>
      </c>
    </row>
    <row r="1681" spans="1:48" x14ac:dyDescent="0.4">
      <c r="A1681">
        <v>1525011523</v>
      </c>
      <c r="B1681">
        <v>1525011496</v>
      </c>
      <c r="C1681" t="str">
        <f>T("남창목가 28화")</f>
        <v>남창목가 28화</v>
      </c>
      <c r="D1681" t="str">
        <f>T("28")</f>
        <v>28</v>
      </c>
      <c r="E1681" t="str">
        <f>T("최재봉")</f>
        <v>최재봉</v>
      </c>
      <c r="H1681" t="str">
        <f>T("에필로그")</f>
        <v>에필로그</v>
      </c>
      <c r="I1681" t="str">
        <f>T("남창목가")</f>
        <v>남창목가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 s="2">
        <v>70</v>
      </c>
      <c r="AT1681" t="str">
        <f>T("9791164482849")</f>
        <v>9791164482849</v>
      </c>
      <c r="AV1681" t="str">
        <f>T("판타지 웹소설 &gt; 무협 소설")</f>
        <v>판타지 웹소설 &gt; 무협 소설</v>
      </c>
    </row>
    <row r="1682" spans="1:48" x14ac:dyDescent="0.4">
      <c r="A1682">
        <v>1525004030</v>
      </c>
      <c r="B1682">
        <v>1525004412</v>
      </c>
      <c r="C1682" t="str">
        <f>T("회귀의 전설 396화")</f>
        <v>회귀의 전설 396화</v>
      </c>
      <c r="D1682" t="str">
        <f>T("396")</f>
        <v>396</v>
      </c>
      <c r="E1682" t="str">
        <f>T("김광수")</f>
        <v>김광수</v>
      </c>
      <c r="H1682" t="str">
        <f>T("스토리위즈")</f>
        <v>스토리위즈</v>
      </c>
      <c r="I1682" t="str">
        <f>T("회귀의 전설")</f>
        <v>회귀의 전설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P1682" s="2">
        <v>70</v>
      </c>
      <c r="AT1682" t="str">
        <f>T("9788997946006")</f>
        <v>9788997946006</v>
      </c>
      <c r="AV1682" t="str">
        <f>T("판타지 웹소설 &gt; 현대 판타지")</f>
        <v>판타지 웹소설 &gt; 현대 판타지</v>
      </c>
    </row>
    <row r="1683" spans="1:48" x14ac:dyDescent="0.4">
      <c r="A1683">
        <v>1525004030</v>
      </c>
      <c r="B1683">
        <v>1525004492</v>
      </c>
      <c r="C1683" t="str">
        <f>T("회귀의 전설 476화")</f>
        <v>회귀의 전설 476화</v>
      </c>
      <c r="D1683" t="str">
        <f>T("476")</f>
        <v>476</v>
      </c>
      <c r="E1683" t="str">
        <f>T("김광수")</f>
        <v>김광수</v>
      </c>
      <c r="H1683" t="str">
        <f>T("스토리위즈")</f>
        <v>스토리위즈</v>
      </c>
      <c r="I1683" t="str">
        <f>T("회귀의 전설")</f>
        <v>회귀의 전설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1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 s="2">
        <v>70</v>
      </c>
      <c r="AT1683" t="str">
        <f>T("9788997946006")</f>
        <v>9788997946006</v>
      </c>
      <c r="AV1683" t="str">
        <f>T("판타지 웹소설 &gt; 현대 판타지")</f>
        <v>판타지 웹소설 &gt; 현대 판타지</v>
      </c>
    </row>
    <row r="1684" spans="1:48" x14ac:dyDescent="0.4">
      <c r="A1684">
        <v>1525000569</v>
      </c>
      <c r="B1684">
        <v>1525000613</v>
      </c>
      <c r="C1684" t="str">
        <f>T("스트라이커 45화")</f>
        <v>스트라이커 45화</v>
      </c>
      <c r="D1684" t="str">
        <f>T("45")</f>
        <v>45</v>
      </c>
      <c r="E1684" t="str">
        <f>T("독고진")</f>
        <v>독고진</v>
      </c>
      <c r="H1684" t="str">
        <f>T("스토리위즈")</f>
        <v>스토리위즈</v>
      </c>
      <c r="I1684" t="str">
        <f>T("스트라이커")</f>
        <v>스트라이커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 s="2">
        <v>70</v>
      </c>
      <c r="AT1684" t="str">
        <f>T("9791170151678")</f>
        <v>9791170151678</v>
      </c>
      <c r="AV1684" t="str">
        <f>T("판타지 웹소설 &gt; 현대 판타지")</f>
        <v>판타지 웹소설 &gt; 현대 판타지</v>
      </c>
    </row>
    <row r="1685" spans="1:48" x14ac:dyDescent="0.4">
      <c r="A1685">
        <v>1525007872</v>
      </c>
      <c r="B1685">
        <v>1525007896</v>
      </c>
      <c r="C1685" t="str">
        <f>T("아침이 오지 않아도 7화")</f>
        <v>아침이 오지 않아도 7화</v>
      </c>
      <c r="D1685" t="str">
        <f>T("7")</f>
        <v>7</v>
      </c>
      <c r="E1685" t="str">
        <f>T("홍영")</f>
        <v>홍영</v>
      </c>
      <c r="H1685" t="str">
        <f>T("러브스토리")</f>
        <v>러브스토리</v>
      </c>
      <c r="I1685" t="str">
        <f>T("아침이 오지 않아도")</f>
        <v>아침이 오지 않아도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 s="2">
        <v>70</v>
      </c>
      <c r="AR1685" t="str">
        <f>T("0000000000000")</f>
        <v>0000000000000</v>
      </c>
      <c r="AT1685" t="str">
        <f>T("9791164899708")</f>
        <v>9791164899708</v>
      </c>
      <c r="AV1685" t="str">
        <f>T("로맨스 웹소설 &gt; 현대물")</f>
        <v>로맨스 웹소설 &gt; 현대물</v>
      </c>
    </row>
    <row r="1686" spans="1:48" x14ac:dyDescent="0.4">
      <c r="A1686">
        <v>1525004030</v>
      </c>
      <c r="B1686">
        <v>1525007061</v>
      </c>
      <c r="C1686" t="str">
        <f>T("회귀의 전설 2부 945화")</f>
        <v>회귀의 전설 2부 945화</v>
      </c>
      <c r="D1686" t="str">
        <f>T("945")</f>
        <v>945</v>
      </c>
      <c r="E1686" t="str">
        <f>T("김광수")</f>
        <v>김광수</v>
      </c>
      <c r="H1686" t="str">
        <f t="shared" ref="H1686:H1696" si="185">T("스토리위즈")</f>
        <v>스토리위즈</v>
      </c>
      <c r="I1686" t="str">
        <f>T("회귀의 전설")</f>
        <v>회귀의 전설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 s="2">
        <v>70</v>
      </c>
      <c r="AT1686" t="str">
        <f>T("9791191102086")</f>
        <v>9791191102086</v>
      </c>
      <c r="AV1686" t="str">
        <f>T("판타지 웹소설 &gt; 현대 판타지")</f>
        <v>판타지 웹소설 &gt; 현대 판타지</v>
      </c>
    </row>
    <row r="1687" spans="1:48" x14ac:dyDescent="0.4">
      <c r="A1687">
        <v>1525004989</v>
      </c>
      <c r="B1687">
        <v>1525005630</v>
      </c>
      <c r="C1687" t="str">
        <f>T("신룡전설 141화")</f>
        <v>신룡전설 141화</v>
      </c>
      <c r="D1687" t="str">
        <f>T("141")</f>
        <v>141</v>
      </c>
      <c r="E1687" t="str">
        <f>T("가람검")</f>
        <v>가람검</v>
      </c>
      <c r="H1687" t="str">
        <f t="shared" si="185"/>
        <v>스토리위즈</v>
      </c>
      <c r="I1687" t="str">
        <f>T("신룡전설")</f>
        <v>신룡전설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1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 s="2">
        <v>70</v>
      </c>
      <c r="AT1687" t="str">
        <f>T("9791159283505")</f>
        <v>9791159283505</v>
      </c>
      <c r="AV1687" t="str">
        <f>T("판타지 웹소설 &gt; 무협 소설")</f>
        <v>판타지 웹소설 &gt; 무협 소설</v>
      </c>
    </row>
    <row r="1688" spans="1:48" x14ac:dyDescent="0.4">
      <c r="A1688">
        <v>2313011400</v>
      </c>
      <c r="B1688">
        <v>1525007703</v>
      </c>
      <c r="C1688" t="str">
        <f>T("최종 보스 24권 8화")</f>
        <v>최종 보스 24권 8화</v>
      </c>
      <c r="D1688" t="str">
        <f>T("481")</f>
        <v>481</v>
      </c>
      <c r="E1688" t="str">
        <f>T("무장")</f>
        <v>무장</v>
      </c>
      <c r="H1688" t="str">
        <f t="shared" si="185"/>
        <v>스토리위즈</v>
      </c>
      <c r="I1688" t="str">
        <f>T("최종 보스 : 빛을 향해 달리는 그림자")</f>
        <v>최종 보스 : 빛을 향해 달리는 그림자</v>
      </c>
      <c r="J1688">
        <v>100</v>
      </c>
      <c r="K1688">
        <v>100</v>
      </c>
      <c r="L1688">
        <v>1</v>
      </c>
      <c r="M1688">
        <v>0</v>
      </c>
      <c r="N1688">
        <v>100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200</v>
      </c>
      <c r="AH1688">
        <v>2</v>
      </c>
      <c r="AI1688">
        <v>0</v>
      </c>
      <c r="AJ1688">
        <v>0</v>
      </c>
      <c r="AK1688">
        <v>200</v>
      </c>
      <c r="AL1688">
        <v>0</v>
      </c>
      <c r="AM1688">
        <v>0</v>
      </c>
      <c r="AN1688">
        <v>0</v>
      </c>
      <c r="AO1688">
        <v>0</v>
      </c>
      <c r="AP1688" s="2">
        <v>140</v>
      </c>
      <c r="AT1688" t="str">
        <f>T("9791166067563")</f>
        <v>9791166067563</v>
      </c>
      <c r="AV1688" t="str">
        <f>T("판타지 웹소설 &gt; 현대 판타지")</f>
        <v>판타지 웹소설 &gt; 현대 판타지</v>
      </c>
    </row>
    <row r="1689" spans="1:48" x14ac:dyDescent="0.4">
      <c r="A1689">
        <v>2313011400</v>
      </c>
      <c r="B1689">
        <v>1525007607</v>
      </c>
      <c r="C1689" t="str">
        <f>T("최종 보스 19권 13화")</f>
        <v>최종 보스 19권 13화</v>
      </c>
      <c r="D1689" t="str">
        <f>T("385")</f>
        <v>385</v>
      </c>
      <c r="E1689" t="str">
        <f>T("무장")</f>
        <v>무장</v>
      </c>
      <c r="H1689" t="str">
        <f t="shared" si="185"/>
        <v>스토리위즈</v>
      </c>
      <c r="I1689" t="str">
        <f>T("최종 보스 : 빛을 향해 달리는 그림자")</f>
        <v>최종 보스 : 빛을 향해 달리는 그림자</v>
      </c>
      <c r="J1689">
        <v>100</v>
      </c>
      <c r="K1689">
        <v>100</v>
      </c>
      <c r="L1689">
        <v>1</v>
      </c>
      <c r="M1689">
        <v>0</v>
      </c>
      <c r="N1689">
        <v>100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200</v>
      </c>
      <c r="AH1689">
        <v>2</v>
      </c>
      <c r="AI1689">
        <v>0</v>
      </c>
      <c r="AJ1689">
        <v>0</v>
      </c>
      <c r="AK1689">
        <v>200</v>
      </c>
      <c r="AL1689">
        <v>0</v>
      </c>
      <c r="AM1689">
        <v>0</v>
      </c>
      <c r="AN1689">
        <v>0</v>
      </c>
      <c r="AO1689">
        <v>0</v>
      </c>
      <c r="AP1689" s="2">
        <v>140</v>
      </c>
      <c r="AT1689" t="str">
        <f>T("9791166067563")</f>
        <v>9791166067563</v>
      </c>
      <c r="AV1689" t="str">
        <f>T("판타지 웹소설 &gt; 현대 판타지")</f>
        <v>판타지 웹소설 &gt; 현대 판타지</v>
      </c>
    </row>
    <row r="1690" spans="1:48" x14ac:dyDescent="0.4">
      <c r="A1690">
        <v>1525004030</v>
      </c>
      <c r="B1690">
        <v>1525004373</v>
      </c>
      <c r="C1690" t="str">
        <f>T("회귀의 전설 345화")</f>
        <v>회귀의 전설 345화</v>
      </c>
      <c r="D1690" t="str">
        <f>T("345")</f>
        <v>345</v>
      </c>
      <c r="E1690" t="str">
        <f>T("김광수")</f>
        <v>김광수</v>
      </c>
      <c r="H1690" t="str">
        <f t="shared" si="185"/>
        <v>스토리위즈</v>
      </c>
      <c r="I1690" t="str">
        <f>T("회귀의 전설")</f>
        <v>회귀의 전설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 s="2">
        <v>70</v>
      </c>
      <c r="AT1690" t="str">
        <f>T("9788997946006")</f>
        <v>9788997946006</v>
      </c>
      <c r="AV1690" t="str">
        <f>T("판타지 웹소설 &gt; 현대 판타지")</f>
        <v>판타지 웹소설 &gt; 현대 판타지</v>
      </c>
    </row>
    <row r="1691" spans="1:48" x14ac:dyDescent="0.4">
      <c r="A1691">
        <v>1525002864</v>
      </c>
      <c r="B1691">
        <v>1525002911</v>
      </c>
      <c r="C1691" t="str">
        <f>T("소드마스터의 환생 48화")</f>
        <v>소드마스터의 환생 48화</v>
      </c>
      <c r="D1691" t="str">
        <f>T("48")</f>
        <v>48</v>
      </c>
      <c r="E1691" t="str">
        <f>T("파란영")</f>
        <v>파란영</v>
      </c>
      <c r="H1691" t="str">
        <f t="shared" si="185"/>
        <v>스토리위즈</v>
      </c>
      <c r="I1691" t="str">
        <f>T("소드마스터의 환생")</f>
        <v>소드마스터의 환생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 s="2">
        <v>70</v>
      </c>
      <c r="AT1691" t="str">
        <f>T("9791159287527")</f>
        <v>9791159287527</v>
      </c>
      <c r="AV1691" t="str">
        <f>T("판타지 웹소설 &gt; 정통 판타지")</f>
        <v>판타지 웹소설 &gt; 정통 판타지</v>
      </c>
    </row>
    <row r="1692" spans="1:48" x14ac:dyDescent="0.4">
      <c r="A1692">
        <v>1525002409</v>
      </c>
      <c r="B1692">
        <v>1525002592</v>
      </c>
      <c r="C1692" t="str">
        <f>T("스포트라이트 184화")</f>
        <v>스포트라이트 184화</v>
      </c>
      <c r="D1692" t="str">
        <f>T("184")</f>
        <v>184</v>
      </c>
      <c r="E1692" t="str">
        <f>T("전혁")</f>
        <v>전혁</v>
      </c>
      <c r="H1692" t="str">
        <f t="shared" si="185"/>
        <v>스토리위즈</v>
      </c>
      <c r="I1692" t="str">
        <f>T("스포트라이트")</f>
        <v>스포트라이트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 s="2">
        <v>70</v>
      </c>
      <c r="AT1692" t="str">
        <f>T("9791159286841")</f>
        <v>9791159286841</v>
      </c>
      <c r="AV1692" t="str">
        <f>T("판타지 웹소설 &gt; 현대 판타지")</f>
        <v>판타지 웹소설 &gt; 현대 판타지</v>
      </c>
    </row>
    <row r="1693" spans="1:48" x14ac:dyDescent="0.4">
      <c r="A1693">
        <v>2313011400</v>
      </c>
      <c r="B1693">
        <v>1525007664</v>
      </c>
      <c r="C1693" t="str">
        <f>T("최종 보스 22권 9화")</f>
        <v>최종 보스 22권 9화</v>
      </c>
      <c r="D1693" t="str">
        <f>T("442")</f>
        <v>442</v>
      </c>
      <c r="E1693" t="str">
        <f>T("무장")</f>
        <v>무장</v>
      </c>
      <c r="H1693" t="str">
        <f t="shared" si="185"/>
        <v>스토리위즈</v>
      </c>
      <c r="I1693" t="str">
        <f>T("최종 보스 : 빛을 향해 달리는 그림자")</f>
        <v>최종 보스 : 빛을 향해 달리는 그림자</v>
      </c>
      <c r="J1693">
        <v>100</v>
      </c>
      <c r="K1693">
        <v>100</v>
      </c>
      <c r="L1693">
        <v>1</v>
      </c>
      <c r="M1693">
        <v>0</v>
      </c>
      <c r="N1693">
        <v>100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200</v>
      </c>
      <c r="AH1693">
        <v>2</v>
      </c>
      <c r="AI1693">
        <v>0</v>
      </c>
      <c r="AJ1693">
        <v>0</v>
      </c>
      <c r="AK1693">
        <v>200</v>
      </c>
      <c r="AL1693">
        <v>0</v>
      </c>
      <c r="AM1693">
        <v>0</v>
      </c>
      <c r="AN1693">
        <v>0</v>
      </c>
      <c r="AO1693">
        <v>0</v>
      </c>
      <c r="AP1693" s="2">
        <v>140</v>
      </c>
      <c r="AT1693" t="str">
        <f>T("9791166067563")</f>
        <v>9791166067563</v>
      </c>
      <c r="AV1693" t="str">
        <f>T("판타지 웹소설 &gt; 현대 판타지")</f>
        <v>판타지 웹소설 &gt; 현대 판타지</v>
      </c>
    </row>
    <row r="1694" spans="1:48" x14ac:dyDescent="0.4">
      <c r="A1694">
        <v>1525004030</v>
      </c>
      <c r="B1694">
        <v>1525007022</v>
      </c>
      <c r="C1694" t="str">
        <f>T("회귀의 전설 2부 906화")</f>
        <v>회귀의 전설 2부 906화</v>
      </c>
      <c r="D1694" t="str">
        <f>T("906")</f>
        <v>906</v>
      </c>
      <c r="E1694" t="str">
        <f>T("김광수")</f>
        <v>김광수</v>
      </c>
      <c r="H1694" t="str">
        <f t="shared" si="185"/>
        <v>스토리위즈</v>
      </c>
      <c r="I1694" t="str">
        <f>T("회귀의 전설")</f>
        <v>회귀의 전설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 s="2">
        <v>70</v>
      </c>
      <c r="AT1694" t="str">
        <f>T("9791191102086")</f>
        <v>9791191102086</v>
      </c>
      <c r="AV1694" t="str">
        <f>T("판타지 웹소설 &gt; 현대 판타지")</f>
        <v>판타지 웹소설 &gt; 현대 판타지</v>
      </c>
    </row>
    <row r="1695" spans="1:48" x14ac:dyDescent="0.4">
      <c r="A1695">
        <v>1525004030</v>
      </c>
      <c r="B1695">
        <v>1525006722</v>
      </c>
      <c r="C1695" t="str">
        <f>T("회귀의 전설 2부 605화")</f>
        <v>회귀의 전설 2부 605화</v>
      </c>
      <c r="D1695" t="str">
        <f>T("605")</f>
        <v>605</v>
      </c>
      <c r="E1695" t="str">
        <f>T("김광수")</f>
        <v>김광수</v>
      </c>
      <c r="H1695" t="str">
        <f t="shared" si="185"/>
        <v>스토리위즈</v>
      </c>
      <c r="I1695" t="str">
        <f>T("회귀의 전설")</f>
        <v>회귀의 전설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P1695" s="2">
        <v>70</v>
      </c>
      <c r="AT1695" t="str">
        <f>T("9791191102086")</f>
        <v>9791191102086</v>
      </c>
      <c r="AV1695" t="str">
        <f>T("판타지 웹소설 &gt; 현대 판타지")</f>
        <v>판타지 웹소설 &gt; 현대 판타지</v>
      </c>
    </row>
    <row r="1696" spans="1:48" x14ac:dyDescent="0.4">
      <c r="A1696">
        <v>1525004989</v>
      </c>
      <c r="B1696">
        <v>1525005591</v>
      </c>
      <c r="C1696" t="str">
        <f>T("신룡전설 102화")</f>
        <v>신룡전설 102화</v>
      </c>
      <c r="D1696" t="str">
        <f>T("102")</f>
        <v>102</v>
      </c>
      <c r="E1696" t="str">
        <f>T("가람검")</f>
        <v>가람검</v>
      </c>
      <c r="H1696" t="str">
        <f t="shared" si="185"/>
        <v>스토리위즈</v>
      </c>
      <c r="I1696" t="str">
        <f>T("신룡전설")</f>
        <v>신룡전설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1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 s="2">
        <v>70</v>
      </c>
      <c r="AT1696" t="str">
        <f>T("9791159283505")</f>
        <v>9791159283505</v>
      </c>
      <c r="AV1696" t="str">
        <f>T("판타지 웹소설 &gt; 무협 소설")</f>
        <v>판타지 웹소설 &gt; 무협 소설</v>
      </c>
    </row>
    <row r="1697" spans="1:48" x14ac:dyDescent="0.4">
      <c r="A1697">
        <v>1525008545</v>
      </c>
      <c r="B1697">
        <v>1525008535</v>
      </c>
      <c r="C1697" t="str">
        <f>T("소년연애담 10화")</f>
        <v>소년연애담 10화</v>
      </c>
      <c r="D1697" t="str">
        <f>T("10")</f>
        <v>10</v>
      </c>
      <c r="E1697" t="str">
        <f>T("나나코")</f>
        <v>나나코</v>
      </c>
      <c r="H1697" t="str">
        <f>T("블러쉬")</f>
        <v>블러쉬</v>
      </c>
      <c r="I1697" t="str">
        <f>T("소년연애담")</f>
        <v>소년연애담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100</v>
      </c>
      <c r="AN1697">
        <v>0</v>
      </c>
      <c r="AO1697">
        <v>0</v>
      </c>
      <c r="AP1697" s="2">
        <v>70</v>
      </c>
      <c r="AR1697" t="str">
        <f>T("0000000000000")</f>
        <v>0000000000000</v>
      </c>
      <c r="AT1697" t="str">
        <f>T("9791164890729")</f>
        <v>9791164890729</v>
      </c>
      <c r="AU1697" t="str">
        <f>T("B12")</f>
        <v>B12</v>
      </c>
      <c r="AV1697" t="str">
        <f>T("BL 웹소설 &gt; 현대물")</f>
        <v>BL 웹소설 &gt; 현대물</v>
      </c>
    </row>
    <row r="1698" spans="1:48" x14ac:dyDescent="0.4">
      <c r="A1698">
        <v>1525004030</v>
      </c>
      <c r="B1698">
        <v>1525006970</v>
      </c>
      <c r="C1698" t="str">
        <f>T("회귀의 전설 2부 854화")</f>
        <v>회귀의 전설 2부 854화</v>
      </c>
      <c r="D1698" t="str">
        <f>T("854")</f>
        <v>854</v>
      </c>
      <c r="E1698" t="str">
        <f>T("김광수")</f>
        <v>김광수</v>
      </c>
      <c r="H1698" t="str">
        <f>T("스토리위즈")</f>
        <v>스토리위즈</v>
      </c>
      <c r="I1698" t="str">
        <f>T("회귀의 전설")</f>
        <v>회귀의 전설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 s="2">
        <v>70</v>
      </c>
      <c r="AT1698" t="str">
        <f>T("9791191102086")</f>
        <v>9791191102086</v>
      </c>
      <c r="AV1698" t="str">
        <f>T("판타지 웹소설 &gt; 현대 판타지")</f>
        <v>판타지 웹소설 &gt; 현대 판타지</v>
      </c>
    </row>
    <row r="1699" spans="1:48" x14ac:dyDescent="0.4">
      <c r="A1699">
        <v>1525004030</v>
      </c>
      <c r="B1699">
        <v>1525004293</v>
      </c>
      <c r="C1699" t="str">
        <f>T("회귀의 전설 264화")</f>
        <v>회귀의 전설 264화</v>
      </c>
      <c r="D1699" t="str">
        <f>T("264")</f>
        <v>264</v>
      </c>
      <c r="E1699" t="str">
        <f>T("김광수")</f>
        <v>김광수</v>
      </c>
      <c r="H1699" t="str">
        <f>T("스토리위즈")</f>
        <v>스토리위즈</v>
      </c>
      <c r="I1699" t="str">
        <f>T("회귀의 전설")</f>
        <v>회귀의 전설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 s="2">
        <v>70</v>
      </c>
      <c r="AT1699" t="str">
        <f>T("9788997946006")</f>
        <v>9788997946006</v>
      </c>
      <c r="AV1699" t="str">
        <f>T("판타지 웹소설 &gt; 현대 판타지")</f>
        <v>판타지 웹소설 &gt; 현대 판타지</v>
      </c>
    </row>
    <row r="1700" spans="1:48" x14ac:dyDescent="0.4">
      <c r="A1700">
        <v>1525008545</v>
      </c>
      <c r="B1700">
        <v>1525008591</v>
      </c>
      <c r="C1700" t="str">
        <f>T("소년연애담 7화")</f>
        <v>소년연애담 7화</v>
      </c>
      <c r="D1700" t="str">
        <f>T("7")</f>
        <v>7</v>
      </c>
      <c r="E1700" t="str">
        <f>T("나나코")</f>
        <v>나나코</v>
      </c>
      <c r="H1700" t="str">
        <f>T("블러쉬")</f>
        <v>블러쉬</v>
      </c>
      <c r="I1700" t="str">
        <f>T("소년연애담")</f>
        <v>소년연애담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100</v>
      </c>
      <c r="AN1700">
        <v>0</v>
      </c>
      <c r="AO1700">
        <v>0</v>
      </c>
      <c r="AP1700" s="2">
        <v>70</v>
      </c>
      <c r="AR1700" t="str">
        <f>T("0000000000000")</f>
        <v>0000000000000</v>
      </c>
      <c r="AT1700" t="str">
        <f>T("9791164890729")</f>
        <v>9791164890729</v>
      </c>
      <c r="AU1700" t="str">
        <f>T("B12")</f>
        <v>B12</v>
      </c>
      <c r="AV1700" t="str">
        <f>T("BL 웹소설 &gt; 현대물")</f>
        <v>BL 웹소설 &gt; 현대물</v>
      </c>
    </row>
    <row r="1701" spans="1:48" x14ac:dyDescent="0.4">
      <c r="A1701">
        <v>1525010579</v>
      </c>
      <c r="B1701">
        <v>1525010218</v>
      </c>
      <c r="C1701" t="str">
        <f>T("법보다 주먹 360화")</f>
        <v>법보다 주먹 360화</v>
      </c>
      <c r="D1701" t="str">
        <f>T("360")</f>
        <v>360</v>
      </c>
      <c r="E1701" t="str">
        <f>T("백범(白帆)")</f>
        <v>백범(白帆)</v>
      </c>
      <c r="H1701" t="str">
        <f>T("에필로그")</f>
        <v>에필로그</v>
      </c>
      <c r="I1701" t="str">
        <f>T("법보다 주먹")</f>
        <v>법보다 주먹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 s="2">
        <v>70</v>
      </c>
      <c r="AT1701" t="str">
        <f>T("9791164489367")</f>
        <v>9791164489367</v>
      </c>
      <c r="AV1701" t="str">
        <f>T("판타지 웹소설 &gt; 현대 판타지")</f>
        <v>판타지 웹소설 &gt; 현대 판타지</v>
      </c>
    </row>
    <row r="1702" spans="1:48" x14ac:dyDescent="0.4">
      <c r="A1702">
        <v>1525004030</v>
      </c>
      <c r="B1702">
        <v>1525004405</v>
      </c>
      <c r="C1702" t="str">
        <f>T("회귀의 전설 377화")</f>
        <v>회귀의 전설 377화</v>
      </c>
      <c r="D1702" t="str">
        <f>T("377")</f>
        <v>377</v>
      </c>
      <c r="E1702" t="str">
        <f>T("김광수")</f>
        <v>김광수</v>
      </c>
      <c r="H1702" t="str">
        <f>T("스토리위즈")</f>
        <v>스토리위즈</v>
      </c>
      <c r="I1702" t="str">
        <f>T("회귀의 전설")</f>
        <v>회귀의 전설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1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 s="2">
        <v>70</v>
      </c>
      <c r="AT1702" t="str">
        <f>T("9788997946006")</f>
        <v>9788997946006</v>
      </c>
      <c r="AV1702" t="str">
        <f>T("판타지 웹소설 &gt; 현대 판타지")</f>
        <v>판타지 웹소설 &gt; 현대 판타지</v>
      </c>
    </row>
    <row r="1703" spans="1:48" x14ac:dyDescent="0.4">
      <c r="A1703">
        <v>1525004030</v>
      </c>
      <c r="B1703">
        <v>1525006738</v>
      </c>
      <c r="C1703" t="str">
        <f>T("회귀의 전설 2부 621화")</f>
        <v>회귀의 전설 2부 621화</v>
      </c>
      <c r="D1703" t="str">
        <f>T("621")</f>
        <v>621</v>
      </c>
      <c r="E1703" t="str">
        <f>T("김광수")</f>
        <v>김광수</v>
      </c>
      <c r="H1703" t="str">
        <f>T("스토리위즈")</f>
        <v>스토리위즈</v>
      </c>
      <c r="I1703" t="str">
        <f>T("회귀의 전설")</f>
        <v>회귀의 전설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 s="2">
        <v>70</v>
      </c>
      <c r="AT1703" t="str">
        <f>T("9791191102086")</f>
        <v>9791191102086</v>
      </c>
      <c r="AV1703" t="str">
        <f>T("판타지 웹소설 &gt; 현대 판타지")</f>
        <v>판타지 웹소설 &gt; 현대 판타지</v>
      </c>
    </row>
    <row r="1704" spans="1:48" x14ac:dyDescent="0.4">
      <c r="A1704">
        <v>1525004030</v>
      </c>
      <c r="B1704">
        <v>1525004485</v>
      </c>
      <c r="C1704" t="str">
        <f>T("회귀의 전설 469화")</f>
        <v>회귀의 전설 469화</v>
      </c>
      <c r="D1704" t="str">
        <f>T("469")</f>
        <v>469</v>
      </c>
      <c r="E1704" t="str">
        <f>T("김광수")</f>
        <v>김광수</v>
      </c>
      <c r="H1704" t="str">
        <f>T("스토리위즈")</f>
        <v>스토리위즈</v>
      </c>
      <c r="I1704" t="str">
        <f>T("회귀의 전설")</f>
        <v>회귀의 전설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 s="2">
        <v>70</v>
      </c>
      <c r="AT1704" t="str">
        <f>T("9788997946006")</f>
        <v>9788997946006</v>
      </c>
      <c r="AV1704" t="str">
        <f>T("판타지 웹소설 &gt; 현대 판타지")</f>
        <v>판타지 웹소설 &gt; 현대 판타지</v>
      </c>
    </row>
    <row r="1705" spans="1:48" x14ac:dyDescent="0.4">
      <c r="A1705">
        <v>1525007872</v>
      </c>
      <c r="B1705">
        <v>1525007889</v>
      </c>
      <c r="C1705" t="str">
        <f>T("아침이 오지 않아도 35화")</f>
        <v>아침이 오지 않아도 35화</v>
      </c>
      <c r="D1705" t="str">
        <f>T("35")</f>
        <v>35</v>
      </c>
      <c r="E1705" t="str">
        <f>T("홍영")</f>
        <v>홍영</v>
      </c>
      <c r="H1705" t="str">
        <f>T("러브스토리")</f>
        <v>러브스토리</v>
      </c>
      <c r="I1705" t="str">
        <f>T("아침이 오지 않아도")</f>
        <v>아침이 오지 않아도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 s="2">
        <v>70</v>
      </c>
      <c r="AR1705" t="str">
        <f>T("0000000000000")</f>
        <v>0000000000000</v>
      </c>
      <c r="AT1705" t="str">
        <f>T("9791164899708")</f>
        <v>9791164899708</v>
      </c>
      <c r="AV1705" t="str">
        <f>T("로맨스 웹소설 &gt; 현대물")</f>
        <v>로맨스 웹소설 &gt; 현대물</v>
      </c>
    </row>
    <row r="1706" spans="1:48" x14ac:dyDescent="0.4">
      <c r="A1706">
        <v>1525004030</v>
      </c>
      <c r="B1706">
        <v>1525007054</v>
      </c>
      <c r="C1706" t="str">
        <f>T("회귀의 전설 2부 938화")</f>
        <v>회귀의 전설 2부 938화</v>
      </c>
      <c r="D1706" t="str">
        <f>T("938")</f>
        <v>938</v>
      </c>
      <c r="E1706" t="str">
        <f>T("김광수")</f>
        <v>김광수</v>
      </c>
      <c r="H1706" t="str">
        <f t="shared" ref="H1706:H1716" si="186">T("스토리위즈")</f>
        <v>스토리위즈</v>
      </c>
      <c r="I1706" t="str">
        <f>T("회귀의 전설")</f>
        <v>회귀의 전설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 s="2">
        <v>70</v>
      </c>
      <c r="AT1706" t="str">
        <f>T("9791191102086")</f>
        <v>9791191102086</v>
      </c>
      <c r="AV1706" t="str">
        <f>T("판타지 웹소설 &gt; 현대 판타지")</f>
        <v>판타지 웹소설 &gt; 현대 판타지</v>
      </c>
    </row>
    <row r="1707" spans="1:48" x14ac:dyDescent="0.4">
      <c r="A1707">
        <v>1525004989</v>
      </c>
      <c r="B1707">
        <v>1525005623</v>
      </c>
      <c r="C1707" t="str">
        <f>T("신룡전설 134화")</f>
        <v>신룡전설 134화</v>
      </c>
      <c r="D1707" t="str">
        <f>T("134")</f>
        <v>134</v>
      </c>
      <c r="E1707" t="str">
        <f>T("가람검")</f>
        <v>가람검</v>
      </c>
      <c r="H1707" t="str">
        <f t="shared" si="186"/>
        <v>스토리위즈</v>
      </c>
      <c r="I1707" t="str">
        <f>T("신룡전설")</f>
        <v>신룡전설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 s="2">
        <v>70</v>
      </c>
      <c r="AT1707" t="str">
        <f>T("9791159283505")</f>
        <v>9791159283505</v>
      </c>
      <c r="AV1707" t="str">
        <f>T("판타지 웹소설 &gt; 무협 소설")</f>
        <v>판타지 웹소설 &gt; 무협 소설</v>
      </c>
    </row>
    <row r="1708" spans="1:48" x14ac:dyDescent="0.4">
      <c r="A1708">
        <v>2313011400</v>
      </c>
      <c r="B1708">
        <v>1525007696</v>
      </c>
      <c r="C1708" t="str">
        <f>T("최종 보스 24권 1화")</f>
        <v>최종 보스 24권 1화</v>
      </c>
      <c r="D1708" t="str">
        <f>T("474")</f>
        <v>474</v>
      </c>
      <c r="E1708" t="str">
        <f>T("무장")</f>
        <v>무장</v>
      </c>
      <c r="H1708" t="str">
        <f t="shared" si="186"/>
        <v>스토리위즈</v>
      </c>
      <c r="I1708" t="str">
        <f>T("최종 보스 : 빛을 향해 달리는 그림자")</f>
        <v>최종 보스 : 빛을 향해 달리는 그림자</v>
      </c>
      <c r="J1708">
        <v>100</v>
      </c>
      <c r="K1708">
        <v>100</v>
      </c>
      <c r="L1708">
        <v>1</v>
      </c>
      <c r="M1708">
        <v>0</v>
      </c>
      <c r="N1708">
        <v>100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200</v>
      </c>
      <c r="AH1708">
        <v>2</v>
      </c>
      <c r="AI1708">
        <v>0</v>
      </c>
      <c r="AJ1708">
        <v>0</v>
      </c>
      <c r="AK1708">
        <v>200</v>
      </c>
      <c r="AL1708">
        <v>0</v>
      </c>
      <c r="AM1708">
        <v>0</v>
      </c>
      <c r="AN1708">
        <v>0</v>
      </c>
      <c r="AO1708">
        <v>0</v>
      </c>
      <c r="AP1708" s="2">
        <v>140</v>
      </c>
      <c r="AT1708" t="str">
        <f>T("9791166067563")</f>
        <v>9791166067563</v>
      </c>
      <c r="AV1708" t="str">
        <f>T("판타지 웹소설 &gt; 현대 판타지")</f>
        <v>판타지 웹소설 &gt; 현대 판타지</v>
      </c>
    </row>
    <row r="1709" spans="1:48" x14ac:dyDescent="0.4">
      <c r="A1709">
        <v>1525004030</v>
      </c>
      <c r="B1709">
        <v>1525007002</v>
      </c>
      <c r="C1709" t="str">
        <f>T("회귀의 전설 2부 886화")</f>
        <v>회귀의 전설 2부 886화</v>
      </c>
      <c r="D1709" t="str">
        <f>T("886")</f>
        <v>886</v>
      </c>
      <c r="E1709" t="str">
        <f>T("김광수")</f>
        <v>김광수</v>
      </c>
      <c r="H1709" t="str">
        <f t="shared" si="186"/>
        <v>스토리위즈</v>
      </c>
      <c r="I1709" t="str">
        <f>T("회귀의 전설")</f>
        <v>회귀의 전설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 s="2">
        <v>70</v>
      </c>
      <c r="AT1709" t="str">
        <f>T("9791191102086")</f>
        <v>9791191102086</v>
      </c>
      <c r="AV1709" t="str">
        <f>T("판타지 웹소설 &gt; 현대 판타지")</f>
        <v>판타지 웹소설 &gt; 현대 판타지</v>
      </c>
    </row>
    <row r="1710" spans="1:48" x14ac:dyDescent="0.4">
      <c r="A1710">
        <v>2313011400</v>
      </c>
      <c r="B1710">
        <v>1525007600</v>
      </c>
      <c r="C1710" t="str">
        <f>T("최종 보스 19권 6화")</f>
        <v>최종 보스 19권 6화</v>
      </c>
      <c r="D1710" t="str">
        <f>T("378")</f>
        <v>378</v>
      </c>
      <c r="E1710" t="str">
        <f>T("무장")</f>
        <v>무장</v>
      </c>
      <c r="H1710" t="str">
        <f t="shared" si="186"/>
        <v>스토리위즈</v>
      </c>
      <c r="I1710" t="str">
        <f>T("최종 보스 : 빛을 향해 달리는 그림자")</f>
        <v>최종 보스 : 빛을 향해 달리는 그림자</v>
      </c>
      <c r="J1710">
        <v>100</v>
      </c>
      <c r="K1710">
        <v>100</v>
      </c>
      <c r="L1710">
        <v>1</v>
      </c>
      <c r="M1710">
        <v>0</v>
      </c>
      <c r="N1710">
        <v>100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200</v>
      </c>
      <c r="AH1710">
        <v>2</v>
      </c>
      <c r="AI1710">
        <v>0</v>
      </c>
      <c r="AJ1710">
        <v>0</v>
      </c>
      <c r="AK1710">
        <v>200</v>
      </c>
      <c r="AL1710">
        <v>0</v>
      </c>
      <c r="AM1710">
        <v>0</v>
      </c>
      <c r="AN1710">
        <v>0</v>
      </c>
      <c r="AO1710">
        <v>0</v>
      </c>
      <c r="AP1710" s="2">
        <v>140</v>
      </c>
      <c r="AT1710" t="str">
        <f>T("9791166067563")</f>
        <v>9791166067563</v>
      </c>
      <c r="AV1710" t="str">
        <f>T("판타지 웹소설 &gt; 현대 판타지")</f>
        <v>판타지 웹소설 &gt; 현대 판타지</v>
      </c>
    </row>
    <row r="1711" spans="1:48" x14ac:dyDescent="0.4">
      <c r="A1711">
        <v>1525004030</v>
      </c>
      <c r="B1711">
        <v>1525004325</v>
      </c>
      <c r="C1711" t="str">
        <f>T("회귀의 전설 296화")</f>
        <v>회귀의 전설 296화</v>
      </c>
      <c r="D1711" t="str">
        <f>T("296")</f>
        <v>296</v>
      </c>
      <c r="E1711" t="str">
        <f>T("김광수")</f>
        <v>김광수</v>
      </c>
      <c r="H1711" t="str">
        <f t="shared" si="186"/>
        <v>스토리위즈</v>
      </c>
      <c r="I1711" t="str">
        <f>T("회귀의 전설")</f>
        <v>회귀의 전설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 s="2">
        <v>70</v>
      </c>
      <c r="AT1711" t="str">
        <f>T("9788997946006")</f>
        <v>9788997946006</v>
      </c>
      <c r="AV1711" t="str">
        <f>T("판타지 웹소설 &gt; 현대 판타지")</f>
        <v>판타지 웹소설 &gt; 현대 판타지</v>
      </c>
    </row>
    <row r="1712" spans="1:48" x14ac:dyDescent="0.4">
      <c r="A1712">
        <v>1525004988</v>
      </c>
      <c r="B1712">
        <v>1525005341</v>
      </c>
      <c r="C1712" t="str">
        <f>T("용무쌍 54화")</f>
        <v>용무쌍 54화</v>
      </c>
      <c r="D1712" t="str">
        <f>T("54")</f>
        <v>54</v>
      </c>
      <c r="E1712" t="str">
        <f>T("권용찬")</f>
        <v>권용찬</v>
      </c>
      <c r="H1712" t="str">
        <f t="shared" si="186"/>
        <v>스토리위즈</v>
      </c>
      <c r="I1712" t="str">
        <f>T("용무쌍")</f>
        <v>용무쌍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 s="2">
        <v>70</v>
      </c>
      <c r="AT1712" t="str">
        <f>T("9791159284861")</f>
        <v>9791159284861</v>
      </c>
      <c r="AV1712" t="str">
        <f>T("판타지 웹소설 &gt; 무협 소설")</f>
        <v>판타지 웹소설 &gt; 무협 소설</v>
      </c>
    </row>
    <row r="1713" spans="1:48" x14ac:dyDescent="0.4">
      <c r="A1713">
        <v>1525004030</v>
      </c>
      <c r="B1713">
        <v>1525004437</v>
      </c>
      <c r="C1713" t="str">
        <f>T("회귀의 전설 421화")</f>
        <v>회귀의 전설 421화</v>
      </c>
      <c r="D1713" t="str">
        <f>T("421")</f>
        <v>421</v>
      </c>
      <c r="E1713" t="str">
        <f>T("김광수")</f>
        <v>김광수</v>
      </c>
      <c r="H1713" t="str">
        <f t="shared" si="186"/>
        <v>스토리위즈</v>
      </c>
      <c r="I1713" t="str">
        <f>T("회귀의 전설")</f>
        <v>회귀의 전설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 s="2">
        <v>70</v>
      </c>
      <c r="AT1713" t="str">
        <f>T("9788997946006")</f>
        <v>9788997946006</v>
      </c>
      <c r="AV1713" t="str">
        <f>T("판타지 웹소설 &gt; 현대 판타지")</f>
        <v>판타지 웹소설 &gt; 현대 판타지</v>
      </c>
    </row>
    <row r="1714" spans="1:48" x14ac:dyDescent="0.4">
      <c r="A1714">
        <v>1525004030</v>
      </c>
      <c r="B1714">
        <v>1525004517</v>
      </c>
      <c r="C1714" t="str">
        <f>T("회귀의 전설 388화")</f>
        <v>회귀의 전설 388화</v>
      </c>
      <c r="D1714" t="str">
        <f>T("388")</f>
        <v>388</v>
      </c>
      <c r="E1714" t="str">
        <f>T("김광수")</f>
        <v>김광수</v>
      </c>
      <c r="H1714" t="str">
        <f t="shared" si="186"/>
        <v>스토리위즈</v>
      </c>
      <c r="I1714" t="str">
        <f>T("회귀의 전설")</f>
        <v>회귀의 전설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 s="2">
        <v>70</v>
      </c>
      <c r="AT1714" t="str">
        <f>T("9788997946006")</f>
        <v>9788997946006</v>
      </c>
      <c r="AV1714" t="str">
        <f>T("판타지 웹소설 &gt; 현대 판타지")</f>
        <v>판타지 웹소설 &gt; 현대 판타지</v>
      </c>
    </row>
    <row r="1715" spans="1:48" x14ac:dyDescent="0.4">
      <c r="A1715">
        <v>1525004989</v>
      </c>
      <c r="B1715">
        <v>1525005543</v>
      </c>
      <c r="C1715" t="str">
        <f>T("신룡전설 54화")</f>
        <v>신룡전설 54화</v>
      </c>
      <c r="D1715" t="str">
        <f>T("54")</f>
        <v>54</v>
      </c>
      <c r="E1715" t="str">
        <f>T("가람검")</f>
        <v>가람검</v>
      </c>
      <c r="H1715" t="str">
        <f t="shared" si="186"/>
        <v>스토리위즈</v>
      </c>
      <c r="I1715" t="str">
        <f>T("신룡전설")</f>
        <v>신룡전설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 s="2">
        <v>70</v>
      </c>
      <c r="AT1715" t="str">
        <f>T("9791159283505")</f>
        <v>9791159283505</v>
      </c>
      <c r="AV1715" t="str">
        <f>T("판타지 웹소설 &gt; 무협 소설")</f>
        <v>판타지 웹소설 &gt; 무협 소설</v>
      </c>
    </row>
    <row r="1716" spans="1:48" x14ac:dyDescent="0.4">
      <c r="A1716">
        <v>1525004030</v>
      </c>
      <c r="B1716">
        <v>1525007086</v>
      </c>
      <c r="C1716" t="str">
        <f>T("회귀의 전설 2부 970화")</f>
        <v>회귀의 전설 2부 970화</v>
      </c>
      <c r="D1716" t="str">
        <f>T("970")</f>
        <v>970</v>
      </c>
      <c r="E1716" t="str">
        <f>T("김광수")</f>
        <v>김광수</v>
      </c>
      <c r="H1716" t="str">
        <f t="shared" si="186"/>
        <v>스토리위즈</v>
      </c>
      <c r="I1716" t="str">
        <f>T("회귀의 전설")</f>
        <v>회귀의 전설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P1716" s="2">
        <v>70</v>
      </c>
      <c r="AT1716" t="str">
        <f>T("9791191102086")</f>
        <v>9791191102086</v>
      </c>
      <c r="AV1716" t="str">
        <f>T("판타지 웹소설 &gt; 현대 판타지")</f>
        <v>판타지 웹소설 &gt; 현대 판타지</v>
      </c>
    </row>
    <row r="1717" spans="1:48" x14ac:dyDescent="0.4">
      <c r="A1717">
        <v>1525007923</v>
      </c>
      <c r="B1717">
        <v>1525007976</v>
      </c>
      <c r="C1717" t="str">
        <f>T("운상연담: 화불능귀일락 68화")</f>
        <v>운상연담: 화불능귀일락 68화</v>
      </c>
      <c r="D1717" t="str">
        <f>T("68")</f>
        <v>68</v>
      </c>
      <c r="E1717" t="str">
        <f>T("피모")</f>
        <v>피모</v>
      </c>
      <c r="H1717" t="str">
        <f>T("쉬라즈")</f>
        <v>쉬라즈</v>
      </c>
      <c r="I1717" t="str">
        <f>T("운상연담: 화불능귀일락")</f>
        <v>운상연담: 화불능귀일락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 s="2">
        <v>70</v>
      </c>
      <c r="AT1717" t="str">
        <f>T("9791164896646")</f>
        <v>9791164896646</v>
      </c>
      <c r="AV1717" t="str">
        <f>T("로맨스 웹소설 &gt; 역사/시대물")</f>
        <v>로맨스 웹소설 &gt; 역사/시대물</v>
      </c>
    </row>
    <row r="1718" spans="1:48" x14ac:dyDescent="0.4">
      <c r="A1718">
        <v>2313011400</v>
      </c>
      <c r="B1718">
        <v>1525007632</v>
      </c>
      <c r="C1718" t="str">
        <f>T("최종 보스 20권 17화")</f>
        <v>최종 보스 20권 17화</v>
      </c>
      <c r="D1718" t="str">
        <f>T("410")</f>
        <v>410</v>
      </c>
      <c r="E1718" t="str">
        <f>T("무장")</f>
        <v>무장</v>
      </c>
      <c r="H1718" t="str">
        <f>T("스토리위즈")</f>
        <v>스토리위즈</v>
      </c>
      <c r="I1718" t="str">
        <f>T("최종 보스 : 빛을 향해 달리는 그림자")</f>
        <v>최종 보스 : 빛을 향해 달리는 그림자</v>
      </c>
      <c r="J1718">
        <v>100</v>
      </c>
      <c r="K1718">
        <v>100</v>
      </c>
      <c r="L1718">
        <v>1</v>
      </c>
      <c r="M1718">
        <v>0</v>
      </c>
      <c r="N1718">
        <v>100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</v>
      </c>
      <c r="AH1718">
        <v>2</v>
      </c>
      <c r="AI1718">
        <v>0</v>
      </c>
      <c r="AJ1718">
        <v>0</v>
      </c>
      <c r="AK1718">
        <v>200</v>
      </c>
      <c r="AL1718">
        <v>0</v>
      </c>
      <c r="AM1718">
        <v>0</v>
      </c>
      <c r="AN1718">
        <v>0</v>
      </c>
      <c r="AO1718">
        <v>0</v>
      </c>
      <c r="AP1718" s="2">
        <v>140</v>
      </c>
      <c r="AT1718" t="str">
        <f>T("9791166067563")</f>
        <v>9791166067563</v>
      </c>
      <c r="AV1718" t="str">
        <f>T("판타지 웹소설 &gt; 현대 판타지")</f>
        <v>판타지 웹소설 &gt; 현대 판타지</v>
      </c>
    </row>
    <row r="1719" spans="1:48" x14ac:dyDescent="0.4">
      <c r="A1719">
        <v>1525004030</v>
      </c>
      <c r="B1719">
        <v>1525004357</v>
      </c>
      <c r="C1719" t="str">
        <f>T("회귀의 전설 329화")</f>
        <v>회귀의 전설 329화</v>
      </c>
      <c r="D1719" t="str">
        <f>T("329")</f>
        <v>329</v>
      </c>
      <c r="E1719" t="str">
        <f>T("김광수")</f>
        <v>김광수</v>
      </c>
      <c r="H1719" t="str">
        <f>T("스토리위즈")</f>
        <v>스토리위즈</v>
      </c>
      <c r="I1719" t="str">
        <f>T("회귀의 전설")</f>
        <v>회귀의 전설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 s="2">
        <v>70</v>
      </c>
      <c r="AT1719" t="str">
        <f>T("9788997946006")</f>
        <v>9788997946006</v>
      </c>
      <c r="AV1719" t="str">
        <f>T("판타지 웹소설 &gt; 현대 판타지")</f>
        <v>판타지 웹소설 &gt; 현대 판타지</v>
      </c>
    </row>
    <row r="1720" spans="1:48" x14ac:dyDescent="0.4">
      <c r="A1720">
        <v>1525004989</v>
      </c>
      <c r="B1720">
        <v>1525005519</v>
      </c>
      <c r="C1720" t="str">
        <f>T("신룡전설 30화")</f>
        <v>신룡전설 30화</v>
      </c>
      <c r="D1720" t="str">
        <f>T("30")</f>
        <v>30</v>
      </c>
      <c r="E1720" t="str">
        <f>T("가람검")</f>
        <v>가람검</v>
      </c>
      <c r="H1720" t="str">
        <f>T("스토리위즈")</f>
        <v>스토리위즈</v>
      </c>
      <c r="I1720" t="str">
        <f>T("신룡전설")</f>
        <v>신룡전설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 s="2">
        <v>70</v>
      </c>
      <c r="AT1720" t="str">
        <f>T("9791159283505")</f>
        <v>9791159283505</v>
      </c>
      <c r="AV1720" t="str">
        <f>T("판타지 웹소설 &gt; 무협 소설")</f>
        <v>판타지 웹소설 &gt; 무협 소설</v>
      </c>
    </row>
    <row r="1721" spans="1:48" x14ac:dyDescent="0.4">
      <c r="A1721">
        <v>1525004030</v>
      </c>
      <c r="B1721">
        <v>1525007158</v>
      </c>
      <c r="C1721" t="str">
        <f>T("회귀의 전설 2부 1041화")</f>
        <v>회귀의 전설 2부 1041화</v>
      </c>
      <c r="D1721" t="str">
        <f>T("1041")</f>
        <v>1041</v>
      </c>
      <c r="E1721" t="str">
        <f>T("김광수")</f>
        <v>김광수</v>
      </c>
      <c r="H1721" t="str">
        <f>T("스토리위즈")</f>
        <v>스토리위즈</v>
      </c>
      <c r="I1721" t="str">
        <f>T("회귀의 전설")</f>
        <v>회귀의 전설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 s="2">
        <v>70</v>
      </c>
      <c r="AT1721" t="str">
        <f>T("9791191102086")</f>
        <v>9791191102086</v>
      </c>
      <c r="AV1721" t="str">
        <f>T("판타지 웹소설 &gt; 현대 판타지")</f>
        <v>판타지 웹소설 &gt; 현대 판타지</v>
      </c>
    </row>
    <row r="1722" spans="1:48" x14ac:dyDescent="0.4">
      <c r="A1722">
        <v>1525004030</v>
      </c>
      <c r="B1722">
        <v>1525004469</v>
      </c>
      <c r="C1722" t="str">
        <f>T("회귀의 전설 453화")</f>
        <v>회귀의 전설 453화</v>
      </c>
      <c r="D1722" t="str">
        <f>T("453")</f>
        <v>453</v>
      </c>
      <c r="E1722" t="str">
        <f>T("김광수")</f>
        <v>김광수</v>
      </c>
      <c r="H1722" t="str">
        <f>T("스토리위즈")</f>
        <v>스토리위즈</v>
      </c>
      <c r="I1722" t="str">
        <f>T("회귀의 전설")</f>
        <v>회귀의 전설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 s="2">
        <v>70</v>
      </c>
      <c r="AT1722" t="str">
        <f>T("9788997946006")</f>
        <v>9788997946006</v>
      </c>
      <c r="AV1722" t="str">
        <f>T("판타지 웹소설 &gt; 현대 판타지")</f>
        <v>판타지 웹소설 &gt; 현대 판타지</v>
      </c>
    </row>
    <row r="1723" spans="1:48" x14ac:dyDescent="0.4">
      <c r="A1723">
        <v>1525008545</v>
      </c>
      <c r="B1723">
        <v>1525008559</v>
      </c>
      <c r="C1723" t="str">
        <f>T("소년연애담 32화")</f>
        <v>소년연애담 32화</v>
      </c>
      <c r="D1723" t="str">
        <f>T("32")</f>
        <v>32</v>
      </c>
      <c r="E1723" t="str">
        <f>T("나나코")</f>
        <v>나나코</v>
      </c>
      <c r="H1723" t="str">
        <f>T("블러쉬")</f>
        <v>블러쉬</v>
      </c>
      <c r="I1723" t="str">
        <f>T("소년연애담")</f>
        <v>소년연애담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100</v>
      </c>
      <c r="AN1723">
        <v>0</v>
      </c>
      <c r="AO1723">
        <v>0</v>
      </c>
      <c r="AP1723" s="2">
        <v>70</v>
      </c>
      <c r="AR1723" t="str">
        <f>T("0000000000000")</f>
        <v>0000000000000</v>
      </c>
      <c r="AT1723" t="str">
        <f>T("9791164890729")</f>
        <v>9791164890729</v>
      </c>
      <c r="AU1723" t="str">
        <f>T("B12")</f>
        <v>B12</v>
      </c>
      <c r="AV1723" t="str">
        <f>T("BL 웹소설 &gt; 현대물")</f>
        <v>BL 웹소설 &gt; 현대물</v>
      </c>
    </row>
    <row r="1724" spans="1:48" x14ac:dyDescent="0.4">
      <c r="A1724">
        <v>1525004989</v>
      </c>
      <c r="B1724">
        <v>1525005575</v>
      </c>
      <c r="C1724" t="str">
        <f>T("신룡전설 86화")</f>
        <v>신룡전설 86화</v>
      </c>
      <c r="D1724" t="str">
        <f>T("86")</f>
        <v>86</v>
      </c>
      <c r="E1724" t="str">
        <f>T("가람검")</f>
        <v>가람검</v>
      </c>
      <c r="H1724" t="str">
        <f t="shared" ref="H1724:H1736" si="187">T("스토리위즈")</f>
        <v>스토리위즈</v>
      </c>
      <c r="I1724" t="str">
        <f>T("신룡전설")</f>
        <v>신룡전설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 s="2">
        <v>70</v>
      </c>
      <c r="AT1724" t="str">
        <f>T("9791159283505")</f>
        <v>9791159283505</v>
      </c>
      <c r="AV1724" t="str">
        <f>T("판타지 웹소설 &gt; 무협 소설")</f>
        <v>판타지 웹소설 &gt; 무협 소설</v>
      </c>
    </row>
    <row r="1725" spans="1:48" x14ac:dyDescent="0.4">
      <c r="A1725">
        <v>1525004030</v>
      </c>
      <c r="B1725">
        <v>1525007118</v>
      </c>
      <c r="C1725" t="str">
        <f>T("회귀의 전설 2부 1002화")</f>
        <v>회귀의 전설 2부 1002화</v>
      </c>
      <c r="D1725" t="str">
        <f>T("1002")</f>
        <v>1002</v>
      </c>
      <c r="E1725" t="str">
        <f>T("김광수")</f>
        <v>김광수</v>
      </c>
      <c r="H1725" t="str">
        <f t="shared" si="187"/>
        <v>스토리위즈</v>
      </c>
      <c r="I1725" t="str">
        <f>T("회귀의 전설")</f>
        <v>회귀의 전설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 s="2">
        <v>70</v>
      </c>
      <c r="AT1725" t="str">
        <f>T("9791191102086")</f>
        <v>9791191102086</v>
      </c>
      <c r="AV1725" t="str">
        <f>T("판타지 웹소설 &gt; 현대 판타지")</f>
        <v>판타지 웹소설 &gt; 현대 판타지</v>
      </c>
    </row>
    <row r="1726" spans="1:48" x14ac:dyDescent="0.4">
      <c r="A1726">
        <v>1525004030</v>
      </c>
      <c r="B1726">
        <v>1525004318</v>
      </c>
      <c r="C1726" t="str">
        <f>T("회귀의 전설 289화")</f>
        <v>회귀의 전설 289화</v>
      </c>
      <c r="D1726" t="str">
        <f>T("289")</f>
        <v>289</v>
      </c>
      <c r="E1726" t="str">
        <f>T("김광수")</f>
        <v>김광수</v>
      </c>
      <c r="H1726" t="str">
        <f t="shared" si="187"/>
        <v>스토리위즈</v>
      </c>
      <c r="I1726" t="str">
        <f>T("회귀의 전설")</f>
        <v>회귀의 전설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 s="2">
        <v>70</v>
      </c>
      <c r="AT1726" t="str">
        <f>T("9788997946006")</f>
        <v>9788997946006</v>
      </c>
      <c r="AV1726" t="str">
        <f>T("판타지 웹소설 &gt; 현대 판타지")</f>
        <v>판타지 웹소설 &gt; 현대 판타지</v>
      </c>
    </row>
    <row r="1727" spans="1:48" x14ac:dyDescent="0.4">
      <c r="A1727">
        <v>1525004988</v>
      </c>
      <c r="B1727">
        <v>1525005334</v>
      </c>
      <c r="C1727" t="str">
        <f>T("용무쌍 47화")</f>
        <v>용무쌍 47화</v>
      </c>
      <c r="D1727" t="str">
        <f>T("47")</f>
        <v>47</v>
      </c>
      <c r="E1727" t="str">
        <f>T("권용찬")</f>
        <v>권용찬</v>
      </c>
      <c r="H1727" t="str">
        <f t="shared" si="187"/>
        <v>스토리위즈</v>
      </c>
      <c r="I1727" t="str">
        <f>T("용무쌍")</f>
        <v>용무쌍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 s="2">
        <v>70</v>
      </c>
      <c r="AT1727" t="str">
        <f>T("9791159284861")</f>
        <v>9791159284861</v>
      </c>
      <c r="AV1727" t="str">
        <f>T("판타지 웹소설 &gt; 무협 소설")</f>
        <v>판타지 웹소설 &gt; 무협 소설</v>
      </c>
    </row>
    <row r="1728" spans="1:48" x14ac:dyDescent="0.4">
      <c r="A1728">
        <v>1525004030</v>
      </c>
      <c r="B1728">
        <v>1525004510</v>
      </c>
      <c r="C1728" t="str">
        <f>T("회귀의 전설 499화")</f>
        <v>회귀의 전설 499화</v>
      </c>
      <c r="D1728" t="str">
        <f>T("499")</f>
        <v>499</v>
      </c>
      <c r="E1728" t="str">
        <f>T("김광수")</f>
        <v>김광수</v>
      </c>
      <c r="H1728" t="str">
        <f t="shared" si="187"/>
        <v>스토리위즈</v>
      </c>
      <c r="I1728" t="str">
        <f>T("회귀의 전설")</f>
        <v>회귀의 전설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 s="2">
        <v>70</v>
      </c>
      <c r="AT1728" t="str">
        <f>T("9788997946006")</f>
        <v>9788997946006</v>
      </c>
      <c r="AV1728" t="str">
        <f>T("판타지 웹소설 &gt; 현대 판타지")</f>
        <v>판타지 웹소설 &gt; 현대 판타지</v>
      </c>
    </row>
    <row r="1729" spans="1:48" x14ac:dyDescent="0.4">
      <c r="A1729">
        <v>1525004989</v>
      </c>
      <c r="B1729">
        <v>1525005536</v>
      </c>
      <c r="C1729" t="str">
        <f>T("신룡전설 47화")</f>
        <v>신룡전설 47화</v>
      </c>
      <c r="D1729" t="str">
        <f>T("47")</f>
        <v>47</v>
      </c>
      <c r="E1729" t="str">
        <f>T("가람검")</f>
        <v>가람검</v>
      </c>
      <c r="H1729" t="str">
        <f t="shared" si="187"/>
        <v>스토리위즈</v>
      </c>
      <c r="I1729" t="str">
        <f>T("신룡전설")</f>
        <v>신룡전설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 s="2">
        <v>70</v>
      </c>
      <c r="AT1729" t="str">
        <f>T("9791159283505")</f>
        <v>9791159283505</v>
      </c>
      <c r="AV1729" t="str">
        <f>T("판타지 웹소설 &gt; 무협 소설")</f>
        <v>판타지 웹소설 &gt; 무협 소설</v>
      </c>
    </row>
    <row r="1730" spans="1:48" x14ac:dyDescent="0.4">
      <c r="A1730">
        <v>1525000569</v>
      </c>
      <c r="B1730">
        <v>1525000663</v>
      </c>
      <c r="C1730" t="str">
        <f>T("스트라이커 94화")</f>
        <v>스트라이커 94화</v>
      </c>
      <c r="D1730" t="str">
        <f>T("94")</f>
        <v>94</v>
      </c>
      <c r="E1730" t="str">
        <f>T("독고진")</f>
        <v>독고진</v>
      </c>
      <c r="H1730" t="str">
        <f t="shared" si="187"/>
        <v>스토리위즈</v>
      </c>
      <c r="I1730" t="str">
        <f>T("스트라이커")</f>
        <v>스트라이커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 s="2">
        <v>70</v>
      </c>
      <c r="AT1730" t="str">
        <f>T("9791170151678")</f>
        <v>9791170151678</v>
      </c>
      <c r="AV1730" t="str">
        <f t="shared" ref="AV1730:AV1736" si="188">T("판타지 웹소설 &gt; 현대 판타지")</f>
        <v>판타지 웹소설 &gt; 현대 판타지</v>
      </c>
    </row>
    <row r="1731" spans="1:48" x14ac:dyDescent="0.4">
      <c r="A1731">
        <v>1525004030</v>
      </c>
      <c r="B1731">
        <v>1525007079</v>
      </c>
      <c r="C1731" t="str">
        <f>T("회귀의 전설 2부 963화")</f>
        <v>회귀의 전설 2부 963화</v>
      </c>
      <c r="D1731" t="str">
        <f>T("963")</f>
        <v>963</v>
      </c>
      <c r="E1731" t="str">
        <f>T("김광수")</f>
        <v>김광수</v>
      </c>
      <c r="H1731" t="str">
        <f t="shared" si="187"/>
        <v>스토리위즈</v>
      </c>
      <c r="I1731" t="str">
        <f>T("회귀의 전설")</f>
        <v>회귀의 전설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 s="2">
        <v>70</v>
      </c>
      <c r="AT1731" t="str">
        <f>T("9791191102086")</f>
        <v>9791191102086</v>
      </c>
      <c r="AV1731" t="str">
        <f t="shared" si="188"/>
        <v>판타지 웹소설 &gt; 현대 판타지</v>
      </c>
    </row>
    <row r="1732" spans="1:48" x14ac:dyDescent="0.4">
      <c r="A1732">
        <v>2313011400</v>
      </c>
      <c r="B1732">
        <v>1525007625</v>
      </c>
      <c r="C1732" t="str">
        <f>T("최종 보스 20권 10화")</f>
        <v>최종 보스 20권 10화</v>
      </c>
      <c r="D1732" t="str">
        <f>T("403")</f>
        <v>403</v>
      </c>
      <c r="E1732" t="str">
        <f>T("무장")</f>
        <v>무장</v>
      </c>
      <c r="H1732" t="str">
        <f t="shared" si="187"/>
        <v>스토리위즈</v>
      </c>
      <c r="I1732" t="str">
        <f>T("최종 보스 : 빛을 향해 달리는 그림자")</f>
        <v>최종 보스 : 빛을 향해 달리는 그림자</v>
      </c>
      <c r="J1732">
        <v>100</v>
      </c>
      <c r="K1732">
        <v>100</v>
      </c>
      <c r="L1732">
        <v>1</v>
      </c>
      <c r="M1732">
        <v>0</v>
      </c>
      <c r="N1732">
        <v>100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200</v>
      </c>
      <c r="AH1732">
        <v>2</v>
      </c>
      <c r="AI1732">
        <v>0</v>
      </c>
      <c r="AJ1732">
        <v>0</v>
      </c>
      <c r="AK1732">
        <v>200</v>
      </c>
      <c r="AL1732">
        <v>0</v>
      </c>
      <c r="AM1732">
        <v>0</v>
      </c>
      <c r="AN1732">
        <v>0</v>
      </c>
      <c r="AO1732">
        <v>0</v>
      </c>
      <c r="AP1732" s="2">
        <v>140</v>
      </c>
      <c r="AT1732" t="str">
        <f>T("9791166067563")</f>
        <v>9791166067563</v>
      </c>
      <c r="AV1732" t="str">
        <f t="shared" si="188"/>
        <v>판타지 웹소설 &gt; 현대 판타지</v>
      </c>
    </row>
    <row r="1733" spans="1:48" x14ac:dyDescent="0.4">
      <c r="A1733">
        <v>1525004030</v>
      </c>
      <c r="B1733">
        <v>1525004350</v>
      </c>
      <c r="C1733" t="str">
        <f>T("회귀의 전설 322화")</f>
        <v>회귀의 전설 322화</v>
      </c>
      <c r="D1733" t="str">
        <f>T("322")</f>
        <v>322</v>
      </c>
      <c r="E1733" t="str">
        <f>T("김광수")</f>
        <v>김광수</v>
      </c>
      <c r="H1733" t="str">
        <f t="shared" si="187"/>
        <v>스토리위즈</v>
      </c>
      <c r="I1733" t="str">
        <f>T("회귀의 전설")</f>
        <v>회귀의 전설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 s="2">
        <v>70</v>
      </c>
      <c r="AT1733" t="str">
        <f>T("9788997946006")</f>
        <v>9788997946006</v>
      </c>
      <c r="AV1733" t="str">
        <f t="shared" si="188"/>
        <v>판타지 웹소설 &gt; 현대 판타지</v>
      </c>
    </row>
    <row r="1734" spans="1:48" x14ac:dyDescent="0.4">
      <c r="A1734">
        <v>1525004030</v>
      </c>
      <c r="B1734">
        <v>1525004088</v>
      </c>
      <c r="C1734" t="str">
        <f>T("회귀의 전설 59화")</f>
        <v>회귀의 전설 59화</v>
      </c>
      <c r="D1734" t="str">
        <f>T("59")</f>
        <v>59</v>
      </c>
      <c r="E1734" t="str">
        <f>T("김광수")</f>
        <v>김광수</v>
      </c>
      <c r="H1734" t="str">
        <f t="shared" si="187"/>
        <v>스토리위즈</v>
      </c>
      <c r="I1734" t="str">
        <f>T("회귀의 전설")</f>
        <v>회귀의 전설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 s="2">
        <v>70</v>
      </c>
      <c r="AT1734" t="str">
        <f>T("9788997946006")</f>
        <v>9788997946006</v>
      </c>
      <c r="AV1734" t="str">
        <f t="shared" si="188"/>
        <v>판타지 웹소설 &gt; 현대 판타지</v>
      </c>
    </row>
    <row r="1735" spans="1:48" x14ac:dyDescent="0.4">
      <c r="A1735">
        <v>1525004030</v>
      </c>
      <c r="B1735">
        <v>1525007151</v>
      </c>
      <c r="C1735" t="str">
        <f>T("회귀의 전설 2부 1034화")</f>
        <v>회귀의 전설 2부 1034화</v>
      </c>
      <c r="D1735" t="str">
        <f>T("1034")</f>
        <v>1034</v>
      </c>
      <c r="E1735" t="str">
        <f>T("김광수")</f>
        <v>김광수</v>
      </c>
      <c r="H1735" t="str">
        <f t="shared" si="187"/>
        <v>스토리위즈</v>
      </c>
      <c r="I1735" t="str">
        <f>T("회귀의 전설")</f>
        <v>회귀의 전설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 s="2">
        <v>70</v>
      </c>
      <c r="AT1735" t="str">
        <f>T("9791191102086")</f>
        <v>9791191102086</v>
      </c>
      <c r="AV1735" t="str">
        <f t="shared" si="188"/>
        <v>판타지 웹소설 &gt; 현대 판타지</v>
      </c>
    </row>
    <row r="1736" spans="1:48" x14ac:dyDescent="0.4">
      <c r="A1736">
        <v>1525004030</v>
      </c>
      <c r="B1736">
        <v>1525004462</v>
      </c>
      <c r="C1736" t="str">
        <f>T("회귀의 전설 446화")</f>
        <v>회귀의 전설 446화</v>
      </c>
      <c r="D1736" t="str">
        <f>T("446")</f>
        <v>446</v>
      </c>
      <c r="E1736" t="str">
        <f>T("김광수")</f>
        <v>김광수</v>
      </c>
      <c r="H1736" t="str">
        <f t="shared" si="187"/>
        <v>스토리위즈</v>
      </c>
      <c r="I1736" t="str">
        <f>T("회귀의 전설")</f>
        <v>회귀의 전설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 s="2">
        <v>70</v>
      </c>
      <c r="AT1736" t="str">
        <f>T("9788997946006")</f>
        <v>9788997946006</v>
      </c>
      <c r="AV1736" t="str">
        <f t="shared" si="188"/>
        <v>판타지 웹소설 &gt; 현대 판타지</v>
      </c>
    </row>
    <row r="1737" spans="1:48" x14ac:dyDescent="0.4">
      <c r="A1737">
        <v>1525008545</v>
      </c>
      <c r="B1737">
        <v>1525008552</v>
      </c>
      <c r="C1737" t="str">
        <f>T("소년연애담 26화")</f>
        <v>소년연애담 26화</v>
      </c>
      <c r="D1737" t="str">
        <f>T("26")</f>
        <v>26</v>
      </c>
      <c r="E1737" t="str">
        <f>T("나나코")</f>
        <v>나나코</v>
      </c>
      <c r="H1737" t="str">
        <f>T("블러쉬")</f>
        <v>블러쉬</v>
      </c>
      <c r="I1737" t="str">
        <f>T("소년연애담")</f>
        <v>소년연애담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100</v>
      </c>
      <c r="AN1737">
        <v>0</v>
      </c>
      <c r="AO1737">
        <v>0</v>
      </c>
      <c r="AP1737" s="2">
        <v>70</v>
      </c>
      <c r="AR1737" t="str">
        <f>T("0000000000000")</f>
        <v>0000000000000</v>
      </c>
      <c r="AT1737" t="str">
        <f>T("9791164890729")</f>
        <v>9791164890729</v>
      </c>
      <c r="AU1737" t="str">
        <f>T("B12")</f>
        <v>B12</v>
      </c>
      <c r="AV1737" t="str">
        <f>T("BL 웹소설 &gt; 현대물")</f>
        <v>BL 웹소설 &gt; 현대물</v>
      </c>
    </row>
    <row r="1738" spans="1:48" x14ac:dyDescent="0.4">
      <c r="A1738">
        <v>1525004989</v>
      </c>
      <c r="B1738">
        <v>1525005568</v>
      </c>
      <c r="C1738" t="str">
        <f>T("신룡전설 79화")</f>
        <v>신룡전설 79화</v>
      </c>
      <c r="D1738" t="str">
        <f>T("79")</f>
        <v>79</v>
      </c>
      <c r="E1738" t="str">
        <f>T("가람검")</f>
        <v>가람검</v>
      </c>
      <c r="H1738" t="str">
        <f>T("스토리위즈")</f>
        <v>스토리위즈</v>
      </c>
      <c r="I1738" t="str">
        <f>T("신룡전설")</f>
        <v>신룡전설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 s="2">
        <v>70</v>
      </c>
      <c r="AT1738" t="str">
        <f>T("9791159283505")</f>
        <v>9791159283505</v>
      </c>
      <c r="AV1738" t="str">
        <f>T("판타지 웹소설 &gt; 무협 소설")</f>
        <v>판타지 웹소설 &gt; 무협 소설</v>
      </c>
    </row>
    <row r="1739" spans="1:48" x14ac:dyDescent="0.4">
      <c r="A1739">
        <v>1525008604</v>
      </c>
      <c r="B1739">
        <v>1525008648</v>
      </c>
      <c r="C1739" t="str">
        <f>T("우아한 곡선 5화")</f>
        <v>우아한 곡선 5화</v>
      </c>
      <c r="D1739" t="str">
        <f>T("5")</f>
        <v>5</v>
      </c>
      <c r="E1739" t="str">
        <f>T("용가리맛쿠키")</f>
        <v>용가리맛쿠키</v>
      </c>
      <c r="H1739" t="str">
        <f>T("블러쉬")</f>
        <v>블러쉬</v>
      </c>
      <c r="I1739" t="str">
        <f>T("우아한 곡선")</f>
        <v>우아한 곡선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 s="2">
        <v>70</v>
      </c>
      <c r="AR1739" t="str">
        <f>T("0000000000000")</f>
        <v>0000000000000</v>
      </c>
      <c r="AT1739" t="str">
        <f>T("9791164896615")</f>
        <v>9791164896615</v>
      </c>
      <c r="AV1739" t="str">
        <f>T("BL 웹소설 &gt; 현대물")</f>
        <v>BL 웹소설 &gt; 현대물</v>
      </c>
    </row>
    <row r="1740" spans="1:48" x14ac:dyDescent="0.4">
      <c r="A1740">
        <v>1525004030</v>
      </c>
      <c r="B1740">
        <v>1525007111</v>
      </c>
      <c r="C1740" t="str">
        <f>T("회귀의 전설 2부 995화")</f>
        <v>회귀의 전설 2부 995화</v>
      </c>
      <c r="D1740" t="str">
        <f>T("995")</f>
        <v>995</v>
      </c>
      <c r="E1740" t="str">
        <f>T("김광수")</f>
        <v>김광수</v>
      </c>
      <c r="H1740" t="str">
        <f>T("스토리위즈")</f>
        <v>스토리위즈</v>
      </c>
      <c r="I1740" t="str">
        <f>T("회귀의 전설")</f>
        <v>회귀의 전설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 s="2">
        <v>70</v>
      </c>
      <c r="AT1740" t="str">
        <f>T("9791191102086")</f>
        <v>9791191102086</v>
      </c>
      <c r="AV1740" t="str">
        <f>T("판타지 웹소설 &gt; 현대 판타지")</f>
        <v>판타지 웹소설 &gt; 현대 판타지</v>
      </c>
    </row>
    <row r="1741" spans="1:48" x14ac:dyDescent="0.4">
      <c r="A1741">
        <v>1525007923</v>
      </c>
      <c r="B1741">
        <v>1525008004</v>
      </c>
      <c r="C1741" t="str">
        <f>T("운상연담: 화불능귀일락 93화")</f>
        <v>운상연담: 화불능귀일락 93화</v>
      </c>
      <c r="D1741" t="str">
        <f>T("93")</f>
        <v>93</v>
      </c>
      <c r="E1741" t="str">
        <f>T("피모")</f>
        <v>피모</v>
      </c>
      <c r="H1741" t="str">
        <f>T("쉬라즈")</f>
        <v>쉬라즈</v>
      </c>
      <c r="I1741" t="str">
        <f>T("운상연담: 화불능귀일락")</f>
        <v>운상연담: 화불능귀일락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 s="2">
        <v>70</v>
      </c>
      <c r="AT1741" t="str">
        <f>T("9791164896646")</f>
        <v>9791164896646</v>
      </c>
      <c r="AV1741" t="str">
        <f>T("로맨스 웹소설 &gt; 역사/시대물")</f>
        <v>로맨스 웹소설 &gt; 역사/시대물</v>
      </c>
    </row>
    <row r="1742" spans="1:48" x14ac:dyDescent="0.4">
      <c r="A1742">
        <v>1525002864</v>
      </c>
      <c r="B1742">
        <v>1525002904</v>
      </c>
      <c r="C1742" t="str">
        <f>T("소드마스터의 환생 41화")</f>
        <v>소드마스터의 환생 41화</v>
      </c>
      <c r="D1742" t="str">
        <f>T("41")</f>
        <v>41</v>
      </c>
      <c r="E1742" t="str">
        <f>T("파란영")</f>
        <v>파란영</v>
      </c>
      <c r="H1742" t="str">
        <f>T("스토리위즈")</f>
        <v>스토리위즈</v>
      </c>
      <c r="I1742" t="str">
        <f>T("소드마스터의 환생")</f>
        <v>소드마스터의 환생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 s="2">
        <v>70</v>
      </c>
      <c r="AT1742" t="str">
        <f>T("9791159287527")</f>
        <v>9791159287527</v>
      </c>
      <c r="AV1742" t="str">
        <f>T("판타지 웹소설 &gt; 정통 판타지")</f>
        <v>판타지 웹소설 &gt; 정통 판타지</v>
      </c>
    </row>
    <row r="1743" spans="1:48" x14ac:dyDescent="0.4">
      <c r="A1743">
        <v>1525002409</v>
      </c>
      <c r="B1743">
        <v>1525002580</v>
      </c>
      <c r="C1743" t="str">
        <f>T("스포트라이트 172화")</f>
        <v>스포트라이트 172화</v>
      </c>
      <c r="D1743" t="str">
        <f>T("172")</f>
        <v>172</v>
      </c>
      <c r="E1743" t="str">
        <f>T("전혁")</f>
        <v>전혁</v>
      </c>
      <c r="H1743" t="str">
        <f>T("스토리위즈")</f>
        <v>스토리위즈</v>
      </c>
      <c r="I1743" t="str">
        <f>T("스포트라이트")</f>
        <v>스포트라이트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 s="2">
        <v>70</v>
      </c>
      <c r="AT1743" t="str">
        <f>T("9791159286841")</f>
        <v>9791159286841</v>
      </c>
      <c r="AV1743" t="str">
        <f>T("판타지 웹소설 &gt; 현대 판타지")</f>
        <v>판타지 웹소설 &gt; 현대 판타지</v>
      </c>
    </row>
    <row r="1744" spans="1:48" x14ac:dyDescent="0.4">
      <c r="A1744">
        <v>2313011400</v>
      </c>
      <c r="B1744">
        <v>1525007657</v>
      </c>
      <c r="C1744" t="str">
        <f>T("최종 보스 22권 2화")</f>
        <v>최종 보스 22권 2화</v>
      </c>
      <c r="D1744" t="str">
        <f>T("435")</f>
        <v>435</v>
      </c>
      <c r="E1744" t="str">
        <f>T("무장")</f>
        <v>무장</v>
      </c>
      <c r="H1744" t="str">
        <f>T("스토리위즈")</f>
        <v>스토리위즈</v>
      </c>
      <c r="I1744" t="str">
        <f>T("최종 보스 : 빛을 향해 달리는 그림자")</f>
        <v>최종 보스 : 빛을 향해 달리는 그림자</v>
      </c>
      <c r="J1744">
        <v>100</v>
      </c>
      <c r="K1744">
        <v>100</v>
      </c>
      <c r="L1744">
        <v>1</v>
      </c>
      <c r="M1744">
        <v>0</v>
      </c>
      <c r="N1744">
        <v>100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200</v>
      </c>
      <c r="AH1744">
        <v>2</v>
      </c>
      <c r="AI1744">
        <v>0</v>
      </c>
      <c r="AJ1744">
        <v>0</v>
      </c>
      <c r="AK1744">
        <v>200</v>
      </c>
      <c r="AL1744">
        <v>0</v>
      </c>
      <c r="AM1744">
        <v>0</v>
      </c>
      <c r="AN1744">
        <v>0</v>
      </c>
      <c r="AO1744">
        <v>0</v>
      </c>
      <c r="AP1744" s="2">
        <v>140</v>
      </c>
      <c r="AT1744" t="str">
        <f>T("9791166067563")</f>
        <v>9791166067563</v>
      </c>
      <c r="AV1744" t="str">
        <f>T("판타지 웹소설 &gt; 현대 판타지")</f>
        <v>판타지 웹소설 &gt; 현대 판타지</v>
      </c>
    </row>
    <row r="1745" spans="1:48" x14ac:dyDescent="0.4">
      <c r="A1745">
        <v>1525004030</v>
      </c>
      <c r="B1745">
        <v>1525006715</v>
      </c>
      <c r="C1745" t="str">
        <f>T("회귀의 전설 2부 598화")</f>
        <v>회귀의 전설 2부 598화</v>
      </c>
      <c r="D1745" t="str">
        <f>T("598")</f>
        <v>598</v>
      </c>
      <c r="E1745" t="str">
        <f>T("김광수")</f>
        <v>김광수</v>
      </c>
      <c r="H1745" t="str">
        <f>T("스토리위즈")</f>
        <v>스토리위즈</v>
      </c>
      <c r="I1745" t="str">
        <f>T("회귀의 전설")</f>
        <v>회귀의 전설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 s="2">
        <v>70</v>
      </c>
      <c r="AT1745" t="str">
        <f>T("9791191102086")</f>
        <v>9791191102086</v>
      </c>
      <c r="AV1745" t="str">
        <f>T("판타지 웹소설 &gt; 현대 판타지")</f>
        <v>판타지 웹소설 &gt; 현대 판타지</v>
      </c>
    </row>
    <row r="1746" spans="1:48" x14ac:dyDescent="0.4">
      <c r="A1746">
        <v>1525004989</v>
      </c>
      <c r="B1746">
        <v>1525005584</v>
      </c>
      <c r="C1746" t="str">
        <f>T("신룡전설 95화")</f>
        <v>신룡전설 95화</v>
      </c>
      <c r="D1746" t="str">
        <f>T("95")</f>
        <v>95</v>
      </c>
      <c r="E1746" t="str">
        <f>T("가람검")</f>
        <v>가람검</v>
      </c>
      <c r="H1746" t="str">
        <f>T("스토리위즈")</f>
        <v>스토리위즈</v>
      </c>
      <c r="I1746" t="str">
        <f>T("신룡전설")</f>
        <v>신룡전설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 s="2">
        <v>70</v>
      </c>
      <c r="AT1746" t="str">
        <f>T("9791159283505")</f>
        <v>9791159283505</v>
      </c>
      <c r="AV1746" t="str">
        <f>T("판타지 웹소설 &gt; 무협 소설")</f>
        <v>판타지 웹소설 &gt; 무협 소설</v>
      </c>
    </row>
    <row r="1747" spans="1:48" x14ac:dyDescent="0.4">
      <c r="A1747">
        <v>1525008276</v>
      </c>
      <c r="B1747">
        <v>1525008337</v>
      </c>
      <c r="C1747" t="str">
        <f>T("달보드레 외전 4")</f>
        <v>달보드레 외전 4</v>
      </c>
      <c r="D1747" t="str">
        <f>T("71")</f>
        <v>71</v>
      </c>
      <c r="E1747" t="str">
        <f>T("시아")</f>
        <v>시아</v>
      </c>
      <c r="H1747" t="str">
        <f>T("비엘스토리")</f>
        <v>비엘스토리</v>
      </c>
      <c r="I1747" t="str">
        <f>T("달보드레")</f>
        <v>달보드레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 s="2">
        <v>70</v>
      </c>
      <c r="AT1747" t="str">
        <f>T("9791164899715")</f>
        <v>9791164899715</v>
      </c>
      <c r="AV1747" t="str">
        <f>T("BL 웹소설 &gt; 현대물")</f>
        <v>BL 웹소설 &gt; 현대물</v>
      </c>
    </row>
    <row r="1748" spans="1:48" x14ac:dyDescent="0.4">
      <c r="A1748">
        <v>1525004030</v>
      </c>
      <c r="B1748">
        <v>1525004286</v>
      </c>
      <c r="C1748" t="str">
        <f>T("회귀의 전설 257화")</f>
        <v>회귀의 전설 257화</v>
      </c>
      <c r="D1748" t="str">
        <f>T("257")</f>
        <v>257</v>
      </c>
      <c r="E1748" t="str">
        <f>T("김광수")</f>
        <v>김광수</v>
      </c>
      <c r="H1748" t="str">
        <f>T("스토리위즈")</f>
        <v>스토리위즈</v>
      </c>
      <c r="I1748" t="str">
        <f>T("회귀의 전설")</f>
        <v>회귀의 전설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 s="2">
        <v>70</v>
      </c>
      <c r="AT1748" t="str">
        <f>T("9788997946006")</f>
        <v>9788997946006</v>
      </c>
      <c r="AV1748" t="str">
        <f>T("판타지 웹소설 &gt; 현대 판타지")</f>
        <v>판타지 웹소설 &gt; 현대 판타지</v>
      </c>
    </row>
    <row r="1749" spans="1:48" x14ac:dyDescent="0.4">
      <c r="A1749">
        <v>1525008545</v>
      </c>
      <c r="B1749">
        <v>1525008584</v>
      </c>
      <c r="C1749" t="str">
        <f>T("소년연애담 55화")</f>
        <v>소년연애담 55화</v>
      </c>
      <c r="D1749" t="str">
        <f>T("55")</f>
        <v>55</v>
      </c>
      <c r="E1749" t="str">
        <f>T("나나코")</f>
        <v>나나코</v>
      </c>
      <c r="H1749" t="str">
        <f>T("블러쉬")</f>
        <v>블러쉬</v>
      </c>
      <c r="I1749" t="str">
        <f>T("소년연애담")</f>
        <v>소년연애담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100</v>
      </c>
      <c r="AN1749">
        <v>0</v>
      </c>
      <c r="AO1749">
        <v>0</v>
      </c>
      <c r="AP1749" s="2">
        <v>70</v>
      </c>
      <c r="AR1749" t="str">
        <f>T("0000000000000")</f>
        <v>0000000000000</v>
      </c>
      <c r="AT1749" t="str">
        <f>T("9791164890729")</f>
        <v>9791164890729</v>
      </c>
      <c r="AU1749" t="str">
        <f>T("B12")</f>
        <v>B12</v>
      </c>
      <c r="AV1749" t="str">
        <f>T("BL 웹소설 &gt; 현대물")</f>
        <v>BL 웹소설 &gt; 현대물</v>
      </c>
    </row>
    <row r="1750" spans="1:48" x14ac:dyDescent="0.4">
      <c r="A1750">
        <v>1525010579</v>
      </c>
      <c r="B1750">
        <v>1525010208</v>
      </c>
      <c r="C1750" t="str">
        <f>T("법보다 주먹 370화")</f>
        <v>법보다 주먹 370화</v>
      </c>
      <c r="D1750" t="str">
        <f>T("370")</f>
        <v>370</v>
      </c>
      <c r="E1750" t="str">
        <f>T("백범(白帆)")</f>
        <v>백범(白帆)</v>
      </c>
      <c r="H1750" t="str">
        <f>T("에필로그")</f>
        <v>에필로그</v>
      </c>
      <c r="I1750" t="str">
        <f>T("법보다 주먹")</f>
        <v>법보다 주먹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 s="2">
        <v>70</v>
      </c>
      <c r="AT1750" t="str">
        <f>T("9791164489367")</f>
        <v>9791164489367</v>
      </c>
      <c r="AV1750" t="str">
        <f>T("판타지 웹소설 &gt; 현대 판타지")</f>
        <v>판타지 웹소설 &gt; 현대 판타지</v>
      </c>
    </row>
    <row r="1751" spans="1:48" x14ac:dyDescent="0.4">
      <c r="A1751">
        <v>1525004030</v>
      </c>
      <c r="B1751">
        <v>1525013003</v>
      </c>
      <c r="C1751" t="str">
        <f>T("회귀의 전설 1308화")</f>
        <v>회귀의 전설 1308화</v>
      </c>
      <c r="D1751" t="str">
        <f>T("1308")</f>
        <v>1308</v>
      </c>
      <c r="E1751" t="str">
        <f>T("김광수")</f>
        <v>김광수</v>
      </c>
      <c r="H1751" t="str">
        <f>T("스토리위즈")</f>
        <v>스토리위즈</v>
      </c>
      <c r="I1751" t="str">
        <f>T("회귀의 전설")</f>
        <v>회귀의 전설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 s="2">
        <v>70</v>
      </c>
      <c r="AT1751" t="str">
        <f>T("9791191102086")</f>
        <v>9791191102086</v>
      </c>
      <c r="AV1751" t="str">
        <f>T("판타지 웹소설 &gt; 현대 판타지")</f>
        <v>판타지 웹소설 &gt; 현대 판타지</v>
      </c>
    </row>
    <row r="1752" spans="1:48" x14ac:dyDescent="0.4">
      <c r="A1752">
        <v>1525004030</v>
      </c>
      <c r="B1752">
        <v>1525004398</v>
      </c>
      <c r="C1752" t="str">
        <f>T("회귀의 전설 370화")</f>
        <v>회귀의 전설 370화</v>
      </c>
      <c r="D1752" t="str">
        <f>T("370")</f>
        <v>370</v>
      </c>
      <c r="E1752" t="str">
        <f>T("김광수")</f>
        <v>김광수</v>
      </c>
      <c r="H1752" t="str">
        <f>T("스토리위즈")</f>
        <v>스토리위즈</v>
      </c>
      <c r="I1752" t="str">
        <f>T("회귀의 전설")</f>
        <v>회귀의 전설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 s="2">
        <v>70</v>
      </c>
      <c r="AT1752" t="str">
        <f>T("9788997946006")</f>
        <v>9788997946006</v>
      </c>
      <c r="AV1752" t="str">
        <f>T("판타지 웹소설 &gt; 현대 판타지")</f>
        <v>판타지 웹소설 &gt; 현대 판타지</v>
      </c>
    </row>
    <row r="1753" spans="1:48" x14ac:dyDescent="0.4">
      <c r="A1753">
        <v>1525004030</v>
      </c>
      <c r="B1753">
        <v>1525006731</v>
      </c>
      <c r="C1753" t="str">
        <f>T("회귀의 전설 2부 614화")</f>
        <v>회귀의 전설 2부 614화</v>
      </c>
      <c r="D1753" t="str">
        <f>T("614")</f>
        <v>614</v>
      </c>
      <c r="E1753" t="str">
        <f>T("김광수")</f>
        <v>김광수</v>
      </c>
      <c r="H1753" t="str">
        <f>T("스토리위즈")</f>
        <v>스토리위즈</v>
      </c>
      <c r="I1753" t="str">
        <f>T("회귀의 전설")</f>
        <v>회귀의 전설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 s="2">
        <v>70</v>
      </c>
      <c r="AT1753" t="str">
        <f>T("9791191102086")</f>
        <v>9791191102086</v>
      </c>
      <c r="AV1753" t="str">
        <f>T("판타지 웹소설 &gt; 현대 판타지")</f>
        <v>판타지 웹소설 &gt; 현대 판타지</v>
      </c>
    </row>
    <row r="1754" spans="1:48" x14ac:dyDescent="0.4">
      <c r="A1754">
        <v>1525007872</v>
      </c>
      <c r="B1754">
        <v>1525007882</v>
      </c>
      <c r="C1754" t="str">
        <f>T("아침이 오지 않아도 29화")</f>
        <v>아침이 오지 않아도 29화</v>
      </c>
      <c r="D1754" t="str">
        <f>T("29")</f>
        <v>29</v>
      </c>
      <c r="E1754" t="str">
        <f>T("홍영")</f>
        <v>홍영</v>
      </c>
      <c r="H1754" t="str">
        <f>T("러브스토리")</f>
        <v>러브스토리</v>
      </c>
      <c r="I1754" t="str">
        <f>T("아침이 오지 않아도")</f>
        <v>아침이 오지 않아도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 s="2">
        <v>70</v>
      </c>
      <c r="AR1754" t="str">
        <f>T("0000000000000")</f>
        <v>0000000000000</v>
      </c>
      <c r="AT1754" t="str">
        <f>T("9791164899708")</f>
        <v>9791164899708</v>
      </c>
      <c r="AV1754" t="str">
        <f>T("로맨스 웹소설 &gt; 현대물")</f>
        <v>로맨스 웹소설 &gt; 현대물</v>
      </c>
    </row>
    <row r="1755" spans="1:48" x14ac:dyDescent="0.4">
      <c r="A1755">
        <v>1525004030</v>
      </c>
      <c r="B1755">
        <v>1525007047</v>
      </c>
      <c r="C1755" t="str">
        <f>T("회귀의 전설 2부 931화")</f>
        <v>회귀의 전설 2부 931화</v>
      </c>
      <c r="D1755" t="str">
        <f>T("931")</f>
        <v>931</v>
      </c>
      <c r="E1755" t="str">
        <f>T("김광수")</f>
        <v>김광수</v>
      </c>
      <c r="H1755" t="str">
        <f t="shared" ref="H1755:H1766" si="189">T("스토리위즈")</f>
        <v>스토리위즈</v>
      </c>
      <c r="I1755" t="str">
        <f>T("회귀의 전설")</f>
        <v>회귀의 전설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 s="2">
        <v>70</v>
      </c>
      <c r="AT1755" t="str">
        <f>T("9791191102086")</f>
        <v>9791191102086</v>
      </c>
      <c r="AV1755" t="str">
        <f>T("판타지 웹소설 &gt; 현대 판타지")</f>
        <v>판타지 웹소설 &gt; 현대 판타지</v>
      </c>
    </row>
    <row r="1756" spans="1:48" x14ac:dyDescent="0.4">
      <c r="A1756">
        <v>2313011400</v>
      </c>
      <c r="B1756">
        <v>1525007689</v>
      </c>
      <c r="C1756" t="str">
        <f>T("최종 보스 23권 14화")</f>
        <v>최종 보스 23권 14화</v>
      </c>
      <c r="D1756" t="str">
        <f>T("467")</f>
        <v>467</v>
      </c>
      <c r="E1756" t="str">
        <f>T("무장")</f>
        <v>무장</v>
      </c>
      <c r="H1756" t="str">
        <f t="shared" si="189"/>
        <v>스토리위즈</v>
      </c>
      <c r="I1756" t="str">
        <f>T("최종 보스 : 빛을 향해 달리는 그림자")</f>
        <v>최종 보스 : 빛을 향해 달리는 그림자</v>
      </c>
      <c r="J1756">
        <v>100</v>
      </c>
      <c r="K1756">
        <v>100</v>
      </c>
      <c r="L1756">
        <v>1</v>
      </c>
      <c r="M1756">
        <v>0</v>
      </c>
      <c r="N1756">
        <v>100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200</v>
      </c>
      <c r="AH1756">
        <v>2</v>
      </c>
      <c r="AI1756">
        <v>0</v>
      </c>
      <c r="AJ1756">
        <v>0</v>
      </c>
      <c r="AK1756">
        <v>200</v>
      </c>
      <c r="AL1756">
        <v>0</v>
      </c>
      <c r="AM1756">
        <v>0</v>
      </c>
      <c r="AN1756">
        <v>0</v>
      </c>
      <c r="AO1756">
        <v>0</v>
      </c>
      <c r="AP1756" s="2">
        <v>140</v>
      </c>
      <c r="AT1756" t="str">
        <f>T("9791166067563")</f>
        <v>9791166067563</v>
      </c>
      <c r="AV1756" t="str">
        <f>T("판타지 웹소설 &gt; 현대 판타지")</f>
        <v>판타지 웹소설 &gt; 현대 판타지</v>
      </c>
    </row>
    <row r="1757" spans="1:48" x14ac:dyDescent="0.4">
      <c r="A1757">
        <v>1525004988</v>
      </c>
      <c r="B1757">
        <v>1525005318</v>
      </c>
      <c r="C1757" t="str">
        <f>T("용무쌍 31화")</f>
        <v>용무쌍 31화</v>
      </c>
      <c r="D1757" t="str">
        <f>T("31")</f>
        <v>31</v>
      </c>
      <c r="E1757" t="str">
        <f>T("권용찬")</f>
        <v>권용찬</v>
      </c>
      <c r="H1757" t="str">
        <f t="shared" si="189"/>
        <v>스토리위즈</v>
      </c>
      <c r="I1757" t="str">
        <f>T("용무쌍")</f>
        <v>용무쌍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 s="2">
        <v>70</v>
      </c>
      <c r="AT1757" t="str">
        <f>T("9791159284861")</f>
        <v>9791159284861</v>
      </c>
      <c r="AV1757" t="str">
        <f>T("판타지 웹소설 &gt; 무협 소설")</f>
        <v>판타지 웹소설 &gt; 무협 소설</v>
      </c>
    </row>
    <row r="1758" spans="1:48" x14ac:dyDescent="0.4">
      <c r="A1758">
        <v>1525004989</v>
      </c>
      <c r="B1758">
        <v>1525005616</v>
      </c>
      <c r="C1758" t="str">
        <f>T("신룡전설 127화")</f>
        <v>신룡전설 127화</v>
      </c>
      <c r="D1758" t="str">
        <f>T("127")</f>
        <v>127</v>
      </c>
      <c r="E1758" t="str">
        <f>T("가람검")</f>
        <v>가람검</v>
      </c>
      <c r="H1758" t="str">
        <f t="shared" si="189"/>
        <v>스토리위즈</v>
      </c>
      <c r="I1758" t="str">
        <f>T("신룡전설")</f>
        <v>신룡전설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 s="2">
        <v>70</v>
      </c>
      <c r="AT1758" t="str">
        <f>T("9791159283505")</f>
        <v>9791159283505</v>
      </c>
      <c r="AV1758" t="str">
        <f>T("판타지 웹소설 &gt; 무협 소설")</f>
        <v>판타지 웹소설 &gt; 무협 소설</v>
      </c>
    </row>
    <row r="1759" spans="1:48" x14ac:dyDescent="0.4">
      <c r="A1759">
        <v>1525002409</v>
      </c>
      <c r="B1759">
        <v>1525002565</v>
      </c>
      <c r="C1759" t="str">
        <f>T("스포트라이트 157화")</f>
        <v>스포트라이트 157화</v>
      </c>
      <c r="D1759" t="str">
        <f>T("157")</f>
        <v>157</v>
      </c>
      <c r="E1759" t="str">
        <f>T("전혁")</f>
        <v>전혁</v>
      </c>
      <c r="H1759" t="str">
        <f t="shared" si="189"/>
        <v>스토리위즈</v>
      </c>
      <c r="I1759" t="str">
        <f>T("스포트라이트")</f>
        <v>스포트라이트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 s="2">
        <v>70</v>
      </c>
      <c r="AT1759" t="str">
        <f>T("9791159286841")</f>
        <v>9791159286841</v>
      </c>
      <c r="AV1759" t="str">
        <f>T("판타지 웹소설 &gt; 현대 판타지")</f>
        <v>판타지 웹소설 &gt; 현대 판타지</v>
      </c>
    </row>
    <row r="1760" spans="1:48" x14ac:dyDescent="0.4">
      <c r="A1760">
        <v>1525004030</v>
      </c>
      <c r="B1760">
        <v>1525006995</v>
      </c>
      <c r="C1760" t="str">
        <f>T("회귀의 전설 2부 879화")</f>
        <v>회귀의 전설 2부 879화</v>
      </c>
      <c r="D1760" t="str">
        <f>T("879")</f>
        <v>879</v>
      </c>
      <c r="E1760" t="str">
        <f>T("김광수")</f>
        <v>김광수</v>
      </c>
      <c r="H1760" t="str">
        <f t="shared" si="189"/>
        <v>스토리위즈</v>
      </c>
      <c r="I1760" t="str">
        <f>T("회귀의 전설")</f>
        <v>회귀의 전설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 s="2">
        <v>70</v>
      </c>
      <c r="AT1760" t="str">
        <f>T("9791191102086")</f>
        <v>9791191102086</v>
      </c>
      <c r="AV1760" t="str">
        <f>T("판타지 웹소설 &gt; 현대 판타지")</f>
        <v>판타지 웹소설 &gt; 현대 판타지</v>
      </c>
    </row>
    <row r="1761" spans="1:48" x14ac:dyDescent="0.4">
      <c r="A1761">
        <v>1525004030</v>
      </c>
      <c r="B1761">
        <v>1525006651</v>
      </c>
      <c r="C1761" t="str">
        <f>T("회귀의 전설 2부 534화")</f>
        <v>회귀의 전설 2부 534화</v>
      </c>
      <c r="D1761" t="str">
        <f>T("534")</f>
        <v>534</v>
      </c>
      <c r="E1761" t="str">
        <f>T("김광수")</f>
        <v>김광수</v>
      </c>
      <c r="H1761" t="str">
        <f t="shared" si="189"/>
        <v>스토리위즈</v>
      </c>
      <c r="I1761" t="str">
        <f>T("회귀의 전설")</f>
        <v>회귀의 전설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 s="2">
        <v>70</v>
      </c>
      <c r="AT1761" t="str">
        <f>T("9791191102086")</f>
        <v>9791191102086</v>
      </c>
      <c r="AV1761" t="str">
        <f>T("판타지 웹소설 &gt; 현대 판타지")</f>
        <v>판타지 웹소설 &gt; 현대 판타지</v>
      </c>
    </row>
    <row r="1762" spans="1:48" x14ac:dyDescent="0.4">
      <c r="A1762">
        <v>1525002864</v>
      </c>
      <c r="B1762">
        <v>1525002897</v>
      </c>
      <c r="C1762" t="str">
        <f>T("소드마스터의 환생 34화")</f>
        <v>소드마스터의 환생 34화</v>
      </c>
      <c r="D1762" t="str">
        <f>T("34")</f>
        <v>34</v>
      </c>
      <c r="E1762" t="str">
        <f>T("파란영")</f>
        <v>파란영</v>
      </c>
      <c r="H1762" t="str">
        <f t="shared" si="189"/>
        <v>스토리위즈</v>
      </c>
      <c r="I1762" t="str">
        <f>T("소드마스터의 환생")</f>
        <v>소드마스터의 환생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 s="2">
        <v>70</v>
      </c>
      <c r="AT1762" t="str">
        <f>T("9791159287527")</f>
        <v>9791159287527</v>
      </c>
      <c r="AV1762" t="str">
        <f>T("판타지 웹소설 &gt; 정통 판타지")</f>
        <v>판타지 웹소설 &gt; 정통 판타지</v>
      </c>
    </row>
    <row r="1763" spans="1:48" x14ac:dyDescent="0.4">
      <c r="A1763">
        <v>2313011400</v>
      </c>
      <c r="B1763">
        <v>1525007650</v>
      </c>
      <c r="C1763" t="str">
        <f>T("최종 보스 21권 15화")</f>
        <v>최종 보스 21권 15화</v>
      </c>
      <c r="D1763" t="str">
        <f>T("428")</f>
        <v>428</v>
      </c>
      <c r="E1763" t="str">
        <f>T("무장")</f>
        <v>무장</v>
      </c>
      <c r="H1763" t="str">
        <f t="shared" si="189"/>
        <v>스토리위즈</v>
      </c>
      <c r="I1763" t="str">
        <f>T("최종 보스 : 빛을 향해 달리는 그림자")</f>
        <v>최종 보스 : 빛을 향해 달리는 그림자</v>
      </c>
      <c r="J1763">
        <v>100</v>
      </c>
      <c r="K1763">
        <v>100</v>
      </c>
      <c r="L1763">
        <v>1</v>
      </c>
      <c r="M1763">
        <v>0</v>
      </c>
      <c r="N1763">
        <v>100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200</v>
      </c>
      <c r="AH1763">
        <v>2</v>
      </c>
      <c r="AI1763">
        <v>0</v>
      </c>
      <c r="AJ1763">
        <v>0</v>
      </c>
      <c r="AK1763">
        <v>200</v>
      </c>
      <c r="AL1763">
        <v>0</v>
      </c>
      <c r="AM1763">
        <v>0</v>
      </c>
      <c r="AN1763">
        <v>0</v>
      </c>
      <c r="AO1763">
        <v>0</v>
      </c>
      <c r="AP1763" s="2">
        <v>140</v>
      </c>
      <c r="AT1763" t="str">
        <f>T("9791166067563")</f>
        <v>9791166067563</v>
      </c>
      <c r="AV1763" t="str">
        <f>T("판타지 웹소설 &gt; 현대 판타지")</f>
        <v>판타지 웹소설 &gt; 현대 판타지</v>
      </c>
    </row>
    <row r="1764" spans="1:48" x14ac:dyDescent="0.4">
      <c r="A1764">
        <v>1525004030</v>
      </c>
      <c r="B1764">
        <v>1525004551</v>
      </c>
      <c r="C1764" t="str">
        <f>T("회귀의 전설 495화")</f>
        <v>회귀의 전설 495화</v>
      </c>
      <c r="D1764" t="str">
        <f>T("495")</f>
        <v>495</v>
      </c>
      <c r="E1764" t="str">
        <f>T("김광수")</f>
        <v>김광수</v>
      </c>
      <c r="H1764" t="str">
        <f t="shared" si="189"/>
        <v>스토리위즈</v>
      </c>
      <c r="I1764" t="str">
        <f>T("회귀의 전설")</f>
        <v>회귀의 전설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 s="2">
        <v>70</v>
      </c>
      <c r="AT1764" t="str">
        <f>T("9788997946006")</f>
        <v>9788997946006</v>
      </c>
      <c r="AV1764" t="str">
        <f>T("판타지 웹소설 &gt; 현대 판타지")</f>
        <v>판타지 웹소설 &gt; 현대 판타지</v>
      </c>
    </row>
    <row r="1765" spans="1:48" x14ac:dyDescent="0.4">
      <c r="A1765">
        <v>1525004030</v>
      </c>
      <c r="B1765">
        <v>1525006708</v>
      </c>
      <c r="C1765" t="str">
        <f>T("회귀의 전설 2부 591화")</f>
        <v>회귀의 전설 2부 591화</v>
      </c>
      <c r="D1765" t="str">
        <f>T("591")</f>
        <v>591</v>
      </c>
      <c r="E1765" t="str">
        <f>T("김광수")</f>
        <v>김광수</v>
      </c>
      <c r="H1765" t="str">
        <f t="shared" si="189"/>
        <v>스토리위즈</v>
      </c>
      <c r="I1765" t="str">
        <f>T("회귀의 전설")</f>
        <v>회귀의 전설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 s="2">
        <v>70</v>
      </c>
      <c r="AT1765" t="str">
        <f>T("9791191102086")</f>
        <v>9791191102086</v>
      </c>
      <c r="AV1765" t="str">
        <f>T("판타지 웹소설 &gt; 현대 판타지")</f>
        <v>판타지 웹소설 &gt; 현대 판타지</v>
      </c>
    </row>
    <row r="1766" spans="1:48" x14ac:dyDescent="0.4">
      <c r="A1766">
        <v>1525004030</v>
      </c>
      <c r="B1766">
        <v>1525004279</v>
      </c>
      <c r="C1766" t="str">
        <f>T("회귀의 전설 250화")</f>
        <v>회귀의 전설 250화</v>
      </c>
      <c r="D1766" t="str">
        <f>T("250")</f>
        <v>250</v>
      </c>
      <c r="E1766" t="str">
        <f>T("김광수")</f>
        <v>김광수</v>
      </c>
      <c r="H1766" t="str">
        <f t="shared" si="189"/>
        <v>스토리위즈</v>
      </c>
      <c r="I1766" t="str">
        <f>T("회귀의 전설")</f>
        <v>회귀의 전설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 s="2">
        <v>70</v>
      </c>
      <c r="AT1766" t="str">
        <f>T("9788997946006")</f>
        <v>9788997946006</v>
      </c>
      <c r="AV1766" t="str">
        <f>T("판타지 웹소설 &gt; 현대 판타지")</f>
        <v>판타지 웹소설 &gt; 현대 판타지</v>
      </c>
    </row>
    <row r="1767" spans="1:48" x14ac:dyDescent="0.4">
      <c r="A1767">
        <v>1525008545</v>
      </c>
      <c r="B1767">
        <v>1525008577</v>
      </c>
      <c r="C1767" t="str">
        <f>T("소년연애담 49화")</f>
        <v>소년연애담 49화</v>
      </c>
      <c r="D1767" t="str">
        <f>T("49")</f>
        <v>49</v>
      </c>
      <c r="E1767" t="str">
        <f>T("나나코")</f>
        <v>나나코</v>
      </c>
      <c r="H1767" t="str">
        <f>T("블러쉬")</f>
        <v>블러쉬</v>
      </c>
      <c r="I1767" t="str">
        <f>T("소년연애담")</f>
        <v>소년연애담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100</v>
      </c>
      <c r="AN1767">
        <v>0</v>
      </c>
      <c r="AO1767">
        <v>0</v>
      </c>
      <c r="AP1767" s="2">
        <v>70</v>
      </c>
      <c r="AR1767" t="str">
        <f>T("0000000000000")</f>
        <v>0000000000000</v>
      </c>
      <c r="AT1767" t="str">
        <f>T("9791164890729")</f>
        <v>9791164890729</v>
      </c>
      <c r="AU1767" t="str">
        <f>T("B12")</f>
        <v>B12</v>
      </c>
      <c r="AV1767" t="str">
        <f>T("BL 웹소설 &gt; 현대물")</f>
        <v>BL 웹소설 &gt; 현대물</v>
      </c>
    </row>
    <row r="1768" spans="1:48" x14ac:dyDescent="0.4">
      <c r="A1768">
        <v>1525010579</v>
      </c>
      <c r="B1768">
        <v>1525010196</v>
      </c>
      <c r="C1768" t="str">
        <f>T("법보다 주먹 382화")</f>
        <v>법보다 주먹 382화</v>
      </c>
      <c r="D1768" t="str">
        <f>T("382")</f>
        <v>382</v>
      </c>
      <c r="E1768" t="str">
        <f>T("백범(白帆)")</f>
        <v>백범(白帆)</v>
      </c>
      <c r="H1768" t="str">
        <f>T("에필로그")</f>
        <v>에필로그</v>
      </c>
      <c r="I1768" t="str">
        <f>T("법보다 주먹")</f>
        <v>법보다 주먹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 s="2">
        <v>70</v>
      </c>
      <c r="AT1768" t="str">
        <f>T("9791164489367")</f>
        <v>9791164489367</v>
      </c>
      <c r="AV1768" t="str">
        <f>T("판타지 웹소설 &gt; 현대 판타지")</f>
        <v>판타지 웹소설 &gt; 현대 판타지</v>
      </c>
    </row>
    <row r="1769" spans="1:48" x14ac:dyDescent="0.4">
      <c r="A1769">
        <v>1525004030</v>
      </c>
      <c r="B1769">
        <v>1525012789</v>
      </c>
      <c r="C1769" t="str">
        <f>T("회귀의 전설 1094화")</f>
        <v>회귀의 전설 1094화</v>
      </c>
      <c r="D1769" t="str">
        <f>T("1094")</f>
        <v>1094</v>
      </c>
      <c r="E1769" t="str">
        <f>T("김광수")</f>
        <v>김광수</v>
      </c>
      <c r="H1769" t="str">
        <f>T("스토리위즈")</f>
        <v>스토리위즈</v>
      </c>
      <c r="I1769" t="str">
        <f>T("회귀의 전설")</f>
        <v>회귀의 전설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 s="2">
        <v>70</v>
      </c>
      <c r="AT1769" t="str">
        <f>T("9791191102086")</f>
        <v>9791191102086</v>
      </c>
      <c r="AV1769" t="str">
        <f>T("판타지 웹소설 &gt; 현대 판타지")</f>
        <v>판타지 웹소설 &gt; 현대 판타지</v>
      </c>
    </row>
    <row r="1770" spans="1:48" x14ac:dyDescent="0.4">
      <c r="A1770">
        <v>1525007872</v>
      </c>
      <c r="B1770">
        <v>1525007875</v>
      </c>
      <c r="C1770" t="str">
        <f>T("아침이 오지 않아도 22화")</f>
        <v>아침이 오지 않아도 22화</v>
      </c>
      <c r="D1770" t="str">
        <f>T("22")</f>
        <v>22</v>
      </c>
      <c r="E1770" t="str">
        <f>T("홍영")</f>
        <v>홍영</v>
      </c>
      <c r="H1770" t="str">
        <f>T("러브스토리")</f>
        <v>러브스토리</v>
      </c>
      <c r="I1770" t="str">
        <f>T("아침이 오지 않아도")</f>
        <v>아침이 오지 않아도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 s="2">
        <v>70</v>
      </c>
      <c r="AR1770" t="str">
        <f>T("0000000000000")</f>
        <v>0000000000000</v>
      </c>
      <c r="AT1770" t="str">
        <f>T("9791164899708")</f>
        <v>9791164899708</v>
      </c>
      <c r="AV1770" t="str">
        <f>T("로맨스 웹소설 &gt; 현대물")</f>
        <v>로맨스 웹소설 &gt; 현대물</v>
      </c>
    </row>
    <row r="1771" spans="1:48" x14ac:dyDescent="0.4">
      <c r="A1771">
        <v>1525004030</v>
      </c>
      <c r="B1771">
        <v>1525007040</v>
      </c>
      <c r="C1771" t="str">
        <f>T("회귀의 전설 2부 924화")</f>
        <v>회귀의 전설 2부 924화</v>
      </c>
      <c r="D1771" t="str">
        <f>T("924")</f>
        <v>924</v>
      </c>
      <c r="E1771" t="str">
        <f>T("김광수")</f>
        <v>김광수</v>
      </c>
      <c r="H1771" t="str">
        <f t="shared" ref="H1771:H1784" si="190">T("스토리위즈")</f>
        <v>스토리위즈</v>
      </c>
      <c r="I1771" t="str">
        <f>T("회귀의 전설")</f>
        <v>회귀의 전설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 s="2">
        <v>70</v>
      </c>
      <c r="AT1771" t="str">
        <f>T("9791191102086")</f>
        <v>9791191102086</v>
      </c>
      <c r="AV1771" t="str">
        <f>T("판타지 웹소설 &gt; 현대 판타지")</f>
        <v>판타지 웹소설 &gt; 현대 판타지</v>
      </c>
    </row>
    <row r="1772" spans="1:48" x14ac:dyDescent="0.4">
      <c r="A1772">
        <v>2313011400</v>
      </c>
      <c r="B1772">
        <v>1525007682</v>
      </c>
      <c r="C1772" t="str">
        <f>T("최종 보스 23권 7화")</f>
        <v>최종 보스 23권 7화</v>
      </c>
      <c r="D1772" t="str">
        <f>T("460")</f>
        <v>460</v>
      </c>
      <c r="E1772" t="str">
        <f>T("무장")</f>
        <v>무장</v>
      </c>
      <c r="H1772" t="str">
        <f t="shared" si="190"/>
        <v>스토리위즈</v>
      </c>
      <c r="I1772" t="str">
        <f>T("최종 보스 : 빛을 향해 달리는 그림자")</f>
        <v>최종 보스 : 빛을 향해 달리는 그림자</v>
      </c>
      <c r="J1772">
        <v>100</v>
      </c>
      <c r="K1772">
        <v>100</v>
      </c>
      <c r="L1772">
        <v>1</v>
      </c>
      <c r="M1772">
        <v>0</v>
      </c>
      <c r="N1772">
        <v>100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200</v>
      </c>
      <c r="AH1772">
        <v>2</v>
      </c>
      <c r="AI1772">
        <v>0</v>
      </c>
      <c r="AJ1772">
        <v>0</v>
      </c>
      <c r="AK1772">
        <v>200</v>
      </c>
      <c r="AL1772">
        <v>0</v>
      </c>
      <c r="AM1772">
        <v>0</v>
      </c>
      <c r="AN1772">
        <v>0</v>
      </c>
      <c r="AO1772">
        <v>0</v>
      </c>
      <c r="AP1772" s="2">
        <v>140</v>
      </c>
      <c r="AT1772" t="str">
        <f>T("9791166067563")</f>
        <v>9791166067563</v>
      </c>
      <c r="AV1772" t="str">
        <f>T("판타지 웹소설 &gt; 현대 판타지")</f>
        <v>판타지 웹소설 &gt; 현대 판타지</v>
      </c>
    </row>
    <row r="1773" spans="1:48" x14ac:dyDescent="0.4">
      <c r="A1773">
        <v>1525004989</v>
      </c>
      <c r="B1773">
        <v>1525005609</v>
      </c>
      <c r="C1773" t="str">
        <f>T("신룡전설 120화")</f>
        <v>신룡전설 120화</v>
      </c>
      <c r="D1773" t="str">
        <f>T("120")</f>
        <v>120</v>
      </c>
      <c r="E1773" t="str">
        <f>T("가람검")</f>
        <v>가람검</v>
      </c>
      <c r="H1773" t="str">
        <f t="shared" si="190"/>
        <v>스토리위즈</v>
      </c>
      <c r="I1773" t="str">
        <f>T("신룡전설")</f>
        <v>신룡전설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 s="2">
        <v>70</v>
      </c>
      <c r="AT1773" t="str">
        <f>T("9791159283505")</f>
        <v>9791159283505</v>
      </c>
      <c r="AV1773" t="str">
        <f>T("판타지 웹소설 &gt; 무협 소설")</f>
        <v>판타지 웹소설 &gt; 무협 소설</v>
      </c>
    </row>
    <row r="1774" spans="1:48" x14ac:dyDescent="0.4">
      <c r="A1774">
        <v>1525002409</v>
      </c>
      <c r="B1774">
        <v>1525002546</v>
      </c>
      <c r="C1774" t="str">
        <f>T("스포트라이트 138화")</f>
        <v>스포트라이트 138화</v>
      </c>
      <c r="D1774" t="str">
        <f>T("138")</f>
        <v>138</v>
      </c>
      <c r="E1774" t="str">
        <f>T("전혁")</f>
        <v>전혁</v>
      </c>
      <c r="H1774" t="str">
        <f t="shared" si="190"/>
        <v>스토리위즈</v>
      </c>
      <c r="I1774" t="str">
        <f>T("스포트라이트")</f>
        <v>스포트라이트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 s="2">
        <v>70</v>
      </c>
      <c r="AT1774" t="str">
        <f>T("9791159286841")</f>
        <v>9791159286841</v>
      </c>
      <c r="AV1774" t="str">
        <f>T("판타지 웹소설 &gt; 현대 판타지")</f>
        <v>판타지 웹소설 &gt; 현대 판타지</v>
      </c>
    </row>
    <row r="1775" spans="1:48" x14ac:dyDescent="0.4">
      <c r="A1775">
        <v>1525004030</v>
      </c>
      <c r="B1775">
        <v>1525006988</v>
      </c>
      <c r="C1775" t="str">
        <f>T("회귀의 전설 2부 872화")</f>
        <v>회귀의 전설 2부 872화</v>
      </c>
      <c r="D1775" t="str">
        <f>T("872")</f>
        <v>872</v>
      </c>
      <c r="E1775" t="str">
        <f>T("김광수")</f>
        <v>김광수</v>
      </c>
      <c r="H1775" t="str">
        <f t="shared" si="190"/>
        <v>스토리위즈</v>
      </c>
      <c r="I1775" t="str">
        <f>T("회귀의 전설")</f>
        <v>회귀의 전설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 s="2">
        <v>70</v>
      </c>
      <c r="AT1775" t="str">
        <f>T("9791191102086")</f>
        <v>9791191102086</v>
      </c>
      <c r="AV1775" t="str">
        <f>T("판타지 웹소설 &gt; 현대 판타지")</f>
        <v>판타지 웹소설 &gt; 현대 판타지</v>
      </c>
    </row>
    <row r="1776" spans="1:48" x14ac:dyDescent="0.4">
      <c r="A1776">
        <v>1525004030</v>
      </c>
      <c r="B1776">
        <v>1525006644</v>
      </c>
      <c r="C1776" t="str">
        <f>T("회귀의 전설 2부 527화")</f>
        <v>회귀의 전설 2부 527화</v>
      </c>
      <c r="D1776" t="str">
        <f>T("527")</f>
        <v>527</v>
      </c>
      <c r="E1776" t="str">
        <f>T("김광수")</f>
        <v>김광수</v>
      </c>
      <c r="H1776" t="str">
        <f t="shared" si="190"/>
        <v>스토리위즈</v>
      </c>
      <c r="I1776" t="str">
        <f>T("회귀의 전설")</f>
        <v>회귀의 전설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 s="2">
        <v>70</v>
      </c>
      <c r="AT1776" t="str">
        <f>T("9791191102086")</f>
        <v>9791191102086</v>
      </c>
      <c r="AV1776" t="str">
        <f>T("판타지 웹소설 &gt; 현대 판타지")</f>
        <v>판타지 웹소설 &gt; 현대 판타지</v>
      </c>
    </row>
    <row r="1777" spans="1:48" x14ac:dyDescent="0.4">
      <c r="A1777">
        <v>1525004030</v>
      </c>
      <c r="B1777">
        <v>1525004311</v>
      </c>
      <c r="C1777" t="str">
        <f>T("회귀의 전설 282화")</f>
        <v>회귀의 전설 282화</v>
      </c>
      <c r="D1777" t="str">
        <f>T("282")</f>
        <v>282</v>
      </c>
      <c r="E1777" t="str">
        <f>T("김광수")</f>
        <v>김광수</v>
      </c>
      <c r="H1777" t="str">
        <f t="shared" si="190"/>
        <v>스토리위즈</v>
      </c>
      <c r="I1777" t="str">
        <f>T("회귀의 전설")</f>
        <v>회귀의 전설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 s="2">
        <v>70</v>
      </c>
      <c r="AT1777" t="str">
        <f>T("9788997946006")</f>
        <v>9788997946006</v>
      </c>
      <c r="AV1777" t="str">
        <f>T("판타지 웹소설 &gt; 현대 판타지")</f>
        <v>판타지 웹소설 &gt; 현대 판타지</v>
      </c>
    </row>
    <row r="1778" spans="1:48" x14ac:dyDescent="0.4">
      <c r="A1778">
        <v>1525004030</v>
      </c>
      <c r="B1778">
        <v>1525004423</v>
      </c>
      <c r="C1778" t="str">
        <f>T("회귀의 전설 407화")</f>
        <v>회귀의 전설 407화</v>
      </c>
      <c r="D1778" t="str">
        <f>T("407")</f>
        <v>407</v>
      </c>
      <c r="E1778" t="str">
        <f>T("김광수")</f>
        <v>김광수</v>
      </c>
      <c r="H1778" t="str">
        <f t="shared" si="190"/>
        <v>스토리위즈</v>
      </c>
      <c r="I1778" t="str">
        <f>T("회귀의 전설")</f>
        <v>회귀의 전설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 s="2">
        <v>70</v>
      </c>
      <c r="AT1778" t="str">
        <f>T("9788997946006")</f>
        <v>9788997946006</v>
      </c>
      <c r="AV1778" t="str">
        <f>T("판타지 웹소설 &gt; 현대 판타지")</f>
        <v>판타지 웹소설 &gt; 현대 판타지</v>
      </c>
    </row>
    <row r="1779" spans="1:48" x14ac:dyDescent="0.4">
      <c r="A1779">
        <v>1525004988</v>
      </c>
      <c r="B1779">
        <v>1525005327</v>
      </c>
      <c r="C1779" t="str">
        <f>T("용무쌍 40화")</f>
        <v>용무쌍 40화</v>
      </c>
      <c r="D1779" t="str">
        <f>T("40")</f>
        <v>40</v>
      </c>
      <c r="E1779" t="str">
        <f>T("권용찬")</f>
        <v>권용찬</v>
      </c>
      <c r="H1779" t="str">
        <f t="shared" si="190"/>
        <v>스토리위즈</v>
      </c>
      <c r="I1779" t="str">
        <f>T("용무쌍")</f>
        <v>용무쌍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 s="2">
        <v>70</v>
      </c>
      <c r="AT1779" t="str">
        <f>T("9791159284861")</f>
        <v>9791159284861</v>
      </c>
      <c r="AV1779" t="str">
        <f>T("판타지 웹소설 &gt; 무협 소설")</f>
        <v>판타지 웹소설 &gt; 무협 소설</v>
      </c>
    </row>
    <row r="1780" spans="1:48" x14ac:dyDescent="0.4">
      <c r="A1780">
        <v>1525004030</v>
      </c>
      <c r="B1780">
        <v>1525006756</v>
      </c>
      <c r="C1780" t="str">
        <f>T("회귀의 전설 2부 639화")</f>
        <v>회귀의 전설 2부 639화</v>
      </c>
      <c r="D1780" t="str">
        <f>T("639")</f>
        <v>639</v>
      </c>
      <c r="E1780" t="str">
        <f>T("김광수")</f>
        <v>김광수</v>
      </c>
      <c r="H1780" t="str">
        <f t="shared" si="190"/>
        <v>스토리위즈</v>
      </c>
      <c r="I1780" t="str">
        <f>T("회귀의 전설")</f>
        <v>회귀의 전설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 s="2">
        <v>70</v>
      </c>
      <c r="AT1780" t="str">
        <f>T("9791191102086")</f>
        <v>9791191102086</v>
      </c>
      <c r="AV1780" t="str">
        <f>T("판타지 웹소설 &gt; 현대 판타지")</f>
        <v>판타지 웹소설 &gt; 현대 판타지</v>
      </c>
    </row>
    <row r="1781" spans="1:48" x14ac:dyDescent="0.4">
      <c r="A1781">
        <v>1525004030</v>
      </c>
      <c r="B1781">
        <v>1525004503</v>
      </c>
      <c r="C1781" t="str">
        <f>T("회귀의 전설 487화")</f>
        <v>회귀의 전설 487화</v>
      </c>
      <c r="D1781" t="str">
        <f>T("487")</f>
        <v>487</v>
      </c>
      <c r="E1781" t="str">
        <f>T("김광수")</f>
        <v>김광수</v>
      </c>
      <c r="H1781" t="str">
        <f t="shared" si="190"/>
        <v>스토리위즈</v>
      </c>
      <c r="I1781" t="str">
        <f>T("회귀의 전설")</f>
        <v>회귀의 전설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 s="2">
        <v>70</v>
      </c>
      <c r="AT1781" t="str">
        <f>T("9788997946006")</f>
        <v>9788997946006</v>
      </c>
      <c r="AV1781" t="str">
        <f>T("판타지 웹소설 &gt; 현대 판타지")</f>
        <v>판타지 웹소설 &gt; 현대 판타지</v>
      </c>
    </row>
    <row r="1782" spans="1:48" x14ac:dyDescent="0.4">
      <c r="A1782">
        <v>1525004989</v>
      </c>
      <c r="B1782">
        <v>1525005529</v>
      </c>
      <c r="C1782" t="str">
        <f>T("신룡전설 40화")</f>
        <v>신룡전설 40화</v>
      </c>
      <c r="D1782" t="str">
        <f>T("40")</f>
        <v>40</v>
      </c>
      <c r="E1782" t="str">
        <f>T("가람검")</f>
        <v>가람검</v>
      </c>
      <c r="H1782" t="str">
        <f t="shared" si="190"/>
        <v>스토리위즈</v>
      </c>
      <c r="I1782" t="str">
        <f>T("신룡전설")</f>
        <v>신룡전설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 s="2">
        <v>70</v>
      </c>
      <c r="AT1782" t="str">
        <f>T("9791159283505")</f>
        <v>9791159283505</v>
      </c>
      <c r="AV1782" t="str">
        <f>T("판타지 웹소설 &gt; 무협 소설")</f>
        <v>판타지 웹소설 &gt; 무협 소설</v>
      </c>
    </row>
    <row r="1783" spans="1:48" x14ac:dyDescent="0.4">
      <c r="A1783">
        <v>1525000569</v>
      </c>
      <c r="B1783">
        <v>1525000637</v>
      </c>
      <c r="C1783" t="str">
        <f>T("스트라이커 68화")</f>
        <v>스트라이커 68화</v>
      </c>
      <c r="D1783" t="str">
        <f>T("68")</f>
        <v>68</v>
      </c>
      <c r="E1783" t="str">
        <f>T("독고진")</f>
        <v>독고진</v>
      </c>
      <c r="H1783" t="str">
        <f t="shared" si="190"/>
        <v>스토리위즈</v>
      </c>
      <c r="I1783" t="str">
        <f>T("스트라이커")</f>
        <v>스트라이커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 s="2">
        <v>70</v>
      </c>
      <c r="AT1783" t="str">
        <f>T("9791170151678")</f>
        <v>9791170151678</v>
      </c>
      <c r="AV1783" t="str">
        <f>T("판타지 웹소설 &gt; 현대 판타지")</f>
        <v>판타지 웹소설 &gt; 현대 판타지</v>
      </c>
    </row>
    <row r="1784" spans="1:48" x14ac:dyDescent="0.4">
      <c r="A1784">
        <v>1525004030</v>
      </c>
      <c r="B1784">
        <v>1525007072</v>
      </c>
      <c r="C1784" t="str">
        <f>T("회귀의 전설 2부 956화")</f>
        <v>회귀의 전설 2부 956화</v>
      </c>
      <c r="D1784" t="str">
        <f>T("956")</f>
        <v>956</v>
      </c>
      <c r="E1784" t="str">
        <f>T("김광수")</f>
        <v>김광수</v>
      </c>
      <c r="H1784" t="str">
        <f t="shared" si="190"/>
        <v>스토리위즈</v>
      </c>
      <c r="I1784" t="str">
        <f>T("회귀의 전설")</f>
        <v>회귀의 전설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 s="2">
        <v>70</v>
      </c>
      <c r="AT1784" t="str">
        <f>T("9791191102086")</f>
        <v>9791191102086</v>
      </c>
      <c r="AV1784" t="str">
        <f>T("판타지 웹소설 &gt; 현대 판타지")</f>
        <v>판타지 웹소설 &gt; 현대 판타지</v>
      </c>
    </row>
    <row r="1785" spans="1:48" x14ac:dyDescent="0.4">
      <c r="A1785">
        <v>1525007923</v>
      </c>
      <c r="B1785">
        <v>1525007907</v>
      </c>
      <c r="C1785" t="str">
        <f>T("운상연담: 화불능귀일락 108화")</f>
        <v>운상연담: 화불능귀일락 108화</v>
      </c>
      <c r="D1785" t="str">
        <f>T("108")</f>
        <v>108</v>
      </c>
      <c r="E1785" t="str">
        <f>T("피모")</f>
        <v>피모</v>
      </c>
      <c r="H1785" t="str">
        <f>T("쉬라즈")</f>
        <v>쉬라즈</v>
      </c>
      <c r="I1785" t="str">
        <f>T("운상연담: 화불능귀일락")</f>
        <v>운상연담: 화불능귀일락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 s="2">
        <v>70</v>
      </c>
      <c r="AT1785" t="str">
        <f>T("9791164896646")</f>
        <v>9791164896646</v>
      </c>
      <c r="AV1785" t="str">
        <f>T("로맨스 웹소설 &gt; 역사/시대물")</f>
        <v>로맨스 웹소설 &gt; 역사/시대물</v>
      </c>
    </row>
    <row r="1786" spans="1:48" x14ac:dyDescent="0.4">
      <c r="A1786">
        <v>2313011400</v>
      </c>
      <c r="B1786">
        <v>1525007618</v>
      </c>
      <c r="C1786" t="str">
        <f>T("최종 보스 20권 3화")</f>
        <v>최종 보스 20권 3화</v>
      </c>
      <c r="D1786" t="str">
        <f>T("396")</f>
        <v>396</v>
      </c>
      <c r="E1786" t="str">
        <f>T("무장")</f>
        <v>무장</v>
      </c>
      <c r="H1786" t="str">
        <f t="shared" ref="H1786:H1791" si="191">T("스토리위즈")</f>
        <v>스토리위즈</v>
      </c>
      <c r="I1786" t="str">
        <f>T("최종 보스 : 빛을 향해 달리는 그림자")</f>
        <v>최종 보스 : 빛을 향해 달리는 그림자</v>
      </c>
      <c r="J1786">
        <v>100</v>
      </c>
      <c r="K1786">
        <v>100</v>
      </c>
      <c r="L1786">
        <v>1</v>
      </c>
      <c r="M1786">
        <v>0</v>
      </c>
      <c r="N1786">
        <v>100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200</v>
      </c>
      <c r="AH1786">
        <v>2</v>
      </c>
      <c r="AI1786">
        <v>0</v>
      </c>
      <c r="AJ1786">
        <v>0</v>
      </c>
      <c r="AK1786">
        <v>200</v>
      </c>
      <c r="AL1786">
        <v>0</v>
      </c>
      <c r="AM1786">
        <v>0</v>
      </c>
      <c r="AN1786">
        <v>0</v>
      </c>
      <c r="AO1786">
        <v>0</v>
      </c>
      <c r="AP1786" s="2">
        <v>140</v>
      </c>
      <c r="AT1786" t="str">
        <f>T("9791166067563")</f>
        <v>9791166067563</v>
      </c>
      <c r="AV1786" t="str">
        <f>T("판타지 웹소설 &gt; 현대 판타지")</f>
        <v>판타지 웹소설 &gt; 현대 판타지</v>
      </c>
    </row>
    <row r="1787" spans="1:48" x14ac:dyDescent="0.4">
      <c r="A1787">
        <v>1525004030</v>
      </c>
      <c r="B1787">
        <v>1525004343</v>
      </c>
      <c r="C1787" t="str">
        <f>T("회귀의 전설 315화")</f>
        <v>회귀의 전설 315화</v>
      </c>
      <c r="D1787" t="str">
        <f>T("315")</f>
        <v>315</v>
      </c>
      <c r="E1787" t="str">
        <f>T("김광수")</f>
        <v>김광수</v>
      </c>
      <c r="H1787" t="str">
        <f t="shared" si="191"/>
        <v>스토리위즈</v>
      </c>
      <c r="I1787" t="str">
        <f>T("회귀의 전설")</f>
        <v>회귀의 전설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 s="2">
        <v>70</v>
      </c>
      <c r="AT1787" t="str">
        <f>T("9788997946006")</f>
        <v>9788997946006</v>
      </c>
      <c r="AV1787" t="str">
        <f>T("판타지 웹소설 &gt; 현대 판타지")</f>
        <v>판타지 웹소설 &gt; 현대 판타지</v>
      </c>
    </row>
    <row r="1788" spans="1:48" x14ac:dyDescent="0.4">
      <c r="A1788">
        <v>1525004030</v>
      </c>
      <c r="B1788">
        <v>1525007144</v>
      </c>
      <c r="C1788" t="str">
        <f>T("회귀의 전설 2부 1027화")</f>
        <v>회귀의 전설 2부 1027화</v>
      </c>
      <c r="D1788" t="str">
        <f>T("1027")</f>
        <v>1027</v>
      </c>
      <c r="E1788" t="str">
        <f>T("김광수")</f>
        <v>김광수</v>
      </c>
      <c r="H1788" t="str">
        <f t="shared" si="191"/>
        <v>스토리위즈</v>
      </c>
      <c r="I1788" t="str">
        <f>T("회귀의 전설")</f>
        <v>회귀의 전설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 s="2">
        <v>70</v>
      </c>
      <c r="AT1788" t="str">
        <f>T("9791191102086")</f>
        <v>9791191102086</v>
      </c>
      <c r="AV1788" t="str">
        <f>T("판타지 웹소설 &gt; 현대 판타지")</f>
        <v>판타지 웹소설 &gt; 현대 판타지</v>
      </c>
    </row>
    <row r="1789" spans="1:48" x14ac:dyDescent="0.4">
      <c r="A1789">
        <v>1525004030</v>
      </c>
      <c r="B1789">
        <v>1525004455</v>
      </c>
      <c r="C1789" t="str">
        <f>T("회귀의 전설 439화")</f>
        <v>회귀의 전설 439화</v>
      </c>
      <c r="D1789" t="str">
        <f>T("439")</f>
        <v>439</v>
      </c>
      <c r="E1789" t="str">
        <f>T("김광수")</f>
        <v>김광수</v>
      </c>
      <c r="H1789" t="str">
        <f t="shared" si="191"/>
        <v>스토리위즈</v>
      </c>
      <c r="I1789" t="str">
        <f>T("회귀의 전설")</f>
        <v>회귀의 전설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 s="2">
        <v>70</v>
      </c>
      <c r="AT1789" t="str">
        <f>T("9788997946006")</f>
        <v>9788997946006</v>
      </c>
      <c r="AV1789" t="str">
        <f>T("판타지 웹소설 &gt; 현대 판타지")</f>
        <v>판타지 웹소설 &gt; 현대 판타지</v>
      </c>
    </row>
    <row r="1790" spans="1:48" x14ac:dyDescent="0.4">
      <c r="A1790">
        <v>1525004030</v>
      </c>
      <c r="B1790">
        <v>1525004535</v>
      </c>
      <c r="C1790" t="str">
        <f>T("회귀의 전설 512화")</f>
        <v>회귀의 전설 512화</v>
      </c>
      <c r="D1790" t="str">
        <f>T("512")</f>
        <v>512</v>
      </c>
      <c r="E1790" t="str">
        <f>T("김광수")</f>
        <v>김광수</v>
      </c>
      <c r="H1790" t="str">
        <f t="shared" si="191"/>
        <v>스토리위즈</v>
      </c>
      <c r="I1790" t="str">
        <f>T("회귀의 전설")</f>
        <v>회귀의 전설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 s="2">
        <v>70</v>
      </c>
      <c r="AT1790" t="str">
        <f>T("9788997946006")</f>
        <v>9788997946006</v>
      </c>
      <c r="AV1790" t="str">
        <f>T("판타지 웹소설 &gt; 현대 판타지")</f>
        <v>판타지 웹소설 &gt; 현대 판타지</v>
      </c>
    </row>
    <row r="1791" spans="1:48" x14ac:dyDescent="0.4">
      <c r="A1791">
        <v>1525004989</v>
      </c>
      <c r="B1791">
        <v>1525005561</v>
      </c>
      <c r="C1791" t="str">
        <f>T("신룡전설 72화")</f>
        <v>신룡전설 72화</v>
      </c>
      <c r="D1791" t="str">
        <f>T("72")</f>
        <v>72</v>
      </c>
      <c r="E1791" t="str">
        <f>T("가람검")</f>
        <v>가람검</v>
      </c>
      <c r="H1791" t="str">
        <f t="shared" si="191"/>
        <v>스토리위즈</v>
      </c>
      <c r="I1791" t="str">
        <f>T("신룡전설")</f>
        <v>신룡전설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 s="2">
        <v>70</v>
      </c>
      <c r="AT1791" t="str">
        <f>T("9791159283505")</f>
        <v>9791159283505</v>
      </c>
      <c r="AV1791" t="str">
        <f>T("판타지 웹소설 &gt; 무협 소설")</f>
        <v>판타지 웹소설 &gt; 무협 소설</v>
      </c>
    </row>
    <row r="1792" spans="1:48" x14ac:dyDescent="0.4">
      <c r="A1792">
        <v>1525008604</v>
      </c>
      <c r="B1792">
        <v>1525008601</v>
      </c>
      <c r="C1792" t="str">
        <f>T("우아한 곡선 17화")</f>
        <v>우아한 곡선 17화</v>
      </c>
      <c r="D1792" t="str">
        <f>T("17")</f>
        <v>17</v>
      </c>
      <c r="E1792" t="str">
        <f>T("용가리맛쿠키")</f>
        <v>용가리맛쿠키</v>
      </c>
      <c r="H1792" t="str">
        <f>T("블러쉬")</f>
        <v>블러쉬</v>
      </c>
      <c r="I1792" t="str">
        <f>T("우아한 곡선")</f>
        <v>우아한 곡선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 s="2">
        <v>70</v>
      </c>
      <c r="AR1792" t="str">
        <f>T("0000000000000")</f>
        <v>0000000000000</v>
      </c>
      <c r="AT1792" t="str">
        <f>T("9791164896615")</f>
        <v>9791164896615</v>
      </c>
      <c r="AV1792" t="str">
        <f>T("BL 웹소설 &gt; 현대물")</f>
        <v>BL 웹소설 &gt; 현대물</v>
      </c>
    </row>
    <row r="1793" spans="1:48" x14ac:dyDescent="0.4">
      <c r="A1793">
        <v>1525004030</v>
      </c>
      <c r="B1793">
        <v>1525007104</v>
      </c>
      <c r="C1793" t="str">
        <f>T("회귀의 전설 2부 988화")</f>
        <v>회귀의 전설 2부 988화</v>
      </c>
      <c r="D1793" t="str">
        <f>T("988")</f>
        <v>988</v>
      </c>
      <c r="E1793" t="str">
        <f>T("김광수")</f>
        <v>김광수</v>
      </c>
      <c r="H1793" t="str">
        <f>T("스토리위즈")</f>
        <v>스토리위즈</v>
      </c>
      <c r="I1793" t="str">
        <f>T("회귀의 전설")</f>
        <v>회귀의 전설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 s="2">
        <v>70</v>
      </c>
      <c r="AT1793" t="str">
        <f>T("9791191102086")</f>
        <v>9791191102086</v>
      </c>
      <c r="AV1793" t="str">
        <f>T("판타지 웹소설 &gt; 현대 판타지")</f>
        <v>판타지 웹소설 &gt; 현대 판타지</v>
      </c>
    </row>
    <row r="1794" spans="1:48" x14ac:dyDescent="0.4">
      <c r="A1794">
        <v>1525007923</v>
      </c>
      <c r="B1794">
        <v>1525007996</v>
      </c>
      <c r="C1794" t="str">
        <f>T("운상연담: 화불능귀일락 86화")</f>
        <v>운상연담: 화불능귀일락 86화</v>
      </c>
      <c r="D1794" t="str">
        <f>T("86")</f>
        <v>86</v>
      </c>
      <c r="E1794" t="str">
        <f>T("피모")</f>
        <v>피모</v>
      </c>
      <c r="H1794" t="str">
        <f>T("쉬라즈")</f>
        <v>쉬라즈</v>
      </c>
      <c r="I1794" t="str">
        <f>T("운상연담: 화불능귀일락")</f>
        <v>운상연담: 화불능귀일락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 s="2">
        <v>70</v>
      </c>
      <c r="AT1794" t="str">
        <f>T("9791164896646")</f>
        <v>9791164896646</v>
      </c>
      <c r="AV1794" t="str">
        <f>T("로맨스 웹소설 &gt; 역사/시대물")</f>
        <v>로맨스 웹소설 &gt; 역사/시대물</v>
      </c>
    </row>
    <row r="1795" spans="1:48" x14ac:dyDescent="0.4">
      <c r="A1795">
        <v>1525010579</v>
      </c>
      <c r="B1795">
        <v>1525010239</v>
      </c>
      <c r="C1795" t="str">
        <f>T("법보다 주먹 339화")</f>
        <v>법보다 주먹 339화</v>
      </c>
      <c r="D1795" t="str">
        <f>T("339")</f>
        <v>339</v>
      </c>
      <c r="E1795" t="str">
        <f>T("백범(白帆)")</f>
        <v>백범(白帆)</v>
      </c>
      <c r="H1795" t="str">
        <f>T("에필로그")</f>
        <v>에필로그</v>
      </c>
      <c r="I1795" t="str">
        <f>T("법보다 주먹")</f>
        <v>법보다 주먹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 s="2">
        <v>70</v>
      </c>
      <c r="AT1795" t="str">
        <f>T("9791164489367")</f>
        <v>9791164489367</v>
      </c>
      <c r="AV1795" t="str">
        <f>T("판타지 웹소설 &gt; 현대 판타지")</f>
        <v>판타지 웹소설 &gt; 현대 판타지</v>
      </c>
    </row>
    <row r="1796" spans="1:48" x14ac:dyDescent="0.4">
      <c r="A1796">
        <v>1525004030</v>
      </c>
      <c r="B1796">
        <v>1525004416</v>
      </c>
      <c r="C1796" t="str">
        <f>T("회귀의 전설 400화")</f>
        <v>회귀의 전설 400화</v>
      </c>
      <c r="D1796" t="str">
        <f>T("400")</f>
        <v>400</v>
      </c>
      <c r="E1796" t="str">
        <f>T("김광수")</f>
        <v>김광수</v>
      </c>
      <c r="H1796" t="str">
        <f>T("스토리위즈")</f>
        <v>스토리위즈</v>
      </c>
      <c r="I1796" t="str">
        <f>T("회귀의 전설")</f>
        <v>회귀의 전설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 s="2">
        <v>70</v>
      </c>
      <c r="AT1796" t="str">
        <f>T("9788997946006")</f>
        <v>9788997946006</v>
      </c>
      <c r="AV1796" t="str">
        <f>T("판타지 웹소설 &gt; 현대 판타지")</f>
        <v>판타지 웹소설 &gt; 현대 판타지</v>
      </c>
    </row>
    <row r="1797" spans="1:48" x14ac:dyDescent="0.4">
      <c r="A1797">
        <v>1525004030</v>
      </c>
      <c r="B1797">
        <v>1525006749</v>
      </c>
      <c r="C1797" t="str">
        <f>T("회귀의 전설 2부 632화")</f>
        <v>회귀의 전설 2부 632화</v>
      </c>
      <c r="D1797" t="str">
        <f>T("632")</f>
        <v>632</v>
      </c>
      <c r="E1797" t="str">
        <f>T("김광수")</f>
        <v>김광수</v>
      </c>
      <c r="H1797" t="str">
        <f>T("스토리위즈")</f>
        <v>스토리위즈</v>
      </c>
      <c r="I1797" t="str">
        <f>T("회귀의 전설")</f>
        <v>회귀의 전설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 s="2">
        <v>70</v>
      </c>
      <c r="AT1797" t="str">
        <f>T("9791191102086")</f>
        <v>9791191102086</v>
      </c>
      <c r="AV1797" t="str">
        <f>T("판타지 웹소설 &gt; 현대 판타지")</f>
        <v>판타지 웹소설 &gt; 현대 판타지</v>
      </c>
    </row>
    <row r="1798" spans="1:48" x14ac:dyDescent="0.4">
      <c r="A1798">
        <v>1525004030</v>
      </c>
      <c r="B1798">
        <v>1525004496</v>
      </c>
      <c r="C1798" t="str">
        <f>T("회귀의 전설 480화")</f>
        <v>회귀의 전설 480화</v>
      </c>
      <c r="D1798" t="str">
        <f>T("480")</f>
        <v>480</v>
      </c>
      <c r="E1798" t="str">
        <f>T("김광수")</f>
        <v>김광수</v>
      </c>
      <c r="H1798" t="str">
        <f>T("스토리위즈")</f>
        <v>스토리위즈</v>
      </c>
      <c r="I1798" t="str">
        <f>T("회귀의 전설")</f>
        <v>회귀의 전설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 s="2">
        <v>70</v>
      </c>
      <c r="AT1798" t="str">
        <f>T("9788997946006")</f>
        <v>9788997946006</v>
      </c>
      <c r="AV1798" t="str">
        <f>T("판타지 웹소설 &gt; 현대 판타지")</f>
        <v>판타지 웹소설 &gt; 현대 판타지</v>
      </c>
    </row>
    <row r="1799" spans="1:48" x14ac:dyDescent="0.4">
      <c r="A1799">
        <v>1525000569</v>
      </c>
      <c r="B1799">
        <v>1525000617</v>
      </c>
      <c r="C1799" t="str">
        <f>T("스트라이커 49화")</f>
        <v>스트라이커 49화</v>
      </c>
      <c r="D1799" t="str">
        <f>T("49")</f>
        <v>49</v>
      </c>
      <c r="E1799" t="str">
        <f>T("독고진")</f>
        <v>독고진</v>
      </c>
      <c r="H1799" t="str">
        <f>T("스토리위즈")</f>
        <v>스토리위즈</v>
      </c>
      <c r="I1799" t="str">
        <f>T("스트라이커")</f>
        <v>스트라이커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 s="2">
        <v>70</v>
      </c>
      <c r="AT1799" t="str">
        <f>T("9791170151678")</f>
        <v>9791170151678</v>
      </c>
      <c r="AV1799" t="str">
        <f>T("판타지 웹소설 &gt; 현대 판타지")</f>
        <v>판타지 웹소설 &gt; 현대 판타지</v>
      </c>
    </row>
    <row r="1800" spans="1:48" x14ac:dyDescent="0.4">
      <c r="A1800">
        <v>1525007923</v>
      </c>
      <c r="B1800">
        <v>1525007900</v>
      </c>
      <c r="C1800" t="str">
        <f>T("운상연담: 화불능귀일락 101화")</f>
        <v>운상연담: 화불능귀일락 101화</v>
      </c>
      <c r="D1800" t="str">
        <f>T("101")</f>
        <v>101</v>
      </c>
      <c r="E1800" t="str">
        <f>T("피모")</f>
        <v>피모</v>
      </c>
      <c r="H1800" t="str">
        <f>T("쉬라즈")</f>
        <v>쉬라즈</v>
      </c>
      <c r="I1800" t="str">
        <f>T("운상연담: 화불능귀일락")</f>
        <v>운상연담: 화불능귀일락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 s="2">
        <v>70</v>
      </c>
      <c r="AT1800" t="str">
        <f>T("9791164896646")</f>
        <v>9791164896646</v>
      </c>
      <c r="AV1800" t="str">
        <f>T("로맨스 웹소설 &gt; 역사/시대물")</f>
        <v>로맨스 웹소설 &gt; 역사/시대물</v>
      </c>
    </row>
    <row r="1801" spans="1:48" x14ac:dyDescent="0.4">
      <c r="A1801">
        <v>1525004030</v>
      </c>
      <c r="B1801">
        <v>1525007065</v>
      </c>
      <c r="C1801" t="str">
        <f>T("회귀의 전설 2부 949화")</f>
        <v>회귀의 전설 2부 949화</v>
      </c>
      <c r="D1801" t="str">
        <f>T("949")</f>
        <v>949</v>
      </c>
      <c r="E1801" t="str">
        <f>T("김광수")</f>
        <v>김광수</v>
      </c>
      <c r="H1801" t="str">
        <f t="shared" ref="H1801:H1809" si="192">T("스토리위즈")</f>
        <v>스토리위즈</v>
      </c>
      <c r="I1801" t="str">
        <f>T("회귀의 전설")</f>
        <v>회귀의 전설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 s="2">
        <v>70</v>
      </c>
      <c r="AT1801" t="str">
        <f>T("9791191102086")</f>
        <v>9791191102086</v>
      </c>
      <c r="AV1801" t="str">
        <f>T("판타지 웹소설 &gt; 현대 판타지")</f>
        <v>판타지 웹소설 &gt; 현대 판타지</v>
      </c>
    </row>
    <row r="1802" spans="1:48" x14ac:dyDescent="0.4">
      <c r="A1802">
        <v>1525004989</v>
      </c>
      <c r="B1802">
        <v>1525005634</v>
      </c>
      <c r="C1802" t="str">
        <f>T("신룡전설 145화")</f>
        <v>신룡전설 145화</v>
      </c>
      <c r="D1802" t="str">
        <f>T("145")</f>
        <v>145</v>
      </c>
      <c r="E1802" t="str">
        <f>T("가람검")</f>
        <v>가람검</v>
      </c>
      <c r="H1802" t="str">
        <f t="shared" si="192"/>
        <v>스토리위즈</v>
      </c>
      <c r="I1802" t="str">
        <f>T("신룡전설")</f>
        <v>신룡전설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 s="2">
        <v>70</v>
      </c>
      <c r="AT1802" t="str">
        <f>T("9791159283505")</f>
        <v>9791159283505</v>
      </c>
      <c r="AV1802" t="str">
        <f>T("판타지 웹소설 &gt; 무협 소설")</f>
        <v>판타지 웹소설 &gt; 무협 소설</v>
      </c>
    </row>
    <row r="1803" spans="1:48" x14ac:dyDescent="0.4">
      <c r="A1803">
        <v>2313011400</v>
      </c>
      <c r="B1803">
        <v>1525007611</v>
      </c>
      <c r="C1803" t="str">
        <f>T("최종 보스 19권 17화")</f>
        <v>최종 보스 19권 17화</v>
      </c>
      <c r="D1803" t="str">
        <f>T("389")</f>
        <v>389</v>
      </c>
      <c r="E1803" t="str">
        <f>T("무장")</f>
        <v>무장</v>
      </c>
      <c r="H1803" t="str">
        <f t="shared" si="192"/>
        <v>스토리위즈</v>
      </c>
      <c r="I1803" t="str">
        <f>T("최종 보스 : 빛을 향해 달리는 그림자")</f>
        <v>최종 보스 : 빛을 향해 달리는 그림자</v>
      </c>
      <c r="J1803">
        <v>100</v>
      </c>
      <c r="K1803">
        <v>100</v>
      </c>
      <c r="L1803">
        <v>1</v>
      </c>
      <c r="M1803">
        <v>0</v>
      </c>
      <c r="N1803">
        <v>100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200</v>
      </c>
      <c r="AH1803">
        <v>2</v>
      </c>
      <c r="AI1803">
        <v>0</v>
      </c>
      <c r="AJ1803">
        <v>0</v>
      </c>
      <c r="AK1803">
        <v>200</v>
      </c>
      <c r="AL1803">
        <v>0</v>
      </c>
      <c r="AM1803">
        <v>0</v>
      </c>
      <c r="AN1803">
        <v>0</v>
      </c>
      <c r="AO1803">
        <v>0</v>
      </c>
      <c r="AP1803" s="2">
        <v>140</v>
      </c>
      <c r="AT1803" t="str">
        <f>T("9791166067563")</f>
        <v>9791166067563</v>
      </c>
      <c r="AV1803" t="str">
        <f>T("판타지 웹소설 &gt; 현대 판타지")</f>
        <v>판타지 웹소설 &gt; 현대 판타지</v>
      </c>
    </row>
    <row r="1804" spans="1:48" x14ac:dyDescent="0.4">
      <c r="A1804">
        <v>1525004030</v>
      </c>
      <c r="B1804">
        <v>1525004336</v>
      </c>
      <c r="C1804" t="str">
        <f>T("회귀의 전설 307화")</f>
        <v>회귀의 전설 307화</v>
      </c>
      <c r="D1804" t="str">
        <f>T("307")</f>
        <v>307</v>
      </c>
      <c r="E1804" t="str">
        <f>T("김광수")</f>
        <v>김광수</v>
      </c>
      <c r="H1804" t="str">
        <f t="shared" si="192"/>
        <v>스토리위즈</v>
      </c>
      <c r="I1804" t="str">
        <f>T("회귀의 전설")</f>
        <v>회귀의 전설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 s="2">
        <v>70</v>
      </c>
      <c r="AT1804" t="str">
        <f>T("9788997946006")</f>
        <v>9788997946006</v>
      </c>
      <c r="AV1804" t="str">
        <f>T("판타지 웹소설 &gt; 현대 판타지")</f>
        <v>판타지 웹소설 &gt; 현대 판타지</v>
      </c>
    </row>
    <row r="1805" spans="1:48" x14ac:dyDescent="0.4">
      <c r="A1805">
        <v>1525004030</v>
      </c>
      <c r="B1805">
        <v>1525007137</v>
      </c>
      <c r="C1805" t="str">
        <f>T("회귀의 전설 2부 1021화")</f>
        <v>회귀의 전설 2부 1021화</v>
      </c>
      <c r="D1805" t="str">
        <f>T("1021")</f>
        <v>1021</v>
      </c>
      <c r="E1805" t="str">
        <f>T("김광수")</f>
        <v>김광수</v>
      </c>
      <c r="H1805" t="str">
        <f t="shared" si="192"/>
        <v>스토리위즈</v>
      </c>
      <c r="I1805" t="str">
        <f>T("회귀의 전설")</f>
        <v>회귀의 전설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 s="2">
        <v>70</v>
      </c>
      <c r="AT1805" t="str">
        <f>T("9791191102086")</f>
        <v>9791191102086</v>
      </c>
      <c r="AV1805" t="str">
        <f>T("판타지 웹소설 &gt; 현대 판타지")</f>
        <v>판타지 웹소설 &gt; 현대 판타지</v>
      </c>
    </row>
    <row r="1806" spans="1:48" x14ac:dyDescent="0.4">
      <c r="A1806">
        <v>1525004030</v>
      </c>
      <c r="B1806">
        <v>1525004448</v>
      </c>
      <c r="C1806" t="str">
        <f>T("회귀의 전설 432화")</f>
        <v>회귀의 전설 432화</v>
      </c>
      <c r="D1806" t="str">
        <f>T("432")</f>
        <v>432</v>
      </c>
      <c r="E1806" t="str">
        <f>T("김광수")</f>
        <v>김광수</v>
      </c>
      <c r="H1806" t="str">
        <f t="shared" si="192"/>
        <v>스토리위즈</v>
      </c>
      <c r="I1806" t="str">
        <f>T("회귀의 전설")</f>
        <v>회귀의 전설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 s="2">
        <v>70</v>
      </c>
      <c r="AT1806" t="str">
        <f>T("9788997946006")</f>
        <v>9788997946006</v>
      </c>
      <c r="AV1806" t="str">
        <f>T("판타지 웹소설 &gt; 현대 판타지")</f>
        <v>판타지 웹소설 &gt; 현대 판타지</v>
      </c>
    </row>
    <row r="1807" spans="1:48" x14ac:dyDescent="0.4">
      <c r="A1807">
        <v>1525004030</v>
      </c>
      <c r="B1807">
        <v>1525004528</v>
      </c>
      <c r="C1807" t="str">
        <f>T("회귀의 전설 505화")</f>
        <v>회귀의 전설 505화</v>
      </c>
      <c r="D1807" t="str">
        <f>T("505")</f>
        <v>505</v>
      </c>
      <c r="E1807" t="str">
        <f>T("김광수")</f>
        <v>김광수</v>
      </c>
      <c r="H1807" t="str">
        <f t="shared" si="192"/>
        <v>스토리위즈</v>
      </c>
      <c r="I1807" t="str">
        <f>T("회귀의 전설")</f>
        <v>회귀의 전설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 s="2">
        <v>70</v>
      </c>
      <c r="AT1807" t="str">
        <f>T("9788997946006")</f>
        <v>9788997946006</v>
      </c>
      <c r="AV1807" t="str">
        <f>T("판타지 웹소설 &gt; 현대 판타지")</f>
        <v>판타지 웹소설 &gt; 현대 판타지</v>
      </c>
    </row>
    <row r="1808" spans="1:48" x14ac:dyDescent="0.4">
      <c r="A1808">
        <v>1525004989</v>
      </c>
      <c r="B1808">
        <v>1525005554</v>
      </c>
      <c r="C1808" t="str">
        <f>T("신룡전설 65화")</f>
        <v>신룡전설 65화</v>
      </c>
      <c r="D1808" t="str">
        <f>T("65")</f>
        <v>65</v>
      </c>
      <c r="E1808" t="str">
        <f>T("가람검")</f>
        <v>가람검</v>
      </c>
      <c r="H1808" t="str">
        <f t="shared" si="192"/>
        <v>스토리위즈</v>
      </c>
      <c r="I1808" t="str">
        <f>T("신룡전설")</f>
        <v>신룡전설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 s="2">
        <v>70</v>
      </c>
      <c r="AT1808" t="str">
        <f>T("9791159283505")</f>
        <v>9791159283505</v>
      </c>
      <c r="AV1808" t="str">
        <f>T("판타지 웹소설 &gt; 무협 소설")</f>
        <v>판타지 웹소설 &gt; 무협 소설</v>
      </c>
    </row>
    <row r="1809" spans="1:48" x14ac:dyDescent="0.4">
      <c r="A1809">
        <v>1525004030</v>
      </c>
      <c r="B1809">
        <v>1525007097</v>
      </c>
      <c r="C1809" t="str">
        <f>T("회귀의 전설 2부 981화")</f>
        <v>회귀의 전설 2부 981화</v>
      </c>
      <c r="D1809" t="str">
        <f>T("981")</f>
        <v>981</v>
      </c>
      <c r="E1809" t="str">
        <f>T("김광수")</f>
        <v>김광수</v>
      </c>
      <c r="H1809" t="str">
        <f t="shared" si="192"/>
        <v>스토리위즈</v>
      </c>
      <c r="I1809" t="str">
        <f>T("회귀의 전설")</f>
        <v>회귀의 전설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 s="2">
        <v>70</v>
      </c>
      <c r="AT1809" t="str">
        <f>T("9791191102086")</f>
        <v>9791191102086</v>
      </c>
      <c r="AV1809" t="str">
        <f>T("판타지 웹소설 &gt; 현대 판타지")</f>
        <v>판타지 웹소설 &gt; 현대 판타지</v>
      </c>
    </row>
    <row r="1810" spans="1:48" x14ac:dyDescent="0.4">
      <c r="A1810">
        <v>1525007923</v>
      </c>
      <c r="B1810">
        <v>1525007988</v>
      </c>
      <c r="C1810" t="str">
        <f>T("운상연담: 화불능귀일락 79화")</f>
        <v>운상연담: 화불능귀일락 79화</v>
      </c>
      <c r="D1810" t="str">
        <f>T("79")</f>
        <v>79</v>
      </c>
      <c r="E1810" t="str">
        <f>T("피모")</f>
        <v>피모</v>
      </c>
      <c r="H1810" t="str">
        <f>T("쉬라즈")</f>
        <v>쉬라즈</v>
      </c>
      <c r="I1810" t="str">
        <f>T("운상연담: 화불능귀일락")</f>
        <v>운상연담: 화불능귀일락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 s="2">
        <v>70</v>
      </c>
      <c r="AT1810" t="str">
        <f>T("9791164896646")</f>
        <v>9791164896646</v>
      </c>
      <c r="AV1810" t="str">
        <f>T("로맨스 웹소설 &gt; 역사/시대물")</f>
        <v>로맨스 웹소설 &gt; 역사/시대물</v>
      </c>
    </row>
    <row r="1811" spans="1:48" x14ac:dyDescent="0.4">
      <c r="A1811">
        <v>1525004030</v>
      </c>
      <c r="B1811">
        <v>1525004368</v>
      </c>
      <c r="C1811" t="str">
        <f>T("회귀의 전설 340화")</f>
        <v>회귀의 전설 340화</v>
      </c>
      <c r="D1811" t="str">
        <f>T("340")</f>
        <v>340</v>
      </c>
      <c r="E1811" t="str">
        <f>T("김광수")</f>
        <v>김광수</v>
      </c>
      <c r="H1811" t="str">
        <f>T("스토리위즈")</f>
        <v>스토리위즈</v>
      </c>
      <c r="I1811" t="str">
        <f>T("회귀의 전설")</f>
        <v>회귀의 전설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 s="2">
        <v>70</v>
      </c>
      <c r="AT1811" t="str">
        <f>T("9788997946006")</f>
        <v>9788997946006</v>
      </c>
      <c r="AV1811" t="str">
        <f>T("판타지 웹소설 &gt; 현대 판타지")</f>
        <v>판타지 웹소설 &gt; 현대 판타지</v>
      </c>
    </row>
    <row r="1812" spans="1:48" x14ac:dyDescent="0.4">
      <c r="A1812">
        <v>2313011400</v>
      </c>
      <c r="B1812">
        <v>1525007643</v>
      </c>
      <c r="C1812" t="str">
        <f>T("최종 보스 21권 8화")</f>
        <v>최종 보스 21권 8화</v>
      </c>
      <c r="D1812" t="str">
        <f>T("421")</f>
        <v>421</v>
      </c>
      <c r="E1812" t="str">
        <f>T("무장")</f>
        <v>무장</v>
      </c>
      <c r="H1812" t="str">
        <f>T("스토리위즈")</f>
        <v>스토리위즈</v>
      </c>
      <c r="I1812" t="str">
        <f>T("최종 보스 : 빛을 향해 달리는 그림자")</f>
        <v>최종 보스 : 빛을 향해 달리는 그림자</v>
      </c>
      <c r="J1812">
        <v>100</v>
      </c>
      <c r="K1812">
        <v>100</v>
      </c>
      <c r="L1812">
        <v>1</v>
      </c>
      <c r="M1812">
        <v>0</v>
      </c>
      <c r="N1812">
        <v>100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200</v>
      </c>
      <c r="AH1812">
        <v>2</v>
      </c>
      <c r="AI1812">
        <v>0</v>
      </c>
      <c r="AJ1812">
        <v>0</v>
      </c>
      <c r="AK1812">
        <v>200</v>
      </c>
      <c r="AL1812">
        <v>0</v>
      </c>
      <c r="AM1812">
        <v>0</v>
      </c>
      <c r="AN1812">
        <v>0</v>
      </c>
      <c r="AO1812">
        <v>0</v>
      </c>
      <c r="AP1812" s="2">
        <v>140</v>
      </c>
      <c r="AT1812" t="str">
        <f>T("9791166067563")</f>
        <v>9791166067563</v>
      </c>
      <c r="AV1812" t="str">
        <f>T("판타지 웹소설 &gt; 현대 판타지")</f>
        <v>판타지 웹소설 &gt; 현대 판타지</v>
      </c>
    </row>
    <row r="1813" spans="1:48" x14ac:dyDescent="0.4">
      <c r="A1813">
        <v>1525004030</v>
      </c>
      <c r="B1813">
        <v>1525004544</v>
      </c>
      <c r="C1813" t="str">
        <f>T("회귀의 전설 521화")</f>
        <v>회귀의 전설 521화</v>
      </c>
      <c r="D1813" t="str">
        <f>T("521")</f>
        <v>521</v>
      </c>
      <c r="E1813" t="str">
        <f>T("김광수")</f>
        <v>김광수</v>
      </c>
      <c r="H1813" t="str">
        <f>T("스토리위즈")</f>
        <v>스토리위즈</v>
      </c>
      <c r="I1813" t="str">
        <f>T("회귀의 전설")</f>
        <v>회귀의 전설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 s="2">
        <v>70</v>
      </c>
      <c r="AT1813" t="str">
        <f>T("9788997946006")</f>
        <v>9788997946006</v>
      </c>
      <c r="AV1813" t="str">
        <f>T("판타지 웹소설 &gt; 현대 판타지")</f>
        <v>판타지 웹소설 &gt; 현대 판타지</v>
      </c>
    </row>
    <row r="1814" spans="1:48" x14ac:dyDescent="0.4">
      <c r="A1814">
        <v>1525004030</v>
      </c>
      <c r="B1814">
        <v>1525004480</v>
      </c>
      <c r="C1814" t="str">
        <f>T("회귀의 전설 464화")</f>
        <v>회귀의 전설 464화</v>
      </c>
      <c r="D1814" t="str">
        <f>T("464")</f>
        <v>464</v>
      </c>
      <c r="E1814" t="str">
        <f>T("김광수")</f>
        <v>김광수</v>
      </c>
      <c r="H1814" t="str">
        <f>T("스토리위즈")</f>
        <v>스토리위즈</v>
      </c>
      <c r="I1814" t="str">
        <f>T("회귀의 전설")</f>
        <v>회귀의 전설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 s="2">
        <v>70</v>
      </c>
      <c r="AT1814" t="str">
        <f>T("9788997946006")</f>
        <v>9788997946006</v>
      </c>
      <c r="AV1814" t="str">
        <f>T("판타지 웹소설 &gt; 현대 판타지")</f>
        <v>판타지 웹소설 &gt; 현대 판타지</v>
      </c>
    </row>
    <row r="1815" spans="1:48" x14ac:dyDescent="0.4">
      <c r="A1815">
        <v>1525008545</v>
      </c>
      <c r="B1815">
        <v>1525008570</v>
      </c>
      <c r="C1815" t="str">
        <f>T("소년연애담 42화")</f>
        <v>소년연애담 42화</v>
      </c>
      <c r="D1815" t="str">
        <f>T("42")</f>
        <v>42</v>
      </c>
      <c r="E1815" t="str">
        <f>T("나나코")</f>
        <v>나나코</v>
      </c>
      <c r="H1815" t="str">
        <f>T("블러쉬")</f>
        <v>블러쉬</v>
      </c>
      <c r="I1815" t="str">
        <f>T("소년연애담")</f>
        <v>소년연애담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0</v>
      </c>
      <c r="AL1815">
        <v>0</v>
      </c>
      <c r="AM1815">
        <v>100</v>
      </c>
      <c r="AN1815">
        <v>0</v>
      </c>
      <c r="AO1815">
        <v>0</v>
      </c>
      <c r="AP1815" s="2">
        <v>70</v>
      </c>
      <c r="AR1815" t="str">
        <f>T("0000000000000")</f>
        <v>0000000000000</v>
      </c>
      <c r="AT1815" t="str">
        <f>T("9791164890729")</f>
        <v>9791164890729</v>
      </c>
      <c r="AU1815" t="str">
        <f>T("B12")</f>
        <v>B12</v>
      </c>
      <c r="AV1815" t="str">
        <f>T("BL 웹소설 &gt; 현대물")</f>
        <v>BL 웹소설 &gt; 현대물</v>
      </c>
    </row>
    <row r="1816" spans="1:48" x14ac:dyDescent="0.4">
      <c r="A1816">
        <v>1525010579</v>
      </c>
      <c r="B1816">
        <v>1525010188</v>
      </c>
      <c r="C1816" t="str">
        <f>T("법보다 주먹 390화")</f>
        <v>법보다 주먹 390화</v>
      </c>
      <c r="D1816" t="str">
        <f>T("390")</f>
        <v>390</v>
      </c>
      <c r="E1816" t="str">
        <f>T("백범(白帆)")</f>
        <v>백범(白帆)</v>
      </c>
      <c r="H1816" t="str">
        <f>T("에필로그")</f>
        <v>에필로그</v>
      </c>
      <c r="I1816" t="str">
        <f>T("법보다 주먹")</f>
        <v>법보다 주먹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 s="2">
        <v>70</v>
      </c>
      <c r="AT1816" t="str">
        <f>T("9791164489367")</f>
        <v>9791164489367</v>
      </c>
      <c r="AV1816" t="str">
        <f>T("판타지 웹소설 &gt; 현대 판타지")</f>
        <v>판타지 웹소설 &gt; 현대 판타지</v>
      </c>
    </row>
    <row r="1817" spans="1:48" x14ac:dyDescent="0.4">
      <c r="A1817">
        <v>1525004030</v>
      </c>
      <c r="B1817">
        <v>1525007129</v>
      </c>
      <c r="C1817" t="str">
        <f>T("회귀의 전설 2부 1013화")</f>
        <v>회귀의 전설 2부 1013화</v>
      </c>
      <c r="D1817" t="str">
        <f>T("1013")</f>
        <v>1013</v>
      </c>
      <c r="E1817" t="str">
        <f>T("김광수")</f>
        <v>김광수</v>
      </c>
      <c r="H1817" t="str">
        <f>T("스토리위즈")</f>
        <v>스토리위즈</v>
      </c>
      <c r="I1817" t="str">
        <f>T("회귀의 전설")</f>
        <v>회귀의 전설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 s="2">
        <v>70</v>
      </c>
      <c r="AT1817" t="str">
        <f>T("9791191102086")</f>
        <v>9791191102086</v>
      </c>
      <c r="AV1817" t="str">
        <f>T("판타지 웹소설 &gt; 현대 판타지")</f>
        <v>판타지 웹소설 &gt; 현대 판타지</v>
      </c>
    </row>
    <row r="1818" spans="1:48" x14ac:dyDescent="0.4">
      <c r="A1818">
        <v>1525000569</v>
      </c>
      <c r="B1818">
        <v>1525000766</v>
      </c>
      <c r="C1818" t="str">
        <f>T("스트라이커 195화")</f>
        <v>스트라이커 195화</v>
      </c>
      <c r="D1818" t="str">
        <f>T("195")</f>
        <v>195</v>
      </c>
      <c r="E1818" t="str">
        <f>T("독고진")</f>
        <v>독고진</v>
      </c>
      <c r="H1818" t="str">
        <f>T("스토리위즈")</f>
        <v>스토리위즈</v>
      </c>
      <c r="I1818" t="str">
        <f>T("스트라이커")</f>
        <v>스트라이커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 s="2">
        <v>70</v>
      </c>
      <c r="AT1818" t="str">
        <f>T("9791170151678")</f>
        <v>9791170151678</v>
      </c>
      <c r="AV1818" t="str">
        <f>T("판타지 웹소설 &gt; 현대 판타지")</f>
        <v>판타지 웹소설 &gt; 현대 판타지</v>
      </c>
    </row>
    <row r="1819" spans="1:48" x14ac:dyDescent="0.4">
      <c r="A1819">
        <v>1525002409</v>
      </c>
      <c r="B1819">
        <v>1525002610</v>
      </c>
      <c r="C1819" t="str">
        <f>T("스포트라이트 202화")</f>
        <v>스포트라이트 202화</v>
      </c>
      <c r="D1819" t="str">
        <f>T("202")</f>
        <v>202</v>
      </c>
      <c r="E1819" t="str">
        <f>T("전혁")</f>
        <v>전혁</v>
      </c>
      <c r="H1819" t="str">
        <f>T("스토리위즈")</f>
        <v>스토리위즈</v>
      </c>
      <c r="I1819" t="str">
        <f>T("스포트라이트")</f>
        <v>스포트라이트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 s="2">
        <v>70</v>
      </c>
      <c r="AT1819" t="str">
        <f>T("9791159286841")</f>
        <v>9791159286841</v>
      </c>
      <c r="AV1819" t="str">
        <f>T("판타지 웹소설 &gt; 현대 판타지")</f>
        <v>판타지 웹소설 &gt; 현대 판타지</v>
      </c>
    </row>
    <row r="1820" spans="1:48" x14ac:dyDescent="0.4">
      <c r="A1820">
        <v>1525007872</v>
      </c>
      <c r="B1820">
        <v>1525007867</v>
      </c>
      <c r="C1820" t="str">
        <f>T("아침이 오지 않아도 15화")</f>
        <v>아침이 오지 않아도 15화</v>
      </c>
      <c r="D1820" t="str">
        <f>T("15")</f>
        <v>15</v>
      </c>
      <c r="E1820" t="str">
        <f>T("홍영")</f>
        <v>홍영</v>
      </c>
      <c r="H1820" t="str">
        <f>T("러브스토리")</f>
        <v>러브스토리</v>
      </c>
      <c r="I1820" t="str">
        <f>T("아침이 오지 않아도")</f>
        <v>아침이 오지 않아도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 s="2">
        <v>70</v>
      </c>
      <c r="AR1820" t="str">
        <f>T("0000000000000")</f>
        <v>0000000000000</v>
      </c>
      <c r="AT1820" t="str">
        <f>T("9791164899708")</f>
        <v>9791164899708</v>
      </c>
      <c r="AV1820" t="str">
        <f>T("로맨스 웹소설 &gt; 현대물")</f>
        <v>로맨스 웹소설 &gt; 현대물</v>
      </c>
    </row>
    <row r="1821" spans="1:48" x14ac:dyDescent="0.4">
      <c r="A1821">
        <v>2313011400</v>
      </c>
      <c r="B1821">
        <v>1525007675</v>
      </c>
      <c r="C1821" t="str">
        <f>T("최종 보스 22권 20화")</f>
        <v>최종 보스 22권 20화</v>
      </c>
      <c r="D1821" t="str">
        <f>T("453")</f>
        <v>453</v>
      </c>
      <c r="E1821" t="str">
        <f>T("무장")</f>
        <v>무장</v>
      </c>
      <c r="H1821" t="str">
        <f t="shared" ref="H1821:H1830" si="193">T("스토리위즈")</f>
        <v>스토리위즈</v>
      </c>
      <c r="I1821" t="str">
        <f>T("최종 보스 : 빛을 향해 달리는 그림자")</f>
        <v>최종 보스 : 빛을 향해 달리는 그림자</v>
      </c>
      <c r="J1821">
        <v>100</v>
      </c>
      <c r="K1821">
        <v>100</v>
      </c>
      <c r="L1821">
        <v>1</v>
      </c>
      <c r="M1821">
        <v>0</v>
      </c>
      <c r="N1821">
        <v>100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200</v>
      </c>
      <c r="AH1821">
        <v>2</v>
      </c>
      <c r="AI1821">
        <v>0</v>
      </c>
      <c r="AJ1821">
        <v>0</v>
      </c>
      <c r="AK1821">
        <v>200</v>
      </c>
      <c r="AL1821">
        <v>0</v>
      </c>
      <c r="AM1821">
        <v>0</v>
      </c>
      <c r="AN1821">
        <v>0</v>
      </c>
      <c r="AO1821">
        <v>0</v>
      </c>
      <c r="AP1821" s="2">
        <v>140</v>
      </c>
      <c r="AT1821" t="str">
        <f>T("9791166067563")</f>
        <v>9791166067563</v>
      </c>
      <c r="AV1821" t="str">
        <f>T("판타지 웹소설 &gt; 현대 판타지")</f>
        <v>판타지 웹소설 &gt; 현대 판타지</v>
      </c>
    </row>
    <row r="1822" spans="1:48" x14ac:dyDescent="0.4">
      <c r="A1822">
        <v>1525004030</v>
      </c>
      <c r="B1822">
        <v>1525007033</v>
      </c>
      <c r="C1822" t="str">
        <f>T("회귀의 전설 2부 917화")</f>
        <v>회귀의 전설 2부 917화</v>
      </c>
      <c r="D1822" t="str">
        <f>T("917")</f>
        <v>917</v>
      </c>
      <c r="E1822" t="str">
        <f>T("김광수")</f>
        <v>김광수</v>
      </c>
      <c r="H1822" t="str">
        <f t="shared" si="193"/>
        <v>스토리위즈</v>
      </c>
      <c r="I1822" t="str">
        <f>T("회귀의 전설")</f>
        <v>회귀의 전설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 s="2">
        <v>70</v>
      </c>
      <c r="AT1822" t="str">
        <f>T("9791191102086")</f>
        <v>9791191102086</v>
      </c>
      <c r="AV1822" t="str">
        <f>T("판타지 웹소설 &gt; 현대 판타지")</f>
        <v>판타지 웹소설 &gt; 현대 판타지</v>
      </c>
    </row>
    <row r="1823" spans="1:48" x14ac:dyDescent="0.4">
      <c r="A1823">
        <v>1525004989</v>
      </c>
      <c r="B1823">
        <v>1525005602</v>
      </c>
      <c r="C1823" t="str">
        <f>T("신룡전설 113화")</f>
        <v>신룡전설 113화</v>
      </c>
      <c r="D1823" t="str">
        <f>T("113")</f>
        <v>113</v>
      </c>
      <c r="E1823" t="str">
        <f>T("가람검")</f>
        <v>가람검</v>
      </c>
      <c r="H1823" t="str">
        <f t="shared" si="193"/>
        <v>스토리위즈</v>
      </c>
      <c r="I1823" t="str">
        <f>T("신룡전설")</f>
        <v>신룡전설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 s="2">
        <v>70</v>
      </c>
      <c r="AT1823" t="str">
        <f>T("9791159283505")</f>
        <v>9791159283505</v>
      </c>
      <c r="AV1823" t="str">
        <f>T("판타지 웹소설 &gt; 무협 소설")</f>
        <v>판타지 웹소설 &gt; 무협 소설</v>
      </c>
    </row>
    <row r="1824" spans="1:48" x14ac:dyDescent="0.4">
      <c r="A1824">
        <v>1525002409</v>
      </c>
      <c r="B1824">
        <v>1525002539</v>
      </c>
      <c r="C1824" t="str">
        <f>T("스포트라이트 131화")</f>
        <v>스포트라이트 131화</v>
      </c>
      <c r="D1824" t="str">
        <f>T("131")</f>
        <v>131</v>
      </c>
      <c r="E1824" t="str">
        <f>T("전혁")</f>
        <v>전혁</v>
      </c>
      <c r="H1824" t="str">
        <f t="shared" si="193"/>
        <v>스토리위즈</v>
      </c>
      <c r="I1824" t="str">
        <f>T("스포트라이트")</f>
        <v>스포트라이트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 s="2">
        <v>70</v>
      </c>
      <c r="AT1824" t="str">
        <f>T("9791159286841")</f>
        <v>9791159286841</v>
      </c>
      <c r="AV1824" t="str">
        <f>T("판타지 웹소설 &gt; 현대 판타지")</f>
        <v>판타지 웹소설 &gt; 현대 판타지</v>
      </c>
    </row>
    <row r="1825" spans="1:48" x14ac:dyDescent="0.4">
      <c r="A1825">
        <v>1525004030</v>
      </c>
      <c r="B1825">
        <v>1525006981</v>
      </c>
      <c r="C1825" t="str">
        <f>T("회귀의 전설 2부 865화")</f>
        <v>회귀의 전설 2부 865화</v>
      </c>
      <c r="D1825" t="str">
        <f>T("865")</f>
        <v>865</v>
      </c>
      <c r="E1825" t="str">
        <f>T("김광수")</f>
        <v>김광수</v>
      </c>
      <c r="H1825" t="str">
        <f t="shared" si="193"/>
        <v>스토리위즈</v>
      </c>
      <c r="I1825" t="str">
        <f>T("회귀의 전설")</f>
        <v>회귀의 전설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 s="2">
        <v>70</v>
      </c>
      <c r="AT1825" t="str">
        <f>T("9791191102086")</f>
        <v>9791191102086</v>
      </c>
      <c r="AV1825" t="str">
        <f>T("판타지 웹소설 &gt; 현대 판타지")</f>
        <v>판타지 웹소설 &gt; 현대 판타지</v>
      </c>
    </row>
    <row r="1826" spans="1:48" x14ac:dyDescent="0.4">
      <c r="A1826">
        <v>1525004030</v>
      </c>
      <c r="B1826">
        <v>1525004304</v>
      </c>
      <c r="C1826" t="str">
        <f>T("회귀의 전설 275화")</f>
        <v>회귀의 전설 275화</v>
      </c>
      <c r="D1826" t="str">
        <f>T("275")</f>
        <v>275</v>
      </c>
      <c r="E1826" t="str">
        <f>T("김광수")</f>
        <v>김광수</v>
      </c>
      <c r="H1826" t="str">
        <f t="shared" si="193"/>
        <v>스토리위즈</v>
      </c>
      <c r="I1826" t="str">
        <f>T("회귀의 전설")</f>
        <v>회귀의 전설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 s="2">
        <v>70</v>
      </c>
      <c r="AT1826" t="str">
        <f>T("9788997946006")</f>
        <v>9788997946006</v>
      </c>
      <c r="AV1826" t="str">
        <f>T("판타지 웹소설 &gt; 현대 판타지")</f>
        <v>판타지 웹소설 &gt; 현대 판타지</v>
      </c>
    </row>
    <row r="1827" spans="1:48" x14ac:dyDescent="0.4">
      <c r="A1827">
        <v>2313011400</v>
      </c>
      <c r="B1827">
        <v>1525007636</v>
      </c>
      <c r="C1827" t="str">
        <f>T("최종 보스 21권 1화")</f>
        <v>최종 보스 21권 1화</v>
      </c>
      <c r="D1827" t="str">
        <f>T("414")</f>
        <v>414</v>
      </c>
      <c r="E1827" t="str">
        <f>T("무장")</f>
        <v>무장</v>
      </c>
      <c r="H1827" t="str">
        <f t="shared" si="193"/>
        <v>스토리위즈</v>
      </c>
      <c r="I1827" t="str">
        <f>T("최종 보스 : 빛을 향해 달리는 그림자")</f>
        <v>최종 보스 : 빛을 향해 달리는 그림자</v>
      </c>
      <c r="J1827">
        <v>100</v>
      </c>
      <c r="K1827">
        <v>100</v>
      </c>
      <c r="L1827">
        <v>1</v>
      </c>
      <c r="M1827">
        <v>0</v>
      </c>
      <c r="N1827">
        <v>100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200</v>
      </c>
      <c r="AH1827">
        <v>2</v>
      </c>
      <c r="AI1827">
        <v>0</v>
      </c>
      <c r="AJ1827">
        <v>0</v>
      </c>
      <c r="AK1827">
        <v>200</v>
      </c>
      <c r="AL1827">
        <v>0</v>
      </c>
      <c r="AM1827">
        <v>0</v>
      </c>
      <c r="AN1827">
        <v>0</v>
      </c>
      <c r="AO1827">
        <v>0</v>
      </c>
      <c r="AP1827" s="2">
        <v>140</v>
      </c>
      <c r="AT1827" t="str">
        <f>T("9791166067563")</f>
        <v>9791166067563</v>
      </c>
      <c r="AV1827" t="str">
        <f>T("판타지 웹소설 &gt; 현대 판타지")</f>
        <v>판타지 웹소설 &gt; 현대 판타지</v>
      </c>
    </row>
    <row r="1828" spans="1:48" x14ac:dyDescent="0.4">
      <c r="A1828">
        <v>1525004030</v>
      </c>
      <c r="B1828">
        <v>1525004361</v>
      </c>
      <c r="C1828" t="str">
        <f>T("회귀의 전설 333화")</f>
        <v>회귀의 전설 333화</v>
      </c>
      <c r="D1828" t="str">
        <f>T("333")</f>
        <v>333</v>
      </c>
      <c r="E1828" t="str">
        <f>T("김광수")</f>
        <v>김광수</v>
      </c>
      <c r="H1828" t="str">
        <f t="shared" si="193"/>
        <v>스토리위즈</v>
      </c>
      <c r="I1828" t="str">
        <f>T("회귀의 전설")</f>
        <v>회귀의 전설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 s="2">
        <v>70</v>
      </c>
      <c r="AT1828" t="str">
        <f>T("9788997946006")</f>
        <v>9788997946006</v>
      </c>
      <c r="AV1828" t="str">
        <f>T("판타지 웹소설 &gt; 현대 판타지")</f>
        <v>판타지 웹소설 &gt; 현대 판타지</v>
      </c>
    </row>
    <row r="1829" spans="1:48" x14ac:dyDescent="0.4">
      <c r="A1829">
        <v>1525004989</v>
      </c>
      <c r="B1829">
        <v>1525005523</v>
      </c>
      <c r="C1829" t="str">
        <f>T("신룡전설 34화")</f>
        <v>신룡전설 34화</v>
      </c>
      <c r="D1829" t="str">
        <f>T("34")</f>
        <v>34</v>
      </c>
      <c r="E1829" t="str">
        <f>T("가람검")</f>
        <v>가람검</v>
      </c>
      <c r="H1829" t="str">
        <f t="shared" si="193"/>
        <v>스토리위즈</v>
      </c>
      <c r="I1829" t="str">
        <f>T("신룡전설")</f>
        <v>신룡전설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 s="2">
        <v>70</v>
      </c>
      <c r="AT1829" t="str">
        <f>T("9791159283505")</f>
        <v>9791159283505</v>
      </c>
      <c r="AV1829" t="str">
        <f>T("판타지 웹소설 &gt; 무협 소설")</f>
        <v>판타지 웹소설 &gt; 무협 소설</v>
      </c>
    </row>
    <row r="1830" spans="1:48" x14ac:dyDescent="0.4">
      <c r="A1830">
        <v>1525004030</v>
      </c>
      <c r="B1830">
        <v>1525004473</v>
      </c>
      <c r="C1830" t="str">
        <f>T("회귀의 전설 457화")</f>
        <v>회귀의 전설 457화</v>
      </c>
      <c r="D1830" t="str">
        <f>T("457")</f>
        <v>457</v>
      </c>
      <c r="E1830" t="str">
        <f>T("김광수")</f>
        <v>김광수</v>
      </c>
      <c r="H1830" t="str">
        <f t="shared" si="193"/>
        <v>스토리위즈</v>
      </c>
      <c r="I1830" t="str">
        <f>T("회귀의 전설")</f>
        <v>회귀의 전설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 s="2">
        <v>70</v>
      </c>
      <c r="AT1830" t="str">
        <f>T("9788997946006")</f>
        <v>9788997946006</v>
      </c>
      <c r="AV1830" t="str">
        <f>T("판타지 웹소설 &gt; 현대 판타지")</f>
        <v>판타지 웹소설 &gt; 현대 판타지</v>
      </c>
    </row>
    <row r="1831" spans="1:48" x14ac:dyDescent="0.4">
      <c r="A1831">
        <v>1525008545</v>
      </c>
      <c r="B1831">
        <v>1525008563</v>
      </c>
      <c r="C1831" t="str">
        <f>T("소년연애담 36화")</f>
        <v>소년연애담 36화</v>
      </c>
      <c r="D1831" t="str">
        <f>T("36")</f>
        <v>36</v>
      </c>
      <c r="E1831" t="str">
        <f>T("나나코")</f>
        <v>나나코</v>
      </c>
      <c r="H1831" t="str">
        <f>T("블러쉬")</f>
        <v>블러쉬</v>
      </c>
      <c r="I1831" t="str">
        <f>T("소년연애담")</f>
        <v>소년연애담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0</v>
      </c>
      <c r="AL1831">
        <v>0</v>
      </c>
      <c r="AM1831">
        <v>100</v>
      </c>
      <c r="AN1831">
        <v>0</v>
      </c>
      <c r="AO1831">
        <v>0</v>
      </c>
      <c r="AP1831" s="2">
        <v>70</v>
      </c>
      <c r="AR1831" t="str">
        <f>T("0000000000000")</f>
        <v>0000000000000</v>
      </c>
      <c r="AT1831" t="str">
        <f>T("9791164890729")</f>
        <v>9791164890729</v>
      </c>
      <c r="AU1831" t="str">
        <f>T("B12")</f>
        <v>B12</v>
      </c>
      <c r="AV1831" t="str">
        <f>T("BL 웹소설 &gt; 현대물")</f>
        <v>BL 웹소설 &gt; 현대물</v>
      </c>
    </row>
    <row r="1832" spans="1:48" x14ac:dyDescent="0.4">
      <c r="A1832">
        <v>1525004989</v>
      </c>
      <c r="B1832">
        <v>1525005579</v>
      </c>
      <c r="C1832" t="str">
        <f>T("신룡전설 90화")</f>
        <v>신룡전설 90화</v>
      </c>
      <c r="D1832" t="str">
        <f>T("90")</f>
        <v>90</v>
      </c>
      <c r="E1832" t="str">
        <f>T("가람검")</f>
        <v>가람검</v>
      </c>
      <c r="H1832" t="str">
        <f>T("스토리위즈")</f>
        <v>스토리위즈</v>
      </c>
      <c r="I1832" t="str">
        <f>T("신룡전설")</f>
        <v>신룡전설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 s="2">
        <v>70</v>
      </c>
      <c r="AT1832" t="str">
        <f>T("9791159283505")</f>
        <v>9791159283505</v>
      </c>
      <c r="AV1832" t="str">
        <f>T("판타지 웹소설 &gt; 무협 소설")</f>
        <v>판타지 웹소설 &gt; 무협 소설</v>
      </c>
    </row>
    <row r="1833" spans="1:48" x14ac:dyDescent="0.4">
      <c r="A1833">
        <v>1525010579</v>
      </c>
      <c r="B1833">
        <v>1525010178</v>
      </c>
      <c r="C1833" t="str">
        <f>T("법보다 주먹 400화")</f>
        <v>법보다 주먹 400화</v>
      </c>
      <c r="D1833" t="str">
        <f>T("400")</f>
        <v>400</v>
      </c>
      <c r="E1833" t="str">
        <f>T("백범(白帆)")</f>
        <v>백범(白帆)</v>
      </c>
      <c r="H1833" t="str">
        <f>T("에필로그")</f>
        <v>에필로그</v>
      </c>
      <c r="I1833" t="str">
        <f>T("법보다 주먹")</f>
        <v>법보다 주먹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 s="2">
        <v>70</v>
      </c>
      <c r="AT1833" t="str">
        <f>T("9791164489367")</f>
        <v>9791164489367</v>
      </c>
      <c r="AV1833" t="str">
        <f t="shared" ref="AV1833:AV1839" si="194">T("판타지 웹소설 &gt; 현대 판타지")</f>
        <v>판타지 웹소설 &gt; 현대 판타지</v>
      </c>
    </row>
    <row r="1834" spans="1:48" x14ac:dyDescent="0.4">
      <c r="A1834">
        <v>1525004030</v>
      </c>
      <c r="B1834">
        <v>1525007122</v>
      </c>
      <c r="C1834" t="str">
        <f>T("회귀의 전설 2부 1006화")</f>
        <v>회귀의 전설 2부 1006화</v>
      </c>
      <c r="D1834" t="str">
        <f>T("1006")</f>
        <v>1006</v>
      </c>
      <c r="E1834" t="str">
        <f>T("김광수")</f>
        <v>김광수</v>
      </c>
      <c r="H1834" t="str">
        <f t="shared" ref="H1834:H1841" si="195">T("스토리위즈")</f>
        <v>스토리위즈</v>
      </c>
      <c r="I1834" t="str">
        <f>T("회귀의 전설")</f>
        <v>회귀의 전설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 s="2">
        <v>70</v>
      </c>
      <c r="AT1834" t="str">
        <f>T("9791191102086")</f>
        <v>9791191102086</v>
      </c>
      <c r="AV1834" t="str">
        <f t="shared" si="194"/>
        <v>판타지 웹소설 &gt; 현대 판타지</v>
      </c>
    </row>
    <row r="1835" spans="1:48" x14ac:dyDescent="0.4">
      <c r="A1835">
        <v>1525004030</v>
      </c>
      <c r="B1835">
        <v>1525004377</v>
      </c>
      <c r="C1835" t="str">
        <f>T("회귀의 전설 349화")</f>
        <v>회귀의 전설 349화</v>
      </c>
      <c r="D1835" t="str">
        <f>T("349")</f>
        <v>349</v>
      </c>
      <c r="E1835" t="str">
        <f>T("김광수")</f>
        <v>김광수</v>
      </c>
      <c r="H1835" t="str">
        <f t="shared" si="195"/>
        <v>스토리위즈</v>
      </c>
      <c r="I1835" t="str">
        <f>T("회귀의 전설")</f>
        <v>회귀의 전설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 s="2">
        <v>70</v>
      </c>
      <c r="AT1835" t="str">
        <f>T("9788997946006")</f>
        <v>9788997946006</v>
      </c>
      <c r="AV1835" t="str">
        <f t="shared" si="194"/>
        <v>판타지 웹소설 &gt; 현대 판타지</v>
      </c>
    </row>
    <row r="1836" spans="1:48" x14ac:dyDescent="0.4">
      <c r="A1836">
        <v>1525002409</v>
      </c>
      <c r="B1836">
        <v>1525002600</v>
      </c>
      <c r="C1836" t="str">
        <f>T("스포트라이트 192화")</f>
        <v>스포트라이트 192화</v>
      </c>
      <c r="D1836" t="str">
        <f>T("192")</f>
        <v>192</v>
      </c>
      <c r="E1836" t="str">
        <f>T("전혁")</f>
        <v>전혁</v>
      </c>
      <c r="H1836" t="str">
        <f t="shared" si="195"/>
        <v>스토리위즈</v>
      </c>
      <c r="I1836" t="str">
        <f>T("스포트라이트")</f>
        <v>스포트라이트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 s="2">
        <v>70</v>
      </c>
      <c r="AT1836" t="str">
        <f>T("9791159286841")</f>
        <v>9791159286841</v>
      </c>
      <c r="AV1836" t="str">
        <f t="shared" si="194"/>
        <v>판타지 웹소설 &gt; 현대 판타지</v>
      </c>
    </row>
    <row r="1837" spans="1:48" x14ac:dyDescent="0.4">
      <c r="A1837">
        <v>2313011400</v>
      </c>
      <c r="B1837">
        <v>1525007668</v>
      </c>
      <c r="C1837" t="str">
        <f>T("최종 보스 22권 13화")</f>
        <v>최종 보스 22권 13화</v>
      </c>
      <c r="D1837" t="str">
        <f>T("446")</f>
        <v>446</v>
      </c>
      <c r="E1837" t="str">
        <f>T("무장")</f>
        <v>무장</v>
      </c>
      <c r="H1837" t="str">
        <f t="shared" si="195"/>
        <v>스토리위즈</v>
      </c>
      <c r="I1837" t="str">
        <f>T("최종 보스 : 빛을 향해 달리는 그림자")</f>
        <v>최종 보스 : 빛을 향해 달리는 그림자</v>
      </c>
      <c r="J1837">
        <v>100</v>
      </c>
      <c r="K1837">
        <v>100</v>
      </c>
      <c r="L1837">
        <v>1</v>
      </c>
      <c r="M1837">
        <v>0</v>
      </c>
      <c r="N1837">
        <v>100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200</v>
      </c>
      <c r="AH1837">
        <v>2</v>
      </c>
      <c r="AI1837">
        <v>0</v>
      </c>
      <c r="AJ1837">
        <v>0</v>
      </c>
      <c r="AK1837">
        <v>200</v>
      </c>
      <c r="AL1837">
        <v>0</v>
      </c>
      <c r="AM1837">
        <v>0</v>
      </c>
      <c r="AN1837">
        <v>0</v>
      </c>
      <c r="AO1837">
        <v>0</v>
      </c>
      <c r="AP1837" s="2">
        <v>140</v>
      </c>
      <c r="AT1837" t="str">
        <f>T("9791166067563")</f>
        <v>9791166067563</v>
      </c>
      <c r="AV1837" t="str">
        <f t="shared" si="194"/>
        <v>판타지 웹소설 &gt; 현대 판타지</v>
      </c>
    </row>
    <row r="1838" spans="1:48" x14ac:dyDescent="0.4">
      <c r="A1838">
        <v>1525004030</v>
      </c>
      <c r="B1838">
        <v>1525007026</v>
      </c>
      <c r="C1838" t="str">
        <f>T("회귀의 전설 2부 910화")</f>
        <v>회귀의 전설 2부 910화</v>
      </c>
      <c r="D1838" t="str">
        <f>T("910")</f>
        <v>910</v>
      </c>
      <c r="E1838" t="str">
        <f>T("김광수")</f>
        <v>김광수</v>
      </c>
      <c r="H1838" t="str">
        <f t="shared" si="195"/>
        <v>스토리위즈</v>
      </c>
      <c r="I1838" t="str">
        <f>T("회귀의 전설")</f>
        <v>회귀의 전설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 s="2">
        <v>70</v>
      </c>
      <c r="AT1838" t="str">
        <f>T("9791191102086")</f>
        <v>9791191102086</v>
      </c>
      <c r="AV1838" t="str">
        <f t="shared" si="194"/>
        <v>판타지 웹소설 &gt; 현대 판타지</v>
      </c>
    </row>
    <row r="1839" spans="1:48" x14ac:dyDescent="0.4">
      <c r="A1839">
        <v>1525004030</v>
      </c>
      <c r="B1839">
        <v>1525006726</v>
      </c>
      <c r="C1839" t="str">
        <f>T("회귀의 전설 2부 609화")</f>
        <v>회귀의 전설 2부 609화</v>
      </c>
      <c r="D1839" t="str">
        <f>T("609")</f>
        <v>609</v>
      </c>
      <c r="E1839" t="str">
        <f>T("김광수")</f>
        <v>김광수</v>
      </c>
      <c r="H1839" t="str">
        <f t="shared" si="195"/>
        <v>스토리위즈</v>
      </c>
      <c r="I1839" t="str">
        <f>T("회귀의 전설")</f>
        <v>회귀의 전설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 s="2">
        <v>70</v>
      </c>
      <c r="AT1839" t="str">
        <f>T("9791191102086")</f>
        <v>9791191102086</v>
      </c>
      <c r="AV1839" t="str">
        <f t="shared" si="194"/>
        <v>판타지 웹소설 &gt; 현대 판타지</v>
      </c>
    </row>
    <row r="1840" spans="1:48" x14ac:dyDescent="0.4">
      <c r="A1840">
        <v>1525004989</v>
      </c>
      <c r="B1840">
        <v>1525005595</v>
      </c>
      <c r="C1840" t="str">
        <f>T("신룡전설 106화")</f>
        <v>신룡전설 106화</v>
      </c>
      <c r="D1840" t="str">
        <f>T("106")</f>
        <v>106</v>
      </c>
      <c r="E1840" t="str">
        <f>T("가람검")</f>
        <v>가람검</v>
      </c>
      <c r="H1840" t="str">
        <f t="shared" si="195"/>
        <v>스토리위즈</v>
      </c>
      <c r="I1840" t="str">
        <f>T("신룡전설")</f>
        <v>신룡전설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 s="2">
        <v>70</v>
      </c>
      <c r="AT1840" t="str">
        <f>T("9791159283505")</f>
        <v>9791159283505</v>
      </c>
      <c r="AV1840" t="str">
        <f>T("판타지 웹소설 &gt; 무협 소설")</f>
        <v>판타지 웹소설 &gt; 무협 소설</v>
      </c>
    </row>
    <row r="1841" spans="1:48" x14ac:dyDescent="0.4">
      <c r="A1841">
        <v>1525002409</v>
      </c>
      <c r="B1841">
        <v>1525002523</v>
      </c>
      <c r="C1841" t="str">
        <f>T("스포트라이트 115화")</f>
        <v>스포트라이트 115화</v>
      </c>
      <c r="D1841" t="str">
        <f>T("115")</f>
        <v>115</v>
      </c>
      <c r="E1841" t="str">
        <f>T("전혁")</f>
        <v>전혁</v>
      </c>
      <c r="H1841" t="str">
        <f t="shared" si="195"/>
        <v>스토리위즈</v>
      </c>
      <c r="I1841" t="str">
        <f>T("스포트라이트")</f>
        <v>스포트라이트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 s="2">
        <v>70</v>
      </c>
      <c r="AT1841" t="str">
        <f>T("9791159286841")</f>
        <v>9791159286841</v>
      </c>
      <c r="AV1841" t="str">
        <f>T("판타지 웹소설 &gt; 현대 판타지")</f>
        <v>판타지 웹소설 &gt; 현대 판타지</v>
      </c>
    </row>
    <row r="1842" spans="1:48" x14ac:dyDescent="0.4">
      <c r="A1842">
        <v>1525008545</v>
      </c>
      <c r="B1842">
        <v>1525008539</v>
      </c>
      <c r="C1842" t="str">
        <f>T("소년연애담 14화")</f>
        <v>소년연애담 14화</v>
      </c>
      <c r="D1842" t="str">
        <f>T("14")</f>
        <v>14</v>
      </c>
      <c r="E1842" t="str">
        <f>T("나나코")</f>
        <v>나나코</v>
      </c>
      <c r="H1842" t="str">
        <f>T("블러쉬")</f>
        <v>블러쉬</v>
      </c>
      <c r="I1842" t="str">
        <f>T("소년연애담")</f>
        <v>소년연애담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100</v>
      </c>
      <c r="AN1842">
        <v>0</v>
      </c>
      <c r="AO1842">
        <v>0</v>
      </c>
      <c r="AP1842" s="2">
        <v>70</v>
      </c>
      <c r="AR1842" t="str">
        <f>T("0000000000000")</f>
        <v>0000000000000</v>
      </c>
      <c r="AT1842" t="str">
        <f>T("9791164890729")</f>
        <v>9791164890729</v>
      </c>
      <c r="AU1842" t="str">
        <f>T("B12")</f>
        <v>B12</v>
      </c>
      <c r="AV1842" t="str">
        <f>T("BL 웹소설 &gt; 현대물")</f>
        <v>BL 웹소설 &gt; 현대물</v>
      </c>
    </row>
    <row r="1843" spans="1:48" x14ac:dyDescent="0.4">
      <c r="A1843">
        <v>1525004030</v>
      </c>
      <c r="B1843">
        <v>1525006974</v>
      </c>
      <c r="C1843" t="str">
        <f>T("회귀의 전설 2부 858화")</f>
        <v>회귀의 전설 2부 858화</v>
      </c>
      <c r="D1843" t="str">
        <f>T("858")</f>
        <v>858</v>
      </c>
      <c r="E1843" t="str">
        <f>T("김광수")</f>
        <v>김광수</v>
      </c>
      <c r="H1843" t="str">
        <f>T("스토리위즈")</f>
        <v>스토리위즈</v>
      </c>
      <c r="I1843" t="str">
        <f>T("회귀의 전설")</f>
        <v>회귀의 전설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 s="2">
        <v>70</v>
      </c>
      <c r="AT1843" t="str">
        <f>T("9791191102086")</f>
        <v>9791191102086</v>
      </c>
      <c r="AV1843" t="str">
        <f>T("판타지 웹소설 &gt; 현대 판타지")</f>
        <v>판타지 웹소설 &gt; 현대 판타지</v>
      </c>
    </row>
    <row r="1844" spans="1:48" x14ac:dyDescent="0.4">
      <c r="A1844">
        <v>1525004030</v>
      </c>
      <c r="B1844">
        <v>1525004297</v>
      </c>
      <c r="C1844" t="str">
        <f>T("회귀의 전설 268화")</f>
        <v>회귀의 전설 268화</v>
      </c>
      <c r="D1844" t="str">
        <f>T("268")</f>
        <v>268</v>
      </c>
      <c r="E1844" t="str">
        <f>T("김광수")</f>
        <v>김광수</v>
      </c>
      <c r="H1844" t="str">
        <f>T("스토리위즈")</f>
        <v>스토리위즈</v>
      </c>
      <c r="I1844" t="str">
        <f>T("회귀의 전설")</f>
        <v>회귀의 전설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 s="2">
        <v>70</v>
      </c>
      <c r="AT1844" t="str">
        <f>T("9788997946006")</f>
        <v>9788997946006</v>
      </c>
      <c r="AV1844" t="str">
        <f>T("판타지 웹소설 &gt; 현대 판타지")</f>
        <v>판타지 웹소설 &gt; 현대 판타지</v>
      </c>
    </row>
    <row r="1845" spans="1:48" x14ac:dyDescent="0.4">
      <c r="A1845">
        <v>1525008604</v>
      </c>
      <c r="B1845">
        <v>1525008595</v>
      </c>
      <c r="C1845" t="str">
        <f>T("우아한 곡선 11화")</f>
        <v>우아한 곡선 11화</v>
      </c>
      <c r="D1845" t="str">
        <f>T("11")</f>
        <v>11</v>
      </c>
      <c r="E1845" t="str">
        <f>T("용가리맛쿠키")</f>
        <v>용가리맛쿠키</v>
      </c>
      <c r="H1845" t="str">
        <f>T("블러쉬")</f>
        <v>블러쉬</v>
      </c>
      <c r="I1845" t="str">
        <f>T("우아한 곡선")</f>
        <v>우아한 곡선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 s="2">
        <v>70</v>
      </c>
      <c r="AR1845" t="str">
        <f>T("0000000000000")</f>
        <v>0000000000000</v>
      </c>
      <c r="AT1845" t="str">
        <f>T("9791164896615")</f>
        <v>9791164896615</v>
      </c>
      <c r="AV1845" t="str">
        <f>T("BL 웹소설 &gt; 현대물")</f>
        <v>BL 웹소설 &gt; 현대물</v>
      </c>
    </row>
    <row r="1846" spans="1:48" x14ac:dyDescent="0.4">
      <c r="A1846">
        <v>1525010579</v>
      </c>
      <c r="B1846">
        <v>1525010226</v>
      </c>
      <c r="C1846" t="str">
        <f>T("법보다 주먹 352화")</f>
        <v>법보다 주먹 352화</v>
      </c>
      <c r="D1846" t="str">
        <f>T("352")</f>
        <v>352</v>
      </c>
      <c r="E1846" t="str">
        <f>T("백범(白帆)")</f>
        <v>백범(白帆)</v>
      </c>
      <c r="H1846" t="str">
        <f>T("에필로그")</f>
        <v>에필로그</v>
      </c>
      <c r="I1846" t="str">
        <f>T("법보다 주먹")</f>
        <v>법보다 주먹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 s="2">
        <v>70</v>
      </c>
      <c r="AT1846" t="str">
        <f>T("9791164489367")</f>
        <v>9791164489367</v>
      </c>
      <c r="AV1846" t="str">
        <f>T("판타지 웹소설 &gt; 현대 판타지")</f>
        <v>판타지 웹소설 &gt; 현대 판타지</v>
      </c>
    </row>
    <row r="1847" spans="1:48" x14ac:dyDescent="0.4">
      <c r="A1847">
        <v>1525004030</v>
      </c>
      <c r="B1847">
        <v>1525004409</v>
      </c>
      <c r="C1847" t="str">
        <f>T("회귀의 전설 381화")</f>
        <v>회귀의 전설 381화</v>
      </c>
      <c r="D1847" t="str">
        <f>T("381")</f>
        <v>381</v>
      </c>
      <c r="E1847" t="str">
        <f>T("김광수")</f>
        <v>김광수</v>
      </c>
      <c r="H1847" t="str">
        <f>T("스토리위즈")</f>
        <v>스토리위즈</v>
      </c>
      <c r="I1847" t="str">
        <f>T("회귀의 전설")</f>
        <v>회귀의 전설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 s="2">
        <v>70</v>
      </c>
      <c r="AT1847" t="str">
        <f>T("9788997946006")</f>
        <v>9788997946006</v>
      </c>
      <c r="AV1847" t="str">
        <f>T("판타지 웹소설 &gt; 현대 판타지")</f>
        <v>판타지 웹소설 &gt; 현대 판타지</v>
      </c>
    </row>
    <row r="1848" spans="1:48" x14ac:dyDescent="0.4">
      <c r="A1848">
        <v>1525000569</v>
      </c>
      <c r="B1848">
        <v>1525000600</v>
      </c>
      <c r="C1848" t="str">
        <f>T("스트라이커 32화")</f>
        <v>스트라이커 32화</v>
      </c>
      <c r="D1848" t="str">
        <f>T("32")</f>
        <v>32</v>
      </c>
      <c r="E1848" t="str">
        <f>T("독고진")</f>
        <v>독고진</v>
      </c>
      <c r="H1848" t="str">
        <f>T("스토리위즈")</f>
        <v>스토리위즈</v>
      </c>
      <c r="I1848" t="str">
        <f>T("스트라이커")</f>
        <v>스트라이커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 s="2">
        <v>70</v>
      </c>
      <c r="AT1848" t="str">
        <f>T("9791170151678")</f>
        <v>9791170151678</v>
      </c>
      <c r="AV1848" t="str">
        <f>T("판타지 웹소설 &gt; 현대 판타지")</f>
        <v>판타지 웹소설 &gt; 현대 판타지</v>
      </c>
    </row>
    <row r="1849" spans="1:48" x14ac:dyDescent="0.4">
      <c r="A1849">
        <v>1525007872</v>
      </c>
      <c r="B1849">
        <v>1525007893</v>
      </c>
      <c r="C1849" t="str">
        <f>T("아침이 오지 않아도 4화")</f>
        <v>아침이 오지 않아도 4화</v>
      </c>
      <c r="D1849" t="str">
        <f>T("4")</f>
        <v>4</v>
      </c>
      <c r="E1849" t="str">
        <f>T("홍영")</f>
        <v>홍영</v>
      </c>
      <c r="H1849" t="str">
        <f>T("러브스토리")</f>
        <v>러브스토리</v>
      </c>
      <c r="I1849" t="str">
        <f>T("아침이 오지 않아도")</f>
        <v>아침이 오지 않아도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 s="2">
        <v>70</v>
      </c>
      <c r="AR1849" t="str">
        <f>T("0000000000000")</f>
        <v>0000000000000</v>
      </c>
      <c r="AT1849" t="str">
        <f>T("9791164899708")</f>
        <v>9791164899708</v>
      </c>
      <c r="AV1849" t="str">
        <f>T("로맨스 웹소설 &gt; 현대물")</f>
        <v>로맨스 웹소설 &gt; 현대물</v>
      </c>
    </row>
    <row r="1850" spans="1:48" x14ac:dyDescent="0.4">
      <c r="A1850">
        <v>1525004030</v>
      </c>
      <c r="B1850">
        <v>1525007058</v>
      </c>
      <c r="C1850" t="str">
        <f>T("회귀의 전설 2부 942화")</f>
        <v>회귀의 전설 2부 942화</v>
      </c>
      <c r="D1850" t="str">
        <f>T("942")</f>
        <v>942</v>
      </c>
      <c r="E1850" t="str">
        <f>T("김광수")</f>
        <v>김광수</v>
      </c>
      <c r="H1850" t="str">
        <f t="shared" ref="H1850:H1859" si="196">T("스토리위즈")</f>
        <v>스토리위즈</v>
      </c>
      <c r="I1850" t="str">
        <f>T("회귀의 전설")</f>
        <v>회귀의 전설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 s="2">
        <v>70</v>
      </c>
      <c r="AT1850" t="str">
        <f>T("9791191102086")</f>
        <v>9791191102086</v>
      </c>
      <c r="AV1850" t="str">
        <f>T("판타지 웹소설 &gt; 현대 판타지")</f>
        <v>판타지 웹소설 &gt; 현대 판타지</v>
      </c>
    </row>
    <row r="1851" spans="1:48" x14ac:dyDescent="0.4">
      <c r="A1851">
        <v>1525004989</v>
      </c>
      <c r="B1851">
        <v>1525005627</v>
      </c>
      <c r="C1851" t="str">
        <f>T("신룡전설 138화")</f>
        <v>신룡전설 138화</v>
      </c>
      <c r="D1851" t="str">
        <f>T("138")</f>
        <v>138</v>
      </c>
      <c r="E1851" t="str">
        <f>T("가람검")</f>
        <v>가람검</v>
      </c>
      <c r="H1851" t="str">
        <f t="shared" si="196"/>
        <v>스토리위즈</v>
      </c>
      <c r="I1851" t="str">
        <f>T("신룡전설")</f>
        <v>신룡전설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 s="2">
        <v>70</v>
      </c>
      <c r="AT1851" t="str">
        <f>T("9791159283505")</f>
        <v>9791159283505</v>
      </c>
      <c r="AV1851" t="str">
        <f>T("판타지 웹소설 &gt; 무협 소설")</f>
        <v>판타지 웹소설 &gt; 무협 소설</v>
      </c>
    </row>
    <row r="1852" spans="1:48" x14ac:dyDescent="0.4">
      <c r="A1852">
        <v>2313011400</v>
      </c>
      <c r="B1852">
        <v>1525007700</v>
      </c>
      <c r="C1852" t="str">
        <f>T("최종 보스 24권 5화")</f>
        <v>최종 보스 24권 5화</v>
      </c>
      <c r="D1852" t="str">
        <f>T("478")</f>
        <v>478</v>
      </c>
      <c r="E1852" t="str">
        <f>T("무장")</f>
        <v>무장</v>
      </c>
      <c r="H1852" t="str">
        <f t="shared" si="196"/>
        <v>스토리위즈</v>
      </c>
      <c r="I1852" t="str">
        <f>T("최종 보스 : 빛을 향해 달리는 그림자")</f>
        <v>최종 보스 : 빛을 향해 달리는 그림자</v>
      </c>
      <c r="J1852">
        <v>100</v>
      </c>
      <c r="K1852">
        <v>100</v>
      </c>
      <c r="L1852">
        <v>1</v>
      </c>
      <c r="M1852">
        <v>0</v>
      </c>
      <c r="N1852">
        <v>100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200</v>
      </c>
      <c r="AH1852">
        <v>2</v>
      </c>
      <c r="AI1852">
        <v>0</v>
      </c>
      <c r="AJ1852">
        <v>0</v>
      </c>
      <c r="AK1852">
        <v>200</v>
      </c>
      <c r="AL1852">
        <v>0</v>
      </c>
      <c r="AM1852">
        <v>0</v>
      </c>
      <c r="AN1852">
        <v>0</v>
      </c>
      <c r="AO1852">
        <v>0</v>
      </c>
      <c r="AP1852" s="2">
        <v>140</v>
      </c>
      <c r="AT1852" t="str">
        <f>T("9791166067563")</f>
        <v>9791166067563</v>
      </c>
      <c r="AV1852" t="str">
        <f t="shared" ref="AV1852:AV1857" si="197">T("판타지 웹소설 &gt; 현대 판타지")</f>
        <v>판타지 웹소설 &gt; 현대 판타지</v>
      </c>
    </row>
    <row r="1853" spans="1:48" x14ac:dyDescent="0.4">
      <c r="A1853">
        <v>1525004030</v>
      </c>
      <c r="B1853">
        <v>1525007018</v>
      </c>
      <c r="C1853" t="str">
        <f>T("회귀의 전설 2부 902화")</f>
        <v>회귀의 전설 2부 902화</v>
      </c>
      <c r="D1853" t="str">
        <f>T("902")</f>
        <v>902</v>
      </c>
      <c r="E1853" t="str">
        <f>T("김광수")</f>
        <v>김광수</v>
      </c>
      <c r="H1853" t="str">
        <f t="shared" si="196"/>
        <v>스토리위즈</v>
      </c>
      <c r="I1853" t="str">
        <f>T("회귀의 전설")</f>
        <v>회귀의 전설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 s="2">
        <v>70</v>
      </c>
      <c r="AT1853" t="str">
        <f>T("9791191102086")</f>
        <v>9791191102086</v>
      </c>
      <c r="AV1853" t="str">
        <f t="shared" si="197"/>
        <v>판타지 웹소설 &gt; 현대 판타지</v>
      </c>
    </row>
    <row r="1854" spans="1:48" x14ac:dyDescent="0.4">
      <c r="A1854">
        <v>2313011400</v>
      </c>
      <c r="B1854">
        <v>1525007604</v>
      </c>
      <c r="C1854" t="str">
        <f>T("최종 보스 19권 10화")</f>
        <v>최종 보스 19권 10화</v>
      </c>
      <c r="D1854" t="str">
        <f>T("382")</f>
        <v>382</v>
      </c>
      <c r="E1854" t="str">
        <f>T("무장")</f>
        <v>무장</v>
      </c>
      <c r="H1854" t="str">
        <f t="shared" si="196"/>
        <v>스토리위즈</v>
      </c>
      <c r="I1854" t="str">
        <f>T("최종 보스 : 빛을 향해 달리는 그림자")</f>
        <v>최종 보스 : 빛을 향해 달리는 그림자</v>
      </c>
      <c r="J1854">
        <v>100</v>
      </c>
      <c r="K1854">
        <v>100</v>
      </c>
      <c r="L1854">
        <v>1</v>
      </c>
      <c r="M1854">
        <v>0</v>
      </c>
      <c r="N1854">
        <v>100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200</v>
      </c>
      <c r="AH1854">
        <v>2</v>
      </c>
      <c r="AI1854">
        <v>0</v>
      </c>
      <c r="AJ1854">
        <v>0</v>
      </c>
      <c r="AK1854">
        <v>200</v>
      </c>
      <c r="AL1854">
        <v>0</v>
      </c>
      <c r="AM1854">
        <v>0</v>
      </c>
      <c r="AN1854">
        <v>0</v>
      </c>
      <c r="AO1854">
        <v>0</v>
      </c>
      <c r="AP1854" s="2">
        <v>140</v>
      </c>
      <c r="AT1854" t="str">
        <f>T("9791166067563")</f>
        <v>9791166067563</v>
      </c>
      <c r="AV1854" t="str">
        <f t="shared" si="197"/>
        <v>판타지 웹소설 &gt; 현대 판타지</v>
      </c>
    </row>
    <row r="1855" spans="1:48" x14ac:dyDescent="0.4">
      <c r="A1855">
        <v>1525004030</v>
      </c>
      <c r="B1855">
        <v>1525004329</v>
      </c>
      <c r="C1855" t="str">
        <f>T("회귀의 전설 300화")</f>
        <v>회귀의 전설 300화</v>
      </c>
      <c r="D1855" t="str">
        <f>T("300")</f>
        <v>300</v>
      </c>
      <c r="E1855" t="str">
        <f>T("김광수")</f>
        <v>김광수</v>
      </c>
      <c r="H1855" t="str">
        <f t="shared" si="196"/>
        <v>스토리위즈</v>
      </c>
      <c r="I1855" t="str">
        <f>T("회귀의 전설")</f>
        <v>회귀의 전설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 s="2">
        <v>70</v>
      </c>
      <c r="AT1855" t="str">
        <f>T("9788997946006")</f>
        <v>9788997946006</v>
      </c>
      <c r="AV1855" t="str">
        <f t="shared" si="197"/>
        <v>판타지 웹소설 &gt; 현대 판타지</v>
      </c>
    </row>
    <row r="1856" spans="1:48" x14ac:dyDescent="0.4">
      <c r="A1856">
        <v>1525004030</v>
      </c>
      <c r="B1856">
        <v>1525004441</v>
      </c>
      <c r="C1856" t="str">
        <f>T("회귀의 전설 425화")</f>
        <v>회귀의 전설 425화</v>
      </c>
      <c r="D1856" t="str">
        <f>T("425")</f>
        <v>425</v>
      </c>
      <c r="E1856" t="str">
        <f>T("김광수")</f>
        <v>김광수</v>
      </c>
      <c r="H1856" t="str">
        <f t="shared" si="196"/>
        <v>스토리위즈</v>
      </c>
      <c r="I1856" t="str">
        <f>T("회귀의 전설")</f>
        <v>회귀의 전설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 s="2">
        <v>70</v>
      </c>
      <c r="AT1856" t="str">
        <f>T("9788997946006")</f>
        <v>9788997946006</v>
      </c>
      <c r="AV1856" t="str">
        <f t="shared" si="197"/>
        <v>판타지 웹소설 &gt; 현대 판타지</v>
      </c>
    </row>
    <row r="1857" spans="1:48" x14ac:dyDescent="0.4">
      <c r="A1857">
        <v>1525004030</v>
      </c>
      <c r="B1857">
        <v>1525004521</v>
      </c>
      <c r="C1857" t="str">
        <f>T("회귀의 전설 392화")</f>
        <v>회귀의 전설 392화</v>
      </c>
      <c r="D1857" t="str">
        <f>T("392")</f>
        <v>392</v>
      </c>
      <c r="E1857" t="str">
        <f>T("김광수")</f>
        <v>김광수</v>
      </c>
      <c r="H1857" t="str">
        <f t="shared" si="196"/>
        <v>스토리위즈</v>
      </c>
      <c r="I1857" t="str">
        <f>T("회귀의 전설")</f>
        <v>회귀의 전설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 s="2">
        <v>70</v>
      </c>
      <c r="AT1857" t="str">
        <f>T("9788997946006")</f>
        <v>9788997946006</v>
      </c>
      <c r="AV1857" t="str">
        <f t="shared" si="197"/>
        <v>판타지 웹소설 &gt; 현대 판타지</v>
      </c>
    </row>
    <row r="1858" spans="1:48" x14ac:dyDescent="0.4">
      <c r="A1858">
        <v>1525004989</v>
      </c>
      <c r="B1858">
        <v>1525005547</v>
      </c>
      <c r="C1858" t="str">
        <f>T("신룡전설 58화")</f>
        <v>신룡전설 58화</v>
      </c>
      <c r="D1858" t="str">
        <f>T("58")</f>
        <v>58</v>
      </c>
      <c r="E1858" t="str">
        <f>T("가람검")</f>
        <v>가람검</v>
      </c>
      <c r="H1858" t="str">
        <f t="shared" si="196"/>
        <v>스토리위즈</v>
      </c>
      <c r="I1858" t="str">
        <f>T("신룡전설")</f>
        <v>신룡전설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 s="2">
        <v>70</v>
      </c>
      <c r="AT1858" t="str">
        <f>T("9791159283505")</f>
        <v>9791159283505</v>
      </c>
      <c r="AV1858" t="str">
        <f>T("판타지 웹소설 &gt; 무협 소설")</f>
        <v>판타지 웹소설 &gt; 무협 소설</v>
      </c>
    </row>
    <row r="1859" spans="1:48" x14ac:dyDescent="0.4">
      <c r="A1859">
        <v>1525004030</v>
      </c>
      <c r="B1859">
        <v>1525007090</v>
      </c>
      <c r="C1859" t="str">
        <f>T("회귀의 전설 2부 974화")</f>
        <v>회귀의 전설 2부 974화</v>
      </c>
      <c r="D1859" t="str">
        <f>T("974")</f>
        <v>974</v>
      </c>
      <c r="E1859" t="str">
        <f>T("김광수")</f>
        <v>김광수</v>
      </c>
      <c r="H1859" t="str">
        <f t="shared" si="196"/>
        <v>스토리위즈</v>
      </c>
      <c r="I1859" t="str">
        <f>T("회귀의 전설")</f>
        <v>회귀의 전설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 s="2">
        <v>70</v>
      </c>
      <c r="AT1859" t="str">
        <f>T("9791191102086")</f>
        <v>9791191102086</v>
      </c>
      <c r="AV1859" t="str">
        <f>T("판타지 웹소설 &gt; 현대 판타지")</f>
        <v>판타지 웹소설 &gt; 현대 판타지</v>
      </c>
    </row>
    <row r="1860" spans="1:48" x14ac:dyDescent="0.4">
      <c r="A1860">
        <v>1525007923</v>
      </c>
      <c r="B1860">
        <v>1525007981</v>
      </c>
      <c r="C1860" t="str">
        <f>T("운상연담: 화불능귀일락 72화")</f>
        <v>운상연담: 화불능귀일락 72화</v>
      </c>
      <c r="D1860" t="str">
        <f>T("72")</f>
        <v>72</v>
      </c>
      <c r="E1860" t="str">
        <f>T("피모")</f>
        <v>피모</v>
      </c>
      <c r="H1860" t="str">
        <f>T("쉬라즈")</f>
        <v>쉬라즈</v>
      </c>
      <c r="I1860" t="str">
        <f>T("운상연담: 화불능귀일락")</f>
        <v>운상연담: 화불능귀일락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 s="2">
        <v>70</v>
      </c>
      <c r="AT1860" t="str">
        <f>T("9791164896646")</f>
        <v>9791164896646</v>
      </c>
      <c r="AV1860" t="str">
        <f>T("로맨스 웹소설 &gt; 역사/시대물")</f>
        <v>로맨스 웹소설 &gt; 역사/시대물</v>
      </c>
    </row>
    <row r="1861" spans="1:48" x14ac:dyDescent="0.4">
      <c r="A1861">
        <v>1525010579</v>
      </c>
      <c r="B1861">
        <v>1525010215</v>
      </c>
      <c r="C1861" t="str">
        <f>T("법보다 주먹 363화")</f>
        <v>법보다 주먹 363화</v>
      </c>
      <c r="D1861" t="str">
        <f>T("363")</f>
        <v>363</v>
      </c>
      <c r="E1861" t="str">
        <f>T("백범(白帆)")</f>
        <v>백범(白帆)</v>
      </c>
      <c r="H1861" t="str">
        <f>T("에필로그")</f>
        <v>에필로그</v>
      </c>
      <c r="I1861" t="str">
        <f>T("법보다 주먹")</f>
        <v>법보다 주먹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 s="2">
        <v>70</v>
      </c>
      <c r="AT1861" t="str">
        <f>T("9791164489367")</f>
        <v>9791164489367</v>
      </c>
      <c r="AV1861" t="str">
        <f>T("판타지 웹소설 &gt; 현대 판타지")</f>
        <v>판타지 웹소설 &gt; 현대 판타지</v>
      </c>
    </row>
    <row r="1862" spans="1:48" x14ac:dyDescent="0.4">
      <c r="A1862">
        <v>1525004030</v>
      </c>
      <c r="B1862">
        <v>1525004402</v>
      </c>
      <c r="C1862" t="str">
        <f>T("회귀의 전설 374화")</f>
        <v>회귀의 전설 374화</v>
      </c>
      <c r="D1862" t="str">
        <f>T("374")</f>
        <v>374</v>
      </c>
      <c r="E1862" t="str">
        <f>T("김광수")</f>
        <v>김광수</v>
      </c>
      <c r="H1862" t="str">
        <f>T("스토리위즈")</f>
        <v>스토리위즈</v>
      </c>
      <c r="I1862" t="str">
        <f>T("회귀의 전설")</f>
        <v>회귀의 전설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 s="2">
        <v>70</v>
      </c>
      <c r="AT1862" t="str">
        <f>T("9788997946006")</f>
        <v>9788997946006</v>
      </c>
      <c r="AV1862" t="str">
        <f>T("판타지 웹소설 &gt; 현대 판타지")</f>
        <v>판타지 웹소설 &gt; 현대 판타지</v>
      </c>
    </row>
    <row r="1863" spans="1:48" x14ac:dyDescent="0.4">
      <c r="A1863">
        <v>1525004030</v>
      </c>
      <c r="B1863">
        <v>1525006735</v>
      </c>
      <c r="C1863" t="str">
        <f>T("회귀의 전설 2부 618화")</f>
        <v>회귀의 전설 2부 618화</v>
      </c>
      <c r="D1863" t="str">
        <f>T("618")</f>
        <v>618</v>
      </c>
      <c r="E1863" t="str">
        <f>T("김광수")</f>
        <v>김광수</v>
      </c>
      <c r="H1863" t="str">
        <f>T("스토리위즈")</f>
        <v>스토리위즈</v>
      </c>
      <c r="I1863" t="str">
        <f>T("회귀의 전설")</f>
        <v>회귀의 전설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 s="2">
        <v>70</v>
      </c>
      <c r="AT1863" t="str">
        <f>T("9791191102086")</f>
        <v>9791191102086</v>
      </c>
      <c r="AV1863" t="str">
        <f>T("판타지 웹소설 &gt; 현대 판타지")</f>
        <v>판타지 웹소설 &gt; 현대 판타지</v>
      </c>
    </row>
    <row r="1864" spans="1:48" x14ac:dyDescent="0.4">
      <c r="A1864">
        <v>1525004030</v>
      </c>
      <c r="B1864">
        <v>1525004482</v>
      </c>
      <c r="C1864" t="str">
        <f>T("회귀의 전설 466화")</f>
        <v>회귀의 전설 466화</v>
      </c>
      <c r="D1864" t="str">
        <f>T("466")</f>
        <v>466</v>
      </c>
      <c r="E1864" t="str">
        <f>T("김광수")</f>
        <v>김광수</v>
      </c>
      <c r="H1864" t="str">
        <f>T("스토리위즈")</f>
        <v>스토리위즈</v>
      </c>
      <c r="I1864" t="str">
        <f>T("회귀의 전설")</f>
        <v>회귀의 전설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 s="2">
        <v>70</v>
      </c>
      <c r="AT1864" t="str">
        <f>T("9788997946006")</f>
        <v>9788997946006</v>
      </c>
      <c r="AV1864" t="str">
        <f>T("판타지 웹소설 &gt; 현대 판타지")</f>
        <v>판타지 웹소설 &gt; 현대 판타지</v>
      </c>
    </row>
    <row r="1865" spans="1:48" x14ac:dyDescent="0.4">
      <c r="A1865">
        <v>1525007872</v>
      </c>
      <c r="B1865">
        <v>1525007886</v>
      </c>
      <c r="C1865" t="str">
        <f>T("아침이 오지 않아도 32화")</f>
        <v>아침이 오지 않아도 32화</v>
      </c>
      <c r="D1865" t="str">
        <f>T("32")</f>
        <v>32</v>
      </c>
      <c r="E1865" t="str">
        <f>T("홍영")</f>
        <v>홍영</v>
      </c>
      <c r="H1865" t="str">
        <f>T("러브스토리")</f>
        <v>러브스토리</v>
      </c>
      <c r="I1865" t="str">
        <f>T("아침이 오지 않아도")</f>
        <v>아침이 오지 않아도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 s="2">
        <v>70</v>
      </c>
      <c r="AR1865" t="str">
        <f>T("0000000000000")</f>
        <v>0000000000000</v>
      </c>
      <c r="AT1865" t="str">
        <f>T("9791164899708")</f>
        <v>9791164899708</v>
      </c>
      <c r="AV1865" t="str">
        <f>T("로맨스 웹소설 &gt; 현대물")</f>
        <v>로맨스 웹소설 &gt; 현대물</v>
      </c>
    </row>
    <row r="1866" spans="1:48" x14ac:dyDescent="0.4">
      <c r="A1866">
        <v>1525004030</v>
      </c>
      <c r="B1866">
        <v>1525007051</v>
      </c>
      <c r="C1866" t="str">
        <f>T("회귀의 전설 2부 935화")</f>
        <v>회귀의 전설 2부 935화</v>
      </c>
      <c r="D1866" t="str">
        <f>T("935")</f>
        <v>935</v>
      </c>
      <c r="E1866" t="str">
        <f>T("김광수")</f>
        <v>김광수</v>
      </c>
      <c r="H1866" t="str">
        <f>T("스토리위즈")</f>
        <v>스토리위즈</v>
      </c>
      <c r="I1866" t="str">
        <f>T("회귀의 전설")</f>
        <v>회귀의 전설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 s="2">
        <v>70</v>
      </c>
      <c r="AT1866" t="str">
        <f>T("9791191102086")</f>
        <v>9791191102086</v>
      </c>
      <c r="AV1866" t="str">
        <f>T("판타지 웹소설 &gt; 현대 판타지")</f>
        <v>판타지 웹소설 &gt; 현대 판타지</v>
      </c>
    </row>
    <row r="1867" spans="1:48" x14ac:dyDescent="0.4">
      <c r="A1867">
        <v>1525004989</v>
      </c>
      <c r="B1867">
        <v>1525005620</v>
      </c>
      <c r="C1867" t="str">
        <f>T("신룡전설 131화")</f>
        <v>신룡전설 131화</v>
      </c>
      <c r="D1867" t="str">
        <f>T("131")</f>
        <v>131</v>
      </c>
      <c r="E1867" t="str">
        <f>T("가람검")</f>
        <v>가람검</v>
      </c>
      <c r="H1867" t="str">
        <f>T("스토리위즈")</f>
        <v>스토리위즈</v>
      </c>
      <c r="I1867" t="str">
        <f>T("신룡전설")</f>
        <v>신룡전설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 s="2">
        <v>70</v>
      </c>
      <c r="AT1867" t="str">
        <f>T("9791159283505")</f>
        <v>9791159283505</v>
      </c>
      <c r="AV1867" t="str">
        <f>T("판타지 웹소설 &gt; 무협 소설")</f>
        <v>판타지 웹소설 &gt; 무협 소설</v>
      </c>
    </row>
    <row r="1868" spans="1:48" x14ac:dyDescent="0.4">
      <c r="A1868">
        <v>2313011400</v>
      </c>
      <c r="B1868">
        <v>1525007693</v>
      </c>
      <c r="C1868" t="str">
        <f>T("최종 보스 23권 18화")</f>
        <v>최종 보스 23권 18화</v>
      </c>
      <c r="D1868" t="str">
        <f>T("471")</f>
        <v>471</v>
      </c>
      <c r="E1868" t="str">
        <f>T("무장")</f>
        <v>무장</v>
      </c>
      <c r="H1868" t="str">
        <f>T("스토리위즈")</f>
        <v>스토리위즈</v>
      </c>
      <c r="I1868" t="str">
        <f>T("최종 보스 : 빛을 향해 달리는 그림자")</f>
        <v>최종 보스 : 빛을 향해 달리는 그림자</v>
      </c>
      <c r="J1868">
        <v>100</v>
      </c>
      <c r="K1868">
        <v>100</v>
      </c>
      <c r="L1868">
        <v>1</v>
      </c>
      <c r="M1868">
        <v>0</v>
      </c>
      <c r="N1868">
        <v>200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 s="2">
        <v>210</v>
      </c>
      <c r="AT1868" t="str">
        <f>T("9791166067563")</f>
        <v>9791166067563</v>
      </c>
      <c r="AV1868" t="str">
        <f>T("판타지 웹소설 &gt; 현대 판타지")</f>
        <v>판타지 웹소설 &gt; 현대 판타지</v>
      </c>
    </row>
    <row r="1869" spans="1:48" x14ac:dyDescent="0.4">
      <c r="A1869">
        <v>1525004030</v>
      </c>
      <c r="B1869">
        <v>1525006999</v>
      </c>
      <c r="C1869" t="str">
        <f>T("회귀의 전설 2부 883화")</f>
        <v>회귀의 전설 2부 883화</v>
      </c>
      <c r="D1869" t="str">
        <f>T("883")</f>
        <v>883</v>
      </c>
      <c r="E1869" t="str">
        <f>T("김광수")</f>
        <v>김광수</v>
      </c>
      <c r="H1869" t="str">
        <f>T("스토리위즈")</f>
        <v>스토리위즈</v>
      </c>
      <c r="I1869" t="str">
        <f>T("회귀의 전설")</f>
        <v>회귀의 전설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 s="2">
        <v>70</v>
      </c>
      <c r="AT1869" t="str">
        <f>T("9791191102086")</f>
        <v>9791191102086</v>
      </c>
      <c r="AV1869" t="str">
        <f>T("판타지 웹소설 &gt; 현대 판타지")</f>
        <v>판타지 웹소설 &gt; 현대 판타지</v>
      </c>
    </row>
    <row r="1870" spans="1:48" x14ac:dyDescent="0.4">
      <c r="A1870">
        <v>1525004030</v>
      </c>
      <c r="B1870">
        <v>1525004322</v>
      </c>
      <c r="C1870" t="str">
        <f>T("회귀의 전설 293화")</f>
        <v>회귀의 전설 293화</v>
      </c>
      <c r="D1870" t="str">
        <f>T("293")</f>
        <v>293</v>
      </c>
      <c r="E1870" t="str">
        <f>T("김광수")</f>
        <v>김광수</v>
      </c>
      <c r="H1870" t="str">
        <f>T("스토리위즈")</f>
        <v>스토리위즈</v>
      </c>
      <c r="I1870" t="str">
        <f>T("회귀의 전설")</f>
        <v>회귀의 전설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 s="2">
        <v>70</v>
      </c>
      <c r="AT1870" t="str">
        <f>T("9788997946006")</f>
        <v>9788997946006</v>
      </c>
      <c r="AV1870" t="str">
        <f>T("판타지 웹소설 &gt; 현대 판타지")</f>
        <v>판타지 웹소설 &gt; 현대 판타지</v>
      </c>
    </row>
    <row r="1871" spans="1:48" x14ac:dyDescent="0.4">
      <c r="A1871">
        <v>1525013020</v>
      </c>
      <c r="B1871">
        <v>1525013045</v>
      </c>
      <c r="C1871" t="str">
        <f>T("악당의 리턴 26화")</f>
        <v>악당의 리턴 26화</v>
      </c>
      <c r="D1871" t="str">
        <f>T("26")</f>
        <v>26</v>
      </c>
      <c r="E1871" t="str">
        <f>T("백범(白帆)")</f>
        <v>백범(白帆)</v>
      </c>
      <c r="H1871" t="str">
        <f>T("에필로그")</f>
        <v>에필로그</v>
      </c>
      <c r="I1871" t="str">
        <f>T("악당의 리턴")</f>
        <v>악당의 리턴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 s="2">
        <v>70</v>
      </c>
      <c r="AT1871" t="str">
        <f>T("9791196538927")</f>
        <v>9791196538927</v>
      </c>
      <c r="AV1871" t="str">
        <f>T("판타지 웹소설 &gt; 현대 판타지")</f>
        <v>판타지 웹소설 &gt; 현대 판타지</v>
      </c>
    </row>
    <row r="1872" spans="1:48" x14ac:dyDescent="0.4">
      <c r="A1872">
        <v>1525004988</v>
      </c>
      <c r="B1872">
        <v>1525005338</v>
      </c>
      <c r="C1872" t="str">
        <f>T("용무쌍 51화")</f>
        <v>용무쌍 51화</v>
      </c>
      <c r="D1872" t="str">
        <f>T("51")</f>
        <v>51</v>
      </c>
      <c r="E1872" t="str">
        <f>T("권용찬")</f>
        <v>권용찬</v>
      </c>
      <c r="H1872" t="str">
        <f>T("스토리위즈")</f>
        <v>스토리위즈</v>
      </c>
      <c r="I1872" t="str">
        <f>T("용무쌍")</f>
        <v>용무쌍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 s="2">
        <v>70</v>
      </c>
      <c r="AT1872" t="str">
        <f>T("9791159284861")</f>
        <v>9791159284861</v>
      </c>
      <c r="AV1872" t="str">
        <f>T("판타지 웹소설 &gt; 무협 소설")</f>
        <v>판타지 웹소설 &gt; 무협 소설</v>
      </c>
    </row>
    <row r="1873" spans="1:48" x14ac:dyDescent="0.4">
      <c r="A1873">
        <v>1525004030</v>
      </c>
      <c r="B1873">
        <v>1525004434</v>
      </c>
      <c r="C1873" t="str">
        <f>T("회귀의 전설 418화")</f>
        <v>회귀의 전설 418화</v>
      </c>
      <c r="D1873" t="str">
        <f>T("418")</f>
        <v>418</v>
      </c>
      <c r="E1873" t="str">
        <f>T("김광수")</f>
        <v>김광수</v>
      </c>
      <c r="H1873" t="str">
        <f>T("스토리위즈")</f>
        <v>스토리위즈</v>
      </c>
      <c r="I1873" t="str">
        <f>T("회귀의 전설")</f>
        <v>회귀의 전설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 s="2">
        <v>70</v>
      </c>
      <c r="AT1873" t="str">
        <f>T("9788997946006")</f>
        <v>9788997946006</v>
      </c>
      <c r="AV1873" t="str">
        <f>T("판타지 웹소설 &gt; 현대 판타지")</f>
        <v>판타지 웹소설 &gt; 현대 판타지</v>
      </c>
    </row>
    <row r="1874" spans="1:48" x14ac:dyDescent="0.4">
      <c r="A1874">
        <v>1525004030</v>
      </c>
      <c r="B1874">
        <v>1525004514</v>
      </c>
      <c r="C1874" t="str">
        <f>T("회귀의 전설 385화")</f>
        <v>회귀의 전설 385화</v>
      </c>
      <c r="D1874" t="str">
        <f>T("385")</f>
        <v>385</v>
      </c>
      <c r="E1874" t="str">
        <f>T("김광수")</f>
        <v>김광수</v>
      </c>
      <c r="H1874" t="str">
        <f>T("스토리위즈")</f>
        <v>스토리위즈</v>
      </c>
      <c r="I1874" t="str">
        <f>T("회귀의 전설")</f>
        <v>회귀의 전설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 s="2">
        <v>70</v>
      </c>
      <c r="AT1874" t="str">
        <f>T("9788997946006")</f>
        <v>9788997946006</v>
      </c>
      <c r="AV1874" t="str">
        <f>T("판타지 웹소설 &gt; 현대 판타지")</f>
        <v>판타지 웹소설 &gt; 현대 판타지</v>
      </c>
    </row>
    <row r="1875" spans="1:48" x14ac:dyDescent="0.4">
      <c r="A1875">
        <v>1525004989</v>
      </c>
      <c r="B1875">
        <v>1525005540</v>
      </c>
      <c r="C1875" t="str">
        <f>T("신룡전설 51화")</f>
        <v>신룡전설 51화</v>
      </c>
      <c r="D1875" t="str">
        <f>T("51")</f>
        <v>51</v>
      </c>
      <c r="E1875" t="str">
        <f>T("가람검")</f>
        <v>가람검</v>
      </c>
      <c r="H1875" t="str">
        <f>T("스토리위즈")</f>
        <v>스토리위즈</v>
      </c>
      <c r="I1875" t="str">
        <f>T("신룡전설")</f>
        <v>신룡전설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 s="2">
        <v>70</v>
      </c>
      <c r="AT1875" t="str">
        <f>T("9791159283505")</f>
        <v>9791159283505</v>
      </c>
      <c r="AV1875" t="str">
        <f>T("판타지 웹소설 &gt; 무협 소설")</f>
        <v>판타지 웹소설 &gt; 무협 소설</v>
      </c>
    </row>
    <row r="1876" spans="1:48" x14ac:dyDescent="0.4">
      <c r="A1876">
        <v>1525004030</v>
      </c>
      <c r="B1876">
        <v>1525007083</v>
      </c>
      <c r="C1876" t="str">
        <f>T("회귀의 전설 2부 967화")</f>
        <v>회귀의 전설 2부 967화</v>
      </c>
      <c r="D1876" t="str">
        <f>T("967")</f>
        <v>967</v>
      </c>
      <c r="E1876" t="str">
        <f>T("김광수")</f>
        <v>김광수</v>
      </c>
      <c r="H1876" t="str">
        <f>T("스토리위즈")</f>
        <v>스토리위즈</v>
      </c>
      <c r="I1876" t="str">
        <f>T("회귀의 전설")</f>
        <v>회귀의 전설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 s="2">
        <v>70</v>
      </c>
      <c r="AT1876" t="str">
        <f>T("9791191102086")</f>
        <v>9791191102086</v>
      </c>
      <c r="AV1876" t="str">
        <f>T("판타지 웹소설 &gt; 현대 판타지")</f>
        <v>판타지 웹소설 &gt; 현대 판타지</v>
      </c>
    </row>
    <row r="1877" spans="1:48" x14ac:dyDescent="0.4">
      <c r="A1877">
        <v>1525007923</v>
      </c>
      <c r="B1877">
        <v>1525007973</v>
      </c>
      <c r="C1877" t="str">
        <f>T("운상연담: 화불능귀일락 65화")</f>
        <v>운상연담: 화불능귀일락 65화</v>
      </c>
      <c r="D1877" t="str">
        <f>T("65")</f>
        <v>65</v>
      </c>
      <c r="E1877" t="str">
        <f>T("피모")</f>
        <v>피모</v>
      </c>
      <c r="H1877" t="str">
        <f>T("쉬라즈")</f>
        <v>쉬라즈</v>
      </c>
      <c r="I1877" t="str">
        <f>T("운상연담: 화불능귀일락")</f>
        <v>운상연담: 화불능귀일락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 s="2">
        <v>70</v>
      </c>
      <c r="AT1877" t="str">
        <f>T("9791164896646")</f>
        <v>9791164896646</v>
      </c>
      <c r="AV1877" t="str">
        <f>T("로맨스 웹소설 &gt; 역사/시대물")</f>
        <v>로맨스 웹소설 &gt; 역사/시대물</v>
      </c>
    </row>
    <row r="1878" spans="1:48" x14ac:dyDescent="0.4">
      <c r="A1878">
        <v>2313011400</v>
      </c>
      <c r="B1878">
        <v>1525007629</v>
      </c>
      <c r="C1878" t="str">
        <f>T("최종 보스 20권 14화")</f>
        <v>최종 보스 20권 14화</v>
      </c>
      <c r="D1878" t="str">
        <f>T("407")</f>
        <v>407</v>
      </c>
      <c r="E1878" t="str">
        <f>T("무장")</f>
        <v>무장</v>
      </c>
      <c r="H1878" t="str">
        <f t="shared" ref="H1878:H1883" si="198">T("스토리위즈")</f>
        <v>스토리위즈</v>
      </c>
      <c r="I1878" t="str">
        <f>T("최종 보스 : 빛을 향해 달리는 그림자")</f>
        <v>최종 보스 : 빛을 향해 달리는 그림자</v>
      </c>
      <c r="J1878">
        <v>100</v>
      </c>
      <c r="K1878">
        <v>100</v>
      </c>
      <c r="L1878">
        <v>1</v>
      </c>
      <c r="M1878">
        <v>0</v>
      </c>
      <c r="N1878">
        <v>100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200</v>
      </c>
      <c r="AH1878">
        <v>2</v>
      </c>
      <c r="AI1878">
        <v>0</v>
      </c>
      <c r="AJ1878">
        <v>0</v>
      </c>
      <c r="AK1878">
        <v>200</v>
      </c>
      <c r="AL1878">
        <v>0</v>
      </c>
      <c r="AM1878">
        <v>0</v>
      </c>
      <c r="AN1878">
        <v>0</v>
      </c>
      <c r="AO1878">
        <v>0</v>
      </c>
      <c r="AP1878" s="2">
        <v>140</v>
      </c>
      <c r="AT1878" t="str">
        <f>T("9791166067563")</f>
        <v>9791166067563</v>
      </c>
      <c r="AV1878" t="str">
        <f>T("판타지 웹소설 &gt; 현대 판타지")</f>
        <v>판타지 웹소설 &gt; 현대 판타지</v>
      </c>
    </row>
    <row r="1879" spans="1:48" x14ac:dyDescent="0.4">
      <c r="A1879">
        <v>1525004030</v>
      </c>
      <c r="B1879">
        <v>1525004354</v>
      </c>
      <c r="C1879" t="str">
        <f>T("회귀의 전설 326화")</f>
        <v>회귀의 전설 326화</v>
      </c>
      <c r="D1879" t="str">
        <f>T("326")</f>
        <v>326</v>
      </c>
      <c r="E1879" t="str">
        <f>T("김광수")</f>
        <v>김광수</v>
      </c>
      <c r="H1879" t="str">
        <f t="shared" si="198"/>
        <v>스토리위즈</v>
      </c>
      <c r="I1879" t="str">
        <f>T("회귀의 전설")</f>
        <v>회귀의 전설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 s="2">
        <v>70</v>
      </c>
      <c r="AT1879" t="str">
        <f>T("9788997946006")</f>
        <v>9788997946006</v>
      </c>
      <c r="AV1879" t="str">
        <f>T("판타지 웹소설 &gt; 현대 판타지")</f>
        <v>판타지 웹소설 &gt; 현대 판타지</v>
      </c>
    </row>
    <row r="1880" spans="1:48" x14ac:dyDescent="0.4">
      <c r="A1880">
        <v>1525004989</v>
      </c>
      <c r="B1880">
        <v>1525005516</v>
      </c>
      <c r="C1880" t="str">
        <f>T("신룡전설 27화")</f>
        <v>신룡전설 27화</v>
      </c>
      <c r="D1880" t="str">
        <f>T("27")</f>
        <v>27</v>
      </c>
      <c r="E1880" t="str">
        <f>T("가람검")</f>
        <v>가람검</v>
      </c>
      <c r="H1880" t="str">
        <f t="shared" si="198"/>
        <v>스토리위즈</v>
      </c>
      <c r="I1880" t="str">
        <f>T("신룡전설")</f>
        <v>신룡전설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 s="2">
        <v>70</v>
      </c>
      <c r="AT1880" t="str">
        <f>T("9791159283505")</f>
        <v>9791159283505</v>
      </c>
      <c r="AV1880" t="str">
        <f>T("판타지 웹소설 &gt; 무협 소설")</f>
        <v>판타지 웹소설 &gt; 무협 소설</v>
      </c>
    </row>
    <row r="1881" spans="1:48" x14ac:dyDescent="0.4">
      <c r="A1881">
        <v>1525004030</v>
      </c>
      <c r="B1881">
        <v>1525007155</v>
      </c>
      <c r="C1881" t="str">
        <f>T("회귀의 전설 2부 1038화")</f>
        <v>회귀의 전설 2부 1038화</v>
      </c>
      <c r="D1881" t="str">
        <f>T("1038")</f>
        <v>1038</v>
      </c>
      <c r="E1881" t="str">
        <f>T("김광수")</f>
        <v>김광수</v>
      </c>
      <c r="H1881" t="str">
        <f t="shared" si="198"/>
        <v>스토리위즈</v>
      </c>
      <c r="I1881" t="str">
        <f>T("회귀의 전설")</f>
        <v>회귀의 전설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 s="2">
        <v>70</v>
      </c>
      <c r="AT1881" t="str">
        <f>T("9791191102086")</f>
        <v>9791191102086</v>
      </c>
      <c r="AV1881" t="str">
        <f>T("판타지 웹소설 &gt; 현대 판타지")</f>
        <v>판타지 웹소설 &gt; 현대 판타지</v>
      </c>
    </row>
    <row r="1882" spans="1:48" x14ac:dyDescent="0.4">
      <c r="A1882">
        <v>1525004030</v>
      </c>
      <c r="B1882">
        <v>1525004466</v>
      </c>
      <c r="C1882" t="str">
        <f>T("회귀의 전설 450화")</f>
        <v>회귀의 전설 450화</v>
      </c>
      <c r="D1882" t="str">
        <f>T("450")</f>
        <v>450</v>
      </c>
      <c r="E1882" t="str">
        <f>T("김광수")</f>
        <v>김광수</v>
      </c>
      <c r="H1882" t="str">
        <f t="shared" si="198"/>
        <v>스토리위즈</v>
      </c>
      <c r="I1882" t="str">
        <f>T("회귀의 전설")</f>
        <v>회귀의 전설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 s="2">
        <v>70</v>
      </c>
      <c r="AT1882" t="str">
        <f>T("9788997946006")</f>
        <v>9788997946006</v>
      </c>
      <c r="AV1882" t="str">
        <f>T("판타지 웹소설 &gt; 현대 판타지")</f>
        <v>판타지 웹소설 &gt; 현대 판타지</v>
      </c>
    </row>
    <row r="1883" spans="1:48" x14ac:dyDescent="0.4">
      <c r="A1883">
        <v>1525004989</v>
      </c>
      <c r="B1883">
        <v>1525005572</v>
      </c>
      <c r="C1883" t="str">
        <f>T("신룡전설 83화")</f>
        <v>신룡전설 83화</v>
      </c>
      <c r="D1883" t="str">
        <f>T("83")</f>
        <v>83</v>
      </c>
      <c r="E1883" t="str">
        <f>T("가람검")</f>
        <v>가람검</v>
      </c>
      <c r="H1883" t="str">
        <f t="shared" si="198"/>
        <v>스토리위즈</v>
      </c>
      <c r="I1883" t="str">
        <f>T("신룡전설")</f>
        <v>신룡전설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 s="2">
        <v>70</v>
      </c>
      <c r="AT1883" t="str">
        <f>T("9791159283505")</f>
        <v>9791159283505</v>
      </c>
      <c r="AV1883" t="str">
        <f>T("판타지 웹소설 &gt; 무협 소설")</f>
        <v>판타지 웹소설 &gt; 무협 소설</v>
      </c>
    </row>
    <row r="1884" spans="1:48" x14ac:dyDescent="0.4">
      <c r="A1884">
        <v>1525008604</v>
      </c>
      <c r="B1884">
        <v>1525008680</v>
      </c>
      <c r="C1884" t="str">
        <f>T("우아한 곡선 9화")</f>
        <v>우아한 곡선 9화</v>
      </c>
      <c r="D1884" t="str">
        <f>T("9")</f>
        <v>9</v>
      </c>
      <c r="E1884" t="str">
        <f>T("용가리맛쿠키")</f>
        <v>용가리맛쿠키</v>
      </c>
      <c r="H1884" t="str">
        <f>T("블러쉬")</f>
        <v>블러쉬</v>
      </c>
      <c r="I1884" t="str">
        <f>T("우아한 곡선")</f>
        <v>우아한 곡선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 s="2">
        <v>70</v>
      </c>
      <c r="AR1884" t="str">
        <f>T("0000000000000")</f>
        <v>0000000000000</v>
      </c>
      <c r="AT1884" t="str">
        <f>T("9791164896615")</f>
        <v>9791164896615</v>
      </c>
      <c r="AV1884" t="str">
        <f>T("BL 웹소설 &gt; 현대물")</f>
        <v>BL 웹소설 &gt; 현대물</v>
      </c>
    </row>
    <row r="1885" spans="1:48" x14ac:dyDescent="0.4">
      <c r="A1885">
        <v>1525004030</v>
      </c>
      <c r="B1885">
        <v>1525007115</v>
      </c>
      <c r="C1885" t="str">
        <f>T("회귀의 전설 2부 999화")</f>
        <v>회귀의 전설 2부 999화</v>
      </c>
      <c r="D1885" t="str">
        <f>T("999")</f>
        <v>999</v>
      </c>
      <c r="E1885" t="str">
        <f>T("김광수")</f>
        <v>김광수</v>
      </c>
      <c r="H1885" t="str">
        <f>T("스토리위즈")</f>
        <v>스토리위즈</v>
      </c>
      <c r="I1885" t="str">
        <f>T("회귀의 전설")</f>
        <v>회귀의 전설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 s="2">
        <v>70</v>
      </c>
      <c r="AT1885" t="str">
        <f>T("9791191102086")</f>
        <v>9791191102086</v>
      </c>
      <c r="AV1885" t="str">
        <f>T("판타지 웹소설 &gt; 현대 판타지")</f>
        <v>판타지 웹소설 &gt; 현대 판타지</v>
      </c>
    </row>
    <row r="1886" spans="1:48" x14ac:dyDescent="0.4">
      <c r="A1886">
        <v>1525007923</v>
      </c>
      <c r="B1886">
        <v>1525008008</v>
      </c>
      <c r="C1886" t="str">
        <f>T("운상연담: 화불능귀일락 97화")</f>
        <v>운상연담: 화불능귀일락 97화</v>
      </c>
      <c r="D1886" t="str">
        <f>T("97")</f>
        <v>97</v>
      </c>
      <c r="E1886" t="str">
        <f>T("피모")</f>
        <v>피모</v>
      </c>
      <c r="H1886" t="str">
        <f>T("쉬라즈")</f>
        <v>쉬라즈</v>
      </c>
      <c r="I1886" t="str">
        <f>T("운상연담: 화불능귀일락")</f>
        <v>운상연담: 화불능귀일락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 s="2">
        <v>70</v>
      </c>
      <c r="AT1886" t="str">
        <f>T("9791164896646")</f>
        <v>9791164896646</v>
      </c>
      <c r="AV1886" t="str">
        <f>T("로맨스 웹소설 &gt; 역사/시대물")</f>
        <v>로맨스 웹소설 &gt; 역사/시대물</v>
      </c>
    </row>
    <row r="1887" spans="1:48" x14ac:dyDescent="0.4">
      <c r="A1887">
        <v>1525004030</v>
      </c>
      <c r="B1887">
        <v>1525004370</v>
      </c>
      <c r="C1887" t="str">
        <f>T("회귀의 전설 342화")</f>
        <v>회귀의 전설 342화</v>
      </c>
      <c r="D1887" t="str">
        <f>T("342")</f>
        <v>342</v>
      </c>
      <c r="E1887" t="str">
        <f>T("김광수")</f>
        <v>김광수</v>
      </c>
      <c r="H1887" t="str">
        <f t="shared" ref="H1887:H1893" si="199">T("스토리위즈")</f>
        <v>스토리위즈</v>
      </c>
      <c r="I1887" t="str">
        <f>T("회귀의 전설")</f>
        <v>회귀의 전설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 s="2">
        <v>70</v>
      </c>
      <c r="AT1887" t="str">
        <f>T("9788997946006")</f>
        <v>9788997946006</v>
      </c>
      <c r="AV1887" t="str">
        <f>T("판타지 웹소설 &gt; 현대 판타지")</f>
        <v>판타지 웹소설 &gt; 현대 판타지</v>
      </c>
    </row>
    <row r="1888" spans="1:48" x14ac:dyDescent="0.4">
      <c r="A1888">
        <v>1525002864</v>
      </c>
      <c r="B1888">
        <v>1525002908</v>
      </c>
      <c r="C1888" t="str">
        <f>T("소드마스터의 환생 45화")</f>
        <v>소드마스터의 환생 45화</v>
      </c>
      <c r="D1888" t="str">
        <f>T("45")</f>
        <v>45</v>
      </c>
      <c r="E1888" t="str">
        <f>T("파란영")</f>
        <v>파란영</v>
      </c>
      <c r="H1888" t="str">
        <f t="shared" si="199"/>
        <v>스토리위즈</v>
      </c>
      <c r="I1888" t="str">
        <f>T("소드마스터의 환생")</f>
        <v>소드마스터의 환생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 s="2">
        <v>70</v>
      </c>
      <c r="AT1888" t="str">
        <f>T("9791159287527")</f>
        <v>9791159287527</v>
      </c>
      <c r="AV1888" t="str">
        <f>T("판타지 웹소설 &gt; 정통 판타지")</f>
        <v>판타지 웹소설 &gt; 정통 판타지</v>
      </c>
    </row>
    <row r="1889" spans="1:48" x14ac:dyDescent="0.4">
      <c r="A1889">
        <v>1525002409</v>
      </c>
      <c r="B1889">
        <v>1525002589</v>
      </c>
      <c r="C1889" t="str">
        <f>T("스포트라이트 181화")</f>
        <v>스포트라이트 181화</v>
      </c>
      <c r="D1889" t="str">
        <f>T("181")</f>
        <v>181</v>
      </c>
      <c r="E1889" t="str">
        <f>T("전혁")</f>
        <v>전혁</v>
      </c>
      <c r="H1889" t="str">
        <f t="shared" si="199"/>
        <v>스토리위즈</v>
      </c>
      <c r="I1889" t="str">
        <f>T("스포트라이트")</f>
        <v>스포트라이트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 s="2">
        <v>70</v>
      </c>
      <c r="AT1889" t="str">
        <f>T("9791159286841")</f>
        <v>9791159286841</v>
      </c>
      <c r="AV1889" t="str">
        <f>T("판타지 웹소설 &gt; 현대 판타지")</f>
        <v>판타지 웹소설 &gt; 현대 판타지</v>
      </c>
    </row>
    <row r="1890" spans="1:48" x14ac:dyDescent="0.4">
      <c r="A1890">
        <v>2313011400</v>
      </c>
      <c r="B1890">
        <v>1525007661</v>
      </c>
      <c r="C1890" t="str">
        <f>T("최종 보스 22권 6화")</f>
        <v>최종 보스 22권 6화</v>
      </c>
      <c r="D1890" t="str">
        <f>T("439")</f>
        <v>439</v>
      </c>
      <c r="E1890" t="str">
        <f>T("무장")</f>
        <v>무장</v>
      </c>
      <c r="H1890" t="str">
        <f t="shared" si="199"/>
        <v>스토리위즈</v>
      </c>
      <c r="I1890" t="str">
        <f>T("최종 보스 : 빛을 향해 달리는 그림자")</f>
        <v>최종 보스 : 빛을 향해 달리는 그림자</v>
      </c>
      <c r="J1890">
        <v>100</v>
      </c>
      <c r="K1890">
        <v>100</v>
      </c>
      <c r="L1890">
        <v>1</v>
      </c>
      <c r="M1890">
        <v>0</v>
      </c>
      <c r="N1890">
        <v>100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200</v>
      </c>
      <c r="AH1890">
        <v>2</v>
      </c>
      <c r="AI1890">
        <v>0</v>
      </c>
      <c r="AJ1890">
        <v>0</v>
      </c>
      <c r="AK1890">
        <v>200</v>
      </c>
      <c r="AL1890">
        <v>0</v>
      </c>
      <c r="AM1890">
        <v>0</v>
      </c>
      <c r="AN1890">
        <v>0</v>
      </c>
      <c r="AO1890">
        <v>0</v>
      </c>
      <c r="AP1890" s="2">
        <v>140</v>
      </c>
      <c r="AT1890" t="str">
        <f>T("9791166067563")</f>
        <v>9791166067563</v>
      </c>
      <c r="AV1890" t="str">
        <f>T("판타지 웹소설 &gt; 현대 판타지")</f>
        <v>판타지 웹소설 &gt; 현대 판타지</v>
      </c>
    </row>
    <row r="1891" spans="1:48" x14ac:dyDescent="0.4">
      <c r="A1891">
        <v>1525004030</v>
      </c>
      <c r="B1891">
        <v>1525007019</v>
      </c>
      <c r="C1891" t="str">
        <f>T("회귀의 전설 2부 903화")</f>
        <v>회귀의 전설 2부 903화</v>
      </c>
      <c r="D1891" t="str">
        <f>T("903")</f>
        <v>903</v>
      </c>
      <c r="E1891" t="str">
        <f>T("김광수")</f>
        <v>김광수</v>
      </c>
      <c r="H1891" t="str">
        <f t="shared" si="199"/>
        <v>스토리위즈</v>
      </c>
      <c r="I1891" t="str">
        <f>T("회귀의 전설")</f>
        <v>회귀의 전설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 s="2">
        <v>70</v>
      </c>
      <c r="AT1891" t="str">
        <f>T("9791191102086")</f>
        <v>9791191102086</v>
      </c>
      <c r="AV1891" t="str">
        <f>T("판타지 웹소설 &gt; 현대 판타지")</f>
        <v>판타지 웹소설 &gt; 현대 판타지</v>
      </c>
    </row>
    <row r="1892" spans="1:48" x14ac:dyDescent="0.4">
      <c r="A1892">
        <v>1525004030</v>
      </c>
      <c r="B1892">
        <v>1525006719</v>
      </c>
      <c r="C1892" t="str">
        <f>T("회귀의 전설 2부 602화")</f>
        <v>회귀의 전설 2부 602화</v>
      </c>
      <c r="D1892" t="str">
        <f>T("602")</f>
        <v>602</v>
      </c>
      <c r="E1892" t="str">
        <f>T("김광수")</f>
        <v>김광수</v>
      </c>
      <c r="H1892" t="str">
        <f t="shared" si="199"/>
        <v>스토리위즈</v>
      </c>
      <c r="I1892" t="str">
        <f>T("회귀의 전설")</f>
        <v>회귀의 전설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 s="2">
        <v>70</v>
      </c>
      <c r="AT1892" t="str">
        <f>T("9791191102086")</f>
        <v>9791191102086</v>
      </c>
      <c r="AV1892" t="str">
        <f>T("판타지 웹소설 &gt; 현대 판타지")</f>
        <v>판타지 웹소설 &gt; 현대 판타지</v>
      </c>
    </row>
    <row r="1893" spans="1:48" x14ac:dyDescent="0.4">
      <c r="A1893">
        <v>1525004989</v>
      </c>
      <c r="B1893">
        <v>1525005588</v>
      </c>
      <c r="C1893" t="str">
        <f>T("신룡전설 99화")</f>
        <v>신룡전설 99화</v>
      </c>
      <c r="D1893" t="str">
        <f>T("99")</f>
        <v>99</v>
      </c>
      <c r="E1893" t="str">
        <f>T("가람검")</f>
        <v>가람검</v>
      </c>
      <c r="H1893" t="str">
        <f t="shared" si="199"/>
        <v>스토리위즈</v>
      </c>
      <c r="I1893" t="str">
        <f>T("신룡전설")</f>
        <v>신룡전설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 s="2">
        <v>70</v>
      </c>
      <c r="AT1893" t="str">
        <f>T("9791159283505")</f>
        <v>9791159283505</v>
      </c>
      <c r="AV1893" t="str">
        <f>T("판타지 웹소설 &gt; 무협 소설")</f>
        <v>판타지 웹소설 &gt; 무협 소설</v>
      </c>
    </row>
    <row r="1894" spans="1:48" x14ac:dyDescent="0.4">
      <c r="A1894">
        <v>1525008276</v>
      </c>
      <c r="B1894">
        <v>1525008341</v>
      </c>
      <c r="C1894" t="str">
        <f>T("달보드레 외전 8")</f>
        <v>달보드레 외전 8</v>
      </c>
      <c r="D1894" t="str">
        <f>T("75")</f>
        <v>75</v>
      </c>
      <c r="E1894" t="str">
        <f>T("시아")</f>
        <v>시아</v>
      </c>
      <c r="H1894" t="str">
        <f>T("비엘스토리")</f>
        <v>비엘스토리</v>
      </c>
      <c r="I1894" t="str">
        <f>T("달보드레")</f>
        <v>달보드레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 s="2">
        <v>70</v>
      </c>
      <c r="AR1894" t="str">
        <f>T("0000000000000")</f>
        <v>0000000000000</v>
      </c>
      <c r="AT1894" t="str">
        <f>T("9791164899715")</f>
        <v>9791164899715</v>
      </c>
      <c r="AV1894" t="str">
        <f>T("BL 웹소설 &gt; 현대물")</f>
        <v>BL 웹소설 &gt; 현대물</v>
      </c>
    </row>
    <row r="1895" spans="1:48" x14ac:dyDescent="0.4">
      <c r="A1895">
        <v>1525004030</v>
      </c>
      <c r="B1895">
        <v>1525006967</v>
      </c>
      <c r="C1895" t="str">
        <f>T("회귀의 전설 2부 851화")</f>
        <v>회귀의 전설 2부 851화</v>
      </c>
      <c r="D1895" t="str">
        <f>T("851")</f>
        <v>851</v>
      </c>
      <c r="E1895" t="str">
        <f>T("김광수")</f>
        <v>김광수</v>
      </c>
      <c r="H1895" t="str">
        <f>T("스토리위즈")</f>
        <v>스토리위즈</v>
      </c>
      <c r="I1895" t="str">
        <f>T("회귀의 전설")</f>
        <v>회귀의 전설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 s="2">
        <v>70</v>
      </c>
      <c r="AT1895" t="str">
        <f>T("9791191102086")</f>
        <v>9791191102086</v>
      </c>
      <c r="AV1895" t="str">
        <f>T("판타지 웹소설 &gt; 현대 판타지")</f>
        <v>판타지 웹소설 &gt; 현대 판타지</v>
      </c>
    </row>
    <row r="1896" spans="1:48" x14ac:dyDescent="0.4">
      <c r="A1896">
        <v>1525004030</v>
      </c>
      <c r="B1896">
        <v>1525004290</v>
      </c>
      <c r="C1896" t="str">
        <f>T("회귀의 전설 261화")</f>
        <v>회귀의 전설 261화</v>
      </c>
      <c r="D1896" t="str">
        <f>T("261")</f>
        <v>261</v>
      </c>
      <c r="E1896" t="str">
        <f>T("김광수")</f>
        <v>김광수</v>
      </c>
      <c r="H1896" t="str">
        <f>T("스토리위즈")</f>
        <v>스토리위즈</v>
      </c>
      <c r="I1896" t="str">
        <f>T("회귀의 전설")</f>
        <v>회귀의 전설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 s="2">
        <v>70</v>
      </c>
      <c r="AT1896" t="str">
        <f>T("9788997946006")</f>
        <v>9788997946006</v>
      </c>
      <c r="AV1896" t="str">
        <f>T("판타지 웹소설 &gt; 현대 판타지")</f>
        <v>판타지 웹소설 &gt; 현대 판타지</v>
      </c>
    </row>
    <row r="1897" spans="1:48" x14ac:dyDescent="0.4">
      <c r="A1897">
        <v>1525008545</v>
      </c>
      <c r="B1897">
        <v>1525008588</v>
      </c>
      <c r="C1897" t="str">
        <f>T("소년연애담 59화 (완결)")</f>
        <v>소년연애담 59화 (완결)</v>
      </c>
      <c r="D1897" t="str">
        <f>T("59")</f>
        <v>59</v>
      </c>
      <c r="E1897" t="str">
        <f>T("나나코")</f>
        <v>나나코</v>
      </c>
      <c r="H1897" t="str">
        <f>T("블러쉬")</f>
        <v>블러쉬</v>
      </c>
      <c r="I1897" t="str">
        <f>T("소년연애담")</f>
        <v>소년연애담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100</v>
      </c>
      <c r="AN1897">
        <v>0</v>
      </c>
      <c r="AO1897">
        <v>0</v>
      </c>
      <c r="AP1897" s="2">
        <v>70</v>
      </c>
      <c r="AR1897" t="str">
        <f>T("0000000000000")</f>
        <v>0000000000000</v>
      </c>
      <c r="AT1897" t="str">
        <f>T("9791164890729")</f>
        <v>9791164890729</v>
      </c>
      <c r="AV1897" t="str">
        <f>T("BL 웹소설 &gt; 현대물")</f>
        <v>BL 웹소설 &gt; 현대물</v>
      </c>
    </row>
    <row r="1898" spans="1:48" x14ac:dyDescent="0.4">
      <c r="A1898">
        <v>2313011400</v>
      </c>
      <c r="B1898">
        <v>1525007622</v>
      </c>
      <c r="C1898" t="str">
        <f>T("최종 보스 20권 7화")</f>
        <v>최종 보스 20권 7화</v>
      </c>
      <c r="D1898" t="str">
        <f>T("400")</f>
        <v>400</v>
      </c>
      <c r="E1898" t="str">
        <f>T("무장")</f>
        <v>무장</v>
      </c>
      <c r="H1898" t="str">
        <f>T("스토리위즈")</f>
        <v>스토리위즈</v>
      </c>
      <c r="I1898" t="str">
        <f>T("최종 보스 : 빛을 향해 달리는 그림자")</f>
        <v>최종 보스 : 빛을 향해 달리는 그림자</v>
      </c>
      <c r="J1898">
        <v>100</v>
      </c>
      <c r="K1898">
        <v>100</v>
      </c>
      <c r="L1898">
        <v>1</v>
      </c>
      <c r="M1898">
        <v>0</v>
      </c>
      <c r="N1898">
        <v>100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200</v>
      </c>
      <c r="AH1898">
        <v>2</v>
      </c>
      <c r="AI1898">
        <v>0</v>
      </c>
      <c r="AJ1898">
        <v>0</v>
      </c>
      <c r="AK1898">
        <v>200</v>
      </c>
      <c r="AL1898">
        <v>0</v>
      </c>
      <c r="AM1898">
        <v>0</v>
      </c>
      <c r="AN1898">
        <v>0</v>
      </c>
      <c r="AO1898">
        <v>0</v>
      </c>
      <c r="AP1898" s="2">
        <v>140</v>
      </c>
      <c r="AT1898" t="str">
        <f>T("9791166067563")</f>
        <v>9791166067563</v>
      </c>
      <c r="AV1898" t="str">
        <f>T("판타지 웹소설 &gt; 현대 판타지")</f>
        <v>판타지 웹소설 &gt; 현대 판타지</v>
      </c>
    </row>
    <row r="1899" spans="1:48" x14ac:dyDescent="0.4">
      <c r="A1899">
        <v>1525004030</v>
      </c>
      <c r="B1899">
        <v>1525004347</v>
      </c>
      <c r="C1899" t="str">
        <f>T("회귀의 전설 319화")</f>
        <v>회귀의 전설 319화</v>
      </c>
      <c r="D1899" t="str">
        <f>T("319")</f>
        <v>319</v>
      </c>
      <c r="E1899" t="str">
        <f>T("김광수")</f>
        <v>김광수</v>
      </c>
      <c r="H1899" t="str">
        <f>T("스토리위즈")</f>
        <v>스토리위즈</v>
      </c>
      <c r="I1899" t="str">
        <f>T("회귀의 전설")</f>
        <v>회귀의 전설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 s="2">
        <v>70</v>
      </c>
      <c r="AT1899" t="str">
        <f>T("9788997946006")</f>
        <v>9788997946006</v>
      </c>
      <c r="AV1899" t="str">
        <f>T("판타지 웹소설 &gt; 현대 판타지")</f>
        <v>판타지 웹소설 &gt; 현대 판타지</v>
      </c>
    </row>
    <row r="1900" spans="1:48" x14ac:dyDescent="0.4">
      <c r="A1900">
        <v>1525004030</v>
      </c>
      <c r="B1900">
        <v>1525007148</v>
      </c>
      <c r="C1900" t="str">
        <f>T("회귀의 전설 2부 1031화")</f>
        <v>회귀의 전설 2부 1031화</v>
      </c>
      <c r="D1900" t="str">
        <f>T("1031")</f>
        <v>1031</v>
      </c>
      <c r="E1900" t="str">
        <f>T("김광수")</f>
        <v>김광수</v>
      </c>
      <c r="H1900" t="str">
        <f>T("스토리위즈")</f>
        <v>스토리위즈</v>
      </c>
      <c r="I1900" t="str">
        <f>T("회귀의 전설")</f>
        <v>회귀의 전설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 s="2">
        <v>70</v>
      </c>
      <c r="AT1900" t="str">
        <f>T("9791191102086")</f>
        <v>9791191102086</v>
      </c>
      <c r="AV1900" t="str">
        <f>T("판타지 웹소설 &gt; 현대 판타지")</f>
        <v>판타지 웹소설 &gt; 현대 판타지</v>
      </c>
    </row>
    <row r="1901" spans="1:48" x14ac:dyDescent="0.4">
      <c r="A1901">
        <v>1525004030</v>
      </c>
      <c r="B1901">
        <v>1525004459</v>
      </c>
      <c r="C1901" t="str">
        <f>T("회귀의 전설 443화")</f>
        <v>회귀의 전설 443화</v>
      </c>
      <c r="D1901" t="str">
        <f>T("443")</f>
        <v>443</v>
      </c>
      <c r="E1901" t="str">
        <f>T("김광수")</f>
        <v>김광수</v>
      </c>
      <c r="H1901" t="str">
        <f>T("스토리위즈")</f>
        <v>스토리위즈</v>
      </c>
      <c r="I1901" t="str">
        <f>T("회귀의 전설")</f>
        <v>회귀의 전설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 s="2">
        <v>70</v>
      </c>
      <c r="AT1901" t="str">
        <f>T("9788997946006")</f>
        <v>9788997946006</v>
      </c>
      <c r="AV1901" t="str">
        <f>T("판타지 웹소설 &gt; 현대 판타지")</f>
        <v>판타지 웹소설 &gt; 현대 판타지</v>
      </c>
    </row>
    <row r="1902" spans="1:48" x14ac:dyDescent="0.4">
      <c r="A1902">
        <v>1525008545</v>
      </c>
      <c r="B1902">
        <v>1525008549</v>
      </c>
      <c r="C1902" t="str">
        <f>T("소년연애담 23화")</f>
        <v>소년연애담 23화</v>
      </c>
      <c r="D1902" t="str">
        <f>T("23")</f>
        <v>23</v>
      </c>
      <c r="E1902" t="str">
        <f>T("나나코")</f>
        <v>나나코</v>
      </c>
      <c r="H1902" t="str">
        <f>T("블러쉬")</f>
        <v>블러쉬</v>
      </c>
      <c r="I1902" t="str">
        <f>T("소년연애담")</f>
        <v>소년연애담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100</v>
      </c>
      <c r="AN1902">
        <v>0</v>
      </c>
      <c r="AO1902">
        <v>0</v>
      </c>
      <c r="AP1902" s="2">
        <v>70</v>
      </c>
      <c r="AR1902" t="str">
        <f>T("0000000000000")</f>
        <v>0000000000000</v>
      </c>
      <c r="AT1902" t="str">
        <f>T("9791164890729")</f>
        <v>9791164890729</v>
      </c>
      <c r="AU1902" t="str">
        <f>T("B12")</f>
        <v>B12</v>
      </c>
      <c r="AV1902" t="str">
        <f>T("BL 웹소설 &gt; 현대물")</f>
        <v>BL 웹소설 &gt; 현대물</v>
      </c>
    </row>
    <row r="1903" spans="1:48" x14ac:dyDescent="0.4">
      <c r="A1903">
        <v>1525004989</v>
      </c>
      <c r="B1903">
        <v>1525005565</v>
      </c>
      <c r="C1903" t="str">
        <f>T("신룡전설 76화")</f>
        <v>신룡전설 76화</v>
      </c>
      <c r="D1903" t="str">
        <f>T("76")</f>
        <v>76</v>
      </c>
      <c r="E1903" t="str">
        <f>T("가람검")</f>
        <v>가람검</v>
      </c>
      <c r="H1903" t="str">
        <f>T("스토리위즈")</f>
        <v>스토리위즈</v>
      </c>
      <c r="I1903" t="str">
        <f>T("신룡전설")</f>
        <v>신룡전설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 s="2">
        <v>70</v>
      </c>
      <c r="AT1903" t="str">
        <f>T("9791159283505")</f>
        <v>9791159283505</v>
      </c>
      <c r="AV1903" t="str">
        <f>T("판타지 웹소설 &gt; 무협 소설")</f>
        <v>판타지 웹소설 &gt; 무협 소설</v>
      </c>
    </row>
    <row r="1904" spans="1:48" x14ac:dyDescent="0.4">
      <c r="A1904">
        <v>1525004030</v>
      </c>
      <c r="B1904">
        <v>1525007108</v>
      </c>
      <c r="C1904" t="str">
        <f>T("회귀의 전설 2부 992화")</f>
        <v>회귀의 전설 2부 992화</v>
      </c>
      <c r="D1904" t="str">
        <f>T("992")</f>
        <v>992</v>
      </c>
      <c r="E1904" t="str">
        <f>T("김광수")</f>
        <v>김광수</v>
      </c>
      <c r="H1904" t="str">
        <f>T("스토리위즈")</f>
        <v>스토리위즈</v>
      </c>
      <c r="I1904" t="str">
        <f>T("회귀의 전설")</f>
        <v>회귀의 전설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 s="2">
        <v>70</v>
      </c>
      <c r="AT1904" t="str">
        <f>T("9791191102086")</f>
        <v>9791191102086</v>
      </c>
      <c r="AV1904" t="str">
        <f>T("판타지 웹소설 &gt; 현대 판타지")</f>
        <v>판타지 웹소설 &gt; 현대 판타지</v>
      </c>
    </row>
    <row r="1905" spans="1:48" x14ac:dyDescent="0.4">
      <c r="A1905">
        <v>1525007923</v>
      </c>
      <c r="B1905">
        <v>1525008001</v>
      </c>
      <c r="C1905" t="str">
        <f>T("운상연담: 화불능귀일락 90화")</f>
        <v>운상연담: 화불능귀일락 90화</v>
      </c>
      <c r="D1905" t="str">
        <f>T("90")</f>
        <v>90</v>
      </c>
      <c r="E1905" t="str">
        <f>T("피모")</f>
        <v>피모</v>
      </c>
      <c r="H1905" t="str">
        <f>T("쉬라즈")</f>
        <v>쉬라즈</v>
      </c>
      <c r="I1905" t="str">
        <f>T("운상연담: 화불능귀일락")</f>
        <v>운상연담: 화불능귀일락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 s="2">
        <v>70</v>
      </c>
      <c r="AT1905" t="str">
        <f>T("9791164896646")</f>
        <v>9791164896646</v>
      </c>
      <c r="AV1905" t="str">
        <f>T("로맨스 웹소설 &gt; 역사/시대물")</f>
        <v>로맨스 웹소설 &gt; 역사/시대물</v>
      </c>
    </row>
    <row r="1906" spans="1:48" x14ac:dyDescent="0.4">
      <c r="A1906">
        <v>1525002864</v>
      </c>
      <c r="B1906">
        <v>1525002901</v>
      </c>
      <c r="C1906" t="str">
        <f>T("소드마스터의 환생 38화")</f>
        <v>소드마스터의 환생 38화</v>
      </c>
      <c r="D1906" t="str">
        <f>T("38")</f>
        <v>38</v>
      </c>
      <c r="E1906" t="str">
        <f>T("파란영")</f>
        <v>파란영</v>
      </c>
      <c r="H1906" t="str">
        <f>T("스토리위즈")</f>
        <v>스토리위즈</v>
      </c>
      <c r="I1906" t="str">
        <f>T("소드마스터의 환생")</f>
        <v>소드마스터의 환생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 s="2">
        <v>70</v>
      </c>
      <c r="AT1906" t="str">
        <f>T("9791159287527")</f>
        <v>9791159287527</v>
      </c>
      <c r="AV1906" t="str">
        <f>T("판타지 웹소설 &gt; 정통 판타지")</f>
        <v>판타지 웹소설 &gt; 정통 판타지</v>
      </c>
    </row>
    <row r="1907" spans="1:48" x14ac:dyDescent="0.4">
      <c r="A1907">
        <v>1525002409</v>
      </c>
      <c r="B1907">
        <v>1525002574</v>
      </c>
      <c r="C1907" t="str">
        <f>T("스포트라이트 166화")</f>
        <v>스포트라이트 166화</v>
      </c>
      <c r="D1907" t="str">
        <f>T("166")</f>
        <v>166</v>
      </c>
      <c r="E1907" t="str">
        <f>T("전혁")</f>
        <v>전혁</v>
      </c>
      <c r="H1907" t="str">
        <f>T("스토리위즈")</f>
        <v>스토리위즈</v>
      </c>
      <c r="I1907" t="str">
        <f>T("스포트라이트")</f>
        <v>스포트라이트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 s="2">
        <v>70</v>
      </c>
      <c r="AT1907" t="str">
        <f>T("9791159286841")</f>
        <v>9791159286841</v>
      </c>
      <c r="AV1907" t="str">
        <f>T("판타지 웹소설 &gt; 현대 판타지")</f>
        <v>판타지 웹소설 &gt; 현대 판타지</v>
      </c>
    </row>
    <row r="1908" spans="1:48" x14ac:dyDescent="0.4">
      <c r="A1908">
        <v>2313011400</v>
      </c>
      <c r="B1908">
        <v>1525007654</v>
      </c>
      <c r="C1908" t="str">
        <f>T("최종 보스 21권 19화")</f>
        <v>최종 보스 21권 19화</v>
      </c>
      <c r="D1908" t="str">
        <f>T("432")</f>
        <v>432</v>
      </c>
      <c r="E1908" t="str">
        <f>T("무장")</f>
        <v>무장</v>
      </c>
      <c r="H1908" t="str">
        <f>T("스토리위즈")</f>
        <v>스토리위즈</v>
      </c>
      <c r="I1908" t="str">
        <f>T("최종 보스 : 빛을 향해 달리는 그림자")</f>
        <v>최종 보스 : 빛을 향해 달리는 그림자</v>
      </c>
      <c r="J1908">
        <v>100</v>
      </c>
      <c r="K1908">
        <v>100</v>
      </c>
      <c r="L1908">
        <v>1</v>
      </c>
      <c r="M1908">
        <v>0</v>
      </c>
      <c r="N1908">
        <v>100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200</v>
      </c>
      <c r="AH1908">
        <v>2</v>
      </c>
      <c r="AI1908">
        <v>0</v>
      </c>
      <c r="AJ1908">
        <v>0</v>
      </c>
      <c r="AK1908">
        <v>200</v>
      </c>
      <c r="AL1908">
        <v>0</v>
      </c>
      <c r="AM1908">
        <v>0</v>
      </c>
      <c r="AN1908">
        <v>0</v>
      </c>
      <c r="AO1908">
        <v>0</v>
      </c>
      <c r="AP1908" s="2">
        <v>140</v>
      </c>
      <c r="AT1908" t="str">
        <f>T("9791166067563")</f>
        <v>9791166067563</v>
      </c>
      <c r="AV1908" t="str">
        <f>T("판타지 웹소설 &gt; 현대 판타지")</f>
        <v>판타지 웹소설 &gt; 현대 판타지</v>
      </c>
    </row>
    <row r="1909" spans="1:48" x14ac:dyDescent="0.4">
      <c r="A1909">
        <v>1525004030</v>
      </c>
      <c r="B1909">
        <v>1525006712</v>
      </c>
      <c r="C1909" t="str">
        <f>T("회귀의 전설 2부 595화")</f>
        <v>회귀의 전설 2부 595화</v>
      </c>
      <c r="D1909" t="str">
        <f>T("595")</f>
        <v>595</v>
      </c>
      <c r="E1909" t="str">
        <f>T("김광수")</f>
        <v>김광수</v>
      </c>
      <c r="H1909" t="str">
        <f>T("스토리위즈")</f>
        <v>스토리위즈</v>
      </c>
      <c r="I1909" t="str">
        <f>T("회귀의 전설")</f>
        <v>회귀의 전설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 s="2">
        <v>70</v>
      </c>
      <c r="AT1909" t="str">
        <f>T("9791191102086")</f>
        <v>9791191102086</v>
      </c>
      <c r="AV1909" t="str">
        <f>T("판타지 웹소설 &gt; 현대 판타지")</f>
        <v>판타지 웹소설 &gt; 현대 판타지</v>
      </c>
    </row>
    <row r="1910" spans="1:48" x14ac:dyDescent="0.4">
      <c r="A1910">
        <v>1525004989</v>
      </c>
      <c r="B1910">
        <v>1525005581</v>
      </c>
      <c r="C1910" t="str">
        <f>T("신룡전설 92화")</f>
        <v>신룡전설 92화</v>
      </c>
      <c r="D1910" t="str">
        <f>T("92")</f>
        <v>92</v>
      </c>
      <c r="E1910" t="str">
        <f>T("가람검")</f>
        <v>가람검</v>
      </c>
      <c r="H1910" t="str">
        <f>T("스토리위즈")</f>
        <v>스토리위즈</v>
      </c>
      <c r="I1910" t="str">
        <f>T("신룡전설")</f>
        <v>신룡전설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 s="2">
        <v>70</v>
      </c>
      <c r="AT1910" t="str">
        <f>T("9791159283505")</f>
        <v>9791159283505</v>
      </c>
      <c r="AV1910" t="str">
        <f>T("판타지 웹소설 &gt; 무협 소설")</f>
        <v>판타지 웹소설 &gt; 무협 소설</v>
      </c>
    </row>
    <row r="1911" spans="1:48" x14ac:dyDescent="0.4">
      <c r="A1911">
        <v>1525008276</v>
      </c>
      <c r="B1911">
        <v>1525008334</v>
      </c>
      <c r="C1911" t="str">
        <f>T("달보드레 외전 10")</f>
        <v>달보드레 외전 10</v>
      </c>
      <c r="D1911" t="str">
        <f>T("77")</f>
        <v>77</v>
      </c>
      <c r="E1911" t="str">
        <f>T("시아")</f>
        <v>시아</v>
      </c>
      <c r="H1911" t="str">
        <f>T("비엘스토리")</f>
        <v>비엘스토리</v>
      </c>
      <c r="I1911" t="str">
        <f>T("달보드레")</f>
        <v>달보드레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 s="2">
        <v>70</v>
      </c>
      <c r="AR1911" t="str">
        <f>T("0000000000000")</f>
        <v>0000000000000</v>
      </c>
      <c r="AT1911" t="str">
        <f>T("9791164899715")</f>
        <v>9791164899715</v>
      </c>
      <c r="AV1911" t="str">
        <f>T("BL 웹소설 &gt; 현대물")</f>
        <v>BL 웹소설 &gt; 현대물</v>
      </c>
    </row>
    <row r="1912" spans="1:48" x14ac:dyDescent="0.4">
      <c r="A1912">
        <v>1525004989</v>
      </c>
      <c r="B1912">
        <v>1525005637</v>
      </c>
      <c r="C1912" t="str">
        <f>T("신룡전설 148화")</f>
        <v>신룡전설 148화</v>
      </c>
      <c r="D1912" t="str">
        <f>T("148")</f>
        <v>148</v>
      </c>
      <c r="E1912" t="str">
        <f>T("가람검")</f>
        <v>가람검</v>
      </c>
      <c r="H1912" t="str">
        <f>T("스토리위즈")</f>
        <v>스토리위즈</v>
      </c>
      <c r="I1912" t="str">
        <f>T("신룡전설")</f>
        <v>신룡전설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 s="2">
        <v>70</v>
      </c>
      <c r="AT1912" t="str">
        <f>T("9791159283505")</f>
        <v>9791159283505</v>
      </c>
      <c r="AV1912" t="str">
        <f>T("판타지 웹소설 &gt; 무협 소설")</f>
        <v>판타지 웹소설 &gt; 무협 소설</v>
      </c>
    </row>
    <row r="1913" spans="1:48" x14ac:dyDescent="0.4">
      <c r="A1913">
        <v>1525004030</v>
      </c>
      <c r="B1913">
        <v>1525004283</v>
      </c>
      <c r="C1913" t="str">
        <f>T("회귀의 전설 254화")</f>
        <v>회귀의 전설 254화</v>
      </c>
      <c r="D1913" t="str">
        <f>T("254")</f>
        <v>254</v>
      </c>
      <c r="E1913" t="str">
        <f>T("김광수")</f>
        <v>김광수</v>
      </c>
      <c r="H1913" t="str">
        <f>T("스토리위즈")</f>
        <v>스토리위즈</v>
      </c>
      <c r="I1913" t="str">
        <f>T("회귀의 전설")</f>
        <v>회귀의 전설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 s="2">
        <v>70</v>
      </c>
      <c r="AT1913" t="str">
        <f>T("9788997946006")</f>
        <v>9788997946006</v>
      </c>
      <c r="AV1913" t="str">
        <f>T("판타지 웹소설 &gt; 현대 판타지")</f>
        <v>판타지 웹소설 &gt; 현대 판타지</v>
      </c>
    </row>
    <row r="1914" spans="1:48" x14ac:dyDescent="0.4">
      <c r="A1914">
        <v>1525008545</v>
      </c>
      <c r="B1914">
        <v>1525008581</v>
      </c>
      <c r="C1914" t="str">
        <f>T("소년연애담 52화")</f>
        <v>소년연애담 52화</v>
      </c>
      <c r="D1914" t="str">
        <f>T("52")</f>
        <v>52</v>
      </c>
      <c r="E1914" t="str">
        <f>T("나나코")</f>
        <v>나나코</v>
      </c>
      <c r="H1914" t="str">
        <f>T("블러쉬")</f>
        <v>블러쉬</v>
      </c>
      <c r="I1914" t="str">
        <f>T("소년연애담")</f>
        <v>소년연애담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100</v>
      </c>
      <c r="AN1914">
        <v>0</v>
      </c>
      <c r="AO1914">
        <v>0</v>
      </c>
      <c r="AP1914" s="2">
        <v>70</v>
      </c>
      <c r="AR1914" t="str">
        <f>T("0000000000000")</f>
        <v>0000000000000</v>
      </c>
      <c r="AT1914" t="str">
        <f>T("9791164890729")</f>
        <v>9791164890729</v>
      </c>
      <c r="AU1914" t="str">
        <f>T("B12")</f>
        <v>B12</v>
      </c>
      <c r="AV1914" t="str">
        <f>T("BL 웹소설 &gt; 현대물")</f>
        <v>BL 웹소설 &gt; 현대물</v>
      </c>
    </row>
    <row r="1915" spans="1:48" x14ac:dyDescent="0.4">
      <c r="A1915">
        <v>1525010579</v>
      </c>
      <c r="B1915">
        <v>1525010202</v>
      </c>
      <c r="C1915" t="str">
        <f>T("법보다 주먹 376화")</f>
        <v>법보다 주먹 376화</v>
      </c>
      <c r="D1915" t="str">
        <f>T("376")</f>
        <v>376</v>
      </c>
      <c r="E1915" t="str">
        <f>T("백범(白帆)")</f>
        <v>백범(白帆)</v>
      </c>
      <c r="H1915" t="str">
        <f>T("에필로그")</f>
        <v>에필로그</v>
      </c>
      <c r="I1915" t="str">
        <f>T("법보다 주먹")</f>
        <v>법보다 주먹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 s="2">
        <v>70</v>
      </c>
      <c r="AT1915" t="str">
        <f>T("9791164489367")</f>
        <v>9791164489367</v>
      </c>
      <c r="AV1915" t="str">
        <f>T("판타지 웹소설 &gt; 현대 판타지")</f>
        <v>판타지 웹소설 &gt; 현대 판타지</v>
      </c>
    </row>
    <row r="1916" spans="1:48" x14ac:dyDescent="0.4">
      <c r="A1916">
        <v>1525004030</v>
      </c>
      <c r="B1916">
        <v>1525012857</v>
      </c>
      <c r="C1916" t="str">
        <f>T("회귀의 전설 1162화")</f>
        <v>회귀의 전설 1162화</v>
      </c>
      <c r="D1916" t="str">
        <f>T("1162")</f>
        <v>1162</v>
      </c>
      <c r="E1916" t="str">
        <f>T("김광수")</f>
        <v>김광수</v>
      </c>
      <c r="H1916" t="str">
        <f>T("스토리위즈")</f>
        <v>스토리위즈</v>
      </c>
      <c r="I1916" t="str">
        <f>T("회귀의 전설")</f>
        <v>회귀의 전설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 s="2">
        <v>70</v>
      </c>
      <c r="AT1916" t="str">
        <f>T("9791191102086")</f>
        <v>9791191102086</v>
      </c>
      <c r="AV1916" t="str">
        <f>T("판타지 웹소설 &gt; 현대 판타지")</f>
        <v>판타지 웹소설 &gt; 현대 판타지</v>
      </c>
    </row>
    <row r="1917" spans="1:48" x14ac:dyDescent="0.4">
      <c r="A1917">
        <v>1525004030</v>
      </c>
      <c r="B1917">
        <v>1525004395</v>
      </c>
      <c r="C1917" t="str">
        <f>T("회귀의 전설 367화")</f>
        <v>회귀의 전설 367화</v>
      </c>
      <c r="D1917" t="str">
        <f>T("367")</f>
        <v>367</v>
      </c>
      <c r="E1917" t="str">
        <f>T("김광수")</f>
        <v>김광수</v>
      </c>
      <c r="H1917" t="str">
        <f>T("스토리위즈")</f>
        <v>스토리위즈</v>
      </c>
      <c r="I1917" t="str">
        <f>T("회귀의 전설")</f>
        <v>회귀의 전설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 s="2">
        <v>70</v>
      </c>
      <c r="AT1917" t="str">
        <f>T("9788997946006")</f>
        <v>9788997946006</v>
      </c>
      <c r="AV1917" t="str">
        <f>T("판타지 웹소설 &gt; 현대 판타지")</f>
        <v>판타지 웹소설 &gt; 현대 판타지</v>
      </c>
    </row>
    <row r="1918" spans="1:48" x14ac:dyDescent="0.4">
      <c r="A1918">
        <v>1525004030</v>
      </c>
      <c r="B1918">
        <v>1525006728</v>
      </c>
      <c r="C1918" t="str">
        <f>T("회귀의 전설 2부 611화")</f>
        <v>회귀의 전설 2부 611화</v>
      </c>
      <c r="D1918" t="str">
        <f>T("611")</f>
        <v>611</v>
      </c>
      <c r="E1918" t="str">
        <f>T("김광수")</f>
        <v>김광수</v>
      </c>
      <c r="H1918" t="str">
        <f>T("스토리위즈")</f>
        <v>스토리위즈</v>
      </c>
      <c r="I1918" t="str">
        <f>T("회귀의 전설")</f>
        <v>회귀의 전설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 s="2">
        <v>70</v>
      </c>
      <c r="AT1918" t="str">
        <f>T("9791191102086")</f>
        <v>9791191102086</v>
      </c>
      <c r="AV1918" t="str">
        <f>T("판타지 웹소설 &gt; 현대 판타지")</f>
        <v>판타지 웹소설 &gt; 현대 판타지</v>
      </c>
    </row>
    <row r="1919" spans="1:48" x14ac:dyDescent="0.4">
      <c r="A1919">
        <v>1525007872</v>
      </c>
      <c r="B1919">
        <v>1525007879</v>
      </c>
      <c r="C1919" t="str">
        <f>T("아침이 오지 않아도 26화")</f>
        <v>아침이 오지 않아도 26화</v>
      </c>
      <c r="D1919" t="str">
        <f>T("26")</f>
        <v>26</v>
      </c>
      <c r="E1919" t="str">
        <f>T("홍영")</f>
        <v>홍영</v>
      </c>
      <c r="H1919" t="str">
        <f>T("러브스토리")</f>
        <v>러브스토리</v>
      </c>
      <c r="I1919" t="str">
        <f>T("아침이 오지 않아도")</f>
        <v>아침이 오지 않아도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 s="2">
        <v>70</v>
      </c>
      <c r="AR1919" t="str">
        <f>T("0000000000000")</f>
        <v>0000000000000</v>
      </c>
      <c r="AT1919" t="str">
        <f>T("9791164899708")</f>
        <v>9791164899708</v>
      </c>
      <c r="AV1919" t="str">
        <f>T("로맨스 웹소설 &gt; 현대물")</f>
        <v>로맨스 웹소설 &gt; 현대물</v>
      </c>
    </row>
    <row r="1920" spans="1:48" x14ac:dyDescent="0.4">
      <c r="A1920">
        <v>1525004030</v>
      </c>
      <c r="B1920">
        <v>1525007044</v>
      </c>
      <c r="C1920" t="str">
        <f>T("회귀의 전설 2부 928화")</f>
        <v>회귀의 전설 2부 928화</v>
      </c>
      <c r="D1920" t="str">
        <f>T("928")</f>
        <v>928</v>
      </c>
      <c r="E1920" t="str">
        <f>T("김광수")</f>
        <v>김광수</v>
      </c>
      <c r="H1920" t="str">
        <f t="shared" ref="H1920:H1933" si="200">T("스토리위즈")</f>
        <v>스토리위즈</v>
      </c>
      <c r="I1920" t="str">
        <f>T("회귀의 전설")</f>
        <v>회귀의 전설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 s="2">
        <v>70</v>
      </c>
      <c r="AT1920" t="str">
        <f>T("9791191102086")</f>
        <v>9791191102086</v>
      </c>
      <c r="AV1920" t="str">
        <f>T("판타지 웹소설 &gt; 현대 판타지")</f>
        <v>판타지 웹소설 &gt; 현대 판타지</v>
      </c>
    </row>
    <row r="1921" spans="1:48" x14ac:dyDescent="0.4">
      <c r="A1921">
        <v>2313011400</v>
      </c>
      <c r="B1921">
        <v>1525007686</v>
      </c>
      <c r="C1921" t="str">
        <f>T("최종 보스 23권 11화")</f>
        <v>최종 보스 23권 11화</v>
      </c>
      <c r="D1921" t="str">
        <f>T("464")</f>
        <v>464</v>
      </c>
      <c r="E1921" t="str">
        <f>T("무장")</f>
        <v>무장</v>
      </c>
      <c r="H1921" t="str">
        <f t="shared" si="200"/>
        <v>스토리위즈</v>
      </c>
      <c r="I1921" t="str">
        <f>T("최종 보스 : 빛을 향해 달리는 그림자")</f>
        <v>최종 보스 : 빛을 향해 달리는 그림자</v>
      </c>
      <c r="J1921">
        <v>100</v>
      </c>
      <c r="K1921">
        <v>100</v>
      </c>
      <c r="L1921">
        <v>1</v>
      </c>
      <c r="M1921">
        <v>0</v>
      </c>
      <c r="N1921">
        <v>100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 s="2">
        <v>140</v>
      </c>
      <c r="AT1921" t="str">
        <f>T("9791166067563")</f>
        <v>9791166067563</v>
      </c>
      <c r="AV1921" t="str">
        <f>T("판타지 웹소설 &gt; 현대 판타지")</f>
        <v>판타지 웹소설 &gt; 현대 판타지</v>
      </c>
    </row>
    <row r="1922" spans="1:48" x14ac:dyDescent="0.4">
      <c r="A1922">
        <v>1525004988</v>
      </c>
      <c r="B1922">
        <v>1525005315</v>
      </c>
      <c r="C1922" t="str">
        <f>T("용무쌍 28화")</f>
        <v>용무쌍 28화</v>
      </c>
      <c r="D1922" t="str">
        <f>T("28")</f>
        <v>28</v>
      </c>
      <c r="E1922" t="str">
        <f>T("권용찬")</f>
        <v>권용찬</v>
      </c>
      <c r="H1922" t="str">
        <f t="shared" si="200"/>
        <v>스토리위즈</v>
      </c>
      <c r="I1922" t="str">
        <f>T("용무쌍")</f>
        <v>용무쌍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 s="2">
        <v>70</v>
      </c>
      <c r="AT1922" t="str">
        <f>T("9791159284861")</f>
        <v>9791159284861</v>
      </c>
      <c r="AV1922" t="str">
        <f>T("판타지 웹소설 &gt; 무협 소설")</f>
        <v>판타지 웹소설 &gt; 무협 소설</v>
      </c>
    </row>
    <row r="1923" spans="1:48" x14ac:dyDescent="0.4">
      <c r="A1923">
        <v>1525004989</v>
      </c>
      <c r="B1923">
        <v>1525005613</v>
      </c>
      <c r="C1923" t="str">
        <f>T("신룡전설 124화")</f>
        <v>신룡전설 124화</v>
      </c>
      <c r="D1923" t="str">
        <f>T("124")</f>
        <v>124</v>
      </c>
      <c r="E1923" t="str">
        <f>T("가람검")</f>
        <v>가람검</v>
      </c>
      <c r="H1923" t="str">
        <f t="shared" si="200"/>
        <v>스토리위즈</v>
      </c>
      <c r="I1923" t="str">
        <f>T("신룡전설")</f>
        <v>신룡전설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 s="2">
        <v>70</v>
      </c>
      <c r="AT1923" t="str">
        <f>T("9791159283505")</f>
        <v>9791159283505</v>
      </c>
      <c r="AV1923" t="str">
        <f>T("판타지 웹소설 &gt; 무협 소설")</f>
        <v>판타지 웹소설 &gt; 무협 소설</v>
      </c>
    </row>
    <row r="1924" spans="1:48" x14ac:dyDescent="0.4">
      <c r="A1924">
        <v>1525002409</v>
      </c>
      <c r="B1924">
        <v>1525002558</v>
      </c>
      <c r="C1924" t="str">
        <f>T("스포트라이트 150화")</f>
        <v>스포트라이트 150화</v>
      </c>
      <c r="D1924" t="str">
        <f>T("150")</f>
        <v>150</v>
      </c>
      <c r="E1924" t="str">
        <f>T("전혁")</f>
        <v>전혁</v>
      </c>
      <c r="H1924" t="str">
        <f t="shared" si="200"/>
        <v>스토리위즈</v>
      </c>
      <c r="I1924" t="str">
        <f>T("스포트라이트")</f>
        <v>스포트라이트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 s="2">
        <v>70</v>
      </c>
      <c r="AT1924" t="str">
        <f>T("9791159286841")</f>
        <v>9791159286841</v>
      </c>
      <c r="AV1924" t="str">
        <f>T("판타지 웹소설 &gt; 현대 판타지")</f>
        <v>판타지 웹소설 &gt; 현대 판타지</v>
      </c>
    </row>
    <row r="1925" spans="1:48" x14ac:dyDescent="0.4">
      <c r="A1925">
        <v>1525004030</v>
      </c>
      <c r="B1925">
        <v>1525006992</v>
      </c>
      <c r="C1925" t="str">
        <f>T("회귀의 전설 2부 876화")</f>
        <v>회귀의 전설 2부 876화</v>
      </c>
      <c r="D1925" t="str">
        <f>T("876")</f>
        <v>876</v>
      </c>
      <c r="E1925" t="str">
        <f>T("김광수")</f>
        <v>김광수</v>
      </c>
      <c r="H1925" t="str">
        <f t="shared" si="200"/>
        <v>스토리위즈</v>
      </c>
      <c r="I1925" t="str">
        <f>T("회귀의 전설")</f>
        <v>회귀의 전설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 s="2">
        <v>70</v>
      </c>
      <c r="AT1925" t="str">
        <f>T("9791191102086")</f>
        <v>9791191102086</v>
      </c>
      <c r="AV1925" t="str">
        <f>T("판타지 웹소설 &gt; 현대 판타지")</f>
        <v>판타지 웹소설 &gt; 현대 판타지</v>
      </c>
    </row>
    <row r="1926" spans="1:48" x14ac:dyDescent="0.4">
      <c r="A1926">
        <v>1525004030</v>
      </c>
      <c r="B1926">
        <v>1525006648</v>
      </c>
      <c r="C1926" t="str">
        <f>T("회귀의 전설 2부 531화")</f>
        <v>회귀의 전설 2부 531화</v>
      </c>
      <c r="D1926" t="str">
        <f>T("531")</f>
        <v>531</v>
      </c>
      <c r="E1926" t="str">
        <f>T("김광수")</f>
        <v>김광수</v>
      </c>
      <c r="H1926" t="str">
        <f t="shared" si="200"/>
        <v>스토리위즈</v>
      </c>
      <c r="I1926" t="str">
        <f>T("회귀의 전설")</f>
        <v>회귀의 전설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 s="2">
        <v>70</v>
      </c>
      <c r="AT1926" t="str">
        <f>T("9791191102086")</f>
        <v>9791191102086</v>
      </c>
      <c r="AV1926" t="str">
        <f>T("판타지 웹소설 &gt; 현대 판타지")</f>
        <v>판타지 웹소설 &gt; 현대 판타지</v>
      </c>
    </row>
    <row r="1927" spans="1:48" x14ac:dyDescent="0.4">
      <c r="A1927">
        <v>1525004030</v>
      </c>
      <c r="B1927">
        <v>1525004315</v>
      </c>
      <c r="C1927" t="str">
        <f>T("회귀의 전설 286화")</f>
        <v>회귀의 전설 286화</v>
      </c>
      <c r="D1927" t="str">
        <f>T("286")</f>
        <v>286</v>
      </c>
      <c r="E1927" t="str">
        <f>T("김광수")</f>
        <v>김광수</v>
      </c>
      <c r="H1927" t="str">
        <f t="shared" si="200"/>
        <v>스토리위즈</v>
      </c>
      <c r="I1927" t="str">
        <f>T("회귀의 전설")</f>
        <v>회귀의 전설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 s="2">
        <v>70</v>
      </c>
      <c r="AT1927" t="str">
        <f>T("9788997946006")</f>
        <v>9788997946006</v>
      </c>
      <c r="AV1927" t="str">
        <f>T("판타지 웹소설 &gt; 현대 판타지")</f>
        <v>판타지 웹소설 &gt; 현대 판타지</v>
      </c>
    </row>
    <row r="1928" spans="1:48" x14ac:dyDescent="0.4">
      <c r="A1928">
        <v>1525004988</v>
      </c>
      <c r="B1928">
        <v>1525005331</v>
      </c>
      <c r="C1928" t="str">
        <f>T("용무쌍 44화")</f>
        <v>용무쌍 44화</v>
      </c>
      <c r="D1928" t="str">
        <f>T("44")</f>
        <v>44</v>
      </c>
      <c r="E1928" t="str">
        <f>T("권용찬")</f>
        <v>권용찬</v>
      </c>
      <c r="H1928" t="str">
        <f t="shared" si="200"/>
        <v>스토리위즈</v>
      </c>
      <c r="I1928" t="str">
        <f>T("용무쌍")</f>
        <v>용무쌍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 s="2">
        <v>70</v>
      </c>
      <c r="AT1928" t="str">
        <f>T("9791159284861")</f>
        <v>9791159284861</v>
      </c>
      <c r="AV1928" t="str">
        <f>T("판타지 웹소설 &gt; 무협 소설")</f>
        <v>판타지 웹소설 &gt; 무협 소설</v>
      </c>
    </row>
    <row r="1929" spans="1:48" x14ac:dyDescent="0.4">
      <c r="A1929">
        <v>1525004030</v>
      </c>
      <c r="B1929">
        <v>1525004427</v>
      </c>
      <c r="C1929" t="str">
        <f>T("회귀의 전설 411화")</f>
        <v>회귀의 전설 411화</v>
      </c>
      <c r="D1929" t="str">
        <f>T("411")</f>
        <v>411</v>
      </c>
      <c r="E1929" t="str">
        <f>T("김광수")</f>
        <v>김광수</v>
      </c>
      <c r="H1929" t="str">
        <f t="shared" si="200"/>
        <v>스토리위즈</v>
      </c>
      <c r="I1929" t="str">
        <f>T("회귀의 전설")</f>
        <v>회귀의 전설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 s="2">
        <v>70</v>
      </c>
      <c r="AT1929" t="str">
        <f>T("9788997946006")</f>
        <v>9788997946006</v>
      </c>
      <c r="AV1929" t="str">
        <f>T("판타지 웹소설 &gt; 현대 판타지")</f>
        <v>판타지 웹소설 &gt; 현대 판타지</v>
      </c>
    </row>
    <row r="1930" spans="1:48" x14ac:dyDescent="0.4">
      <c r="A1930">
        <v>1525004030</v>
      </c>
      <c r="B1930">
        <v>1525004507</v>
      </c>
      <c r="C1930" t="str">
        <f>T("회귀의 전설 496화")</f>
        <v>회귀의 전설 496화</v>
      </c>
      <c r="D1930" t="str">
        <f>T("496")</f>
        <v>496</v>
      </c>
      <c r="E1930" t="str">
        <f>T("김광수")</f>
        <v>김광수</v>
      </c>
      <c r="H1930" t="str">
        <f t="shared" si="200"/>
        <v>스토리위즈</v>
      </c>
      <c r="I1930" t="str">
        <f>T("회귀의 전설")</f>
        <v>회귀의 전설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 s="2">
        <v>70</v>
      </c>
      <c r="AT1930" t="str">
        <f>T("9788997946006")</f>
        <v>9788997946006</v>
      </c>
      <c r="AV1930" t="str">
        <f>T("판타지 웹소설 &gt; 현대 판타지")</f>
        <v>판타지 웹소설 &gt; 현대 판타지</v>
      </c>
    </row>
    <row r="1931" spans="1:48" x14ac:dyDescent="0.4">
      <c r="A1931">
        <v>1525004989</v>
      </c>
      <c r="B1931">
        <v>1525005533</v>
      </c>
      <c r="C1931" t="str">
        <f>T("신룡전설 44화")</f>
        <v>신룡전설 44화</v>
      </c>
      <c r="D1931" t="str">
        <f>T("44")</f>
        <v>44</v>
      </c>
      <c r="E1931" t="str">
        <f>T("가람검")</f>
        <v>가람검</v>
      </c>
      <c r="H1931" t="str">
        <f t="shared" si="200"/>
        <v>스토리위즈</v>
      </c>
      <c r="I1931" t="str">
        <f>T("신룡전설")</f>
        <v>신룡전설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 s="2">
        <v>70</v>
      </c>
      <c r="AT1931" t="str">
        <f>T("9791159283505")</f>
        <v>9791159283505</v>
      </c>
      <c r="AV1931" t="str">
        <f>T("판타지 웹소설 &gt; 무협 소설")</f>
        <v>판타지 웹소설 &gt; 무협 소설</v>
      </c>
    </row>
    <row r="1932" spans="1:48" x14ac:dyDescent="0.4">
      <c r="A1932">
        <v>1525000569</v>
      </c>
      <c r="B1932">
        <v>1525000655</v>
      </c>
      <c r="C1932" t="str">
        <f>T("스트라이커 86화")</f>
        <v>스트라이커 86화</v>
      </c>
      <c r="D1932" t="str">
        <f>T("86")</f>
        <v>86</v>
      </c>
      <c r="E1932" t="str">
        <f>T("독고진")</f>
        <v>독고진</v>
      </c>
      <c r="H1932" t="str">
        <f t="shared" si="200"/>
        <v>스토리위즈</v>
      </c>
      <c r="I1932" t="str">
        <f>T("스트라이커")</f>
        <v>스트라이커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 s="2">
        <v>70</v>
      </c>
      <c r="AT1932" t="str">
        <f>T("9791170151678")</f>
        <v>9791170151678</v>
      </c>
      <c r="AV1932" t="str">
        <f>T("판타지 웹소설 &gt; 현대 판타지")</f>
        <v>판타지 웹소설 &gt; 현대 판타지</v>
      </c>
    </row>
    <row r="1933" spans="1:48" x14ac:dyDescent="0.4">
      <c r="A1933">
        <v>1525004030</v>
      </c>
      <c r="B1933">
        <v>1525007076</v>
      </c>
      <c r="C1933" t="str">
        <f>T("회귀의 전설 2부 960화")</f>
        <v>회귀의 전설 2부 960화</v>
      </c>
      <c r="D1933" t="str">
        <f>T("960")</f>
        <v>960</v>
      </c>
      <c r="E1933" t="str">
        <f>T("김광수")</f>
        <v>김광수</v>
      </c>
      <c r="H1933" t="str">
        <f t="shared" si="200"/>
        <v>스토리위즈</v>
      </c>
      <c r="I1933" t="str">
        <f>T("회귀의 전설")</f>
        <v>회귀의 전설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 s="2">
        <v>70</v>
      </c>
      <c r="AT1933" t="str">
        <f>T("9791191102086")</f>
        <v>9791191102086</v>
      </c>
      <c r="AV1933" t="str">
        <f>T("판타지 웹소설 &gt; 현대 판타지")</f>
        <v>판타지 웹소설 &gt; 현대 판타지</v>
      </c>
    </row>
    <row r="1934" spans="1:48" x14ac:dyDescent="0.4">
      <c r="A1934">
        <v>1525007923</v>
      </c>
      <c r="B1934">
        <v>1525007912</v>
      </c>
      <c r="C1934" t="str">
        <f>T("운상연담: 화불능귀일락 112화")</f>
        <v>운상연담: 화불능귀일락 112화</v>
      </c>
      <c r="D1934" t="str">
        <f>T("112")</f>
        <v>112</v>
      </c>
      <c r="E1934" t="str">
        <f>T("피모")</f>
        <v>피모</v>
      </c>
      <c r="H1934" t="str">
        <f>T("쉬라즈")</f>
        <v>쉬라즈</v>
      </c>
      <c r="I1934" t="str">
        <f>T("운상연담: 화불능귀일락")</f>
        <v>운상연담: 화불능귀일락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 s="2">
        <v>70</v>
      </c>
      <c r="AT1934" t="str">
        <f>T("9791164896646")</f>
        <v>9791164896646</v>
      </c>
      <c r="AV1934" t="str">
        <f>T("로맨스 웹소설 &gt; 역사/시대물")</f>
        <v>로맨스 웹소설 &gt; 역사/시대물</v>
      </c>
    </row>
    <row r="1935" spans="1:48" x14ac:dyDescent="0.4">
      <c r="A1935">
        <v>1525010579</v>
      </c>
      <c r="B1935">
        <v>1525010192</v>
      </c>
      <c r="C1935" t="str">
        <f>T("법보다 주먹 386화")</f>
        <v>법보다 주먹 386화</v>
      </c>
      <c r="D1935" t="str">
        <f>T("386")</f>
        <v>386</v>
      </c>
      <c r="E1935" t="str">
        <f>T("백범(白帆)")</f>
        <v>백범(白帆)</v>
      </c>
      <c r="H1935" t="str">
        <f>T("에필로그")</f>
        <v>에필로그</v>
      </c>
      <c r="I1935" t="str">
        <f>T("법보다 주먹")</f>
        <v>법보다 주먹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 s="2">
        <v>70</v>
      </c>
      <c r="AT1935" t="str">
        <f>T("9791164489367")</f>
        <v>9791164489367</v>
      </c>
      <c r="AV1935" t="str">
        <f>T("판타지 웹소설 &gt; 현대 판타지")</f>
        <v>판타지 웹소설 &gt; 현대 판타지</v>
      </c>
    </row>
    <row r="1936" spans="1:48" x14ac:dyDescent="0.4">
      <c r="A1936">
        <v>1525004030</v>
      </c>
      <c r="B1936">
        <v>1525012786</v>
      </c>
      <c r="C1936" t="str">
        <f>T("회귀의 전설 1091화")</f>
        <v>회귀의 전설 1091화</v>
      </c>
      <c r="D1936" t="str">
        <f>T("1091")</f>
        <v>1091</v>
      </c>
      <c r="E1936" t="str">
        <f>T("김광수")</f>
        <v>김광수</v>
      </c>
      <c r="H1936" t="str">
        <f>T("스토리위즈")</f>
        <v>스토리위즈</v>
      </c>
      <c r="I1936" t="str">
        <f>T("회귀의 전설")</f>
        <v>회귀의 전설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 s="2">
        <v>70</v>
      </c>
      <c r="AT1936" t="str">
        <f>T("9791191102086")</f>
        <v>9791191102086</v>
      </c>
      <c r="AV1936" t="str">
        <f>T("판타지 웹소설 &gt; 현대 판타지")</f>
        <v>판타지 웹소설 &gt; 현대 판타지</v>
      </c>
    </row>
    <row r="1937" spans="1:48" x14ac:dyDescent="0.4">
      <c r="A1937">
        <v>1525002409</v>
      </c>
      <c r="B1937">
        <v>1525002618</v>
      </c>
      <c r="C1937" t="str">
        <f>T("스포트라이트 210화")</f>
        <v>스포트라이트 210화</v>
      </c>
      <c r="D1937" t="str">
        <f>T("210")</f>
        <v>210</v>
      </c>
      <c r="E1937" t="str">
        <f>T("전혁")</f>
        <v>전혁</v>
      </c>
      <c r="H1937" t="str">
        <f>T("스토리위즈")</f>
        <v>스토리위즈</v>
      </c>
      <c r="I1937" t="str">
        <f>T("스포트라이트")</f>
        <v>스포트라이트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 s="2">
        <v>70</v>
      </c>
      <c r="AT1937" t="str">
        <f>T("9791159286841")</f>
        <v>9791159286841</v>
      </c>
      <c r="AV1937" t="str">
        <f>T("판타지 웹소설 &gt; 현대 판타지")</f>
        <v>판타지 웹소설 &gt; 현대 판타지</v>
      </c>
    </row>
    <row r="1938" spans="1:48" x14ac:dyDescent="0.4">
      <c r="A1938">
        <v>1525007872</v>
      </c>
      <c r="B1938">
        <v>1525007871</v>
      </c>
      <c r="C1938" t="str">
        <f>T("아침이 오지 않아도 19화")</f>
        <v>아침이 오지 않아도 19화</v>
      </c>
      <c r="D1938" t="str">
        <f>T("19")</f>
        <v>19</v>
      </c>
      <c r="E1938" t="str">
        <f>T("홍영")</f>
        <v>홍영</v>
      </c>
      <c r="H1938" t="str">
        <f>T("러브스토리")</f>
        <v>러브스토리</v>
      </c>
      <c r="I1938" t="str">
        <f>T("아침이 오지 않아도")</f>
        <v>아침이 오지 않아도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 s="2">
        <v>70</v>
      </c>
      <c r="AR1938" t="str">
        <f>T("0000000000000")</f>
        <v>0000000000000</v>
      </c>
      <c r="AT1938" t="str">
        <f>T("9791164899708")</f>
        <v>9791164899708</v>
      </c>
      <c r="AV1938" t="str">
        <f>T("로맨스 웹소설 &gt; 현대물")</f>
        <v>로맨스 웹소설 &gt; 현대물</v>
      </c>
    </row>
    <row r="1939" spans="1:48" x14ac:dyDescent="0.4">
      <c r="A1939">
        <v>1525004030</v>
      </c>
      <c r="B1939">
        <v>1525007037</v>
      </c>
      <c r="C1939" t="str">
        <f>T("회귀의 전설 2부 921화")</f>
        <v>회귀의 전설 2부 921화</v>
      </c>
      <c r="D1939" t="str">
        <f>T("921")</f>
        <v>921</v>
      </c>
      <c r="E1939" t="str">
        <f>T("김광수")</f>
        <v>김광수</v>
      </c>
      <c r="H1939" t="str">
        <f t="shared" ref="H1939:H1944" si="201">T("스토리위즈")</f>
        <v>스토리위즈</v>
      </c>
      <c r="I1939" t="str">
        <f>T("회귀의 전설")</f>
        <v>회귀의 전설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 s="2">
        <v>70</v>
      </c>
      <c r="AT1939" t="str">
        <f>T("9791191102086")</f>
        <v>9791191102086</v>
      </c>
      <c r="AV1939" t="str">
        <f>T("판타지 웹소설 &gt; 현대 판타지")</f>
        <v>판타지 웹소설 &gt; 현대 판타지</v>
      </c>
    </row>
    <row r="1940" spans="1:48" x14ac:dyDescent="0.4">
      <c r="A1940">
        <v>2313011400</v>
      </c>
      <c r="B1940">
        <v>1525007679</v>
      </c>
      <c r="C1940" t="str">
        <f>T("최종 보스 23권 4화")</f>
        <v>최종 보스 23권 4화</v>
      </c>
      <c r="D1940" t="str">
        <f>T("457")</f>
        <v>457</v>
      </c>
      <c r="E1940" t="str">
        <f>T("무장")</f>
        <v>무장</v>
      </c>
      <c r="H1940" t="str">
        <f t="shared" si="201"/>
        <v>스토리위즈</v>
      </c>
      <c r="I1940" t="str">
        <f>T("최종 보스 : 빛을 향해 달리는 그림자")</f>
        <v>최종 보스 : 빛을 향해 달리는 그림자</v>
      </c>
      <c r="J1940">
        <v>100</v>
      </c>
      <c r="K1940">
        <v>100</v>
      </c>
      <c r="L1940">
        <v>1</v>
      </c>
      <c r="M1940">
        <v>0</v>
      </c>
      <c r="N1940">
        <v>100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200</v>
      </c>
      <c r="AH1940">
        <v>2</v>
      </c>
      <c r="AI1940">
        <v>0</v>
      </c>
      <c r="AJ1940">
        <v>0</v>
      </c>
      <c r="AK1940">
        <v>200</v>
      </c>
      <c r="AL1940">
        <v>0</v>
      </c>
      <c r="AM1940">
        <v>0</v>
      </c>
      <c r="AN1940">
        <v>0</v>
      </c>
      <c r="AO1940">
        <v>0</v>
      </c>
      <c r="AP1940" s="2">
        <v>140</v>
      </c>
      <c r="AT1940" t="str">
        <f>T("9791166067563")</f>
        <v>9791166067563</v>
      </c>
      <c r="AV1940" t="str">
        <f>T("판타지 웹소설 &gt; 현대 판타지")</f>
        <v>판타지 웹소설 &gt; 현대 판타지</v>
      </c>
    </row>
    <row r="1941" spans="1:48" x14ac:dyDescent="0.4">
      <c r="A1941">
        <v>1525004989</v>
      </c>
      <c r="B1941">
        <v>1525005606</v>
      </c>
      <c r="C1941" t="str">
        <f>T("신룡전설 117화")</f>
        <v>신룡전설 117화</v>
      </c>
      <c r="D1941" t="str">
        <f>T("117")</f>
        <v>117</v>
      </c>
      <c r="E1941" t="str">
        <f>T("가람검")</f>
        <v>가람검</v>
      </c>
      <c r="H1941" t="str">
        <f t="shared" si="201"/>
        <v>스토리위즈</v>
      </c>
      <c r="I1941" t="str">
        <f>T("신룡전설")</f>
        <v>신룡전설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 s="2">
        <v>70</v>
      </c>
      <c r="AT1941" t="str">
        <f>T("9791159283505")</f>
        <v>9791159283505</v>
      </c>
      <c r="AV1941" t="str">
        <f>T("판타지 웹소설 &gt; 무협 소설")</f>
        <v>판타지 웹소설 &gt; 무협 소설</v>
      </c>
    </row>
    <row r="1942" spans="1:48" x14ac:dyDescent="0.4">
      <c r="A1942">
        <v>1525002409</v>
      </c>
      <c r="B1942">
        <v>1525002543</v>
      </c>
      <c r="C1942" t="str">
        <f>T("스포트라이트 135화")</f>
        <v>스포트라이트 135화</v>
      </c>
      <c r="D1942" t="str">
        <f>T("135")</f>
        <v>135</v>
      </c>
      <c r="E1942" t="str">
        <f>T("전혁")</f>
        <v>전혁</v>
      </c>
      <c r="H1942" t="str">
        <f t="shared" si="201"/>
        <v>스토리위즈</v>
      </c>
      <c r="I1942" t="str">
        <f>T("스포트라이트")</f>
        <v>스포트라이트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 s="2">
        <v>70</v>
      </c>
      <c r="AT1942" t="str">
        <f>T("9791159286841")</f>
        <v>9791159286841</v>
      </c>
      <c r="AV1942" t="str">
        <f>T("판타지 웹소설 &gt; 현대 판타지")</f>
        <v>판타지 웹소설 &gt; 현대 판타지</v>
      </c>
    </row>
    <row r="1943" spans="1:48" x14ac:dyDescent="0.4">
      <c r="A1943">
        <v>1525004030</v>
      </c>
      <c r="B1943">
        <v>1525006985</v>
      </c>
      <c r="C1943" t="str">
        <f>T("회귀의 전설 2부 869화")</f>
        <v>회귀의 전설 2부 869화</v>
      </c>
      <c r="D1943" t="str">
        <f>T("869")</f>
        <v>869</v>
      </c>
      <c r="E1943" t="str">
        <f>T("김광수")</f>
        <v>김광수</v>
      </c>
      <c r="H1943" t="str">
        <f t="shared" si="201"/>
        <v>스토리위즈</v>
      </c>
      <c r="I1943" t="str">
        <f>T("회귀의 전설")</f>
        <v>회귀의 전설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 s="2">
        <v>70</v>
      </c>
      <c r="AT1943" t="str">
        <f>T("9791191102086")</f>
        <v>9791191102086</v>
      </c>
      <c r="AV1943" t="str">
        <f>T("판타지 웹소설 &gt; 현대 판타지")</f>
        <v>판타지 웹소설 &gt; 현대 판타지</v>
      </c>
    </row>
    <row r="1944" spans="1:48" x14ac:dyDescent="0.4">
      <c r="A1944">
        <v>1525004030</v>
      </c>
      <c r="B1944">
        <v>1525004308</v>
      </c>
      <c r="C1944" t="str">
        <f>T("회귀의 전설 279화")</f>
        <v>회귀의 전설 279화</v>
      </c>
      <c r="D1944" t="str">
        <f>T("279")</f>
        <v>279</v>
      </c>
      <c r="E1944" t="str">
        <f>T("김광수")</f>
        <v>김광수</v>
      </c>
      <c r="H1944" t="str">
        <f t="shared" si="201"/>
        <v>스토리위즈</v>
      </c>
      <c r="I1944" t="str">
        <f>T("회귀의 전설")</f>
        <v>회귀의 전설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 s="2">
        <v>70</v>
      </c>
      <c r="AT1944" t="str">
        <f>T("9788997946006")</f>
        <v>9788997946006</v>
      </c>
      <c r="AV1944" t="str">
        <f>T("판타지 웹소설 &gt; 현대 판타지")</f>
        <v>판타지 웹소설 &gt; 현대 판타지</v>
      </c>
    </row>
    <row r="1945" spans="1:48" x14ac:dyDescent="0.4">
      <c r="A1945">
        <v>1525011523</v>
      </c>
      <c r="B1945">
        <v>1525011504</v>
      </c>
      <c r="C1945" t="str">
        <f>T("남창목가 20화")</f>
        <v>남창목가 20화</v>
      </c>
      <c r="D1945" t="str">
        <f>T("20")</f>
        <v>20</v>
      </c>
      <c r="E1945" t="str">
        <f>T("최재봉")</f>
        <v>최재봉</v>
      </c>
      <c r="H1945" t="str">
        <f>T("에필로그")</f>
        <v>에필로그</v>
      </c>
      <c r="I1945" t="str">
        <f>T("남창목가")</f>
        <v>남창목가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 s="2">
        <v>70</v>
      </c>
      <c r="AT1945" t="str">
        <f>T("9791164482849")</f>
        <v>9791164482849</v>
      </c>
      <c r="AV1945" t="str">
        <f>T("판타지 웹소설 &gt; 무협 소설")</f>
        <v>판타지 웹소설 &gt; 무협 소설</v>
      </c>
    </row>
    <row r="1946" spans="1:48" x14ac:dyDescent="0.4">
      <c r="A1946">
        <v>1525004030</v>
      </c>
      <c r="B1946">
        <v>1525004420</v>
      </c>
      <c r="C1946" t="str">
        <f>T("회귀의 전설 404화")</f>
        <v>회귀의 전설 404화</v>
      </c>
      <c r="D1946" t="str">
        <f>T("404")</f>
        <v>404</v>
      </c>
      <c r="E1946" t="str">
        <f>T("김광수")</f>
        <v>김광수</v>
      </c>
      <c r="H1946" t="str">
        <f t="shared" ref="H1946:H1952" si="202">T("스토리위즈")</f>
        <v>스토리위즈</v>
      </c>
      <c r="I1946" t="str">
        <f>T("회귀의 전설")</f>
        <v>회귀의 전설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 s="2">
        <v>70</v>
      </c>
      <c r="AT1946" t="str">
        <f>T("9788997946006")</f>
        <v>9788997946006</v>
      </c>
      <c r="AV1946" t="str">
        <f>T("판타지 웹소설 &gt; 현대 판타지")</f>
        <v>판타지 웹소설 &gt; 현대 판타지</v>
      </c>
    </row>
    <row r="1947" spans="1:48" x14ac:dyDescent="0.4">
      <c r="A1947">
        <v>1525004988</v>
      </c>
      <c r="B1947">
        <v>1525005324</v>
      </c>
      <c r="C1947" t="str">
        <f>T("용무쌍 37화")</f>
        <v>용무쌍 37화</v>
      </c>
      <c r="D1947" t="str">
        <f>T("37")</f>
        <v>37</v>
      </c>
      <c r="E1947" t="str">
        <f>T("권용찬")</f>
        <v>권용찬</v>
      </c>
      <c r="H1947" t="str">
        <f t="shared" si="202"/>
        <v>스토리위즈</v>
      </c>
      <c r="I1947" t="str">
        <f>T("용무쌍")</f>
        <v>용무쌍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 s="2">
        <v>70</v>
      </c>
      <c r="AT1947" t="str">
        <f>T("9791159284861")</f>
        <v>9791159284861</v>
      </c>
      <c r="AV1947" t="str">
        <f>T("판타지 웹소설 &gt; 무협 소설")</f>
        <v>판타지 웹소설 &gt; 무협 소설</v>
      </c>
    </row>
    <row r="1948" spans="1:48" x14ac:dyDescent="0.4">
      <c r="A1948">
        <v>1525004030</v>
      </c>
      <c r="B1948">
        <v>1525006753</v>
      </c>
      <c r="C1948" t="str">
        <f>T("회귀의 전설 2부 636화")</f>
        <v>회귀의 전설 2부 636화</v>
      </c>
      <c r="D1948" t="str">
        <f>T("636")</f>
        <v>636</v>
      </c>
      <c r="E1948" t="str">
        <f>T("김광수")</f>
        <v>김광수</v>
      </c>
      <c r="H1948" t="str">
        <f t="shared" si="202"/>
        <v>스토리위즈</v>
      </c>
      <c r="I1948" t="str">
        <f>T("회귀의 전설")</f>
        <v>회귀의 전설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 s="2">
        <v>70</v>
      </c>
      <c r="AT1948" t="str">
        <f>T("9791191102086")</f>
        <v>9791191102086</v>
      </c>
      <c r="AV1948" t="str">
        <f>T("판타지 웹소설 &gt; 현대 판타지")</f>
        <v>판타지 웹소설 &gt; 현대 판타지</v>
      </c>
    </row>
    <row r="1949" spans="1:48" x14ac:dyDescent="0.4">
      <c r="A1949">
        <v>1525004030</v>
      </c>
      <c r="B1949">
        <v>1525004500</v>
      </c>
      <c r="C1949" t="str">
        <f>T("회귀의 전설 484화")</f>
        <v>회귀의 전설 484화</v>
      </c>
      <c r="D1949" t="str">
        <f>T("484")</f>
        <v>484</v>
      </c>
      <c r="E1949" t="str">
        <f>T("김광수")</f>
        <v>김광수</v>
      </c>
      <c r="H1949" t="str">
        <f t="shared" si="202"/>
        <v>스토리위즈</v>
      </c>
      <c r="I1949" t="str">
        <f>T("회귀의 전설")</f>
        <v>회귀의 전설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 s="2">
        <v>70</v>
      </c>
      <c r="AT1949" t="str">
        <f>T("9788997946006")</f>
        <v>9788997946006</v>
      </c>
      <c r="AV1949" t="str">
        <f>T("판타지 웹소설 &gt; 현대 판타지")</f>
        <v>판타지 웹소설 &gt; 현대 판타지</v>
      </c>
    </row>
    <row r="1950" spans="1:48" x14ac:dyDescent="0.4">
      <c r="A1950">
        <v>1525004989</v>
      </c>
      <c r="B1950">
        <v>1525005526</v>
      </c>
      <c r="C1950" t="str">
        <f>T("신룡전설 37화")</f>
        <v>신룡전설 37화</v>
      </c>
      <c r="D1950" t="str">
        <f>T("37")</f>
        <v>37</v>
      </c>
      <c r="E1950" t="str">
        <f>T("가람검")</f>
        <v>가람검</v>
      </c>
      <c r="H1950" t="str">
        <f t="shared" si="202"/>
        <v>스토리위즈</v>
      </c>
      <c r="I1950" t="str">
        <f>T("신룡전설")</f>
        <v>신룡전설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 s="2">
        <v>70</v>
      </c>
      <c r="AT1950" t="str">
        <f>T("9791159283505")</f>
        <v>9791159283505</v>
      </c>
      <c r="AV1950" t="str">
        <f>T("판타지 웹소설 &gt; 무협 소설")</f>
        <v>판타지 웹소설 &gt; 무협 소설</v>
      </c>
    </row>
    <row r="1951" spans="1:48" x14ac:dyDescent="0.4">
      <c r="A1951">
        <v>1525000569</v>
      </c>
      <c r="B1951">
        <v>1525000624</v>
      </c>
      <c r="C1951" t="str">
        <f>T("스트라이커 55화")</f>
        <v>스트라이커 55화</v>
      </c>
      <c r="D1951" t="str">
        <f>T("55")</f>
        <v>55</v>
      </c>
      <c r="E1951" t="str">
        <f>T("독고진")</f>
        <v>독고진</v>
      </c>
      <c r="H1951" t="str">
        <f t="shared" si="202"/>
        <v>스토리위즈</v>
      </c>
      <c r="I1951" t="str">
        <f>T("스트라이커")</f>
        <v>스트라이커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 s="2">
        <v>70</v>
      </c>
      <c r="AT1951" t="str">
        <f>T("9791170151678")</f>
        <v>9791170151678</v>
      </c>
      <c r="AV1951" t="str">
        <f>T("판타지 웹소설 &gt; 현대 판타지")</f>
        <v>판타지 웹소설 &gt; 현대 판타지</v>
      </c>
    </row>
    <row r="1952" spans="1:48" x14ac:dyDescent="0.4">
      <c r="A1952">
        <v>1525004030</v>
      </c>
      <c r="B1952">
        <v>1525007069</v>
      </c>
      <c r="C1952" t="str">
        <f>T("회귀의 전설 2부 953화")</f>
        <v>회귀의 전설 2부 953화</v>
      </c>
      <c r="D1952" t="str">
        <f>T("953")</f>
        <v>953</v>
      </c>
      <c r="E1952" t="str">
        <f>T("김광수")</f>
        <v>김광수</v>
      </c>
      <c r="H1952" t="str">
        <f t="shared" si="202"/>
        <v>스토리위즈</v>
      </c>
      <c r="I1952" t="str">
        <f>T("회귀의 전설")</f>
        <v>회귀의 전설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 s="2">
        <v>70</v>
      </c>
      <c r="AT1952" t="str">
        <f>T("9791191102086")</f>
        <v>9791191102086</v>
      </c>
      <c r="AV1952" t="str">
        <f>T("판타지 웹소설 &gt; 현대 판타지")</f>
        <v>판타지 웹소설 &gt; 현대 판타지</v>
      </c>
    </row>
    <row r="1953" spans="1:48" x14ac:dyDescent="0.4">
      <c r="A1953">
        <v>1525007923</v>
      </c>
      <c r="B1953">
        <v>1525007904</v>
      </c>
      <c r="C1953" t="str">
        <f>T("운상연담: 화불능귀일락 105화")</f>
        <v>운상연담: 화불능귀일락 105화</v>
      </c>
      <c r="D1953" t="str">
        <f>T("105")</f>
        <v>105</v>
      </c>
      <c r="E1953" t="str">
        <f>T("피모")</f>
        <v>피모</v>
      </c>
      <c r="H1953" t="str">
        <f>T("쉬라즈")</f>
        <v>쉬라즈</v>
      </c>
      <c r="I1953" t="str">
        <f>T("운상연담: 화불능귀일락")</f>
        <v>운상연담: 화불능귀일락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 s="2">
        <v>70</v>
      </c>
      <c r="AT1953" t="str">
        <f>T("9791164896646")</f>
        <v>9791164896646</v>
      </c>
      <c r="AV1953" t="str">
        <f>T("로맨스 웹소설 &gt; 역사/시대물")</f>
        <v>로맨스 웹소설 &gt; 역사/시대물</v>
      </c>
    </row>
    <row r="1954" spans="1:48" x14ac:dyDescent="0.4">
      <c r="A1954">
        <v>2313011400</v>
      </c>
      <c r="B1954">
        <v>1525007615</v>
      </c>
      <c r="C1954" t="str">
        <f>T("최종 보스 19권 21화")</f>
        <v>최종 보스 19권 21화</v>
      </c>
      <c r="D1954" t="str">
        <f>T("393")</f>
        <v>393</v>
      </c>
      <c r="E1954" t="str">
        <f>T("무장")</f>
        <v>무장</v>
      </c>
      <c r="H1954" t="str">
        <f>T("스토리위즈")</f>
        <v>스토리위즈</v>
      </c>
      <c r="I1954" t="str">
        <f>T("최종 보스 : 빛을 향해 달리는 그림자")</f>
        <v>최종 보스 : 빛을 향해 달리는 그림자</v>
      </c>
      <c r="J1954">
        <v>100</v>
      </c>
      <c r="K1954">
        <v>100</v>
      </c>
      <c r="L1954">
        <v>1</v>
      </c>
      <c r="M1954">
        <v>0</v>
      </c>
      <c r="N1954">
        <v>100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 s="2">
        <v>140</v>
      </c>
      <c r="AT1954" t="str">
        <f>T("9791166067563")</f>
        <v>9791166067563</v>
      </c>
      <c r="AV1954" t="str">
        <f>T("판타지 웹소설 &gt; 현대 판타지")</f>
        <v>판타지 웹소설 &gt; 현대 판타지</v>
      </c>
    </row>
    <row r="1955" spans="1:48" x14ac:dyDescent="0.4">
      <c r="A1955">
        <v>1525004030</v>
      </c>
      <c r="B1955">
        <v>1525004340</v>
      </c>
      <c r="C1955" t="str">
        <f>T("회귀의 전설 312화")</f>
        <v>회귀의 전설 312화</v>
      </c>
      <c r="D1955" t="str">
        <f>T("312")</f>
        <v>312</v>
      </c>
      <c r="E1955" t="str">
        <f>T("김광수")</f>
        <v>김광수</v>
      </c>
      <c r="H1955" t="str">
        <f>T("스토리위즈")</f>
        <v>스토리위즈</v>
      </c>
      <c r="I1955" t="str">
        <f>T("회귀의 전설")</f>
        <v>회귀의 전설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 s="2">
        <v>70</v>
      </c>
      <c r="AT1955" t="str">
        <f>T("9788997946006")</f>
        <v>9788997946006</v>
      </c>
      <c r="AV1955" t="str">
        <f>T("판타지 웹소설 &gt; 현대 판타지")</f>
        <v>판타지 웹소설 &gt; 현대 판타지</v>
      </c>
    </row>
    <row r="1956" spans="1:48" x14ac:dyDescent="0.4">
      <c r="A1956">
        <v>1525004030</v>
      </c>
      <c r="B1956">
        <v>1525004452</v>
      </c>
      <c r="C1956" t="str">
        <f>T("회귀의 전설 436화")</f>
        <v>회귀의 전설 436화</v>
      </c>
      <c r="D1956" t="str">
        <f>T("436")</f>
        <v>436</v>
      </c>
      <c r="E1956" t="str">
        <f>T("김광수")</f>
        <v>김광수</v>
      </c>
      <c r="H1956" t="str">
        <f>T("스토리위즈")</f>
        <v>스토리위즈</v>
      </c>
      <c r="I1956" t="str">
        <f>T("회귀의 전설")</f>
        <v>회귀의 전설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 s="2">
        <v>70</v>
      </c>
      <c r="AT1956" t="str">
        <f>T("9788997946006")</f>
        <v>9788997946006</v>
      </c>
      <c r="AV1956" t="str">
        <f>T("판타지 웹소설 &gt; 현대 판타지")</f>
        <v>판타지 웹소설 &gt; 현대 판타지</v>
      </c>
    </row>
    <row r="1957" spans="1:48" x14ac:dyDescent="0.4">
      <c r="A1957">
        <v>1525004030</v>
      </c>
      <c r="B1957">
        <v>1525004532</v>
      </c>
      <c r="C1957" t="str">
        <f>T("회귀의 전설 509화")</f>
        <v>회귀의 전설 509화</v>
      </c>
      <c r="D1957" t="str">
        <f>T("509")</f>
        <v>509</v>
      </c>
      <c r="E1957" t="str">
        <f>T("김광수")</f>
        <v>김광수</v>
      </c>
      <c r="H1957" t="str">
        <f>T("스토리위즈")</f>
        <v>스토리위즈</v>
      </c>
      <c r="I1957" t="str">
        <f>T("회귀의 전설")</f>
        <v>회귀의 전설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 s="2">
        <v>70</v>
      </c>
      <c r="AT1957" t="str">
        <f>T("9788997946006")</f>
        <v>9788997946006</v>
      </c>
      <c r="AV1957" t="str">
        <f>T("판타지 웹소설 &gt; 현대 판타지")</f>
        <v>판타지 웹소설 &gt; 현대 판타지</v>
      </c>
    </row>
    <row r="1958" spans="1:48" x14ac:dyDescent="0.4">
      <c r="A1958">
        <v>1525008545</v>
      </c>
      <c r="B1958">
        <v>1525008542</v>
      </c>
      <c r="C1958" t="str">
        <f>T("소년연애담 17화")</f>
        <v>소년연애담 17화</v>
      </c>
      <c r="D1958" t="str">
        <f>T("17")</f>
        <v>17</v>
      </c>
      <c r="E1958" t="str">
        <f>T("나나코")</f>
        <v>나나코</v>
      </c>
      <c r="H1958" t="str">
        <f>T("블러쉬")</f>
        <v>블러쉬</v>
      </c>
      <c r="I1958" t="str">
        <f>T("소년연애담")</f>
        <v>소년연애담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100</v>
      </c>
      <c r="AN1958">
        <v>0</v>
      </c>
      <c r="AO1958">
        <v>0</v>
      </c>
      <c r="AP1958" s="2">
        <v>70</v>
      </c>
      <c r="AR1958" t="str">
        <f>T("0000000000000")</f>
        <v>0000000000000</v>
      </c>
      <c r="AT1958" t="str">
        <f>T("9791164890729")</f>
        <v>9791164890729</v>
      </c>
      <c r="AU1958" t="str">
        <f>T("B12")</f>
        <v>B12</v>
      </c>
      <c r="AV1958" t="str">
        <f>T("BL 웹소설 &gt; 현대물")</f>
        <v>BL 웹소설 &gt; 현대물</v>
      </c>
    </row>
    <row r="1959" spans="1:48" x14ac:dyDescent="0.4">
      <c r="A1959">
        <v>1525004989</v>
      </c>
      <c r="B1959">
        <v>1525005558</v>
      </c>
      <c r="C1959" t="str">
        <f>T("신룡전설 69화")</f>
        <v>신룡전설 69화</v>
      </c>
      <c r="D1959" t="str">
        <f>T("69")</f>
        <v>69</v>
      </c>
      <c r="E1959" t="str">
        <f>T("가람검")</f>
        <v>가람검</v>
      </c>
      <c r="H1959" t="str">
        <f>T("스토리위즈")</f>
        <v>스토리위즈</v>
      </c>
      <c r="I1959" t="str">
        <f>T("신룡전설")</f>
        <v>신룡전설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 s="2">
        <v>70</v>
      </c>
      <c r="AT1959" t="str">
        <f>T("9791159283505")</f>
        <v>9791159283505</v>
      </c>
      <c r="AV1959" t="str">
        <f>T("판타지 웹소설 &gt; 무협 소설")</f>
        <v>판타지 웹소설 &gt; 무협 소설</v>
      </c>
    </row>
    <row r="1960" spans="1:48" x14ac:dyDescent="0.4">
      <c r="A1960">
        <v>1525008604</v>
      </c>
      <c r="B1960">
        <v>1525008598</v>
      </c>
      <c r="C1960" t="str">
        <f>T("우아한 곡선 14화")</f>
        <v>우아한 곡선 14화</v>
      </c>
      <c r="D1960" t="str">
        <f>T("14")</f>
        <v>14</v>
      </c>
      <c r="E1960" t="str">
        <f>T("용가리맛쿠키")</f>
        <v>용가리맛쿠키</v>
      </c>
      <c r="H1960" t="str">
        <f>T("블러쉬")</f>
        <v>블러쉬</v>
      </c>
      <c r="I1960" t="str">
        <f>T("우아한 곡선")</f>
        <v>우아한 곡선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 s="2">
        <v>70</v>
      </c>
      <c r="AR1960" t="str">
        <f>T("0000000000000")</f>
        <v>0000000000000</v>
      </c>
      <c r="AT1960" t="str">
        <f>T("9791164896615")</f>
        <v>9791164896615</v>
      </c>
      <c r="AV1960" t="str">
        <f>T("BL 웹소설 &gt; 현대물")</f>
        <v>BL 웹소설 &gt; 현대물</v>
      </c>
    </row>
    <row r="1961" spans="1:48" x14ac:dyDescent="0.4">
      <c r="A1961">
        <v>1525004030</v>
      </c>
      <c r="B1961">
        <v>1525007101</v>
      </c>
      <c r="C1961" t="str">
        <f>T("회귀의 전설 2부 985화")</f>
        <v>회귀의 전설 2부 985화</v>
      </c>
      <c r="D1961" t="str">
        <f>T("985")</f>
        <v>985</v>
      </c>
      <c r="E1961" t="str">
        <f>T("김광수")</f>
        <v>김광수</v>
      </c>
      <c r="H1961" t="str">
        <f>T("스토리위즈")</f>
        <v>스토리위즈</v>
      </c>
      <c r="I1961" t="str">
        <f>T("회귀의 전설")</f>
        <v>회귀의 전설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 s="2">
        <v>70</v>
      </c>
      <c r="AT1961" t="str">
        <f>T("9791191102086")</f>
        <v>9791191102086</v>
      </c>
      <c r="AV1961" t="str">
        <f>T("판타지 웹소설 &gt; 현대 판타지")</f>
        <v>판타지 웹소설 &gt; 현대 판타지</v>
      </c>
    </row>
    <row r="1962" spans="1:48" x14ac:dyDescent="0.4">
      <c r="A1962">
        <v>1525007923</v>
      </c>
      <c r="B1962">
        <v>1525007993</v>
      </c>
      <c r="C1962" t="str">
        <f>T("운상연담: 화불능귀일락 83화")</f>
        <v>운상연담: 화불능귀일락 83화</v>
      </c>
      <c r="D1962" t="str">
        <f>T("83")</f>
        <v>83</v>
      </c>
      <c r="E1962" t="str">
        <f>T("피모")</f>
        <v>피모</v>
      </c>
      <c r="H1962" t="str">
        <f>T("쉬라즈")</f>
        <v>쉬라즈</v>
      </c>
      <c r="I1962" t="str">
        <f>T("운상연담: 화불능귀일락")</f>
        <v>운상연담: 화불능귀일락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 s="2">
        <v>70</v>
      </c>
      <c r="AT1962" t="str">
        <f>T("9791164896646")</f>
        <v>9791164896646</v>
      </c>
      <c r="AV1962" t="str">
        <f>T("로맨스 웹소설 &gt; 역사/시대물")</f>
        <v>로맨스 웹소설 &gt; 역사/시대물</v>
      </c>
    </row>
    <row r="1963" spans="1:48" x14ac:dyDescent="0.4">
      <c r="A1963">
        <v>1525010579</v>
      </c>
      <c r="B1963">
        <v>1525010231</v>
      </c>
      <c r="C1963" t="str">
        <f>T("법보다 주먹 347화")</f>
        <v>법보다 주먹 347화</v>
      </c>
      <c r="D1963" t="str">
        <f>T("347")</f>
        <v>347</v>
      </c>
      <c r="E1963" t="str">
        <f>T("백범(白帆)")</f>
        <v>백범(白帆)</v>
      </c>
      <c r="H1963" t="str">
        <f>T("에필로그")</f>
        <v>에필로그</v>
      </c>
      <c r="I1963" t="str">
        <f>T("법보다 주먹")</f>
        <v>법보다 주먹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 s="2">
        <v>70</v>
      </c>
      <c r="AT1963" t="str">
        <f>T("9791164489367")</f>
        <v>9791164489367</v>
      </c>
      <c r="AV1963" t="str">
        <f>T("판타지 웹소설 &gt; 현대 판타지")</f>
        <v>판타지 웹소설 &gt; 현대 판타지</v>
      </c>
    </row>
    <row r="1964" spans="1:48" x14ac:dyDescent="0.4">
      <c r="A1964">
        <v>1525002864</v>
      </c>
      <c r="B1964">
        <v>1525002894</v>
      </c>
      <c r="C1964" t="str">
        <f>T("소드마스터의 환생 31화")</f>
        <v>소드마스터의 환생 31화</v>
      </c>
      <c r="D1964" t="str">
        <f>T("31")</f>
        <v>31</v>
      </c>
      <c r="E1964" t="str">
        <f>T("파란영")</f>
        <v>파란영</v>
      </c>
      <c r="H1964" t="str">
        <f>T("스토리위즈")</f>
        <v>스토리위즈</v>
      </c>
      <c r="I1964" t="str">
        <f>T("소드마스터의 환생")</f>
        <v>소드마스터의 환생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 s="2">
        <v>70</v>
      </c>
      <c r="AT1964" t="str">
        <f>T("9791159287527")</f>
        <v>9791159287527</v>
      </c>
      <c r="AV1964" t="str">
        <f>T("판타지 웹소설 &gt; 정통 판타지")</f>
        <v>판타지 웹소설 &gt; 정통 판타지</v>
      </c>
    </row>
    <row r="1965" spans="1:48" x14ac:dyDescent="0.4">
      <c r="A1965">
        <v>2313011400</v>
      </c>
      <c r="B1965">
        <v>1525007647</v>
      </c>
      <c r="C1965" t="str">
        <f>T("최종 보스 21권 12화")</f>
        <v>최종 보스 21권 12화</v>
      </c>
      <c r="D1965" t="str">
        <f>T("425")</f>
        <v>425</v>
      </c>
      <c r="E1965" t="str">
        <f>T("무장")</f>
        <v>무장</v>
      </c>
      <c r="H1965" t="str">
        <f>T("스토리위즈")</f>
        <v>스토리위즈</v>
      </c>
      <c r="I1965" t="str">
        <f>T("최종 보스 : 빛을 향해 달리는 그림자")</f>
        <v>최종 보스 : 빛을 향해 달리는 그림자</v>
      </c>
      <c r="J1965">
        <v>100</v>
      </c>
      <c r="K1965">
        <v>100</v>
      </c>
      <c r="L1965">
        <v>1</v>
      </c>
      <c r="M1965">
        <v>0</v>
      </c>
      <c r="N1965">
        <v>100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 s="2">
        <v>140</v>
      </c>
      <c r="AT1965" t="str">
        <f>T("9791166067563")</f>
        <v>9791166067563</v>
      </c>
      <c r="AV1965" t="str">
        <f>T("판타지 웹소설 &gt; 현대 판타지")</f>
        <v>판타지 웹소설 &gt; 현대 판타지</v>
      </c>
    </row>
    <row r="1966" spans="1:48" x14ac:dyDescent="0.4">
      <c r="A1966">
        <v>1525004030</v>
      </c>
      <c r="B1966">
        <v>1525004548</v>
      </c>
      <c r="C1966" t="str">
        <f>T("회귀의 전설 525화 (1부 완결)")</f>
        <v>회귀의 전설 525화 (1부 완결)</v>
      </c>
      <c r="D1966" t="str">
        <f>T("525")</f>
        <v>525</v>
      </c>
      <c r="E1966" t="str">
        <f>T("김광수")</f>
        <v>김광수</v>
      </c>
      <c r="H1966" t="str">
        <f>T("스토리위즈")</f>
        <v>스토리위즈</v>
      </c>
      <c r="I1966" t="str">
        <f>T("회귀의 전설")</f>
        <v>회귀의 전설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 s="2">
        <v>70</v>
      </c>
      <c r="AT1966" t="str">
        <f>T("9788997946006")</f>
        <v>9788997946006</v>
      </c>
      <c r="AV1966" t="str">
        <f>T("판타지 웹소설 &gt; 현대 판타지")</f>
        <v>판타지 웹소설 &gt; 현대 판타지</v>
      </c>
    </row>
    <row r="1967" spans="1:48" x14ac:dyDescent="0.4">
      <c r="A1967">
        <v>1525004030</v>
      </c>
      <c r="B1967">
        <v>1525004264</v>
      </c>
      <c r="C1967" t="str">
        <f>T("회귀의 전설 235화")</f>
        <v>회귀의 전설 235화</v>
      </c>
      <c r="D1967" t="str">
        <f>T("235")</f>
        <v>235</v>
      </c>
      <c r="E1967" t="str">
        <f>T("김광수")</f>
        <v>김광수</v>
      </c>
      <c r="H1967" t="str">
        <f>T("스토리위즈")</f>
        <v>스토리위즈</v>
      </c>
      <c r="I1967" t="str">
        <f>T("회귀의 전설")</f>
        <v>회귀의 전설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 s="2">
        <v>70</v>
      </c>
      <c r="AT1967" t="str">
        <f>T("9788997946006")</f>
        <v>9788997946006</v>
      </c>
      <c r="AV1967" t="str">
        <f>T("판타지 웹소설 &gt; 현대 판타지")</f>
        <v>판타지 웹소설 &gt; 현대 판타지</v>
      </c>
    </row>
    <row r="1968" spans="1:48" x14ac:dyDescent="0.4">
      <c r="A1968">
        <v>1525008545</v>
      </c>
      <c r="B1968">
        <v>1525008574</v>
      </c>
      <c r="C1968" t="str">
        <f>T("소년연애담 46화")</f>
        <v>소년연애담 46화</v>
      </c>
      <c r="D1968" t="str">
        <f>T("46")</f>
        <v>46</v>
      </c>
      <c r="E1968" t="str">
        <f>T("나나코")</f>
        <v>나나코</v>
      </c>
      <c r="H1968" t="str">
        <f>T("블러쉬")</f>
        <v>블러쉬</v>
      </c>
      <c r="I1968" t="str">
        <f>T("소년연애담")</f>
        <v>소년연애담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100</v>
      </c>
      <c r="AN1968">
        <v>0</v>
      </c>
      <c r="AO1968">
        <v>0</v>
      </c>
      <c r="AP1968" s="2">
        <v>70</v>
      </c>
      <c r="AR1968" t="str">
        <f>T("0000000000000")</f>
        <v>0000000000000</v>
      </c>
      <c r="AT1968" t="str">
        <f>T("9791164890729")</f>
        <v>9791164890729</v>
      </c>
      <c r="AU1968" t="str">
        <f>T("B12")</f>
        <v>B12</v>
      </c>
      <c r="AV1968" t="str">
        <f>T("BL 웹소설 &gt; 현대물")</f>
        <v>BL 웹소설 &gt; 현대물</v>
      </c>
    </row>
    <row r="1969" spans="1:48" x14ac:dyDescent="0.4">
      <c r="A1969">
        <v>2313011400</v>
      </c>
      <c r="B1969">
        <v>1525007608</v>
      </c>
      <c r="C1969" t="str">
        <f>T("최종 보스 19권 14화")</f>
        <v>최종 보스 19권 14화</v>
      </c>
      <c r="D1969" t="str">
        <f>T("386")</f>
        <v>386</v>
      </c>
      <c r="E1969" t="str">
        <f>T("무장")</f>
        <v>무장</v>
      </c>
      <c r="H1969" t="str">
        <f t="shared" ref="H1969:H1975" si="203">T("스토리위즈")</f>
        <v>스토리위즈</v>
      </c>
      <c r="I1969" t="str">
        <f>T("최종 보스 : 빛을 향해 달리는 그림자")</f>
        <v>최종 보스 : 빛을 향해 달리는 그림자</v>
      </c>
      <c r="J1969">
        <v>100</v>
      </c>
      <c r="K1969">
        <v>100</v>
      </c>
      <c r="L1969">
        <v>1</v>
      </c>
      <c r="M1969">
        <v>0</v>
      </c>
      <c r="N1969">
        <v>100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 s="2">
        <v>140</v>
      </c>
      <c r="AT1969" t="str">
        <f>T("9791166067563")</f>
        <v>9791166067563</v>
      </c>
      <c r="AV1969" t="str">
        <f>T("판타지 웹소설 &gt; 현대 판타지")</f>
        <v>판타지 웹소설 &gt; 현대 판타지</v>
      </c>
    </row>
    <row r="1970" spans="1:48" x14ac:dyDescent="0.4">
      <c r="A1970">
        <v>1525004030</v>
      </c>
      <c r="B1970">
        <v>1525004333</v>
      </c>
      <c r="C1970" t="str">
        <f>T("회귀의 전설 304화")</f>
        <v>회귀의 전설 304화</v>
      </c>
      <c r="D1970" t="str">
        <f>T("304")</f>
        <v>304</v>
      </c>
      <c r="E1970" t="str">
        <f>T("김광수")</f>
        <v>김광수</v>
      </c>
      <c r="H1970" t="str">
        <f t="shared" si="203"/>
        <v>스토리위즈</v>
      </c>
      <c r="I1970" t="str">
        <f>T("회귀의 전설")</f>
        <v>회귀의 전설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 s="2">
        <v>70</v>
      </c>
      <c r="AT1970" t="str">
        <f>T("9788997946006")</f>
        <v>9788997946006</v>
      </c>
      <c r="AV1970" t="str">
        <f>T("판타지 웹소설 &gt; 현대 판타지")</f>
        <v>판타지 웹소설 &gt; 현대 판타지</v>
      </c>
    </row>
    <row r="1971" spans="1:48" x14ac:dyDescent="0.4">
      <c r="A1971">
        <v>1525004030</v>
      </c>
      <c r="B1971">
        <v>1525007134</v>
      </c>
      <c r="C1971" t="str">
        <f>T("회귀의 전설 2부 1018화")</f>
        <v>회귀의 전설 2부 1018화</v>
      </c>
      <c r="D1971" t="str">
        <f>T("1018")</f>
        <v>1018</v>
      </c>
      <c r="E1971" t="str">
        <f>T("김광수")</f>
        <v>김광수</v>
      </c>
      <c r="H1971" t="str">
        <f t="shared" si="203"/>
        <v>스토리위즈</v>
      </c>
      <c r="I1971" t="str">
        <f>T("회귀의 전설")</f>
        <v>회귀의 전설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 s="2">
        <v>70</v>
      </c>
      <c r="AT1971" t="str">
        <f>T("9791191102086")</f>
        <v>9791191102086</v>
      </c>
      <c r="AV1971" t="str">
        <f>T("판타지 웹소설 &gt; 현대 판타지")</f>
        <v>판타지 웹소설 &gt; 현대 판타지</v>
      </c>
    </row>
    <row r="1972" spans="1:48" x14ac:dyDescent="0.4">
      <c r="A1972">
        <v>1525004030</v>
      </c>
      <c r="B1972">
        <v>1525004445</v>
      </c>
      <c r="C1972" t="str">
        <f>T("회귀의 전설 429화")</f>
        <v>회귀의 전설 429화</v>
      </c>
      <c r="D1972" t="str">
        <f>T("429")</f>
        <v>429</v>
      </c>
      <c r="E1972" t="str">
        <f>T("김광수")</f>
        <v>김광수</v>
      </c>
      <c r="H1972" t="str">
        <f t="shared" si="203"/>
        <v>스토리위즈</v>
      </c>
      <c r="I1972" t="str">
        <f>T("회귀의 전설")</f>
        <v>회귀의 전설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 s="2">
        <v>70</v>
      </c>
      <c r="AT1972" t="str">
        <f>T("9788997946006")</f>
        <v>9788997946006</v>
      </c>
      <c r="AV1972" t="str">
        <f>T("판타지 웹소설 &gt; 현대 판타지")</f>
        <v>판타지 웹소설 &gt; 현대 판타지</v>
      </c>
    </row>
    <row r="1973" spans="1:48" x14ac:dyDescent="0.4">
      <c r="A1973">
        <v>1525004030</v>
      </c>
      <c r="B1973">
        <v>1525004525</v>
      </c>
      <c r="C1973" t="str">
        <f>T("회귀의 전설 491화")</f>
        <v>회귀의 전설 491화</v>
      </c>
      <c r="D1973" t="str">
        <f>T("491")</f>
        <v>491</v>
      </c>
      <c r="E1973" t="str">
        <f>T("김광수")</f>
        <v>김광수</v>
      </c>
      <c r="H1973" t="str">
        <f t="shared" si="203"/>
        <v>스토리위즈</v>
      </c>
      <c r="I1973" t="str">
        <f>T("회귀의 전설")</f>
        <v>회귀의 전설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 s="2">
        <v>70</v>
      </c>
      <c r="AT1973" t="str">
        <f>T("9788997946006")</f>
        <v>9788997946006</v>
      </c>
      <c r="AV1973" t="str">
        <f>T("판타지 웹소설 &gt; 현대 판타지")</f>
        <v>판타지 웹소설 &gt; 현대 판타지</v>
      </c>
    </row>
    <row r="1974" spans="1:48" x14ac:dyDescent="0.4">
      <c r="A1974">
        <v>1525004989</v>
      </c>
      <c r="B1974">
        <v>1525005551</v>
      </c>
      <c r="C1974" t="str">
        <f>T("신룡전설 62화")</f>
        <v>신룡전설 62화</v>
      </c>
      <c r="D1974" t="str">
        <f>T("62")</f>
        <v>62</v>
      </c>
      <c r="E1974" t="str">
        <f>T("가람검")</f>
        <v>가람검</v>
      </c>
      <c r="H1974" t="str">
        <f t="shared" si="203"/>
        <v>스토리위즈</v>
      </c>
      <c r="I1974" t="str">
        <f>T("신룡전설")</f>
        <v>신룡전설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 s="2">
        <v>70</v>
      </c>
      <c r="AT1974" t="str">
        <f>T("9791159283505")</f>
        <v>9791159283505</v>
      </c>
      <c r="AV1974" t="str">
        <f>T("판타지 웹소설 &gt; 무협 소설")</f>
        <v>판타지 웹소설 &gt; 무협 소설</v>
      </c>
    </row>
    <row r="1975" spans="1:48" x14ac:dyDescent="0.4">
      <c r="A1975">
        <v>1525004030</v>
      </c>
      <c r="B1975">
        <v>1525007094</v>
      </c>
      <c r="C1975" t="str">
        <f>T("회귀의 전설 2부 978화")</f>
        <v>회귀의 전설 2부 978화</v>
      </c>
      <c r="D1975" t="str">
        <f>T("978")</f>
        <v>978</v>
      </c>
      <c r="E1975" t="str">
        <f>T("김광수")</f>
        <v>김광수</v>
      </c>
      <c r="H1975" t="str">
        <f t="shared" si="203"/>
        <v>스토리위즈</v>
      </c>
      <c r="I1975" t="str">
        <f>T("회귀의 전설")</f>
        <v>회귀의 전설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 s="2">
        <v>70</v>
      </c>
      <c r="AT1975" t="str">
        <f>T("9791191102086")</f>
        <v>9791191102086</v>
      </c>
      <c r="AV1975" t="str">
        <f>T("판타지 웹소설 &gt; 현대 판타지")</f>
        <v>판타지 웹소설 &gt; 현대 판타지</v>
      </c>
    </row>
    <row r="1976" spans="1:48" x14ac:dyDescent="0.4">
      <c r="A1976">
        <v>1525007923</v>
      </c>
      <c r="B1976">
        <v>1525007985</v>
      </c>
      <c r="C1976" t="str">
        <f>T("운상연담: 화불능귀일락 76화")</f>
        <v>운상연담: 화불능귀일락 76화</v>
      </c>
      <c r="D1976" t="str">
        <f>T("76")</f>
        <v>76</v>
      </c>
      <c r="E1976" t="str">
        <f>T("피모")</f>
        <v>피모</v>
      </c>
      <c r="H1976" t="str">
        <f>T("쉬라즈")</f>
        <v>쉬라즈</v>
      </c>
      <c r="I1976" t="str">
        <f>T("운상연담: 화불능귀일락")</f>
        <v>운상연담: 화불능귀일락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 s="2">
        <v>70</v>
      </c>
      <c r="AT1976" t="str">
        <f>T("9791164896646")</f>
        <v>9791164896646</v>
      </c>
      <c r="AV1976" t="str">
        <f>T("로맨스 웹소설 &gt; 역사/시대물")</f>
        <v>로맨스 웹소설 &gt; 역사/시대물</v>
      </c>
    </row>
    <row r="1977" spans="1:48" x14ac:dyDescent="0.4">
      <c r="A1977">
        <v>1525004030</v>
      </c>
      <c r="B1977">
        <v>1525004365</v>
      </c>
      <c r="C1977" t="str">
        <f>T("회귀의 전설 337화")</f>
        <v>회귀의 전설 337화</v>
      </c>
      <c r="D1977" t="str">
        <f>T("337")</f>
        <v>337</v>
      </c>
      <c r="E1977" t="str">
        <f>T("김광수")</f>
        <v>김광수</v>
      </c>
      <c r="H1977" t="str">
        <f>T("스토리위즈")</f>
        <v>스토리위즈</v>
      </c>
      <c r="I1977" t="str">
        <f>T("회귀의 전설")</f>
        <v>회귀의 전설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 s="2">
        <v>70</v>
      </c>
      <c r="AT1977" t="str">
        <f>T("9788997946006")</f>
        <v>9788997946006</v>
      </c>
      <c r="AV1977" t="str">
        <f t="shared" ref="AV1977:AV1985" si="204">T("판타지 웹소설 &gt; 현대 판타지")</f>
        <v>판타지 웹소설 &gt; 현대 판타지</v>
      </c>
    </row>
    <row r="1978" spans="1:48" x14ac:dyDescent="0.4">
      <c r="A1978">
        <v>2313011400</v>
      </c>
      <c r="B1978">
        <v>1525007640</v>
      </c>
      <c r="C1978" t="str">
        <f>T("최종 보스 21권 5화")</f>
        <v>최종 보스 21권 5화</v>
      </c>
      <c r="D1978" t="str">
        <f>T("418")</f>
        <v>418</v>
      </c>
      <c r="E1978" t="str">
        <f>T("무장")</f>
        <v>무장</v>
      </c>
      <c r="H1978" t="str">
        <f>T("스토리위즈")</f>
        <v>스토리위즈</v>
      </c>
      <c r="I1978" t="str">
        <f>T("최종 보스 : 빛을 향해 달리는 그림자")</f>
        <v>최종 보스 : 빛을 향해 달리는 그림자</v>
      </c>
      <c r="J1978">
        <v>100</v>
      </c>
      <c r="K1978">
        <v>100</v>
      </c>
      <c r="L1978">
        <v>1</v>
      </c>
      <c r="M1978">
        <v>0</v>
      </c>
      <c r="N1978">
        <v>100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 s="2">
        <v>140</v>
      </c>
      <c r="AT1978" t="str">
        <f>T("9791166067563")</f>
        <v>9791166067563</v>
      </c>
      <c r="AV1978" t="str">
        <f t="shared" si="204"/>
        <v>판타지 웹소설 &gt; 현대 판타지</v>
      </c>
    </row>
    <row r="1979" spans="1:48" x14ac:dyDescent="0.4">
      <c r="A1979">
        <v>1525004030</v>
      </c>
      <c r="B1979">
        <v>1525004541</v>
      </c>
      <c r="C1979" t="str">
        <f>T("회귀의 전설 518화")</f>
        <v>회귀의 전설 518화</v>
      </c>
      <c r="D1979" t="str">
        <f>T("518")</f>
        <v>518</v>
      </c>
      <c r="E1979" t="str">
        <f>T("김광수")</f>
        <v>김광수</v>
      </c>
      <c r="H1979" t="str">
        <f>T("스토리위즈")</f>
        <v>스토리위즈</v>
      </c>
      <c r="I1979" t="str">
        <f>T("회귀의 전설")</f>
        <v>회귀의 전설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 s="2">
        <v>70</v>
      </c>
      <c r="AT1979" t="str">
        <f>T("9788997946006")</f>
        <v>9788997946006</v>
      </c>
      <c r="AV1979" t="str">
        <f t="shared" si="204"/>
        <v>판타지 웹소설 &gt; 현대 판타지</v>
      </c>
    </row>
    <row r="1980" spans="1:48" x14ac:dyDescent="0.4">
      <c r="A1980">
        <v>1525004030</v>
      </c>
      <c r="B1980">
        <v>1525004477</v>
      </c>
      <c r="C1980" t="str">
        <f>T("회귀의 전설 461화")</f>
        <v>회귀의 전설 461화</v>
      </c>
      <c r="D1980" t="str">
        <f>T("461")</f>
        <v>461</v>
      </c>
      <c r="E1980" t="str">
        <f>T("김광수")</f>
        <v>김광수</v>
      </c>
      <c r="H1980" t="str">
        <f>T("스토리위즈")</f>
        <v>스토리위즈</v>
      </c>
      <c r="I1980" t="str">
        <f>T("회귀의 전설")</f>
        <v>회귀의 전설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 s="2">
        <v>70</v>
      </c>
      <c r="AT1980" t="str">
        <f>T("9788997946006")</f>
        <v>9788997946006</v>
      </c>
      <c r="AV1980" t="str">
        <f t="shared" si="204"/>
        <v>판타지 웹소설 &gt; 현대 판타지</v>
      </c>
    </row>
    <row r="1981" spans="1:48" x14ac:dyDescent="0.4">
      <c r="A1981">
        <v>1525004030</v>
      </c>
      <c r="B1981">
        <v>1525004255</v>
      </c>
      <c r="C1981" t="str">
        <f>T("회귀의 전설 226화")</f>
        <v>회귀의 전설 226화</v>
      </c>
      <c r="D1981" t="str">
        <f>T("226")</f>
        <v>226</v>
      </c>
      <c r="E1981" t="str">
        <f>T("김광수")</f>
        <v>김광수</v>
      </c>
      <c r="H1981" t="str">
        <f>T("스토리위즈")</f>
        <v>스토리위즈</v>
      </c>
      <c r="I1981" t="str">
        <f>T("회귀의 전설")</f>
        <v>회귀의 전설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 s="2">
        <v>70</v>
      </c>
      <c r="AT1981" t="str">
        <f>T("9788997946006")</f>
        <v>9788997946006</v>
      </c>
      <c r="AV1981" t="str">
        <f t="shared" si="204"/>
        <v>판타지 웹소설 &gt; 현대 판타지</v>
      </c>
    </row>
    <row r="1982" spans="1:48" x14ac:dyDescent="0.4">
      <c r="A1982">
        <v>1525010579</v>
      </c>
      <c r="B1982">
        <v>1525010185</v>
      </c>
      <c r="C1982" t="str">
        <f>T("법보다 주먹 393화")</f>
        <v>법보다 주먹 393화</v>
      </c>
      <c r="D1982" t="str">
        <f>T("393")</f>
        <v>393</v>
      </c>
      <c r="E1982" t="str">
        <f>T("백범(白帆)")</f>
        <v>백범(白帆)</v>
      </c>
      <c r="H1982" t="str">
        <f>T("에필로그")</f>
        <v>에필로그</v>
      </c>
      <c r="I1982" t="str">
        <f>T("법보다 주먹")</f>
        <v>법보다 주먹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 s="2">
        <v>70</v>
      </c>
      <c r="AT1982" t="str">
        <f>T("9791164489367")</f>
        <v>9791164489367</v>
      </c>
      <c r="AV1982" t="str">
        <f t="shared" si="204"/>
        <v>판타지 웹소설 &gt; 현대 판타지</v>
      </c>
    </row>
    <row r="1983" spans="1:48" x14ac:dyDescent="0.4">
      <c r="A1983">
        <v>1525004030</v>
      </c>
      <c r="B1983">
        <v>1525007126</v>
      </c>
      <c r="C1983" t="str">
        <f>T("회귀의 전설 2부 1010화")</f>
        <v>회귀의 전설 2부 1010화</v>
      </c>
      <c r="D1983" t="str">
        <f>T("1010")</f>
        <v>1010</v>
      </c>
      <c r="E1983" t="str">
        <f>T("김광수")</f>
        <v>김광수</v>
      </c>
      <c r="H1983" t="str">
        <f>T("스토리위즈")</f>
        <v>스토리위즈</v>
      </c>
      <c r="I1983" t="str">
        <f>T("회귀의 전설")</f>
        <v>회귀의 전설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 s="2">
        <v>70</v>
      </c>
      <c r="AT1983" t="str">
        <f>T("9791191102086")</f>
        <v>9791191102086</v>
      </c>
      <c r="AV1983" t="str">
        <f t="shared" si="204"/>
        <v>판타지 웹소설 &gt; 현대 판타지</v>
      </c>
    </row>
    <row r="1984" spans="1:48" x14ac:dyDescent="0.4">
      <c r="A1984">
        <v>1525000569</v>
      </c>
      <c r="B1984">
        <v>1525000740</v>
      </c>
      <c r="C1984" t="str">
        <f>T("스트라이커 170화")</f>
        <v>스트라이커 170화</v>
      </c>
      <c r="D1984" t="str">
        <f>T("170")</f>
        <v>170</v>
      </c>
      <c r="E1984" t="str">
        <f>T("독고진")</f>
        <v>독고진</v>
      </c>
      <c r="H1984" t="str">
        <f>T("스토리위즈")</f>
        <v>스토리위즈</v>
      </c>
      <c r="I1984" t="str">
        <f>T("스트라이커")</f>
        <v>스트라이커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 s="2">
        <v>70</v>
      </c>
      <c r="AT1984" t="str">
        <f>T("9791170151678")</f>
        <v>9791170151678</v>
      </c>
      <c r="AV1984" t="str">
        <f t="shared" si="204"/>
        <v>판타지 웹소설 &gt; 현대 판타지</v>
      </c>
    </row>
    <row r="1985" spans="1:48" x14ac:dyDescent="0.4">
      <c r="A1985">
        <v>1525002409</v>
      </c>
      <c r="B1985">
        <v>1525002606</v>
      </c>
      <c r="C1985" t="str">
        <f>T("스포트라이트 198화")</f>
        <v>스포트라이트 198화</v>
      </c>
      <c r="D1985" t="str">
        <f>T("198")</f>
        <v>198</v>
      </c>
      <c r="E1985" t="str">
        <f>T("전혁")</f>
        <v>전혁</v>
      </c>
      <c r="H1985" t="str">
        <f>T("스토리위즈")</f>
        <v>스토리위즈</v>
      </c>
      <c r="I1985" t="str">
        <f>T("스포트라이트")</f>
        <v>스포트라이트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 s="2">
        <v>70</v>
      </c>
      <c r="AT1985" t="str">
        <f>T("9791159286841")</f>
        <v>9791159286841</v>
      </c>
      <c r="AV1985" t="str">
        <f t="shared" si="204"/>
        <v>판타지 웹소설 &gt; 현대 판타지</v>
      </c>
    </row>
    <row r="1986" spans="1:48" x14ac:dyDescent="0.4">
      <c r="A1986">
        <v>1525007872</v>
      </c>
      <c r="B1986">
        <v>1525007864</v>
      </c>
      <c r="C1986" t="str">
        <f>T("아침이 오지 않아도 12화")</f>
        <v>아침이 오지 않아도 12화</v>
      </c>
      <c r="D1986" t="str">
        <f>T("12")</f>
        <v>12</v>
      </c>
      <c r="E1986" t="str">
        <f>T("홍영")</f>
        <v>홍영</v>
      </c>
      <c r="H1986" t="str">
        <f>T("러브스토리")</f>
        <v>러브스토리</v>
      </c>
      <c r="I1986" t="str">
        <f>T("아침이 오지 않아도")</f>
        <v>아침이 오지 않아도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 s="2">
        <v>70</v>
      </c>
      <c r="AR1986" t="str">
        <f>T("0000000000000")</f>
        <v>0000000000000</v>
      </c>
      <c r="AT1986" t="str">
        <f>T("9791164899708")</f>
        <v>9791164899708</v>
      </c>
      <c r="AV1986" t="str">
        <f>T("로맨스 웹소설 &gt; 현대물")</f>
        <v>로맨스 웹소설 &gt; 현대물</v>
      </c>
    </row>
    <row r="1987" spans="1:48" x14ac:dyDescent="0.4">
      <c r="A1987">
        <v>2313011400</v>
      </c>
      <c r="B1987">
        <v>1525007672</v>
      </c>
      <c r="C1987" t="str">
        <f>T("최종 보스 22권 17화")</f>
        <v>최종 보스 22권 17화</v>
      </c>
      <c r="D1987" t="str">
        <f>T("450")</f>
        <v>450</v>
      </c>
      <c r="E1987" t="str">
        <f>T("무장")</f>
        <v>무장</v>
      </c>
      <c r="H1987" t="str">
        <f t="shared" ref="H1987:H1992" si="205">T("스토리위즈")</f>
        <v>스토리위즈</v>
      </c>
      <c r="I1987" t="str">
        <f>T("최종 보스 : 빛을 향해 달리는 그림자")</f>
        <v>최종 보스 : 빛을 향해 달리는 그림자</v>
      </c>
      <c r="J1987">
        <v>100</v>
      </c>
      <c r="K1987">
        <v>100</v>
      </c>
      <c r="L1987">
        <v>1</v>
      </c>
      <c r="M1987">
        <v>0</v>
      </c>
      <c r="N1987">
        <v>100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 s="2">
        <v>140</v>
      </c>
      <c r="AT1987" t="str">
        <f>T("9791166067563")</f>
        <v>9791166067563</v>
      </c>
      <c r="AV1987" t="str">
        <f>T("판타지 웹소설 &gt; 현대 판타지")</f>
        <v>판타지 웹소설 &gt; 현대 판타지</v>
      </c>
    </row>
    <row r="1988" spans="1:48" x14ac:dyDescent="0.4">
      <c r="A1988">
        <v>1525004030</v>
      </c>
      <c r="B1988">
        <v>1525007030</v>
      </c>
      <c r="C1988" t="str">
        <f>T("회귀의 전설 2부 914화")</f>
        <v>회귀의 전설 2부 914화</v>
      </c>
      <c r="D1988" t="str">
        <f>T("914")</f>
        <v>914</v>
      </c>
      <c r="E1988" t="str">
        <f>T("김광수")</f>
        <v>김광수</v>
      </c>
      <c r="H1988" t="str">
        <f t="shared" si="205"/>
        <v>스토리위즈</v>
      </c>
      <c r="I1988" t="str">
        <f>T("회귀의 전설")</f>
        <v>회귀의 전설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 s="2">
        <v>70</v>
      </c>
      <c r="AT1988" t="str">
        <f>T("9791191102086")</f>
        <v>9791191102086</v>
      </c>
      <c r="AV1988" t="str">
        <f>T("판타지 웹소설 &gt; 현대 판타지")</f>
        <v>판타지 웹소설 &gt; 현대 판타지</v>
      </c>
    </row>
    <row r="1989" spans="1:48" x14ac:dyDescent="0.4">
      <c r="A1989">
        <v>1525004989</v>
      </c>
      <c r="B1989">
        <v>1525005599</v>
      </c>
      <c r="C1989" t="str">
        <f>T("신룡전설 110화")</f>
        <v>신룡전설 110화</v>
      </c>
      <c r="D1989" t="str">
        <f>T("110")</f>
        <v>110</v>
      </c>
      <c r="E1989" t="str">
        <f>T("가람검")</f>
        <v>가람검</v>
      </c>
      <c r="H1989" t="str">
        <f t="shared" si="205"/>
        <v>스토리위즈</v>
      </c>
      <c r="I1989" t="str">
        <f>T("신룡전설")</f>
        <v>신룡전설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 s="2">
        <v>70</v>
      </c>
      <c r="AT1989" t="str">
        <f>T("9791159283505")</f>
        <v>9791159283505</v>
      </c>
      <c r="AV1989" t="str">
        <f>T("판타지 웹소설 &gt; 무협 소설")</f>
        <v>판타지 웹소설 &gt; 무협 소설</v>
      </c>
    </row>
    <row r="1990" spans="1:48" x14ac:dyDescent="0.4">
      <c r="A1990">
        <v>1525002409</v>
      </c>
      <c r="B1990">
        <v>1525002536</v>
      </c>
      <c r="C1990" t="str">
        <f>T("스포트라이트 128화")</f>
        <v>스포트라이트 128화</v>
      </c>
      <c r="D1990" t="str">
        <f>T("128")</f>
        <v>128</v>
      </c>
      <c r="E1990" t="str">
        <f>T("전혁")</f>
        <v>전혁</v>
      </c>
      <c r="H1990" t="str">
        <f t="shared" si="205"/>
        <v>스토리위즈</v>
      </c>
      <c r="I1990" t="str">
        <f>T("스포트라이트")</f>
        <v>스포트라이트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 s="2">
        <v>70</v>
      </c>
      <c r="AT1990" t="str">
        <f>T("9791159286841")</f>
        <v>9791159286841</v>
      </c>
      <c r="AV1990" t="str">
        <f>T("판타지 웹소설 &gt; 현대 판타지")</f>
        <v>판타지 웹소설 &gt; 현대 판타지</v>
      </c>
    </row>
    <row r="1991" spans="1:48" x14ac:dyDescent="0.4">
      <c r="A1991">
        <v>1525004030</v>
      </c>
      <c r="B1991">
        <v>1525006978</v>
      </c>
      <c r="C1991" t="str">
        <f>T("회귀의 전설 2부 862화")</f>
        <v>회귀의 전설 2부 862화</v>
      </c>
      <c r="D1991" t="str">
        <f>T("862")</f>
        <v>862</v>
      </c>
      <c r="E1991" t="str">
        <f>T("김광수")</f>
        <v>김광수</v>
      </c>
      <c r="H1991" t="str">
        <f t="shared" si="205"/>
        <v>스토리위즈</v>
      </c>
      <c r="I1991" t="str">
        <f>T("회귀의 전설")</f>
        <v>회귀의 전설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 s="2">
        <v>70</v>
      </c>
      <c r="AT1991" t="str">
        <f>T("9791191102086")</f>
        <v>9791191102086</v>
      </c>
      <c r="AV1991" t="str">
        <f>T("판타지 웹소설 &gt; 현대 판타지")</f>
        <v>판타지 웹소설 &gt; 현대 판타지</v>
      </c>
    </row>
    <row r="1992" spans="1:48" x14ac:dyDescent="0.4">
      <c r="A1992">
        <v>1525004030</v>
      </c>
      <c r="B1992">
        <v>1525004301</v>
      </c>
      <c r="C1992" t="str">
        <f>T("회귀의 전설 272화")</f>
        <v>회귀의 전설 272화</v>
      </c>
      <c r="D1992" t="str">
        <f>T("272")</f>
        <v>272</v>
      </c>
      <c r="E1992" t="str">
        <f>T("김광수")</f>
        <v>김광수</v>
      </c>
      <c r="H1992" t="str">
        <f t="shared" si="205"/>
        <v>스토리위즈</v>
      </c>
      <c r="I1992" t="str">
        <f>T("회귀의 전설")</f>
        <v>회귀의 전설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 s="2">
        <v>70</v>
      </c>
      <c r="AT1992" t="str">
        <f>T("9788997946006")</f>
        <v>9788997946006</v>
      </c>
      <c r="AV1992" t="str">
        <f>T("판타지 웹소설 &gt; 현대 판타지")</f>
        <v>판타지 웹소설 &gt; 현대 판타지</v>
      </c>
    </row>
    <row r="1993" spans="1:48" x14ac:dyDescent="0.4">
      <c r="A1993">
        <v>1525011523</v>
      </c>
      <c r="B1993">
        <v>1525011497</v>
      </c>
      <c r="C1993" t="str">
        <f>T("남창목가 27화")</f>
        <v>남창목가 27화</v>
      </c>
      <c r="D1993" t="str">
        <f>T("27")</f>
        <v>27</v>
      </c>
      <c r="E1993" t="str">
        <f>T("최재봉")</f>
        <v>최재봉</v>
      </c>
      <c r="H1993" t="str">
        <f>T("에필로그")</f>
        <v>에필로그</v>
      </c>
      <c r="I1993" t="str">
        <f>T("남창목가")</f>
        <v>남창목가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 s="2">
        <v>70</v>
      </c>
      <c r="AT1993" t="str">
        <f>T("9791164482849")</f>
        <v>9791164482849</v>
      </c>
      <c r="AV1993" t="str">
        <f>T("판타지 웹소설 &gt; 무협 소설")</f>
        <v>판타지 웹소설 &gt; 무협 소설</v>
      </c>
    </row>
    <row r="1994" spans="1:48" x14ac:dyDescent="0.4">
      <c r="A1994">
        <v>1525004030</v>
      </c>
      <c r="B1994">
        <v>1525004413</v>
      </c>
      <c r="C1994" t="str">
        <f>T("회귀의 전설 397화")</f>
        <v>회귀의 전설 397화</v>
      </c>
      <c r="D1994" t="str">
        <f>T("397")</f>
        <v>397</v>
      </c>
      <c r="E1994" t="str">
        <f>T("김광수")</f>
        <v>김광수</v>
      </c>
      <c r="H1994" t="str">
        <f>T("스토리위즈")</f>
        <v>스토리위즈</v>
      </c>
      <c r="I1994" t="str">
        <f>T("회귀의 전설")</f>
        <v>회귀의 전설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 s="2">
        <v>70</v>
      </c>
      <c r="AT1994" t="str">
        <f>T("9788997946006")</f>
        <v>9788997946006</v>
      </c>
      <c r="AV1994" t="str">
        <f>T("판타지 웹소설 &gt; 현대 판타지")</f>
        <v>판타지 웹소설 &gt; 현대 판타지</v>
      </c>
    </row>
    <row r="1995" spans="1:48" x14ac:dyDescent="0.4">
      <c r="A1995">
        <v>1525004030</v>
      </c>
      <c r="B1995">
        <v>1525004493</v>
      </c>
      <c r="C1995" t="str">
        <f>T("회귀의 전설 477화")</f>
        <v>회귀의 전설 477화</v>
      </c>
      <c r="D1995" t="str">
        <f>T("477")</f>
        <v>477</v>
      </c>
      <c r="E1995" t="str">
        <f>T("김광수")</f>
        <v>김광수</v>
      </c>
      <c r="H1995" t="str">
        <f>T("스토리위즈")</f>
        <v>스토리위즈</v>
      </c>
      <c r="I1995" t="str">
        <f>T("회귀의 전설")</f>
        <v>회귀의 전설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 s="2">
        <v>70</v>
      </c>
      <c r="AT1995" t="str">
        <f>T("9788997946006")</f>
        <v>9788997946006</v>
      </c>
      <c r="AV1995" t="str">
        <f>T("판타지 웹소설 &gt; 현대 판타지")</f>
        <v>판타지 웹소설 &gt; 현대 판타지</v>
      </c>
    </row>
    <row r="1996" spans="1:48" x14ac:dyDescent="0.4">
      <c r="A1996">
        <v>1525000569</v>
      </c>
      <c r="B1996">
        <v>1525000614</v>
      </c>
      <c r="C1996" t="str">
        <f>T("스트라이커 46화")</f>
        <v>스트라이커 46화</v>
      </c>
      <c r="D1996" t="str">
        <f>T("46")</f>
        <v>46</v>
      </c>
      <c r="E1996" t="str">
        <f>T("독고진")</f>
        <v>독고진</v>
      </c>
      <c r="H1996" t="str">
        <f>T("스토리위즈")</f>
        <v>스토리위즈</v>
      </c>
      <c r="I1996" t="str">
        <f>T("스트라이커")</f>
        <v>스트라이커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 s="2">
        <v>70</v>
      </c>
      <c r="AT1996" t="str">
        <f>T("9791170151678")</f>
        <v>9791170151678</v>
      </c>
      <c r="AV1996" t="str">
        <f>T("판타지 웹소설 &gt; 현대 판타지")</f>
        <v>판타지 웹소설 &gt; 현대 판타지</v>
      </c>
    </row>
    <row r="1997" spans="1:48" x14ac:dyDescent="0.4">
      <c r="A1997">
        <v>1525007872</v>
      </c>
      <c r="B1997">
        <v>1525007897</v>
      </c>
      <c r="C1997" t="str">
        <f>T("아침이 오지 않아도 8화")</f>
        <v>아침이 오지 않아도 8화</v>
      </c>
      <c r="D1997" t="str">
        <f>T("8")</f>
        <v>8</v>
      </c>
      <c r="E1997" t="str">
        <f>T("홍영")</f>
        <v>홍영</v>
      </c>
      <c r="H1997" t="str">
        <f>T("러브스토리")</f>
        <v>러브스토리</v>
      </c>
      <c r="I1997" t="str">
        <f>T("아침이 오지 않아도")</f>
        <v>아침이 오지 않아도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 s="2">
        <v>70</v>
      </c>
      <c r="AR1997" t="str">
        <f>T("0000000000000")</f>
        <v>0000000000000</v>
      </c>
      <c r="AT1997" t="str">
        <f>T("9791164899708")</f>
        <v>9791164899708</v>
      </c>
      <c r="AV1997" t="str">
        <f>T("로맨스 웹소설 &gt; 현대물")</f>
        <v>로맨스 웹소설 &gt; 현대물</v>
      </c>
    </row>
    <row r="1998" spans="1:48" x14ac:dyDescent="0.4">
      <c r="A1998">
        <v>1525004030</v>
      </c>
      <c r="B1998">
        <v>1525007062</v>
      </c>
      <c r="C1998" t="str">
        <f>T("회귀의 전설 2부 946화")</f>
        <v>회귀의 전설 2부 946화</v>
      </c>
      <c r="D1998" t="str">
        <f>T("946")</f>
        <v>946</v>
      </c>
      <c r="E1998" t="str">
        <f>T("김광수")</f>
        <v>김광수</v>
      </c>
      <c r="H1998" t="str">
        <f>T("스토리위즈")</f>
        <v>스토리위즈</v>
      </c>
      <c r="I1998" t="str">
        <f>T("회귀의 전설")</f>
        <v>회귀의 전설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 s="2">
        <v>70</v>
      </c>
      <c r="AT1998" t="str">
        <f>T("9791191102086")</f>
        <v>9791191102086</v>
      </c>
      <c r="AV1998" t="str">
        <f>T("판타지 웹소설 &gt; 현대 판타지")</f>
        <v>판타지 웹소설 &gt; 현대 판타지</v>
      </c>
    </row>
    <row r="1999" spans="1:48" x14ac:dyDescent="0.4">
      <c r="A1999">
        <v>1525004989</v>
      </c>
      <c r="B1999">
        <v>1525005631</v>
      </c>
      <c r="C1999" t="str">
        <f>T("신룡전설 142화")</f>
        <v>신룡전설 142화</v>
      </c>
      <c r="D1999" t="str">
        <f>T("142")</f>
        <v>142</v>
      </c>
      <c r="E1999" t="str">
        <f>T("가람검")</f>
        <v>가람검</v>
      </c>
      <c r="H1999" t="str">
        <f>T("스토리위즈")</f>
        <v>스토리위즈</v>
      </c>
      <c r="I1999" t="str">
        <f>T("신룡전설")</f>
        <v>신룡전설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 s="2">
        <v>70</v>
      </c>
      <c r="AT1999" t="str">
        <f>T("9791159283505")</f>
        <v>9791159283505</v>
      </c>
      <c r="AV1999" t="str">
        <f>T("판타지 웹소설 &gt; 무협 소설")</f>
        <v>판타지 웹소설 &gt; 무협 소설</v>
      </c>
    </row>
    <row r="2000" spans="1:48" x14ac:dyDescent="0.4">
      <c r="A2000">
        <v>2313011400</v>
      </c>
      <c r="B2000">
        <v>1525007704</v>
      </c>
      <c r="C2000" t="str">
        <f>T("최종 보스 24권 9화")</f>
        <v>최종 보스 24권 9화</v>
      </c>
      <c r="D2000" t="str">
        <f>T("482")</f>
        <v>482</v>
      </c>
      <c r="E2000" t="str">
        <f>T("무장")</f>
        <v>무장</v>
      </c>
      <c r="H2000" t="str">
        <f>T("스토리위즈")</f>
        <v>스토리위즈</v>
      </c>
      <c r="I2000" t="str">
        <f>T("최종 보스 : 빛을 향해 달리는 그림자")</f>
        <v>최종 보스 : 빛을 향해 달리는 그림자</v>
      </c>
      <c r="J2000">
        <v>100</v>
      </c>
      <c r="K2000">
        <v>100</v>
      </c>
      <c r="L2000">
        <v>1</v>
      </c>
      <c r="M2000">
        <v>0</v>
      </c>
      <c r="N2000">
        <v>100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200</v>
      </c>
      <c r="AL2000">
        <v>0</v>
      </c>
      <c r="AM2000">
        <v>0</v>
      </c>
      <c r="AN2000">
        <v>0</v>
      </c>
      <c r="AO2000">
        <v>0</v>
      </c>
      <c r="AP2000" s="2">
        <v>140</v>
      </c>
      <c r="AT2000" t="str">
        <f>T("9791166067563")</f>
        <v>9791166067563</v>
      </c>
      <c r="AV2000" t="str">
        <f>T("판타지 웹소설 &gt; 현대 판타지")</f>
        <v>판타지 웹소설 &gt; 현대 판타지</v>
      </c>
    </row>
    <row r="2001" spans="1:48" x14ac:dyDescent="0.4">
      <c r="A2001">
        <v>1525010579</v>
      </c>
      <c r="B2001">
        <v>1525010172</v>
      </c>
      <c r="C2001" t="str">
        <f>T("법보다 주먹 406화")</f>
        <v>법보다 주먹 406화</v>
      </c>
      <c r="D2001" t="str">
        <f>T("406")</f>
        <v>406</v>
      </c>
      <c r="E2001" t="str">
        <f>T("백범(白帆)")</f>
        <v>백범(白帆)</v>
      </c>
      <c r="H2001" t="str">
        <f>T("에필로그")</f>
        <v>에필로그</v>
      </c>
      <c r="I2001" t="str">
        <f>T("법보다 주먹")</f>
        <v>법보다 주먹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 s="2">
        <v>70</v>
      </c>
      <c r="AT2001" t="str">
        <f>T("9791164489367")</f>
        <v>9791164489367</v>
      </c>
      <c r="AV2001" t="str">
        <f>T("판타지 웹소설 &gt; 현대 판타지")</f>
        <v>판타지 웹소설 &gt; 현대 판타지</v>
      </c>
    </row>
    <row r="2002" spans="1:48" x14ac:dyDescent="0.4">
      <c r="A2002">
        <v>1525004030</v>
      </c>
      <c r="B2002">
        <v>1525007119</v>
      </c>
      <c r="C2002" t="str">
        <f>T("회귀의 전설 2부 1003화")</f>
        <v>회귀의 전설 2부 1003화</v>
      </c>
      <c r="D2002" t="str">
        <f>T("1003")</f>
        <v>1003</v>
      </c>
      <c r="E2002" t="str">
        <f>T("김광수")</f>
        <v>김광수</v>
      </c>
      <c r="H2002" t="str">
        <f t="shared" ref="H2002:H2009" si="206">T("스토리위즈")</f>
        <v>스토리위즈</v>
      </c>
      <c r="I2002" t="str">
        <f>T("회귀의 전설")</f>
        <v>회귀의 전설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 s="2">
        <v>70</v>
      </c>
      <c r="AT2002" t="str">
        <f>T("9791191102086")</f>
        <v>9791191102086</v>
      </c>
      <c r="AV2002" t="str">
        <f>T("판타지 웹소설 &gt; 현대 판타지")</f>
        <v>판타지 웹소설 &gt; 현대 판타지</v>
      </c>
    </row>
    <row r="2003" spans="1:48" x14ac:dyDescent="0.4">
      <c r="A2003">
        <v>1525004030</v>
      </c>
      <c r="B2003">
        <v>1525004374</v>
      </c>
      <c r="C2003" t="str">
        <f>T("회귀의 전설 346화")</f>
        <v>회귀의 전설 346화</v>
      </c>
      <c r="D2003" t="str">
        <f>T("346")</f>
        <v>346</v>
      </c>
      <c r="E2003" t="str">
        <f>T("김광수")</f>
        <v>김광수</v>
      </c>
      <c r="H2003" t="str">
        <f t="shared" si="206"/>
        <v>스토리위즈</v>
      </c>
      <c r="I2003" t="str">
        <f>T("회귀의 전설")</f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 s="2">
        <v>70</v>
      </c>
      <c r="AT2003" t="str">
        <f>T("9788997946006")</f>
        <v>9788997946006</v>
      </c>
      <c r="AV2003" t="str">
        <f>T("판타지 웹소설 &gt; 현대 판타지")</f>
        <v>판타지 웹소설 &gt; 현대 판타지</v>
      </c>
    </row>
    <row r="2004" spans="1:48" x14ac:dyDescent="0.4">
      <c r="A2004">
        <v>1525002864</v>
      </c>
      <c r="B2004">
        <v>1525002912</v>
      </c>
      <c r="C2004" t="str">
        <f>T("소드마스터의 환생 49화")</f>
        <v>소드마스터의 환생 49화</v>
      </c>
      <c r="D2004" t="str">
        <f>T("49")</f>
        <v>49</v>
      </c>
      <c r="E2004" t="str">
        <f>T("파란영")</f>
        <v>파란영</v>
      </c>
      <c r="H2004" t="str">
        <f t="shared" si="206"/>
        <v>스토리위즈</v>
      </c>
      <c r="I2004" t="str">
        <f>T("소드마스터의 환생")</f>
        <v>소드마스터의 환생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 s="2">
        <v>70</v>
      </c>
      <c r="AT2004" t="str">
        <f>T("9791159287527")</f>
        <v>9791159287527</v>
      </c>
      <c r="AV2004" t="str">
        <f>T("판타지 웹소설 &gt; 정통 판타지")</f>
        <v>판타지 웹소설 &gt; 정통 판타지</v>
      </c>
    </row>
    <row r="2005" spans="1:48" x14ac:dyDescent="0.4">
      <c r="A2005">
        <v>1525002409</v>
      </c>
      <c r="B2005">
        <v>1525002593</v>
      </c>
      <c r="C2005" t="str">
        <f>T("스포트라이트 185화")</f>
        <v>스포트라이트 185화</v>
      </c>
      <c r="D2005" t="str">
        <f>T("185")</f>
        <v>185</v>
      </c>
      <c r="E2005" t="str">
        <f>T("전혁")</f>
        <v>전혁</v>
      </c>
      <c r="H2005" t="str">
        <f t="shared" si="206"/>
        <v>스토리위즈</v>
      </c>
      <c r="I2005" t="str">
        <f>T("스포트라이트")</f>
        <v>스포트라이트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 s="2">
        <v>70</v>
      </c>
      <c r="AT2005" t="str">
        <f>T("9791159286841")</f>
        <v>9791159286841</v>
      </c>
      <c r="AV2005" t="str">
        <f>T("판타지 웹소설 &gt; 현대 판타지")</f>
        <v>판타지 웹소설 &gt; 현대 판타지</v>
      </c>
    </row>
    <row r="2006" spans="1:48" x14ac:dyDescent="0.4">
      <c r="A2006">
        <v>2313011400</v>
      </c>
      <c r="B2006">
        <v>1525007665</v>
      </c>
      <c r="C2006" t="str">
        <f>T("최종 보스 22권 10화")</f>
        <v>최종 보스 22권 10화</v>
      </c>
      <c r="D2006" t="str">
        <f>T("443")</f>
        <v>443</v>
      </c>
      <c r="E2006" t="str">
        <f>T("무장")</f>
        <v>무장</v>
      </c>
      <c r="H2006" t="str">
        <f t="shared" si="206"/>
        <v>스토리위즈</v>
      </c>
      <c r="I2006" t="str">
        <f>T("최종 보스 : 빛을 향해 달리는 그림자")</f>
        <v>최종 보스 : 빛을 향해 달리는 그림자</v>
      </c>
      <c r="J2006">
        <v>100</v>
      </c>
      <c r="K2006">
        <v>100</v>
      </c>
      <c r="L2006">
        <v>1</v>
      </c>
      <c r="M2006">
        <v>0</v>
      </c>
      <c r="N2006">
        <v>100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200</v>
      </c>
      <c r="AL2006">
        <v>0</v>
      </c>
      <c r="AM2006">
        <v>0</v>
      </c>
      <c r="AN2006">
        <v>0</v>
      </c>
      <c r="AO2006">
        <v>0</v>
      </c>
      <c r="AP2006" s="2">
        <v>140</v>
      </c>
      <c r="AT2006" t="str">
        <f>T("9791166067563")</f>
        <v>9791166067563</v>
      </c>
      <c r="AV2006" t="str">
        <f>T("판타지 웹소설 &gt; 현대 판타지")</f>
        <v>판타지 웹소설 &gt; 현대 판타지</v>
      </c>
    </row>
    <row r="2007" spans="1:48" x14ac:dyDescent="0.4">
      <c r="A2007">
        <v>1525004030</v>
      </c>
      <c r="B2007">
        <v>1525007023</v>
      </c>
      <c r="C2007" t="str">
        <f>T("회귀의 전설 2부 907화")</f>
        <v>회귀의 전설 2부 907화</v>
      </c>
      <c r="D2007" t="str">
        <f>T("907")</f>
        <v>907</v>
      </c>
      <c r="E2007" t="str">
        <f>T("김광수")</f>
        <v>김광수</v>
      </c>
      <c r="H2007" t="str">
        <f t="shared" si="206"/>
        <v>스토리위즈</v>
      </c>
      <c r="I2007" t="str">
        <f>T("회귀의 전설")</f>
        <v>회귀의 전설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 s="2">
        <v>70</v>
      </c>
      <c r="AT2007" t="str">
        <f>T("9791191102086")</f>
        <v>9791191102086</v>
      </c>
      <c r="AV2007" t="str">
        <f>T("판타지 웹소설 &gt; 현대 판타지")</f>
        <v>판타지 웹소설 &gt; 현대 판타지</v>
      </c>
    </row>
    <row r="2008" spans="1:48" x14ac:dyDescent="0.4">
      <c r="A2008">
        <v>1525004030</v>
      </c>
      <c r="B2008">
        <v>1525006723</v>
      </c>
      <c r="C2008" t="str">
        <f>T("회귀의 전설 2부 606화")</f>
        <v>회귀의 전설 2부 606화</v>
      </c>
      <c r="D2008" t="str">
        <f>T("606")</f>
        <v>606</v>
      </c>
      <c r="E2008" t="str">
        <f>T("김광수")</f>
        <v>김광수</v>
      </c>
      <c r="H2008" t="str">
        <f t="shared" si="206"/>
        <v>스토리위즈</v>
      </c>
      <c r="I2008" t="str">
        <f>T("회귀의 전설")</f>
        <v>회귀의 전설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 s="2">
        <v>70</v>
      </c>
      <c r="AT2008" t="str">
        <f>T("9791191102086")</f>
        <v>9791191102086</v>
      </c>
      <c r="AV2008" t="str">
        <f>T("판타지 웹소설 &gt; 현대 판타지")</f>
        <v>판타지 웹소설 &gt; 현대 판타지</v>
      </c>
    </row>
    <row r="2009" spans="1:48" x14ac:dyDescent="0.4">
      <c r="A2009">
        <v>1525004989</v>
      </c>
      <c r="B2009">
        <v>1525005592</v>
      </c>
      <c r="C2009" t="str">
        <f>T("신룡전설 103화")</f>
        <v>신룡전설 103화</v>
      </c>
      <c r="D2009" t="str">
        <f>T("103")</f>
        <v>103</v>
      </c>
      <c r="E2009" t="str">
        <f>T("가람검")</f>
        <v>가람검</v>
      </c>
      <c r="H2009" t="str">
        <f t="shared" si="206"/>
        <v>스토리위즈</v>
      </c>
      <c r="I2009" t="str">
        <f>T("신룡전설")</f>
        <v>신룡전설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 s="2">
        <v>70</v>
      </c>
      <c r="AT2009" t="str">
        <f>T("9791159283505")</f>
        <v>9791159283505</v>
      </c>
      <c r="AV2009" t="str">
        <f>T("판타지 웹소설 &gt; 무협 소설")</f>
        <v>판타지 웹소설 &gt; 무협 소설</v>
      </c>
    </row>
    <row r="2010" spans="1:48" x14ac:dyDescent="0.4">
      <c r="A2010">
        <v>1525008545</v>
      </c>
      <c r="B2010">
        <v>1525008536</v>
      </c>
      <c r="C2010" t="str">
        <f>T("소년연애담 11화")</f>
        <v>소년연애담 11화</v>
      </c>
      <c r="D2010" t="str">
        <f>T("11")</f>
        <v>11</v>
      </c>
      <c r="E2010" t="str">
        <f>T("나나코")</f>
        <v>나나코</v>
      </c>
      <c r="H2010" t="str">
        <f>T("블러쉬")</f>
        <v>블러쉬</v>
      </c>
      <c r="I2010" t="str">
        <f>T("소년연애담")</f>
        <v>소년연애담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100</v>
      </c>
      <c r="AN2010">
        <v>0</v>
      </c>
      <c r="AO2010">
        <v>0</v>
      </c>
      <c r="AP2010" s="2">
        <v>70</v>
      </c>
      <c r="AR2010" t="str">
        <f>T("0000000000000")</f>
        <v>0000000000000</v>
      </c>
      <c r="AT2010" t="str">
        <f>T("9791164890729")</f>
        <v>9791164890729</v>
      </c>
      <c r="AU2010" t="str">
        <f>T("B12")</f>
        <v>B12</v>
      </c>
      <c r="AV2010" t="str">
        <f>T("BL 웹소설 &gt; 현대물")</f>
        <v>BL 웹소설 &gt; 현대물</v>
      </c>
    </row>
    <row r="2011" spans="1:48" x14ac:dyDescent="0.4">
      <c r="A2011">
        <v>1525004030</v>
      </c>
      <c r="B2011">
        <v>1525006971</v>
      </c>
      <c r="C2011" t="str">
        <f>T("회귀의 전설 2부 855화")</f>
        <v>회귀의 전설 2부 855화</v>
      </c>
      <c r="D2011" t="str">
        <f>T("855")</f>
        <v>855</v>
      </c>
      <c r="E2011" t="str">
        <f>T("김광수")</f>
        <v>김광수</v>
      </c>
      <c r="H2011" t="str">
        <f>T("스토리위즈")</f>
        <v>스토리위즈</v>
      </c>
      <c r="I2011" t="str">
        <f>T("회귀의 전설")</f>
        <v>회귀의 전설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 s="2">
        <v>70</v>
      </c>
      <c r="AT2011" t="str">
        <f>T("9791191102086")</f>
        <v>9791191102086</v>
      </c>
      <c r="AV2011" t="str">
        <f>T("판타지 웹소설 &gt; 현대 판타지")</f>
        <v>판타지 웹소설 &gt; 현대 판타지</v>
      </c>
    </row>
    <row r="2012" spans="1:48" x14ac:dyDescent="0.4">
      <c r="A2012">
        <v>1525004030</v>
      </c>
      <c r="B2012">
        <v>1525004294</v>
      </c>
      <c r="C2012" t="str">
        <f>T("회귀의 전설 265화")</f>
        <v>회귀의 전설 265화</v>
      </c>
      <c r="D2012" t="str">
        <f>T("265")</f>
        <v>265</v>
      </c>
      <c r="E2012" t="str">
        <f>T("김광수")</f>
        <v>김광수</v>
      </c>
      <c r="H2012" t="str">
        <f>T("스토리위즈")</f>
        <v>스토리위즈</v>
      </c>
      <c r="I2012" t="str">
        <f>T("회귀의 전설")</f>
        <v>회귀의 전설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 s="2">
        <v>70</v>
      </c>
      <c r="AT2012" t="str">
        <f>T("9788997946006")</f>
        <v>9788997946006</v>
      </c>
      <c r="AV2012" t="str">
        <f>T("판타지 웹소설 &gt; 현대 판타지")</f>
        <v>판타지 웹소설 &gt; 현대 판타지</v>
      </c>
    </row>
    <row r="2013" spans="1:48" x14ac:dyDescent="0.4">
      <c r="A2013">
        <v>1525008545</v>
      </c>
      <c r="B2013">
        <v>1525008592</v>
      </c>
      <c r="C2013" t="str">
        <f>T("소년연애담 8화")</f>
        <v>소년연애담 8화</v>
      </c>
      <c r="D2013" t="str">
        <f>T("8")</f>
        <v>8</v>
      </c>
      <c r="E2013" t="str">
        <f>T("나나코")</f>
        <v>나나코</v>
      </c>
      <c r="H2013" t="str">
        <f>T("블러쉬")</f>
        <v>블러쉬</v>
      </c>
      <c r="I2013" t="str">
        <f>T("소년연애담")</f>
        <v>소년연애담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0</v>
      </c>
      <c r="AL2013">
        <v>0</v>
      </c>
      <c r="AM2013">
        <v>100</v>
      </c>
      <c r="AN2013">
        <v>0</v>
      </c>
      <c r="AO2013">
        <v>0</v>
      </c>
      <c r="AP2013" s="2">
        <v>70</v>
      </c>
      <c r="AR2013" t="str">
        <f>T("0000000000000")</f>
        <v>0000000000000</v>
      </c>
      <c r="AT2013" t="str">
        <f>T("9791164890729")</f>
        <v>9791164890729</v>
      </c>
      <c r="AU2013" t="str">
        <f>T("B12")</f>
        <v>B12</v>
      </c>
      <c r="AV2013" t="str">
        <f>T("BL 웹소설 &gt; 현대물")</f>
        <v>BL 웹소설 &gt; 현대물</v>
      </c>
    </row>
    <row r="2014" spans="1:48" x14ac:dyDescent="0.4">
      <c r="A2014">
        <v>1525010579</v>
      </c>
      <c r="B2014">
        <v>1525010219</v>
      </c>
      <c r="C2014" t="str">
        <f>T("법보다 주먹 359화")</f>
        <v>법보다 주먹 359화</v>
      </c>
      <c r="D2014" t="str">
        <f>T("359")</f>
        <v>359</v>
      </c>
      <c r="E2014" t="str">
        <f>T("백범(白帆)")</f>
        <v>백범(白帆)</v>
      </c>
      <c r="H2014" t="str">
        <f>T("에필로그")</f>
        <v>에필로그</v>
      </c>
      <c r="I2014" t="str">
        <f>T("법보다 주먹")</f>
        <v>법보다 주먹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 s="2">
        <v>70</v>
      </c>
      <c r="AT2014" t="str">
        <f>T("9791164489367")</f>
        <v>9791164489367</v>
      </c>
      <c r="AV2014" t="str">
        <f>T("판타지 웹소설 &gt; 현대 판타지")</f>
        <v>판타지 웹소설 &gt; 현대 판타지</v>
      </c>
    </row>
    <row r="2015" spans="1:48" x14ac:dyDescent="0.4">
      <c r="A2015">
        <v>1525004030</v>
      </c>
      <c r="B2015">
        <v>1525004406</v>
      </c>
      <c r="C2015" t="str">
        <f>T("회귀의 전설 378화")</f>
        <v>회귀의 전설 378화</v>
      </c>
      <c r="D2015" t="str">
        <f>T("378")</f>
        <v>378</v>
      </c>
      <c r="E2015" t="str">
        <f>T("김광수")</f>
        <v>김광수</v>
      </c>
      <c r="H2015" t="str">
        <f>T("스토리위즈")</f>
        <v>스토리위즈</v>
      </c>
      <c r="I2015" t="str">
        <f>T("회귀의 전설")</f>
        <v>회귀의 전설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 s="2">
        <v>70</v>
      </c>
      <c r="AT2015" t="str">
        <f>T("9788997946006")</f>
        <v>9788997946006</v>
      </c>
      <c r="AV2015" t="str">
        <f>T("판타지 웹소설 &gt; 현대 판타지")</f>
        <v>판타지 웹소설 &gt; 현대 판타지</v>
      </c>
    </row>
    <row r="2016" spans="1:48" x14ac:dyDescent="0.4">
      <c r="A2016">
        <v>1525004030</v>
      </c>
      <c r="B2016">
        <v>1525004486</v>
      </c>
      <c r="C2016" t="str">
        <f>T("회귀의 전설 470화")</f>
        <v>회귀의 전설 470화</v>
      </c>
      <c r="D2016" t="str">
        <f>T("470")</f>
        <v>470</v>
      </c>
      <c r="E2016" t="str">
        <f>T("김광수")</f>
        <v>김광수</v>
      </c>
      <c r="H2016" t="str">
        <f>T("스토리위즈")</f>
        <v>스토리위즈</v>
      </c>
      <c r="I2016" t="str">
        <f>T("회귀의 전설")</f>
        <v>회귀의 전설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 s="2">
        <v>70</v>
      </c>
      <c r="AT2016" t="str">
        <f>T("9788997946006")</f>
        <v>9788997946006</v>
      </c>
      <c r="AV2016" t="str">
        <f>T("판타지 웹소설 &gt; 현대 판타지")</f>
        <v>판타지 웹소설 &gt; 현대 판타지</v>
      </c>
    </row>
    <row r="2017" spans="1:48" x14ac:dyDescent="0.4">
      <c r="A2017">
        <v>1525000569</v>
      </c>
      <c r="B2017">
        <v>1525000594</v>
      </c>
      <c r="C2017" t="str">
        <f>T("스트라이커 26화")</f>
        <v>스트라이커 26화</v>
      </c>
      <c r="D2017" t="str">
        <f>T("26")</f>
        <v>26</v>
      </c>
      <c r="E2017" t="str">
        <f>T("독고진")</f>
        <v>독고진</v>
      </c>
      <c r="H2017" t="str">
        <f>T("스토리위즈")</f>
        <v>스토리위즈</v>
      </c>
      <c r="I2017" t="str">
        <f>T("스트라이커")</f>
        <v>스트라이커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 s="2">
        <v>70</v>
      </c>
      <c r="AT2017" t="str">
        <f>T("9791170151678")</f>
        <v>9791170151678</v>
      </c>
      <c r="AV2017" t="str">
        <f>T("판타지 웹소설 &gt; 현대 판타지")</f>
        <v>판타지 웹소설 &gt; 현대 판타지</v>
      </c>
    </row>
    <row r="2018" spans="1:48" x14ac:dyDescent="0.4">
      <c r="A2018">
        <v>1525007872</v>
      </c>
      <c r="B2018">
        <v>1525007890</v>
      </c>
      <c r="C2018" t="str">
        <f>T("아침이 오지 않아도 36화")</f>
        <v>아침이 오지 않아도 36화</v>
      </c>
      <c r="D2018" t="str">
        <f>T("36")</f>
        <v>36</v>
      </c>
      <c r="E2018" t="str">
        <f>T("홍영")</f>
        <v>홍영</v>
      </c>
      <c r="H2018" t="str">
        <f>T("러브스토리")</f>
        <v>러브스토리</v>
      </c>
      <c r="I2018" t="str">
        <f>T("아침이 오지 않아도")</f>
        <v>아침이 오지 않아도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 s="2">
        <v>70</v>
      </c>
      <c r="AR2018" t="str">
        <f>T("0000000000000")</f>
        <v>0000000000000</v>
      </c>
      <c r="AT2018" t="str">
        <f>T("9791164899708")</f>
        <v>9791164899708</v>
      </c>
      <c r="AV2018" t="str">
        <f>T("로맨스 웹소설 &gt; 현대물")</f>
        <v>로맨스 웹소설 &gt; 현대물</v>
      </c>
    </row>
    <row r="2019" spans="1:48" x14ac:dyDescent="0.4">
      <c r="A2019">
        <v>1525004030</v>
      </c>
      <c r="B2019">
        <v>1525007055</v>
      </c>
      <c r="C2019" t="str">
        <f>T("회귀의 전설 2부 939화")</f>
        <v>회귀의 전설 2부 939화</v>
      </c>
      <c r="D2019" t="str">
        <f>T("939")</f>
        <v>939</v>
      </c>
      <c r="E2019" t="str">
        <f>T("김광수")</f>
        <v>김광수</v>
      </c>
      <c r="H2019" t="str">
        <f t="shared" ref="H2019:H2029" si="207">T("스토리위즈")</f>
        <v>스토리위즈</v>
      </c>
      <c r="I2019" t="str">
        <f>T("회귀의 전설")</f>
        <v>회귀의 전설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 s="2">
        <v>70</v>
      </c>
      <c r="AT2019" t="str">
        <f>T("9791191102086")</f>
        <v>9791191102086</v>
      </c>
      <c r="AV2019" t="str">
        <f>T("판타지 웹소설 &gt; 현대 판타지")</f>
        <v>판타지 웹소설 &gt; 현대 판타지</v>
      </c>
    </row>
    <row r="2020" spans="1:48" x14ac:dyDescent="0.4">
      <c r="A2020">
        <v>1525004989</v>
      </c>
      <c r="B2020">
        <v>1525005624</v>
      </c>
      <c r="C2020" t="str">
        <f>T("신룡전설 135화")</f>
        <v>신룡전설 135화</v>
      </c>
      <c r="D2020" t="str">
        <f>T("135")</f>
        <v>135</v>
      </c>
      <c r="E2020" t="str">
        <f>T("가람검")</f>
        <v>가람검</v>
      </c>
      <c r="H2020" t="str">
        <f t="shared" si="207"/>
        <v>스토리위즈</v>
      </c>
      <c r="I2020" t="str">
        <f>T("신룡전설")</f>
        <v>신룡전설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 s="2">
        <v>70</v>
      </c>
      <c r="AT2020" t="str">
        <f>T("9791159283505")</f>
        <v>9791159283505</v>
      </c>
      <c r="AV2020" t="str">
        <f>T("판타지 웹소설 &gt; 무협 소설")</f>
        <v>판타지 웹소설 &gt; 무협 소설</v>
      </c>
    </row>
    <row r="2021" spans="1:48" x14ac:dyDescent="0.4">
      <c r="A2021">
        <v>2313011400</v>
      </c>
      <c r="B2021">
        <v>1525007697</v>
      </c>
      <c r="C2021" t="str">
        <f>T("최종 보스 24권 2화")</f>
        <v>최종 보스 24권 2화</v>
      </c>
      <c r="D2021" t="str">
        <f>T("475")</f>
        <v>475</v>
      </c>
      <c r="E2021" t="str">
        <f>T("무장")</f>
        <v>무장</v>
      </c>
      <c r="H2021" t="str">
        <f t="shared" si="207"/>
        <v>스토리위즈</v>
      </c>
      <c r="I2021" t="str">
        <f>T("최종 보스 : 빛을 향해 달리는 그림자")</f>
        <v>최종 보스 : 빛을 향해 달리는 그림자</v>
      </c>
      <c r="J2021">
        <v>100</v>
      </c>
      <c r="K2021">
        <v>100</v>
      </c>
      <c r="L2021">
        <v>1</v>
      </c>
      <c r="M2021">
        <v>0</v>
      </c>
      <c r="N2021">
        <v>100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200</v>
      </c>
      <c r="AL2021">
        <v>0</v>
      </c>
      <c r="AM2021">
        <v>0</v>
      </c>
      <c r="AN2021">
        <v>0</v>
      </c>
      <c r="AO2021">
        <v>0</v>
      </c>
      <c r="AP2021" s="2">
        <v>140</v>
      </c>
      <c r="AT2021" t="str">
        <f>T("9791166067563")</f>
        <v>9791166067563</v>
      </c>
      <c r="AV2021" t="str">
        <f>T("판타지 웹소설 &gt; 현대 판타지")</f>
        <v>판타지 웹소설 &gt; 현대 판타지</v>
      </c>
    </row>
    <row r="2022" spans="1:48" x14ac:dyDescent="0.4">
      <c r="A2022">
        <v>1525004030</v>
      </c>
      <c r="B2022">
        <v>1525007003</v>
      </c>
      <c r="C2022" t="str">
        <f>T("회귀의 전설 2부 887화")</f>
        <v>회귀의 전설 2부 887화</v>
      </c>
      <c r="D2022" t="str">
        <f>T("887")</f>
        <v>887</v>
      </c>
      <c r="E2022" t="str">
        <f>T("김광수")</f>
        <v>김광수</v>
      </c>
      <c r="H2022" t="str">
        <f t="shared" si="207"/>
        <v>스토리위즈</v>
      </c>
      <c r="I2022" t="str">
        <f>T("회귀의 전설")</f>
        <v>회귀의 전설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 s="2">
        <v>70</v>
      </c>
      <c r="AT2022" t="str">
        <f>T("9791191102086")</f>
        <v>9791191102086</v>
      </c>
      <c r="AV2022" t="str">
        <f>T("판타지 웹소설 &gt; 현대 판타지")</f>
        <v>판타지 웹소설 &gt; 현대 판타지</v>
      </c>
    </row>
    <row r="2023" spans="1:48" x14ac:dyDescent="0.4">
      <c r="A2023">
        <v>2313011400</v>
      </c>
      <c r="B2023">
        <v>1525007601</v>
      </c>
      <c r="C2023" t="str">
        <f>T("최종 보스 19권 7화")</f>
        <v>최종 보스 19권 7화</v>
      </c>
      <c r="D2023" t="str">
        <f>T("379")</f>
        <v>379</v>
      </c>
      <c r="E2023" t="str">
        <f>T("무장")</f>
        <v>무장</v>
      </c>
      <c r="H2023" t="str">
        <f t="shared" si="207"/>
        <v>스토리위즈</v>
      </c>
      <c r="I2023" t="str">
        <f>T("최종 보스 : 빛을 향해 달리는 그림자")</f>
        <v>최종 보스 : 빛을 향해 달리는 그림자</v>
      </c>
      <c r="J2023">
        <v>100</v>
      </c>
      <c r="K2023">
        <v>100</v>
      </c>
      <c r="L2023">
        <v>1</v>
      </c>
      <c r="M2023">
        <v>0</v>
      </c>
      <c r="N2023">
        <v>100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200</v>
      </c>
      <c r="AL2023">
        <v>0</v>
      </c>
      <c r="AM2023">
        <v>0</v>
      </c>
      <c r="AN2023">
        <v>0</v>
      </c>
      <c r="AO2023">
        <v>0</v>
      </c>
      <c r="AP2023" s="2">
        <v>140</v>
      </c>
      <c r="AT2023" t="str">
        <f>T("9791166067563")</f>
        <v>9791166067563</v>
      </c>
      <c r="AV2023" t="str">
        <f>T("판타지 웹소설 &gt; 현대 판타지")</f>
        <v>판타지 웹소설 &gt; 현대 판타지</v>
      </c>
    </row>
    <row r="2024" spans="1:48" x14ac:dyDescent="0.4">
      <c r="A2024">
        <v>1525004030</v>
      </c>
      <c r="B2024">
        <v>1525004326</v>
      </c>
      <c r="C2024" t="str">
        <f>T("회귀의 전설 297화")</f>
        <v>회귀의 전설 297화</v>
      </c>
      <c r="D2024" t="str">
        <f>T("297")</f>
        <v>297</v>
      </c>
      <c r="E2024" t="str">
        <f>T("김광수")</f>
        <v>김광수</v>
      </c>
      <c r="H2024" t="str">
        <f t="shared" si="207"/>
        <v>스토리위즈</v>
      </c>
      <c r="I2024" t="str">
        <f>T("회귀의 전설")</f>
        <v>회귀의 전설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 s="2">
        <v>70</v>
      </c>
      <c r="AT2024" t="str">
        <f>T("9788997946006")</f>
        <v>9788997946006</v>
      </c>
      <c r="AV2024" t="str">
        <f>T("판타지 웹소설 &gt; 현대 판타지")</f>
        <v>판타지 웹소설 &gt; 현대 판타지</v>
      </c>
    </row>
    <row r="2025" spans="1:48" x14ac:dyDescent="0.4">
      <c r="A2025">
        <v>1525004988</v>
      </c>
      <c r="B2025">
        <v>1525005342</v>
      </c>
      <c r="C2025" t="str">
        <f>T("용무쌍 55화")</f>
        <v>용무쌍 55화</v>
      </c>
      <c r="D2025" t="str">
        <f>T("55")</f>
        <v>55</v>
      </c>
      <c r="E2025" t="str">
        <f>T("권용찬")</f>
        <v>권용찬</v>
      </c>
      <c r="H2025" t="str">
        <f t="shared" si="207"/>
        <v>스토리위즈</v>
      </c>
      <c r="I2025" t="str">
        <f>T("용무쌍")</f>
        <v>용무쌍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 s="2">
        <v>70</v>
      </c>
      <c r="AT2025" t="str">
        <f>T("9791159284861")</f>
        <v>9791159284861</v>
      </c>
      <c r="AV2025" t="str">
        <f>T("판타지 웹소설 &gt; 무협 소설")</f>
        <v>판타지 웹소설 &gt; 무협 소설</v>
      </c>
    </row>
    <row r="2026" spans="1:48" x14ac:dyDescent="0.4">
      <c r="A2026">
        <v>1525004030</v>
      </c>
      <c r="B2026">
        <v>1525004438</v>
      </c>
      <c r="C2026" t="str">
        <f>T("회귀의 전설 422화")</f>
        <v>회귀의 전설 422화</v>
      </c>
      <c r="D2026" t="str">
        <f>T("422")</f>
        <v>422</v>
      </c>
      <c r="E2026" t="str">
        <f>T("김광수")</f>
        <v>김광수</v>
      </c>
      <c r="H2026" t="str">
        <f t="shared" si="207"/>
        <v>스토리위즈</v>
      </c>
      <c r="I2026" t="str">
        <f>T("회귀의 전설")</f>
        <v>회귀의 전설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 s="2">
        <v>70</v>
      </c>
      <c r="AT2026" t="str">
        <f>T("9788997946006")</f>
        <v>9788997946006</v>
      </c>
      <c r="AV2026" t="str">
        <f>T("판타지 웹소설 &gt; 현대 판타지")</f>
        <v>판타지 웹소설 &gt; 현대 판타지</v>
      </c>
    </row>
    <row r="2027" spans="1:48" x14ac:dyDescent="0.4">
      <c r="A2027">
        <v>1525004030</v>
      </c>
      <c r="B2027">
        <v>1525004518</v>
      </c>
      <c r="C2027" t="str">
        <f>T("회귀의 전설 389화")</f>
        <v>회귀의 전설 389화</v>
      </c>
      <c r="D2027" t="str">
        <f>T("389")</f>
        <v>389</v>
      </c>
      <c r="E2027" t="str">
        <f>T("김광수")</f>
        <v>김광수</v>
      </c>
      <c r="H2027" t="str">
        <f t="shared" si="207"/>
        <v>스토리위즈</v>
      </c>
      <c r="I2027" t="str">
        <f>T("회귀의 전설")</f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 s="2">
        <v>70</v>
      </c>
      <c r="AT2027" t="str">
        <f>T("9788997946006")</f>
        <v>9788997946006</v>
      </c>
      <c r="AV2027" t="str">
        <f>T("판타지 웹소설 &gt; 현대 판타지")</f>
        <v>판타지 웹소설 &gt; 현대 판타지</v>
      </c>
    </row>
    <row r="2028" spans="1:48" x14ac:dyDescent="0.4">
      <c r="A2028">
        <v>1525004989</v>
      </c>
      <c r="B2028">
        <v>1525005544</v>
      </c>
      <c r="C2028" t="str">
        <f>T("신룡전설 55화")</f>
        <v>신룡전설 55화</v>
      </c>
      <c r="D2028" t="str">
        <f>T("55")</f>
        <v>55</v>
      </c>
      <c r="E2028" t="str">
        <f>T("가람검")</f>
        <v>가람검</v>
      </c>
      <c r="H2028" t="str">
        <f t="shared" si="207"/>
        <v>스토리위즈</v>
      </c>
      <c r="I2028" t="str">
        <f>T("신룡전설")</f>
        <v>신룡전설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 s="2">
        <v>70</v>
      </c>
      <c r="AT2028" t="str">
        <f>T("9791159283505")</f>
        <v>9791159283505</v>
      </c>
      <c r="AV2028" t="str">
        <f>T("판타지 웹소설 &gt; 무협 소설")</f>
        <v>판타지 웹소설 &gt; 무협 소설</v>
      </c>
    </row>
    <row r="2029" spans="1:48" x14ac:dyDescent="0.4">
      <c r="A2029">
        <v>1525004030</v>
      </c>
      <c r="B2029">
        <v>1525007087</v>
      </c>
      <c r="C2029" t="str">
        <f>T("회귀의 전설 2부 971화")</f>
        <v>회귀의 전설 2부 971화</v>
      </c>
      <c r="D2029" t="str">
        <f>T("971")</f>
        <v>971</v>
      </c>
      <c r="E2029" t="str">
        <f>T("김광수")</f>
        <v>김광수</v>
      </c>
      <c r="H2029" t="str">
        <f t="shared" si="207"/>
        <v>스토리위즈</v>
      </c>
      <c r="I2029" t="str">
        <f>T("회귀의 전설")</f>
        <v>회귀의 전설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 s="2">
        <v>70</v>
      </c>
      <c r="AT2029" t="str">
        <f>T("9791191102086")</f>
        <v>9791191102086</v>
      </c>
      <c r="AV2029" t="str">
        <f>T("판타지 웹소설 &gt; 현대 판타지")</f>
        <v>판타지 웹소설 &gt; 현대 판타지</v>
      </c>
    </row>
    <row r="2030" spans="1:48" x14ac:dyDescent="0.4">
      <c r="A2030">
        <v>1525007923</v>
      </c>
      <c r="B2030">
        <v>1525007977</v>
      </c>
      <c r="C2030" t="str">
        <f>T("운상연담: 화불능귀일락 69화")</f>
        <v>운상연담: 화불능귀일락 69화</v>
      </c>
      <c r="D2030" t="str">
        <f>T("69")</f>
        <v>69</v>
      </c>
      <c r="E2030" t="str">
        <f>T("피모")</f>
        <v>피모</v>
      </c>
      <c r="H2030" t="str">
        <f>T("쉬라즈")</f>
        <v>쉬라즈</v>
      </c>
      <c r="I2030" t="str">
        <f>T("운상연담: 화불능귀일락")</f>
        <v>운상연담: 화불능귀일락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 s="2">
        <v>70</v>
      </c>
      <c r="AT2030" t="str">
        <f>T("9791164896646")</f>
        <v>9791164896646</v>
      </c>
      <c r="AV2030" t="str">
        <f>T("로맨스 웹소설 &gt; 역사/시대물")</f>
        <v>로맨스 웹소설 &gt; 역사/시대물</v>
      </c>
    </row>
    <row r="2031" spans="1:48" x14ac:dyDescent="0.4">
      <c r="A2031">
        <v>2313011400</v>
      </c>
      <c r="B2031">
        <v>1525007633</v>
      </c>
      <c r="C2031" t="str">
        <f>T("최종 보스 20권 18화")</f>
        <v>최종 보스 20권 18화</v>
      </c>
      <c r="D2031" t="str">
        <f>T("411")</f>
        <v>411</v>
      </c>
      <c r="E2031" t="str">
        <f>T("무장")</f>
        <v>무장</v>
      </c>
      <c r="H2031" t="str">
        <f>T("스토리위즈")</f>
        <v>스토리위즈</v>
      </c>
      <c r="I2031" t="str">
        <f>T("최종 보스 : 빛을 향해 달리는 그림자")</f>
        <v>최종 보스 : 빛을 향해 달리는 그림자</v>
      </c>
      <c r="J2031">
        <v>100</v>
      </c>
      <c r="K2031">
        <v>100</v>
      </c>
      <c r="L2031">
        <v>1</v>
      </c>
      <c r="M2031">
        <v>0</v>
      </c>
      <c r="N2031">
        <v>100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200</v>
      </c>
      <c r="AL2031">
        <v>0</v>
      </c>
      <c r="AM2031">
        <v>0</v>
      </c>
      <c r="AN2031">
        <v>0</v>
      </c>
      <c r="AO2031">
        <v>0</v>
      </c>
      <c r="AP2031" s="2">
        <v>140</v>
      </c>
      <c r="AT2031" t="str">
        <f>T("9791166067563")</f>
        <v>9791166067563</v>
      </c>
      <c r="AV2031" t="str">
        <f>T("판타지 웹소설 &gt; 현대 판타지")</f>
        <v>판타지 웹소설 &gt; 현대 판타지</v>
      </c>
    </row>
    <row r="2032" spans="1:48" x14ac:dyDescent="0.4">
      <c r="A2032">
        <v>1525004030</v>
      </c>
      <c r="B2032">
        <v>1525004358</v>
      </c>
      <c r="C2032" t="str">
        <f>T("회귀의 전설 330화")</f>
        <v>회귀의 전설 330화</v>
      </c>
      <c r="D2032" t="str">
        <f>T("330")</f>
        <v>330</v>
      </c>
      <c r="E2032" t="str">
        <f>T("김광수")</f>
        <v>김광수</v>
      </c>
      <c r="H2032" t="str">
        <f>T("스토리위즈")</f>
        <v>스토리위즈</v>
      </c>
      <c r="I2032" t="str">
        <f>T("회귀의 전설")</f>
        <v>회귀의 전설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 s="2">
        <v>70</v>
      </c>
      <c r="AT2032" t="str">
        <f>T("9788997946006")</f>
        <v>9788997946006</v>
      </c>
      <c r="AV2032" t="str">
        <f>T("판타지 웹소설 &gt; 현대 판타지")</f>
        <v>판타지 웹소설 &gt; 현대 판타지</v>
      </c>
    </row>
    <row r="2033" spans="1:48" x14ac:dyDescent="0.4">
      <c r="A2033">
        <v>1525004989</v>
      </c>
      <c r="B2033">
        <v>1525005520</v>
      </c>
      <c r="C2033" t="str">
        <f>T("신룡전설 31화")</f>
        <v>신룡전설 31화</v>
      </c>
      <c r="D2033" t="str">
        <f>T("31")</f>
        <v>31</v>
      </c>
      <c r="E2033" t="str">
        <f>T("가람검")</f>
        <v>가람검</v>
      </c>
      <c r="H2033" t="str">
        <f>T("스토리위즈")</f>
        <v>스토리위즈</v>
      </c>
      <c r="I2033" t="str">
        <f>T("신룡전설")</f>
        <v>신룡전설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 s="2">
        <v>70</v>
      </c>
      <c r="AT2033" t="str">
        <f>T("9791159283505")</f>
        <v>9791159283505</v>
      </c>
      <c r="AV2033" t="str">
        <f>T("판타지 웹소설 &gt; 무협 소설")</f>
        <v>판타지 웹소설 &gt; 무협 소설</v>
      </c>
    </row>
    <row r="2034" spans="1:48" x14ac:dyDescent="0.4">
      <c r="A2034">
        <v>1525004030</v>
      </c>
      <c r="B2034">
        <v>1525004470</v>
      </c>
      <c r="C2034" t="str">
        <f>T("회귀의 전설 454화")</f>
        <v>회귀의 전설 454화</v>
      </c>
      <c r="D2034" t="str">
        <f>T("454")</f>
        <v>454</v>
      </c>
      <c r="E2034" t="str">
        <f>T("김광수")</f>
        <v>김광수</v>
      </c>
      <c r="H2034" t="str">
        <f>T("스토리위즈")</f>
        <v>스토리위즈</v>
      </c>
      <c r="I2034" t="str">
        <f>T("회귀의 전설")</f>
        <v>회귀의 전설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 s="2">
        <v>70</v>
      </c>
      <c r="AT2034" t="str">
        <f>T("9788997946006")</f>
        <v>9788997946006</v>
      </c>
      <c r="AV2034" t="str">
        <f>T("판타지 웹소설 &gt; 현대 판타지")</f>
        <v>판타지 웹소설 &gt; 현대 판타지</v>
      </c>
    </row>
    <row r="2035" spans="1:48" x14ac:dyDescent="0.4">
      <c r="A2035">
        <v>1525008545</v>
      </c>
      <c r="B2035">
        <v>1525008560</v>
      </c>
      <c r="C2035" t="str">
        <f>T("소년연애담 33화")</f>
        <v>소년연애담 33화</v>
      </c>
      <c r="D2035" t="str">
        <f>T("33")</f>
        <v>33</v>
      </c>
      <c r="E2035" t="str">
        <f>T("나나코")</f>
        <v>나나코</v>
      </c>
      <c r="H2035" t="str">
        <f>T("블러쉬")</f>
        <v>블러쉬</v>
      </c>
      <c r="I2035" t="str">
        <f>T("소년연애담")</f>
        <v>소년연애담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100</v>
      </c>
      <c r="AN2035">
        <v>0</v>
      </c>
      <c r="AO2035">
        <v>0</v>
      </c>
      <c r="AP2035" s="2">
        <v>70</v>
      </c>
      <c r="AR2035" t="str">
        <f>T("0000000000000")</f>
        <v>0000000000000</v>
      </c>
      <c r="AT2035" t="str">
        <f>T("9791164890729")</f>
        <v>9791164890729</v>
      </c>
      <c r="AU2035" t="str">
        <f>T("B12")</f>
        <v>B12</v>
      </c>
      <c r="AV2035" t="str">
        <f>T("BL 웹소설 &gt; 현대물")</f>
        <v>BL 웹소설 &gt; 현대물</v>
      </c>
    </row>
    <row r="2036" spans="1:48" x14ac:dyDescent="0.4">
      <c r="A2036">
        <v>1525004989</v>
      </c>
      <c r="B2036">
        <v>1525005576</v>
      </c>
      <c r="C2036" t="str">
        <f>T("신룡전설 87화")</f>
        <v>신룡전설 87화</v>
      </c>
      <c r="D2036" t="str">
        <f>T("87")</f>
        <v>87</v>
      </c>
      <c r="E2036" t="str">
        <f>T("가람검")</f>
        <v>가람검</v>
      </c>
      <c r="H2036" t="str">
        <f t="shared" ref="H2036:H2047" si="208">T("스토리위즈")</f>
        <v>스토리위즈</v>
      </c>
      <c r="I2036" t="str">
        <f>T("신룡전설")</f>
        <v>신룡전설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 s="2">
        <v>70</v>
      </c>
      <c r="AT2036" t="str">
        <f>T("9791159283505")</f>
        <v>9791159283505</v>
      </c>
      <c r="AV2036" t="str">
        <f>T("판타지 웹소설 &gt; 무협 소설")</f>
        <v>판타지 웹소설 &gt; 무협 소설</v>
      </c>
    </row>
    <row r="2037" spans="1:48" x14ac:dyDescent="0.4">
      <c r="A2037">
        <v>1525004030</v>
      </c>
      <c r="B2037">
        <v>1525006652</v>
      </c>
      <c r="C2037" t="str">
        <f>T("회귀의 전설 2부 535화")</f>
        <v>회귀의 전설 2부 535화</v>
      </c>
      <c r="D2037" t="str">
        <f>T("535")</f>
        <v>535</v>
      </c>
      <c r="E2037" t="str">
        <f>T("김광수")</f>
        <v>김광수</v>
      </c>
      <c r="H2037" t="str">
        <f t="shared" si="208"/>
        <v>스토리위즈</v>
      </c>
      <c r="I2037" t="str">
        <f>T("회귀의 전설")</f>
        <v>회귀의 전설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 s="2">
        <v>70</v>
      </c>
      <c r="AT2037" t="str">
        <f>T("9791191102086")</f>
        <v>9791191102086</v>
      </c>
      <c r="AV2037" t="str">
        <f>T("판타지 웹소설 &gt; 현대 판타지")</f>
        <v>판타지 웹소설 &gt; 현대 판타지</v>
      </c>
    </row>
    <row r="2038" spans="1:48" x14ac:dyDescent="0.4">
      <c r="A2038">
        <v>1525004030</v>
      </c>
      <c r="B2038">
        <v>1525004319</v>
      </c>
      <c r="C2038" t="str">
        <f>T("회귀의 전설 290화")</f>
        <v>회귀의 전설 290화</v>
      </c>
      <c r="D2038" t="str">
        <f>T("290")</f>
        <v>290</v>
      </c>
      <c r="E2038" t="str">
        <f>T("김광수")</f>
        <v>김광수</v>
      </c>
      <c r="H2038" t="str">
        <f t="shared" si="208"/>
        <v>스토리위즈</v>
      </c>
      <c r="I2038" t="str">
        <f>T("회귀의 전설")</f>
        <v>회귀의 전설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 s="2">
        <v>70</v>
      </c>
      <c r="AT2038" t="str">
        <f>T("9788997946006")</f>
        <v>9788997946006</v>
      </c>
      <c r="AV2038" t="str">
        <f>T("판타지 웹소설 &gt; 현대 판타지")</f>
        <v>판타지 웹소설 &gt; 현대 판타지</v>
      </c>
    </row>
    <row r="2039" spans="1:48" x14ac:dyDescent="0.4">
      <c r="A2039">
        <v>1525004988</v>
      </c>
      <c r="B2039">
        <v>1525005335</v>
      </c>
      <c r="C2039" t="str">
        <f>T("용무쌍 48화")</f>
        <v>용무쌍 48화</v>
      </c>
      <c r="D2039" t="str">
        <f>T("48")</f>
        <v>48</v>
      </c>
      <c r="E2039" t="str">
        <f>T("권용찬")</f>
        <v>권용찬</v>
      </c>
      <c r="H2039" t="str">
        <f t="shared" si="208"/>
        <v>스토리위즈</v>
      </c>
      <c r="I2039" t="str">
        <f>T("용무쌍")</f>
        <v>용무쌍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 s="2">
        <v>70</v>
      </c>
      <c r="AT2039" t="str">
        <f>T("9791159284861")</f>
        <v>9791159284861</v>
      </c>
      <c r="AV2039" t="str">
        <f>T("판타지 웹소설 &gt; 무협 소설")</f>
        <v>판타지 웹소설 &gt; 무협 소설</v>
      </c>
    </row>
    <row r="2040" spans="1:48" x14ac:dyDescent="0.4">
      <c r="A2040">
        <v>1525004030</v>
      </c>
      <c r="B2040">
        <v>1525004431</v>
      </c>
      <c r="C2040" t="str">
        <f>T("회귀의 전설 415화")</f>
        <v>회귀의 전설 415화</v>
      </c>
      <c r="D2040" t="str">
        <f>T("415")</f>
        <v>415</v>
      </c>
      <c r="E2040" t="str">
        <f>T("김광수")</f>
        <v>김광수</v>
      </c>
      <c r="H2040" t="str">
        <f t="shared" si="208"/>
        <v>스토리위즈</v>
      </c>
      <c r="I2040" t="str">
        <f>T("회귀의 전설")</f>
        <v>회귀의 전설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 s="2">
        <v>70</v>
      </c>
      <c r="AT2040" t="str">
        <f>T("9788997946006")</f>
        <v>9788997946006</v>
      </c>
      <c r="AV2040" t="str">
        <f>T("판타지 웹소설 &gt; 현대 판타지")</f>
        <v>판타지 웹소설 &gt; 현대 판타지</v>
      </c>
    </row>
    <row r="2041" spans="1:48" x14ac:dyDescent="0.4">
      <c r="A2041">
        <v>1525004030</v>
      </c>
      <c r="B2041">
        <v>1525004511</v>
      </c>
      <c r="C2041" t="str">
        <f>T("회귀의 전설 500화")</f>
        <v>회귀의 전설 500화</v>
      </c>
      <c r="D2041" t="str">
        <f>T("500")</f>
        <v>500</v>
      </c>
      <c r="E2041" t="str">
        <f>T("김광수")</f>
        <v>김광수</v>
      </c>
      <c r="H2041" t="str">
        <f t="shared" si="208"/>
        <v>스토리위즈</v>
      </c>
      <c r="I2041" t="str">
        <f>T("회귀의 전설")</f>
        <v>회귀의 전설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 s="2">
        <v>70</v>
      </c>
      <c r="AT2041" t="str">
        <f>T("9788997946006")</f>
        <v>9788997946006</v>
      </c>
      <c r="AV2041" t="str">
        <f>T("판타지 웹소설 &gt; 현대 판타지")</f>
        <v>판타지 웹소설 &gt; 현대 판타지</v>
      </c>
    </row>
    <row r="2042" spans="1:48" x14ac:dyDescent="0.4">
      <c r="A2042">
        <v>1525004989</v>
      </c>
      <c r="B2042">
        <v>1525005537</v>
      </c>
      <c r="C2042" t="str">
        <f>T("신룡전설 48화")</f>
        <v>신룡전설 48화</v>
      </c>
      <c r="D2042" t="str">
        <f>T("48")</f>
        <v>48</v>
      </c>
      <c r="E2042" t="str">
        <f>T("가람검")</f>
        <v>가람검</v>
      </c>
      <c r="H2042" t="str">
        <f t="shared" si="208"/>
        <v>스토리위즈</v>
      </c>
      <c r="I2042" t="str">
        <f>T("신룡전설")</f>
        <v>신룡전설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 s="2">
        <v>70</v>
      </c>
      <c r="AT2042" t="str">
        <f>T("9791159283505")</f>
        <v>9791159283505</v>
      </c>
      <c r="AV2042" t="str">
        <f>T("판타지 웹소설 &gt; 무협 소설")</f>
        <v>판타지 웹소설 &gt; 무협 소설</v>
      </c>
    </row>
    <row r="2043" spans="1:48" x14ac:dyDescent="0.4">
      <c r="A2043">
        <v>1525000569</v>
      </c>
      <c r="B2043">
        <v>1525000669</v>
      </c>
      <c r="C2043" t="str">
        <f>T("스트라이커 100화")</f>
        <v>스트라이커 100화</v>
      </c>
      <c r="D2043" t="str">
        <f>T("100")</f>
        <v>100</v>
      </c>
      <c r="E2043" t="str">
        <f>T("독고진")</f>
        <v>독고진</v>
      </c>
      <c r="H2043" t="str">
        <f t="shared" si="208"/>
        <v>스토리위즈</v>
      </c>
      <c r="I2043" t="str">
        <f>T("스트라이커")</f>
        <v>스트라이커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 s="2">
        <v>70</v>
      </c>
      <c r="AT2043" t="str">
        <f>T("9791170151678")</f>
        <v>9791170151678</v>
      </c>
      <c r="AV2043" t="str">
        <f>T("판타지 웹소설 &gt; 현대 판타지")</f>
        <v>판타지 웹소설 &gt; 현대 판타지</v>
      </c>
    </row>
    <row r="2044" spans="1:48" x14ac:dyDescent="0.4">
      <c r="A2044">
        <v>1525004030</v>
      </c>
      <c r="B2044">
        <v>1525007080</v>
      </c>
      <c r="C2044" t="str">
        <f>T("회귀의 전설 2부 964화")</f>
        <v>회귀의 전설 2부 964화</v>
      </c>
      <c r="D2044" t="str">
        <f>T("964")</f>
        <v>964</v>
      </c>
      <c r="E2044" t="str">
        <f>T("김광수")</f>
        <v>김광수</v>
      </c>
      <c r="H2044" t="str">
        <f t="shared" si="208"/>
        <v>스토리위즈</v>
      </c>
      <c r="I2044" t="str">
        <f>T("회귀의 전설")</f>
        <v>회귀의 전설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 s="2">
        <v>70</v>
      </c>
      <c r="AT2044" t="str">
        <f>T("9791191102086")</f>
        <v>9791191102086</v>
      </c>
      <c r="AV2044" t="str">
        <f>T("판타지 웹소설 &gt; 현대 판타지")</f>
        <v>판타지 웹소설 &gt; 현대 판타지</v>
      </c>
    </row>
    <row r="2045" spans="1:48" x14ac:dyDescent="0.4">
      <c r="A2045">
        <v>1525004030</v>
      </c>
      <c r="B2045">
        <v>1525004351</v>
      </c>
      <c r="C2045" t="str">
        <f>T("회귀의 전설 323화")</f>
        <v>회귀의 전설 323화</v>
      </c>
      <c r="D2045" t="str">
        <f>T("323")</f>
        <v>323</v>
      </c>
      <c r="E2045" t="str">
        <f>T("김광수")</f>
        <v>김광수</v>
      </c>
      <c r="H2045" t="str">
        <f t="shared" si="208"/>
        <v>스토리위즈</v>
      </c>
      <c r="I2045" t="str">
        <f>T("회귀의 전설")</f>
        <v>회귀의 전설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 s="2">
        <v>70</v>
      </c>
      <c r="AT2045" t="str">
        <f>T("9788997946006")</f>
        <v>9788997946006</v>
      </c>
      <c r="AV2045" t="str">
        <f>T("판타지 웹소설 &gt; 현대 판타지")</f>
        <v>판타지 웹소설 &gt; 현대 판타지</v>
      </c>
    </row>
    <row r="2046" spans="1:48" x14ac:dyDescent="0.4">
      <c r="A2046">
        <v>1525004030</v>
      </c>
      <c r="B2046">
        <v>1525007152</v>
      </c>
      <c r="C2046" t="str">
        <f>T("회귀의 전설 2부 1035화")</f>
        <v>회귀의 전설 2부 1035화</v>
      </c>
      <c r="D2046" t="str">
        <f>T("1035")</f>
        <v>1035</v>
      </c>
      <c r="E2046" t="str">
        <f>T("김광수")</f>
        <v>김광수</v>
      </c>
      <c r="H2046" t="str">
        <f t="shared" si="208"/>
        <v>스토리위즈</v>
      </c>
      <c r="I2046" t="str">
        <f>T("회귀의 전설")</f>
        <v>회귀의 전설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 s="2">
        <v>70</v>
      </c>
      <c r="AT2046" t="str">
        <f>T("9791191102086")</f>
        <v>9791191102086</v>
      </c>
      <c r="AV2046" t="str">
        <f>T("판타지 웹소설 &gt; 현대 판타지")</f>
        <v>판타지 웹소설 &gt; 현대 판타지</v>
      </c>
    </row>
    <row r="2047" spans="1:48" x14ac:dyDescent="0.4">
      <c r="A2047">
        <v>1525004030</v>
      </c>
      <c r="B2047">
        <v>1525004463</v>
      </c>
      <c r="C2047" t="str">
        <f>T("회귀의 전설 447화")</f>
        <v>회귀의 전설 447화</v>
      </c>
      <c r="D2047" t="str">
        <f>T("447")</f>
        <v>447</v>
      </c>
      <c r="E2047" t="str">
        <f>T("김광수")</f>
        <v>김광수</v>
      </c>
      <c r="H2047" t="str">
        <f t="shared" si="208"/>
        <v>스토리위즈</v>
      </c>
      <c r="I2047" t="str">
        <f>T("회귀의 전설")</f>
        <v>회귀의 전설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 s="2">
        <v>70</v>
      </c>
      <c r="AT2047" t="str">
        <f>T("9788997946006")</f>
        <v>9788997946006</v>
      </c>
      <c r="AV2047" t="str">
        <f>T("판타지 웹소설 &gt; 현대 판타지")</f>
        <v>판타지 웹소설 &gt; 현대 판타지</v>
      </c>
    </row>
    <row r="2048" spans="1:48" x14ac:dyDescent="0.4">
      <c r="A2048">
        <v>1525008545</v>
      </c>
      <c r="B2048">
        <v>1525008553</v>
      </c>
      <c r="C2048" t="str">
        <f>T("소년연애담 27화")</f>
        <v>소년연애담 27화</v>
      </c>
      <c r="D2048" t="str">
        <f>T("27")</f>
        <v>27</v>
      </c>
      <c r="E2048" t="str">
        <f>T("나나코")</f>
        <v>나나코</v>
      </c>
      <c r="H2048" t="str">
        <f>T("블러쉬")</f>
        <v>블러쉬</v>
      </c>
      <c r="I2048" t="str">
        <f>T("소년연애담")</f>
        <v>소년연애담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100</v>
      </c>
      <c r="AN2048">
        <v>0</v>
      </c>
      <c r="AO2048">
        <v>0</v>
      </c>
      <c r="AP2048" s="2">
        <v>70</v>
      </c>
      <c r="AR2048" t="str">
        <f>T("0000000000000")</f>
        <v>0000000000000</v>
      </c>
      <c r="AT2048" t="str">
        <f>T("9791164890729")</f>
        <v>9791164890729</v>
      </c>
      <c r="AU2048" t="str">
        <f>T("B12")</f>
        <v>B12</v>
      </c>
      <c r="AV2048" t="str">
        <f>T("BL 웹소설 &gt; 현대물")</f>
        <v>BL 웹소설 &gt; 현대물</v>
      </c>
    </row>
    <row r="2049" spans="1:48" x14ac:dyDescent="0.4">
      <c r="A2049">
        <v>1525004989</v>
      </c>
      <c r="B2049">
        <v>1525005569</v>
      </c>
      <c r="C2049" t="str">
        <f>T("신룡전설 80화")</f>
        <v>신룡전설 80화</v>
      </c>
      <c r="D2049" t="str">
        <f>T("80")</f>
        <v>80</v>
      </c>
      <c r="E2049" t="str">
        <f>T("가람검")</f>
        <v>가람검</v>
      </c>
      <c r="H2049" t="str">
        <f>T("스토리위즈")</f>
        <v>스토리위즈</v>
      </c>
      <c r="I2049" t="str">
        <f>T("신룡전설")</f>
        <v>신룡전설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 s="2">
        <v>70</v>
      </c>
      <c r="AT2049" t="str">
        <f>T("9791159283505")</f>
        <v>9791159283505</v>
      </c>
      <c r="AV2049" t="str">
        <f>T("판타지 웹소설 &gt; 무협 소설")</f>
        <v>판타지 웹소설 &gt; 무협 소설</v>
      </c>
    </row>
    <row r="2050" spans="1:48" x14ac:dyDescent="0.4">
      <c r="A2050">
        <v>1525008604</v>
      </c>
      <c r="B2050">
        <v>1525008659</v>
      </c>
      <c r="C2050" t="str">
        <f>T("우아한 곡선 6화")</f>
        <v>우아한 곡선 6화</v>
      </c>
      <c r="D2050" t="str">
        <f>T("6")</f>
        <v>6</v>
      </c>
      <c r="E2050" t="str">
        <f>T("용가리맛쿠키")</f>
        <v>용가리맛쿠키</v>
      </c>
      <c r="H2050" t="str">
        <f>T("블러쉬")</f>
        <v>블러쉬</v>
      </c>
      <c r="I2050" t="str">
        <f>T("우아한 곡선")</f>
        <v>우아한 곡선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P2050" s="2">
        <v>70</v>
      </c>
      <c r="AR2050" t="str">
        <f>T("0000000000000")</f>
        <v>0000000000000</v>
      </c>
      <c r="AT2050" t="str">
        <f>T("9791164896615")</f>
        <v>9791164896615</v>
      </c>
      <c r="AV2050" t="str">
        <f>T("BL 웹소설 &gt; 현대물")</f>
        <v>BL 웹소설 &gt; 현대물</v>
      </c>
    </row>
    <row r="2051" spans="1:48" x14ac:dyDescent="0.4">
      <c r="A2051">
        <v>1525004030</v>
      </c>
      <c r="B2051">
        <v>1525007112</v>
      </c>
      <c r="C2051" t="str">
        <f>T("회귀의 전설 2부 996화")</f>
        <v>회귀의 전설 2부 996화</v>
      </c>
      <c r="D2051" t="str">
        <f>T("996")</f>
        <v>996</v>
      </c>
      <c r="E2051" t="str">
        <f>T("김광수")</f>
        <v>김광수</v>
      </c>
      <c r="H2051" t="str">
        <f>T("스토리위즈")</f>
        <v>스토리위즈</v>
      </c>
      <c r="I2051" t="str">
        <f>T("회귀의 전설")</f>
        <v>회귀의 전설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P2051" s="2">
        <v>70</v>
      </c>
      <c r="AT2051" t="str">
        <f>T("9791191102086")</f>
        <v>9791191102086</v>
      </c>
      <c r="AV2051" t="str">
        <f>T("판타지 웹소설 &gt; 현대 판타지")</f>
        <v>판타지 웹소설 &gt; 현대 판타지</v>
      </c>
    </row>
    <row r="2052" spans="1:48" x14ac:dyDescent="0.4">
      <c r="A2052">
        <v>1525007923</v>
      </c>
      <c r="B2052">
        <v>1525008005</v>
      </c>
      <c r="C2052" t="str">
        <f>T("운상연담: 화불능귀일락 94화")</f>
        <v>운상연담: 화불능귀일락 94화</v>
      </c>
      <c r="D2052" t="str">
        <f>T("94")</f>
        <v>94</v>
      </c>
      <c r="E2052" t="str">
        <f>T("피모")</f>
        <v>피모</v>
      </c>
      <c r="H2052" t="str">
        <f>T("쉬라즈")</f>
        <v>쉬라즈</v>
      </c>
      <c r="I2052" t="str">
        <f>T("운상연담: 화불능귀일락")</f>
        <v>운상연담: 화불능귀일락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100</v>
      </c>
      <c r="AL2052">
        <v>0</v>
      </c>
      <c r="AM2052">
        <v>0</v>
      </c>
      <c r="AN2052">
        <v>0</v>
      </c>
      <c r="AO2052">
        <v>0</v>
      </c>
      <c r="AP2052" s="2">
        <v>70</v>
      </c>
      <c r="AT2052" t="str">
        <f>T("9791164896646")</f>
        <v>9791164896646</v>
      </c>
      <c r="AV2052" t="str">
        <f>T("로맨스 웹소설 &gt; 역사/시대물")</f>
        <v>로맨스 웹소설 &gt; 역사/시대물</v>
      </c>
    </row>
    <row r="2053" spans="1:48" x14ac:dyDescent="0.4">
      <c r="A2053">
        <v>1525002864</v>
      </c>
      <c r="B2053">
        <v>1525002905</v>
      </c>
      <c r="C2053" t="str">
        <f>T("소드마스터의 환생 42화")</f>
        <v>소드마스터의 환생 42화</v>
      </c>
      <c r="D2053" t="str">
        <f>T("42")</f>
        <v>42</v>
      </c>
      <c r="E2053" t="str">
        <f>T("파란영")</f>
        <v>파란영</v>
      </c>
      <c r="H2053" t="str">
        <f>T("스토리위즈")</f>
        <v>스토리위즈</v>
      </c>
      <c r="I2053" t="str">
        <f>T("소드마스터의 환생")</f>
        <v>소드마스터의 환생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P2053" s="2">
        <v>70</v>
      </c>
      <c r="AT2053" t="str">
        <f>T("9791159287527")</f>
        <v>9791159287527</v>
      </c>
      <c r="AV2053" t="str">
        <f>T("판타지 웹소설 &gt; 정통 판타지")</f>
        <v>판타지 웹소설 &gt; 정통 판타지</v>
      </c>
    </row>
    <row r="2054" spans="1:48" x14ac:dyDescent="0.4">
      <c r="A2054">
        <v>1525002409</v>
      </c>
      <c r="B2054">
        <v>1525002581</v>
      </c>
      <c r="C2054" t="str">
        <f>T("스포트라이트 173화")</f>
        <v>스포트라이트 173화</v>
      </c>
      <c r="D2054" t="str">
        <f>T("173")</f>
        <v>173</v>
      </c>
      <c r="E2054" t="str">
        <f>T("전혁")</f>
        <v>전혁</v>
      </c>
      <c r="H2054" t="str">
        <f>T("스토리위즈")</f>
        <v>스토리위즈</v>
      </c>
      <c r="I2054" t="str">
        <f>T("스포트라이트")</f>
        <v>스포트라이트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P2054" s="2">
        <v>70</v>
      </c>
      <c r="AT2054" t="str">
        <f>T("9791159286841")</f>
        <v>9791159286841</v>
      </c>
      <c r="AV2054" t="str">
        <f>T("판타지 웹소설 &gt; 현대 판타지")</f>
        <v>판타지 웹소설 &gt; 현대 판타지</v>
      </c>
    </row>
    <row r="2055" spans="1:48" x14ac:dyDescent="0.4">
      <c r="A2055">
        <v>2313011400</v>
      </c>
      <c r="B2055">
        <v>1525007658</v>
      </c>
      <c r="C2055" t="str">
        <f>T("최종 보스 22권 3화")</f>
        <v>최종 보스 22권 3화</v>
      </c>
      <c r="D2055" t="str">
        <f>T("436")</f>
        <v>436</v>
      </c>
      <c r="E2055" t="str">
        <f>T("무장")</f>
        <v>무장</v>
      </c>
      <c r="H2055" t="str">
        <f>T("스토리위즈")</f>
        <v>스토리위즈</v>
      </c>
      <c r="I2055" t="str">
        <f>T("최종 보스 : 빛을 향해 달리는 그림자")</f>
        <v>최종 보스 : 빛을 향해 달리는 그림자</v>
      </c>
      <c r="J2055">
        <v>100</v>
      </c>
      <c r="K2055">
        <v>100</v>
      </c>
      <c r="L2055">
        <v>1</v>
      </c>
      <c r="M2055">
        <v>0</v>
      </c>
      <c r="N2055">
        <v>100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 s="2">
        <v>140</v>
      </c>
      <c r="AT2055" t="str">
        <f>T("9791166067563")</f>
        <v>9791166067563</v>
      </c>
      <c r="AV2055" t="str">
        <f>T("판타지 웹소설 &gt; 현대 판타지")</f>
        <v>판타지 웹소설 &gt; 현대 판타지</v>
      </c>
    </row>
    <row r="2056" spans="1:48" x14ac:dyDescent="0.4">
      <c r="A2056">
        <v>1525004030</v>
      </c>
      <c r="B2056">
        <v>1525006716</v>
      </c>
      <c r="C2056" t="str">
        <f>T("회귀의 전설 2부 599화")</f>
        <v>회귀의 전설 2부 599화</v>
      </c>
      <c r="D2056" t="str">
        <f>T("599")</f>
        <v>599</v>
      </c>
      <c r="E2056" t="str">
        <f>T("김광수")</f>
        <v>김광수</v>
      </c>
      <c r="H2056" t="str">
        <f>T("스토리위즈")</f>
        <v>스토리위즈</v>
      </c>
      <c r="I2056" t="str">
        <f>T("회귀의 전설")</f>
        <v>회귀의 전설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P2056" s="2">
        <v>70</v>
      </c>
      <c r="AT2056" t="str">
        <f>T("9791191102086")</f>
        <v>9791191102086</v>
      </c>
      <c r="AV2056" t="str">
        <f>T("판타지 웹소설 &gt; 현대 판타지")</f>
        <v>판타지 웹소설 &gt; 현대 판타지</v>
      </c>
    </row>
    <row r="2057" spans="1:48" x14ac:dyDescent="0.4">
      <c r="A2057">
        <v>1525004989</v>
      </c>
      <c r="B2057">
        <v>1525005585</v>
      </c>
      <c r="C2057" t="str">
        <f>T("신룡전설 96화")</f>
        <v>신룡전설 96화</v>
      </c>
      <c r="D2057" t="str">
        <f>T("96")</f>
        <v>96</v>
      </c>
      <c r="E2057" t="str">
        <f>T("가람검")</f>
        <v>가람검</v>
      </c>
      <c r="H2057" t="str">
        <f>T("스토리위즈")</f>
        <v>스토리위즈</v>
      </c>
      <c r="I2057" t="str">
        <f>T("신룡전설")</f>
        <v>신룡전설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P2057" s="2">
        <v>70</v>
      </c>
      <c r="AT2057" t="str">
        <f>T("9791159283505")</f>
        <v>9791159283505</v>
      </c>
      <c r="AV2057" t="str">
        <f>T("판타지 웹소설 &gt; 무협 소설")</f>
        <v>판타지 웹소설 &gt; 무협 소설</v>
      </c>
    </row>
    <row r="2058" spans="1:48" x14ac:dyDescent="0.4">
      <c r="A2058">
        <v>1525008276</v>
      </c>
      <c r="B2058">
        <v>1525008338</v>
      </c>
      <c r="C2058" t="str">
        <f>T("달보드레 외전 5")</f>
        <v>달보드레 외전 5</v>
      </c>
      <c r="D2058" t="str">
        <f>T("72")</f>
        <v>72</v>
      </c>
      <c r="E2058" t="str">
        <f>T("시아")</f>
        <v>시아</v>
      </c>
      <c r="H2058" t="str">
        <f>T("비엘스토리")</f>
        <v>비엘스토리</v>
      </c>
      <c r="I2058" t="str">
        <f>T("달보드레")</f>
        <v>달보드레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100</v>
      </c>
      <c r="AL2058">
        <v>0</v>
      </c>
      <c r="AM2058">
        <v>0</v>
      </c>
      <c r="AN2058">
        <v>0</v>
      </c>
      <c r="AO2058">
        <v>0</v>
      </c>
      <c r="AP2058" s="2">
        <v>70</v>
      </c>
      <c r="AR2058" t="str">
        <f>T("0000000000000")</f>
        <v>0000000000000</v>
      </c>
      <c r="AT2058" t="str">
        <f>T("9791164899715")</f>
        <v>9791164899715</v>
      </c>
      <c r="AV2058" t="str">
        <f>T("BL 웹소설 &gt; 현대물")</f>
        <v>BL 웹소설 &gt; 현대물</v>
      </c>
    </row>
    <row r="2059" spans="1:48" x14ac:dyDescent="0.4">
      <c r="A2059">
        <v>1525004030</v>
      </c>
      <c r="B2059">
        <v>1525006964</v>
      </c>
      <c r="C2059" t="str">
        <f>T("회귀의 전설 2부 848화")</f>
        <v>회귀의 전설 2부 848화</v>
      </c>
      <c r="D2059" t="str">
        <f>T("848")</f>
        <v>848</v>
      </c>
      <c r="E2059" t="str">
        <f>T("김광수")</f>
        <v>김광수</v>
      </c>
      <c r="H2059" t="str">
        <f>T("스토리위즈")</f>
        <v>스토리위즈</v>
      </c>
      <c r="I2059" t="str">
        <f>T("회귀의 전설")</f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P2059" s="2">
        <v>70</v>
      </c>
      <c r="AT2059" t="str">
        <f>T("9791191102086")</f>
        <v>9791191102086</v>
      </c>
      <c r="AV2059" t="str">
        <f>T("판타지 웹소설 &gt; 현대 판타지")</f>
        <v>판타지 웹소설 &gt; 현대 판타지</v>
      </c>
    </row>
    <row r="2060" spans="1:48" x14ac:dyDescent="0.4">
      <c r="A2060">
        <v>2313011400</v>
      </c>
      <c r="B2060">
        <v>1525007578</v>
      </c>
      <c r="C2060" t="str">
        <f>T("최종 보스 18권 4화")</f>
        <v>최종 보스 18권 4화</v>
      </c>
      <c r="D2060" t="str">
        <f>T("356")</f>
        <v>356</v>
      </c>
      <c r="E2060" t="str">
        <f>T("무장")</f>
        <v>무장</v>
      </c>
      <c r="H2060" t="str">
        <f>T("스토리위즈")</f>
        <v>스토리위즈</v>
      </c>
      <c r="I2060" t="str">
        <f>T("최종 보스 : 빛을 향해 달리는 그림자")</f>
        <v>최종 보스 : 빛을 향해 달리는 그림자</v>
      </c>
      <c r="J2060">
        <v>100</v>
      </c>
      <c r="K2060">
        <v>100</v>
      </c>
      <c r="L2060">
        <v>1</v>
      </c>
      <c r="M2060">
        <v>0</v>
      </c>
      <c r="N2060">
        <v>100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 s="2">
        <v>140</v>
      </c>
      <c r="AT2060" t="str">
        <f>T("9791166067563")</f>
        <v>9791166067563</v>
      </c>
      <c r="AV2060" t="str">
        <f>T("판타지 웹소설 &gt; 현대 판타지")</f>
        <v>판타지 웹소설 &gt; 현대 판타지</v>
      </c>
    </row>
    <row r="2061" spans="1:48" x14ac:dyDescent="0.4">
      <c r="A2061">
        <v>1525004030</v>
      </c>
      <c r="B2061">
        <v>1525004287</v>
      </c>
      <c r="C2061" t="str">
        <f>T("회귀의 전설 258화")</f>
        <v>회귀의 전설 258화</v>
      </c>
      <c r="D2061" t="str">
        <f>T("258")</f>
        <v>258</v>
      </c>
      <c r="E2061" t="str">
        <f>T("김광수")</f>
        <v>김광수</v>
      </c>
      <c r="H2061" t="str">
        <f>T("스토리위즈")</f>
        <v>스토리위즈</v>
      </c>
      <c r="I2061" t="str">
        <f>T("회귀의 전설")</f>
        <v>회귀의 전설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100</v>
      </c>
      <c r="AL2061">
        <v>0</v>
      </c>
      <c r="AM2061">
        <v>0</v>
      </c>
      <c r="AN2061">
        <v>0</v>
      </c>
      <c r="AO2061">
        <v>0</v>
      </c>
      <c r="AP2061" s="2">
        <v>70</v>
      </c>
      <c r="AT2061" t="str">
        <f>T("9788997946006")</f>
        <v>9788997946006</v>
      </c>
      <c r="AV2061" t="str">
        <f>T("판타지 웹소설 &gt; 현대 판타지")</f>
        <v>판타지 웹소설 &gt; 현대 판타지</v>
      </c>
    </row>
    <row r="2062" spans="1:48" x14ac:dyDescent="0.4">
      <c r="A2062">
        <v>1525008545</v>
      </c>
      <c r="B2062">
        <v>1525008585</v>
      </c>
      <c r="C2062" t="str">
        <f>T("소년연애담 56화")</f>
        <v>소년연애담 56화</v>
      </c>
      <c r="D2062" t="str">
        <f>T("56")</f>
        <v>56</v>
      </c>
      <c r="E2062" t="str">
        <f>T("나나코")</f>
        <v>나나코</v>
      </c>
      <c r="H2062" t="str">
        <f>T("블러쉬")</f>
        <v>블러쉬</v>
      </c>
      <c r="I2062" t="str">
        <f>T("소년연애담")</f>
        <v>소년연애담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100</v>
      </c>
      <c r="AN2062">
        <v>0</v>
      </c>
      <c r="AO2062">
        <v>0</v>
      </c>
      <c r="AP2062" s="2">
        <v>70</v>
      </c>
      <c r="AR2062" t="str">
        <f>T("0000000000000")</f>
        <v>0000000000000</v>
      </c>
      <c r="AT2062" t="str">
        <f>T("9791164890729")</f>
        <v>9791164890729</v>
      </c>
      <c r="AU2062" t="str">
        <f>T("B12")</f>
        <v>B12</v>
      </c>
      <c r="AV2062" t="str">
        <f>T("BL 웹소설 &gt; 현대물")</f>
        <v>BL 웹소설 &gt; 현대물</v>
      </c>
    </row>
    <row r="2063" spans="1:48" x14ac:dyDescent="0.4">
      <c r="A2063">
        <v>1525010579</v>
      </c>
      <c r="B2063">
        <v>1525010212</v>
      </c>
      <c r="C2063" t="str">
        <f>T("법보다 주먹 366화")</f>
        <v>법보다 주먹 366화</v>
      </c>
      <c r="D2063" t="str">
        <f>T("366")</f>
        <v>366</v>
      </c>
      <c r="E2063" t="str">
        <f>T("백범(白帆)")</f>
        <v>백범(白帆)</v>
      </c>
      <c r="H2063" t="str">
        <f>T("에필로그")</f>
        <v>에필로그</v>
      </c>
      <c r="I2063" t="str">
        <f>T("법보다 주먹")</f>
        <v>법보다 주먹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P2063" s="2">
        <v>70</v>
      </c>
      <c r="AT2063" t="str">
        <f>T("9791164489367")</f>
        <v>9791164489367</v>
      </c>
      <c r="AV2063" t="str">
        <f t="shared" ref="AV2063:AV2068" si="209">T("판타지 웹소설 &gt; 현대 판타지")</f>
        <v>판타지 웹소설 &gt; 현대 판타지</v>
      </c>
    </row>
    <row r="2064" spans="1:48" x14ac:dyDescent="0.4">
      <c r="A2064">
        <v>1525004030</v>
      </c>
      <c r="B2064">
        <v>1525013004</v>
      </c>
      <c r="C2064" t="str">
        <f>T("회귀의 전설 1309화 (3부 완결)")</f>
        <v>회귀의 전설 1309화 (3부 완결)</v>
      </c>
      <c r="D2064" t="str">
        <f>T("1309")</f>
        <v>1309</v>
      </c>
      <c r="E2064" t="str">
        <f>T("김광수")</f>
        <v>김광수</v>
      </c>
      <c r="H2064" t="str">
        <f t="shared" ref="H2064:H2072" si="210">T("스토리위즈")</f>
        <v>스토리위즈</v>
      </c>
      <c r="I2064" t="str">
        <f>T("회귀의 전설")</f>
        <v>회귀의 전설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P2064" s="2">
        <v>70</v>
      </c>
      <c r="AT2064" t="str">
        <f>T("9791191102086")</f>
        <v>9791191102086</v>
      </c>
      <c r="AV2064" t="str">
        <f t="shared" si="209"/>
        <v>판타지 웹소설 &gt; 현대 판타지</v>
      </c>
    </row>
    <row r="2065" spans="1:48" x14ac:dyDescent="0.4">
      <c r="A2065">
        <v>1525004030</v>
      </c>
      <c r="B2065">
        <v>1525004399</v>
      </c>
      <c r="C2065" t="str">
        <f>T("회귀의 전설 371화")</f>
        <v>회귀의 전설 371화</v>
      </c>
      <c r="D2065" t="str">
        <f>T("371")</f>
        <v>371</v>
      </c>
      <c r="E2065" t="str">
        <f>T("김광수")</f>
        <v>김광수</v>
      </c>
      <c r="H2065" t="str">
        <f t="shared" si="210"/>
        <v>스토리위즈</v>
      </c>
      <c r="I2065" t="str">
        <f>T("회귀의 전설")</f>
        <v>회귀의 전설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P2065" s="2">
        <v>70</v>
      </c>
      <c r="AT2065" t="str">
        <f>T("9788997946006")</f>
        <v>9788997946006</v>
      </c>
      <c r="AV2065" t="str">
        <f t="shared" si="209"/>
        <v>판타지 웹소설 &gt; 현대 판타지</v>
      </c>
    </row>
    <row r="2066" spans="1:48" x14ac:dyDescent="0.4">
      <c r="A2066">
        <v>1525004030</v>
      </c>
      <c r="B2066">
        <v>1525006732</v>
      </c>
      <c r="C2066" t="str">
        <f>T("회귀의 전설 2부 615화")</f>
        <v>회귀의 전설 2부 615화</v>
      </c>
      <c r="D2066" t="str">
        <f>T("615")</f>
        <v>615</v>
      </c>
      <c r="E2066" t="str">
        <f>T("김광수")</f>
        <v>김광수</v>
      </c>
      <c r="H2066" t="str">
        <f t="shared" si="210"/>
        <v>스토리위즈</v>
      </c>
      <c r="I2066" t="str">
        <f>T("회귀의 전설")</f>
        <v>회귀의 전설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P2066" s="2">
        <v>70</v>
      </c>
      <c r="AT2066" t="str">
        <f>T("9791191102086")</f>
        <v>9791191102086</v>
      </c>
      <c r="AV2066" t="str">
        <f t="shared" si="209"/>
        <v>판타지 웹소설 &gt; 현대 판타지</v>
      </c>
    </row>
    <row r="2067" spans="1:48" x14ac:dyDescent="0.4">
      <c r="A2067">
        <v>1525004030</v>
      </c>
      <c r="B2067">
        <v>1525007048</v>
      </c>
      <c r="C2067" t="str">
        <f>T("회귀의 전설 2부 932화")</f>
        <v>회귀의 전설 2부 932화</v>
      </c>
      <c r="D2067" t="str">
        <f>T("932")</f>
        <v>932</v>
      </c>
      <c r="E2067" t="str">
        <f>T("김광수")</f>
        <v>김광수</v>
      </c>
      <c r="H2067" t="str">
        <f t="shared" si="210"/>
        <v>스토리위즈</v>
      </c>
      <c r="I2067" t="str">
        <f>T("회귀의 전설")</f>
        <v>회귀의 전설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P2067" s="2">
        <v>70</v>
      </c>
      <c r="AT2067" t="str">
        <f>T("9791191102086")</f>
        <v>9791191102086</v>
      </c>
      <c r="AV2067" t="str">
        <f t="shared" si="209"/>
        <v>판타지 웹소설 &gt; 현대 판타지</v>
      </c>
    </row>
    <row r="2068" spans="1:48" x14ac:dyDescent="0.4">
      <c r="A2068">
        <v>2313011400</v>
      </c>
      <c r="B2068">
        <v>1525007690</v>
      </c>
      <c r="C2068" t="str">
        <f>T("최종 보스 23권 15화")</f>
        <v>최종 보스 23권 15화</v>
      </c>
      <c r="D2068" t="str">
        <f>T("468")</f>
        <v>468</v>
      </c>
      <c r="E2068" t="str">
        <f>T("무장")</f>
        <v>무장</v>
      </c>
      <c r="H2068" t="str">
        <f t="shared" si="210"/>
        <v>스토리위즈</v>
      </c>
      <c r="I2068" t="str">
        <f>T("최종 보스 : 빛을 향해 달리는 그림자")</f>
        <v>최종 보스 : 빛을 향해 달리는 그림자</v>
      </c>
      <c r="J2068">
        <v>100</v>
      </c>
      <c r="K2068">
        <v>100</v>
      </c>
      <c r="L2068">
        <v>1</v>
      </c>
      <c r="M2068">
        <v>0</v>
      </c>
      <c r="N2068">
        <v>100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 s="2">
        <v>140</v>
      </c>
      <c r="AT2068" t="str">
        <f>T("9791166067563")</f>
        <v>9791166067563</v>
      </c>
      <c r="AV2068" t="str">
        <f t="shared" si="209"/>
        <v>판타지 웹소설 &gt; 현대 판타지</v>
      </c>
    </row>
    <row r="2069" spans="1:48" x14ac:dyDescent="0.4">
      <c r="A2069">
        <v>1525004988</v>
      </c>
      <c r="B2069">
        <v>1525005319</v>
      </c>
      <c r="C2069" t="str">
        <f>T("용무쌍 32화")</f>
        <v>용무쌍 32화</v>
      </c>
      <c r="D2069" t="str">
        <f>T("32")</f>
        <v>32</v>
      </c>
      <c r="E2069" t="str">
        <f>T("권용찬")</f>
        <v>권용찬</v>
      </c>
      <c r="H2069" t="str">
        <f t="shared" si="210"/>
        <v>스토리위즈</v>
      </c>
      <c r="I2069" t="str">
        <f>T("용무쌍")</f>
        <v>용무쌍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100</v>
      </c>
      <c r="AL2069">
        <v>0</v>
      </c>
      <c r="AM2069">
        <v>0</v>
      </c>
      <c r="AN2069">
        <v>0</v>
      </c>
      <c r="AO2069">
        <v>0</v>
      </c>
      <c r="AP2069" s="2">
        <v>70</v>
      </c>
      <c r="AT2069" t="str">
        <f>T("9791159284861")</f>
        <v>9791159284861</v>
      </c>
      <c r="AV2069" t="str">
        <f>T("판타지 웹소설 &gt; 무협 소설")</f>
        <v>판타지 웹소설 &gt; 무협 소설</v>
      </c>
    </row>
    <row r="2070" spans="1:48" x14ac:dyDescent="0.4">
      <c r="A2070">
        <v>1525004989</v>
      </c>
      <c r="B2070">
        <v>1525005617</v>
      </c>
      <c r="C2070" t="str">
        <f>T("신룡전설 128화")</f>
        <v>신룡전설 128화</v>
      </c>
      <c r="D2070" t="str">
        <f>T("128")</f>
        <v>128</v>
      </c>
      <c r="E2070" t="str">
        <f>T("가람검")</f>
        <v>가람검</v>
      </c>
      <c r="H2070" t="str">
        <f t="shared" si="210"/>
        <v>스토리위즈</v>
      </c>
      <c r="I2070" t="str">
        <f>T("신룡전설")</f>
        <v>신룡전설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P2070" s="2">
        <v>70</v>
      </c>
      <c r="AT2070" t="str">
        <f>T("9791159283505")</f>
        <v>9791159283505</v>
      </c>
      <c r="AV2070" t="str">
        <f>T("판타지 웹소설 &gt; 무협 소설")</f>
        <v>판타지 웹소설 &gt; 무협 소설</v>
      </c>
    </row>
    <row r="2071" spans="1:48" x14ac:dyDescent="0.4">
      <c r="A2071">
        <v>1525002409</v>
      </c>
      <c r="B2071">
        <v>1525002566</v>
      </c>
      <c r="C2071" t="str">
        <f>T("스포트라이트 158화")</f>
        <v>스포트라이트 158화</v>
      </c>
      <c r="D2071" t="str">
        <f>T("158")</f>
        <v>158</v>
      </c>
      <c r="E2071" t="str">
        <f>T("전혁")</f>
        <v>전혁</v>
      </c>
      <c r="H2071" t="str">
        <f t="shared" si="210"/>
        <v>스토리위즈</v>
      </c>
      <c r="I2071" t="str">
        <f>T("스포트라이트")</f>
        <v>스포트라이트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100</v>
      </c>
      <c r="AL2071">
        <v>0</v>
      </c>
      <c r="AM2071">
        <v>0</v>
      </c>
      <c r="AN2071">
        <v>0</v>
      </c>
      <c r="AO2071">
        <v>0</v>
      </c>
      <c r="AP2071" s="2">
        <v>70</v>
      </c>
      <c r="AT2071" t="str">
        <f>T("9791159286841")</f>
        <v>9791159286841</v>
      </c>
      <c r="AV2071" t="str">
        <f>T("판타지 웹소설 &gt; 현대 판타지")</f>
        <v>판타지 웹소설 &gt; 현대 판타지</v>
      </c>
    </row>
    <row r="2072" spans="1:48" x14ac:dyDescent="0.4">
      <c r="A2072">
        <v>1525004030</v>
      </c>
      <c r="B2072">
        <v>1525006996</v>
      </c>
      <c r="C2072" t="str">
        <f>T("회귀의 전설 2부 880화")</f>
        <v>회귀의 전설 2부 880화</v>
      </c>
      <c r="D2072" t="str">
        <f>T("880")</f>
        <v>880</v>
      </c>
      <c r="E2072" t="str">
        <f>T("김광수")</f>
        <v>김광수</v>
      </c>
      <c r="H2072" t="str">
        <f t="shared" si="210"/>
        <v>스토리위즈</v>
      </c>
      <c r="I2072" t="str">
        <f>T("회귀의 전설")</f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P2072" s="2">
        <v>70</v>
      </c>
      <c r="AT2072" t="str">
        <f>T("9791191102086")</f>
        <v>9791191102086</v>
      </c>
      <c r="AV2072" t="str">
        <f>T("판타지 웹소설 &gt; 현대 판타지")</f>
        <v>판타지 웹소설 &gt; 현대 판타지</v>
      </c>
    </row>
    <row r="2073" spans="1:48" x14ac:dyDescent="0.4">
      <c r="A2073">
        <v>1525008604</v>
      </c>
      <c r="B2073">
        <v>1525008602</v>
      </c>
      <c r="C2073" t="str">
        <f>T("우아한 곡선 18화")</f>
        <v>우아한 곡선 18화</v>
      </c>
      <c r="D2073" t="str">
        <f>T("18")</f>
        <v>18</v>
      </c>
      <c r="E2073" t="str">
        <f>T("용가리맛쿠키")</f>
        <v>용가리맛쿠키</v>
      </c>
      <c r="H2073" t="str">
        <f>T("블러쉬")</f>
        <v>블러쉬</v>
      </c>
      <c r="I2073" t="str">
        <f>T("우아한 곡선")</f>
        <v>우아한 곡선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P2073" s="2">
        <v>70</v>
      </c>
      <c r="AR2073" t="str">
        <f>T("0000000000000")</f>
        <v>0000000000000</v>
      </c>
      <c r="AT2073" t="str">
        <f>T("9791164896615")</f>
        <v>9791164896615</v>
      </c>
      <c r="AV2073" t="str">
        <f>T("BL 웹소설 &gt; 현대물")</f>
        <v>BL 웹소설 &gt; 현대물</v>
      </c>
    </row>
    <row r="2074" spans="1:48" x14ac:dyDescent="0.4">
      <c r="A2074">
        <v>1525004030</v>
      </c>
      <c r="B2074">
        <v>1525007105</v>
      </c>
      <c r="C2074" t="str">
        <f>T("회귀의 전설 2부 989화")</f>
        <v>회귀의 전설 2부 989화</v>
      </c>
      <c r="D2074" t="str">
        <f>T("989")</f>
        <v>989</v>
      </c>
      <c r="E2074" t="str">
        <f>T("김광수")</f>
        <v>김광수</v>
      </c>
      <c r="H2074" t="str">
        <f>T("스토리위즈")</f>
        <v>스토리위즈</v>
      </c>
      <c r="I2074" t="str">
        <f>T("회귀의 전설")</f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P2074" s="2">
        <v>70</v>
      </c>
      <c r="AT2074" t="str">
        <f>T("9791191102086")</f>
        <v>9791191102086</v>
      </c>
      <c r="AV2074" t="str">
        <f>T("판타지 웹소설 &gt; 현대 판타지")</f>
        <v>판타지 웹소설 &gt; 현대 판타지</v>
      </c>
    </row>
    <row r="2075" spans="1:48" x14ac:dyDescent="0.4">
      <c r="A2075">
        <v>1525007923</v>
      </c>
      <c r="B2075">
        <v>1525007997</v>
      </c>
      <c r="C2075" t="str">
        <f>T("운상연담: 화불능귀일락 87화")</f>
        <v>운상연담: 화불능귀일락 87화</v>
      </c>
      <c r="D2075" t="str">
        <f>T("87")</f>
        <v>87</v>
      </c>
      <c r="E2075" t="str">
        <f>T("피모")</f>
        <v>피모</v>
      </c>
      <c r="H2075" t="str">
        <f>T("쉬라즈")</f>
        <v>쉬라즈</v>
      </c>
      <c r="I2075" t="str">
        <f>T("운상연담: 화불능귀일락")</f>
        <v>운상연담: 화불능귀일락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P2075" s="2">
        <v>70</v>
      </c>
      <c r="AT2075" t="str">
        <f>T("9791164896646")</f>
        <v>9791164896646</v>
      </c>
      <c r="AV2075" t="str">
        <f>T("로맨스 웹소설 &gt; 역사/시대물")</f>
        <v>로맨스 웹소설 &gt; 역사/시대물</v>
      </c>
    </row>
    <row r="2076" spans="1:48" x14ac:dyDescent="0.4">
      <c r="A2076">
        <v>1525010579</v>
      </c>
      <c r="B2076">
        <v>1525010240</v>
      </c>
      <c r="C2076" t="str">
        <f>T("법보다 주먹 338화")</f>
        <v>법보다 주먹 338화</v>
      </c>
      <c r="D2076" t="str">
        <f>T("338")</f>
        <v>338</v>
      </c>
      <c r="E2076" t="str">
        <f>T("백범(白帆)")</f>
        <v>백범(白帆)</v>
      </c>
      <c r="H2076" t="str">
        <f>T("에필로그")</f>
        <v>에필로그</v>
      </c>
      <c r="I2076" t="str">
        <f>T("법보다 주먹")</f>
        <v>법보다 주먹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P2076" s="2">
        <v>70</v>
      </c>
      <c r="AT2076" t="str">
        <f>T("9791164489367")</f>
        <v>9791164489367</v>
      </c>
      <c r="AV2076" t="str">
        <f>T("판타지 웹소설 &gt; 현대 판타지")</f>
        <v>판타지 웹소설 &gt; 현대 판타지</v>
      </c>
    </row>
    <row r="2077" spans="1:48" x14ac:dyDescent="0.4">
      <c r="A2077">
        <v>1525002864</v>
      </c>
      <c r="B2077">
        <v>1525002898</v>
      </c>
      <c r="C2077" t="str">
        <f>T("소드마스터의 환생 35화")</f>
        <v>소드마스터의 환생 35화</v>
      </c>
      <c r="D2077" t="str">
        <f>T("35")</f>
        <v>35</v>
      </c>
      <c r="E2077" t="str">
        <f>T("파란영")</f>
        <v>파란영</v>
      </c>
      <c r="H2077" t="str">
        <f>T("스토리위즈")</f>
        <v>스토리위즈</v>
      </c>
      <c r="I2077" t="str">
        <f>T("소드마스터의 환생")</f>
        <v>소드마스터의 환생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P2077" s="2">
        <v>70</v>
      </c>
      <c r="AT2077" t="str">
        <f>T("9791159287527")</f>
        <v>9791159287527</v>
      </c>
      <c r="AV2077" t="str">
        <f>T("판타지 웹소설 &gt; 정통 판타지")</f>
        <v>판타지 웹소설 &gt; 정통 판타지</v>
      </c>
    </row>
    <row r="2078" spans="1:48" x14ac:dyDescent="0.4">
      <c r="A2078">
        <v>2313011400</v>
      </c>
      <c r="B2078">
        <v>1525007651</v>
      </c>
      <c r="C2078" t="str">
        <f>T("최종 보스 21권 16화")</f>
        <v>최종 보스 21권 16화</v>
      </c>
      <c r="D2078" t="str">
        <f>T("429")</f>
        <v>429</v>
      </c>
      <c r="E2078" t="str">
        <f>T("무장")</f>
        <v>무장</v>
      </c>
      <c r="H2078" t="str">
        <f>T("스토리위즈")</f>
        <v>스토리위즈</v>
      </c>
      <c r="I2078" t="str">
        <f>T("최종 보스 : 빛을 향해 달리는 그림자")</f>
        <v>최종 보스 : 빛을 향해 달리는 그림자</v>
      </c>
      <c r="J2078">
        <v>100</v>
      </c>
      <c r="K2078">
        <v>100</v>
      </c>
      <c r="L2078">
        <v>1</v>
      </c>
      <c r="M2078">
        <v>0</v>
      </c>
      <c r="N2078">
        <v>200</v>
      </c>
      <c r="O2078">
        <v>2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300</v>
      </c>
      <c r="AH2078">
        <v>3</v>
      </c>
      <c r="AI2078">
        <v>0</v>
      </c>
      <c r="AJ2078">
        <v>0</v>
      </c>
      <c r="AK2078">
        <v>300</v>
      </c>
      <c r="AL2078">
        <v>0</v>
      </c>
      <c r="AM2078">
        <v>0</v>
      </c>
      <c r="AN2078">
        <v>0</v>
      </c>
      <c r="AO2078">
        <v>0</v>
      </c>
      <c r="AP2078" s="2">
        <v>210</v>
      </c>
      <c r="AT2078" t="str">
        <f>T("9791166067563")</f>
        <v>9791166067563</v>
      </c>
      <c r="AV2078" t="str">
        <f>T("판타지 웹소설 &gt; 현대 판타지")</f>
        <v>판타지 웹소설 &gt; 현대 판타지</v>
      </c>
    </row>
    <row r="2079" spans="1:48" x14ac:dyDescent="0.4">
      <c r="A2079">
        <v>1525004030</v>
      </c>
      <c r="B2079">
        <v>1525004552</v>
      </c>
      <c r="C2079" t="str">
        <f>T("회귀의 전설 501화")</f>
        <v>회귀의 전설 501화</v>
      </c>
      <c r="D2079" t="str">
        <f>T("501")</f>
        <v>501</v>
      </c>
      <c r="E2079" t="str">
        <f>T("김광수")</f>
        <v>김광수</v>
      </c>
      <c r="H2079" t="str">
        <f>T("스토리위즈")</f>
        <v>스토리위즈</v>
      </c>
      <c r="I2079" t="str">
        <f>T("회귀의 전설")</f>
        <v>회귀의 전설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100</v>
      </c>
      <c r="AL2079">
        <v>0</v>
      </c>
      <c r="AM2079">
        <v>0</v>
      </c>
      <c r="AN2079">
        <v>0</v>
      </c>
      <c r="AO2079">
        <v>0</v>
      </c>
      <c r="AP2079" s="2">
        <v>70</v>
      </c>
      <c r="AT2079" t="str">
        <f>T("9788997946006")</f>
        <v>9788997946006</v>
      </c>
      <c r="AV2079" t="str">
        <f>T("판타지 웹소설 &gt; 현대 판타지")</f>
        <v>판타지 웹소설 &gt; 현대 판타지</v>
      </c>
    </row>
    <row r="2080" spans="1:48" x14ac:dyDescent="0.4">
      <c r="A2080">
        <v>1525004030</v>
      </c>
      <c r="B2080">
        <v>1525006709</v>
      </c>
      <c r="C2080" t="str">
        <f>T("회귀의 전설 2부 592화")</f>
        <v>회귀의 전설 2부 592화</v>
      </c>
      <c r="D2080" t="str">
        <f>T("592")</f>
        <v>592</v>
      </c>
      <c r="E2080" t="str">
        <f>T("김광수")</f>
        <v>김광수</v>
      </c>
      <c r="H2080" t="str">
        <f>T("스토리위즈")</f>
        <v>스토리위즈</v>
      </c>
      <c r="I2080" t="str">
        <f>T("회귀의 전설")</f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P2080" s="2">
        <v>70</v>
      </c>
      <c r="AT2080" t="str">
        <f>T("9791191102086")</f>
        <v>9791191102086</v>
      </c>
      <c r="AV2080" t="str">
        <f>T("판타지 웹소설 &gt; 현대 판타지")</f>
        <v>판타지 웹소설 &gt; 현대 판타지</v>
      </c>
    </row>
    <row r="2081" spans="1:48" x14ac:dyDescent="0.4">
      <c r="A2081">
        <v>1525004030</v>
      </c>
      <c r="B2081">
        <v>1525004280</v>
      </c>
      <c r="C2081" t="str">
        <f>T("회귀의 전설 251화")</f>
        <v>회귀의 전설 251화</v>
      </c>
      <c r="D2081" t="str">
        <f>T("251")</f>
        <v>251</v>
      </c>
      <c r="E2081" t="str">
        <f>T("김광수")</f>
        <v>김광수</v>
      </c>
      <c r="H2081" t="str">
        <f>T("스토리위즈")</f>
        <v>스토리위즈</v>
      </c>
      <c r="I2081" t="str">
        <f>T("회귀의 전설")</f>
        <v>회귀의 전설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100</v>
      </c>
      <c r="AL2081">
        <v>0</v>
      </c>
      <c r="AM2081">
        <v>0</v>
      </c>
      <c r="AN2081">
        <v>0</v>
      </c>
      <c r="AO2081">
        <v>0</v>
      </c>
      <c r="AP2081" s="2">
        <v>70</v>
      </c>
      <c r="AT2081" t="str">
        <f>T("9788997946006")</f>
        <v>9788997946006</v>
      </c>
      <c r="AV2081" t="str">
        <f>T("판타지 웹소설 &gt; 현대 판타지")</f>
        <v>판타지 웹소설 &gt; 현대 판타지</v>
      </c>
    </row>
    <row r="2082" spans="1:48" x14ac:dyDescent="0.4">
      <c r="A2082">
        <v>1525008545</v>
      </c>
      <c r="B2082">
        <v>1525008578</v>
      </c>
      <c r="C2082" t="str">
        <f>T("소년연애담 4화")</f>
        <v>소년연애담 4화</v>
      </c>
      <c r="D2082" t="str">
        <f>T("4")</f>
        <v>4</v>
      </c>
      <c r="E2082" t="str">
        <f>T("나나코")</f>
        <v>나나코</v>
      </c>
      <c r="H2082" t="str">
        <f>T("블러쉬")</f>
        <v>블러쉬</v>
      </c>
      <c r="I2082" t="str">
        <f>T("소년연애담")</f>
        <v>소년연애담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100</v>
      </c>
      <c r="AN2082">
        <v>0</v>
      </c>
      <c r="AO2082">
        <v>0</v>
      </c>
      <c r="AP2082" s="2">
        <v>70</v>
      </c>
      <c r="AR2082" t="str">
        <f>T("0000000000000")</f>
        <v>0000000000000</v>
      </c>
      <c r="AT2082" t="str">
        <f>T("9791164890729")</f>
        <v>9791164890729</v>
      </c>
      <c r="AU2082" t="str">
        <f>T("B12")</f>
        <v>B12</v>
      </c>
      <c r="AV2082" t="str">
        <f>T("BL 웹소설 &gt; 현대물")</f>
        <v>BL 웹소설 &gt; 현대물</v>
      </c>
    </row>
    <row r="2083" spans="1:48" x14ac:dyDescent="0.4">
      <c r="A2083">
        <v>1525010579</v>
      </c>
      <c r="B2083">
        <v>1525010197</v>
      </c>
      <c r="C2083" t="str">
        <f>T("법보다 주먹 381화")</f>
        <v>법보다 주먹 381화</v>
      </c>
      <c r="D2083" t="str">
        <f>T("381")</f>
        <v>381</v>
      </c>
      <c r="E2083" t="str">
        <f>T("백범(白帆)")</f>
        <v>백범(白帆)</v>
      </c>
      <c r="H2083" t="str">
        <f>T("에필로그")</f>
        <v>에필로그</v>
      </c>
      <c r="I2083" t="str">
        <f>T("법보다 주먹")</f>
        <v>법보다 주먹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P2083" s="2">
        <v>70</v>
      </c>
      <c r="AT2083" t="str">
        <f>T("9791164489367")</f>
        <v>9791164489367</v>
      </c>
      <c r="AV2083" t="str">
        <f>T("판타지 웹소설 &gt; 현대 판타지")</f>
        <v>판타지 웹소설 &gt; 현대 판타지</v>
      </c>
    </row>
    <row r="2084" spans="1:48" x14ac:dyDescent="0.4">
      <c r="A2084">
        <v>1525004030</v>
      </c>
      <c r="B2084">
        <v>1525012826</v>
      </c>
      <c r="C2084" t="str">
        <f>T("회귀의 전설 1131화")</f>
        <v>회귀의 전설 1131화</v>
      </c>
      <c r="D2084" t="str">
        <f>T("1131")</f>
        <v>1131</v>
      </c>
      <c r="E2084" t="str">
        <f>T("김광수")</f>
        <v>김광수</v>
      </c>
      <c r="H2084" t="str">
        <f>T("스토리위즈")</f>
        <v>스토리위즈</v>
      </c>
      <c r="I2084" t="str">
        <f>T("회귀의 전설")</f>
        <v>회귀의 전설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P2084" s="2">
        <v>70</v>
      </c>
      <c r="AT2084" t="str">
        <f>T("9791191102086")</f>
        <v>9791191102086</v>
      </c>
      <c r="AV2084" t="str">
        <f>T("판타지 웹소설 &gt; 현대 판타지")</f>
        <v>판타지 웹소설 &gt; 현대 판타지</v>
      </c>
    </row>
    <row r="2085" spans="1:48" x14ac:dyDescent="0.4">
      <c r="A2085">
        <v>1525007872</v>
      </c>
      <c r="B2085">
        <v>1525007876</v>
      </c>
      <c r="C2085" t="str">
        <f>T("아침이 오지 않아도 23화")</f>
        <v>아침이 오지 않아도 23화</v>
      </c>
      <c r="D2085" t="str">
        <f>T("23")</f>
        <v>23</v>
      </c>
      <c r="E2085" t="str">
        <f>T("홍영")</f>
        <v>홍영</v>
      </c>
      <c r="H2085" t="str">
        <f>T("러브스토리")</f>
        <v>러브스토리</v>
      </c>
      <c r="I2085" t="str">
        <f>T("아침이 오지 않아도")</f>
        <v>아침이 오지 않아도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P2085" s="2">
        <v>70</v>
      </c>
      <c r="AR2085" t="str">
        <f>T("0000000000000")</f>
        <v>0000000000000</v>
      </c>
      <c r="AT2085" t="str">
        <f>T("9791164899708")</f>
        <v>9791164899708</v>
      </c>
      <c r="AV2085" t="str">
        <f>T("로맨스 웹소설 &gt; 현대물")</f>
        <v>로맨스 웹소설 &gt; 현대물</v>
      </c>
    </row>
    <row r="2086" spans="1:48" x14ac:dyDescent="0.4">
      <c r="A2086">
        <v>1525004030</v>
      </c>
      <c r="B2086">
        <v>1525007041</v>
      </c>
      <c r="C2086" t="str">
        <f>T("회귀의 전설 2부 925화")</f>
        <v>회귀의 전설 2부 925화</v>
      </c>
      <c r="D2086" t="str">
        <f>T("925")</f>
        <v>925</v>
      </c>
      <c r="E2086" t="str">
        <f>T("김광수")</f>
        <v>김광수</v>
      </c>
      <c r="H2086" t="str">
        <f t="shared" ref="H2086:H2100" si="211">T("스토리위즈")</f>
        <v>스토리위즈</v>
      </c>
      <c r="I2086" t="str">
        <f>T("회귀의 전설")</f>
        <v>회귀의 전설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100</v>
      </c>
      <c r="AL2086">
        <v>0</v>
      </c>
      <c r="AM2086">
        <v>0</v>
      </c>
      <c r="AN2086">
        <v>0</v>
      </c>
      <c r="AO2086">
        <v>0</v>
      </c>
      <c r="AP2086" s="2">
        <v>70</v>
      </c>
      <c r="AT2086" t="str">
        <f>T("9791191102086")</f>
        <v>9791191102086</v>
      </c>
      <c r="AV2086" t="str">
        <f>T("판타지 웹소설 &gt; 현대 판타지")</f>
        <v>판타지 웹소설 &gt; 현대 판타지</v>
      </c>
    </row>
    <row r="2087" spans="1:48" x14ac:dyDescent="0.4">
      <c r="A2087">
        <v>2313011400</v>
      </c>
      <c r="B2087">
        <v>1525007683</v>
      </c>
      <c r="C2087" t="str">
        <f>T("최종 보스 23권 8화")</f>
        <v>최종 보스 23권 8화</v>
      </c>
      <c r="D2087" t="str">
        <f>T("461")</f>
        <v>461</v>
      </c>
      <c r="E2087" t="str">
        <f>T("무장")</f>
        <v>무장</v>
      </c>
      <c r="H2087" t="str">
        <f t="shared" si="211"/>
        <v>스토리위즈</v>
      </c>
      <c r="I2087" t="str">
        <f>T("최종 보스 : 빛을 향해 달리는 그림자")</f>
        <v>최종 보스 : 빛을 향해 달리는 그림자</v>
      </c>
      <c r="J2087">
        <v>100</v>
      </c>
      <c r="K2087">
        <v>100</v>
      </c>
      <c r="L2087">
        <v>1</v>
      </c>
      <c r="M2087">
        <v>0</v>
      </c>
      <c r="N2087">
        <v>100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 s="2">
        <v>140</v>
      </c>
      <c r="AT2087" t="str">
        <f>T("9791166067563")</f>
        <v>9791166067563</v>
      </c>
      <c r="AV2087" t="str">
        <f>T("판타지 웹소설 &gt; 현대 판타지")</f>
        <v>판타지 웹소설 &gt; 현대 판타지</v>
      </c>
    </row>
    <row r="2088" spans="1:48" x14ac:dyDescent="0.4">
      <c r="A2088">
        <v>1525004989</v>
      </c>
      <c r="B2088">
        <v>1525005610</v>
      </c>
      <c r="C2088" t="str">
        <f>T("신룡전설 121화")</f>
        <v>신룡전설 121화</v>
      </c>
      <c r="D2088" t="str">
        <f>T("121")</f>
        <v>121</v>
      </c>
      <c r="E2088" t="str">
        <f>T("가람검")</f>
        <v>가람검</v>
      </c>
      <c r="H2088" t="str">
        <f t="shared" si="211"/>
        <v>스토리위즈</v>
      </c>
      <c r="I2088" t="str">
        <f>T("신룡전설")</f>
        <v>신룡전설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100</v>
      </c>
      <c r="AL2088">
        <v>0</v>
      </c>
      <c r="AM2088">
        <v>0</v>
      </c>
      <c r="AN2088">
        <v>0</v>
      </c>
      <c r="AO2088">
        <v>0</v>
      </c>
      <c r="AP2088" s="2">
        <v>70</v>
      </c>
      <c r="AT2088" t="str">
        <f>T("9791159283505")</f>
        <v>9791159283505</v>
      </c>
      <c r="AV2088" t="str">
        <f>T("판타지 웹소설 &gt; 무협 소설")</f>
        <v>판타지 웹소설 &gt; 무협 소설</v>
      </c>
    </row>
    <row r="2089" spans="1:48" x14ac:dyDescent="0.4">
      <c r="A2089">
        <v>1525002409</v>
      </c>
      <c r="B2089">
        <v>1525002549</v>
      </c>
      <c r="C2089" t="str">
        <f>T("스포트라이트 141화")</f>
        <v>스포트라이트 141화</v>
      </c>
      <c r="D2089" t="str">
        <f>T("141")</f>
        <v>141</v>
      </c>
      <c r="E2089" t="str">
        <f>T("전혁")</f>
        <v>전혁</v>
      </c>
      <c r="H2089" t="str">
        <f t="shared" si="211"/>
        <v>스토리위즈</v>
      </c>
      <c r="I2089" t="str">
        <f>T("스포트라이트")</f>
        <v>스포트라이트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P2089" s="2">
        <v>70</v>
      </c>
      <c r="AT2089" t="str">
        <f>T("9791159286841")</f>
        <v>9791159286841</v>
      </c>
      <c r="AV2089" t="str">
        <f t="shared" ref="AV2089:AV2094" si="212">T("판타지 웹소설 &gt; 현대 판타지")</f>
        <v>판타지 웹소설 &gt; 현대 판타지</v>
      </c>
    </row>
    <row r="2090" spans="1:48" x14ac:dyDescent="0.4">
      <c r="A2090">
        <v>1525004030</v>
      </c>
      <c r="B2090">
        <v>1525006989</v>
      </c>
      <c r="C2090" t="str">
        <f>T("회귀의 전설 2부 873화")</f>
        <v>회귀의 전설 2부 873화</v>
      </c>
      <c r="D2090" t="str">
        <f>T("873")</f>
        <v>873</v>
      </c>
      <c r="E2090" t="str">
        <f>T("김광수")</f>
        <v>김광수</v>
      </c>
      <c r="H2090" t="str">
        <f t="shared" si="211"/>
        <v>스토리위즈</v>
      </c>
      <c r="I2090" t="str">
        <f>T("회귀의 전설")</f>
        <v>회귀의 전설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100</v>
      </c>
      <c r="AL2090">
        <v>0</v>
      </c>
      <c r="AM2090">
        <v>0</v>
      </c>
      <c r="AN2090">
        <v>0</v>
      </c>
      <c r="AO2090">
        <v>0</v>
      </c>
      <c r="AP2090" s="2">
        <v>70</v>
      </c>
      <c r="AT2090" t="str">
        <f>T("9791191102086")</f>
        <v>9791191102086</v>
      </c>
      <c r="AV2090" t="str">
        <f t="shared" si="212"/>
        <v>판타지 웹소설 &gt; 현대 판타지</v>
      </c>
    </row>
    <row r="2091" spans="1:48" x14ac:dyDescent="0.4">
      <c r="A2091">
        <v>1525004030</v>
      </c>
      <c r="B2091">
        <v>1525006645</v>
      </c>
      <c r="C2091" t="str">
        <f>T("회귀의 전설 2부 528화")</f>
        <v>회귀의 전설 2부 528화</v>
      </c>
      <c r="D2091" t="str">
        <f>T("528")</f>
        <v>528</v>
      </c>
      <c r="E2091" t="str">
        <f>T("김광수")</f>
        <v>김광수</v>
      </c>
      <c r="H2091" t="str">
        <f t="shared" si="211"/>
        <v>스토리위즈</v>
      </c>
      <c r="I2091" t="str">
        <f>T("회귀의 전설")</f>
        <v>회귀의 전설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P2091" s="2">
        <v>70</v>
      </c>
      <c r="AT2091" t="str">
        <f>T("9791191102086")</f>
        <v>9791191102086</v>
      </c>
      <c r="AV2091" t="str">
        <f t="shared" si="212"/>
        <v>판타지 웹소설 &gt; 현대 판타지</v>
      </c>
    </row>
    <row r="2092" spans="1:48" x14ac:dyDescent="0.4">
      <c r="A2092">
        <v>2313011400</v>
      </c>
      <c r="B2092">
        <v>1525007587</v>
      </c>
      <c r="C2092" t="str">
        <f>T("최종 보스 18권 13화")</f>
        <v>최종 보스 18권 13화</v>
      </c>
      <c r="D2092" t="str">
        <f>T("365")</f>
        <v>365</v>
      </c>
      <c r="E2092" t="str">
        <f>T("무장")</f>
        <v>무장</v>
      </c>
      <c r="H2092" t="str">
        <f t="shared" si="211"/>
        <v>스토리위즈</v>
      </c>
      <c r="I2092" t="str">
        <f>T("최종 보스 : 빛을 향해 달리는 그림자")</f>
        <v>최종 보스 : 빛을 향해 달리는 그림자</v>
      </c>
      <c r="J2092">
        <v>100</v>
      </c>
      <c r="K2092">
        <v>100</v>
      </c>
      <c r="L2092">
        <v>1</v>
      </c>
      <c r="M2092">
        <v>0</v>
      </c>
      <c r="N2092">
        <v>100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 s="2">
        <v>140</v>
      </c>
      <c r="AT2092" t="str">
        <f>T("9791166067563")</f>
        <v>9791166067563</v>
      </c>
      <c r="AV2092" t="str">
        <f t="shared" si="212"/>
        <v>판타지 웹소설 &gt; 현대 판타지</v>
      </c>
    </row>
    <row r="2093" spans="1:48" x14ac:dyDescent="0.4">
      <c r="A2093">
        <v>1525004030</v>
      </c>
      <c r="B2093">
        <v>1525004312</v>
      </c>
      <c r="C2093" t="str">
        <f>T("회귀의 전설 283화")</f>
        <v>회귀의 전설 283화</v>
      </c>
      <c r="D2093" t="str">
        <f>T("283")</f>
        <v>283</v>
      </c>
      <c r="E2093" t="str">
        <f>T("김광수")</f>
        <v>김광수</v>
      </c>
      <c r="H2093" t="str">
        <f t="shared" si="211"/>
        <v>스토리위즈</v>
      </c>
      <c r="I2093" t="str">
        <f>T("회귀의 전설")</f>
        <v>회귀의 전설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P2093" s="2">
        <v>70</v>
      </c>
      <c r="AT2093" t="str">
        <f>T("9788997946006")</f>
        <v>9788997946006</v>
      </c>
      <c r="AV2093" t="str">
        <f t="shared" si="212"/>
        <v>판타지 웹소설 &gt; 현대 판타지</v>
      </c>
    </row>
    <row r="2094" spans="1:48" x14ac:dyDescent="0.4">
      <c r="A2094">
        <v>1525004030</v>
      </c>
      <c r="B2094">
        <v>1525004424</v>
      </c>
      <c r="C2094" t="str">
        <f>T("회귀의 전설 408화")</f>
        <v>회귀의 전설 408화</v>
      </c>
      <c r="D2094" t="str">
        <f>T("408")</f>
        <v>408</v>
      </c>
      <c r="E2094" t="str">
        <f>T("김광수")</f>
        <v>김광수</v>
      </c>
      <c r="H2094" t="str">
        <f t="shared" si="211"/>
        <v>스토리위즈</v>
      </c>
      <c r="I2094" t="str">
        <f>T("회귀의 전설")</f>
        <v>회귀의 전설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P2094" s="2">
        <v>70</v>
      </c>
      <c r="AT2094" t="str">
        <f>T("9788997946006")</f>
        <v>9788997946006</v>
      </c>
      <c r="AV2094" t="str">
        <f t="shared" si="212"/>
        <v>판타지 웹소설 &gt; 현대 판타지</v>
      </c>
    </row>
    <row r="2095" spans="1:48" x14ac:dyDescent="0.4">
      <c r="A2095">
        <v>1525004988</v>
      </c>
      <c r="B2095">
        <v>1525005328</v>
      </c>
      <c r="C2095" t="str">
        <f>T("용무쌍 41화")</f>
        <v>용무쌍 41화</v>
      </c>
      <c r="D2095" t="str">
        <f>T("41")</f>
        <v>41</v>
      </c>
      <c r="E2095" t="str">
        <f>T("권용찬")</f>
        <v>권용찬</v>
      </c>
      <c r="H2095" t="str">
        <f t="shared" si="211"/>
        <v>스토리위즈</v>
      </c>
      <c r="I2095" t="str">
        <f>T("용무쌍")</f>
        <v>용무쌍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 s="2">
        <v>70</v>
      </c>
      <c r="AT2095" t="str">
        <f>T("9791159284861")</f>
        <v>9791159284861</v>
      </c>
      <c r="AV2095" t="str">
        <f>T("판타지 웹소설 &gt; 무협 소설")</f>
        <v>판타지 웹소설 &gt; 무협 소설</v>
      </c>
    </row>
    <row r="2096" spans="1:48" x14ac:dyDescent="0.4">
      <c r="A2096">
        <v>1525004030</v>
      </c>
      <c r="B2096">
        <v>1525006757</v>
      </c>
      <c r="C2096" t="str">
        <f>T("회귀의 전설 2부 640화")</f>
        <v>회귀의 전설 2부 640화</v>
      </c>
      <c r="D2096" t="str">
        <f>T("640")</f>
        <v>640</v>
      </c>
      <c r="E2096" t="str">
        <f>T("김광수")</f>
        <v>김광수</v>
      </c>
      <c r="H2096" t="str">
        <f t="shared" si="211"/>
        <v>스토리위즈</v>
      </c>
      <c r="I2096" t="str">
        <f>T("회귀의 전설")</f>
        <v>회귀의 전설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100</v>
      </c>
      <c r="AL2096">
        <v>0</v>
      </c>
      <c r="AM2096">
        <v>0</v>
      </c>
      <c r="AN2096">
        <v>0</v>
      </c>
      <c r="AO2096">
        <v>0</v>
      </c>
      <c r="AP2096" s="2">
        <v>70</v>
      </c>
      <c r="AT2096" t="str">
        <f>T("9791191102086")</f>
        <v>9791191102086</v>
      </c>
      <c r="AV2096" t="str">
        <f>T("판타지 웹소설 &gt; 현대 판타지")</f>
        <v>판타지 웹소설 &gt; 현대 판타지</v>
      </c>
    </row>
    <row r="2097" spans="1:48" x14ac:dyDescent="0.4">
      <c r="A2097">
        <v>1525004030</v>
      </c>
      <c r="B2097">
        <v>1525004504</v>
      </c>
      <c r="C2097" t="str">
        <f>T("회귀의 전설 488화")</f>
        <v>회귀의 전설 488화</v>
      </c>
      <c r="D2097" t="str">
        <f>T("488")</f>
        <v>488</v>
      </c>
      <c r="E2097" t="str">
        <f>T("김광수")</f>
        <v>김광수</v>
      </c>
      <c r="H2097" t="str">
        <f t="shared" si="211"/>
        <v>스토리위즈</v>
      </c>
      <c r="I2097" t="str">
        <f>T("회귀의 전설")</f>
        <v>회귀의 전설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P2097" s="2">
        <v>70</v>
      </c>
      <c r="AT2097" t="str">
        <f>T("9788997946006")</f>
        <v>9788997946006</v>
      </c>
      <c r="AV2097" t="str">
        <f>T("판타지 웹소설 &gt; 현대 판타지")</f>
        <v>판타지 웹소설 &gt; 현대 판타지</v>
      </c>
    </row>
    <row r="2098" spans="1:48" x14ac:dyDescent="0.4">
      <c r="A2098">
        <v>1525004989</v>
      </c>
      <c r="B2098">
        <v>1525005530</v>
      </c>
      <c r="C2098" t="str">
        <f>T("신룡전설 41화")</f>
        <v>신룡전설 41화</v>
      </c>
      <c r="D2098" t="str">
        <f>T("41")</f>
        <v>41</v>
      </c>
      <c r="E2098" t="str">
        <f>T("가람검")</f>
        <v>가람검</v>
      </c>
      <c r="H2098" t="str">
        <f t="shared" si="211"/>
        <v>스토리위즈</v>
      </c>
      <c r="I2098" t="str">
        <f>T("신룡전설")</f>
        <v>신룡전설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P2098" s="2">
        <v>70</v>
      </c>
      <c r="AT2098" t="str">
        <f>T("9791159283505")</f>
        <v>9791159283505</v>
      </c>
      <c r="AV2098" t="str">
        <f>T("판타지 웹소설 &gt; 무협 소설")</f>
        <v>판타지 웹소설 &gt; 무협 소설</v>
      </c>
    </row>
    <row r="2099" spans="1:48" x14ac:dyDescent="0.4">
      <c r="A2099">
        <v>1525000569</v>
      </c>
      <c r="B2099">
        <v>1525000639</v>
      </c>
      <c r="C2099" t="str">
        <f>T("스트라이커 70화")</f>
        <v>스트라이커 70화</v>
      </c>
      <c r="D2099" t="str">
        <f>T("70")</f>
        <v>70</v>
      </c>
      <c r="E2099" t="str">
        <f>T("독고진")</f>
        <v>독고진</v>
      </c>
      <c r="H2099" t="str">
        <f t="shared" si="211"/>
        <v>스토리위즈</v>
      </c>
      <c r="I2099" t="str">
        <f>T("스트라이커")</f>
        <v>스트라이커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100</v>
      </c>
      <c r="AL2099">
        <v>0</v>
      </c>
      <c r="AM2099">
        <v>0</v>
      </c>
      <c r="AN2099">
        <v>0</v>
      </c>
      <c r="AO2099">
        <v>0</v>
      </c>
      <c r="AP2099" s="2">
        <v>70</v>
      </c>
      <c r="AT2099" t="str">
        <f>T("9791170151678")</f>
        <v>9791170151678</v>
      </c>
      <c r="AV2099" t="str">
        <f>T("판타지 웹소설 &gt; 현대 판타지")</f>
        <v>판타지 웹소설 &gt; 현대 판타지</v>
      </c>
    </row>
    <row r="2100" spans="1:48" x14ac:dyDescent="0.4">
      <c r="A2100">
        <v>1525004030</v>
      </c>
      <c r="B2100">
        <v>1525007073</v>
      </c>
      <c r="C2100" t="str">
        <f>T("회귀의 전설 2부 957화")</f>
        <v>회귀의 전설 2부 957화</v>
      </c>
      <c r="D2100" t="str">
        <f>T("957")</f>
        <v>957</v>
      </c>
      <c r="E2100" t="str">
        <f>T("김광수")</f>
        <v>김광수</v>
      </c>
      <c r="H2100" t="str">
        <f t="shared" si="211"/>
        <v>스토리위즈</v>
      </c>
      <c r="I2100" t="str">
        <f>T("회귀의 전설")</f>
        <v>회귀의 전설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100</v>
      </c>
      <c r="AL2100">
        <v>0</v>
      </c>
      <c r="AM2100">
        <v>0</v>
      </c>
      <c r="AN2100">
        <v>0</v>
      </c>
      <c r="AO2100">
        <v>0</v>
      </c>
      <c r="AP2100" s="2">
        <v>70</v>
      </c>
      <c r="AT2100" t="str">
        <f>T("9791191102086")</f>
        <v>9791191102086</v>
      </c>
      <c r="AV2100" t="str">
        <f>T("판타지 웹소설 &gt; 현대 판타지")</f>
        <v>판타지 웹소설 &gt; 현대 판타지</v>
      </c>
    </row>
    <row r="2101" spans="1:48" x14ac:dyDescent="0.4">
      <c r="A2101">
        <v>1525007923</v>
      </c>
      <c r="B2101">
        <v>1525007908</v>
      </c>
      <c r="C2101" t="str">
        <f>T("운상연담: 화불능귀일락 109화")</f>
        <v>운상연담: 화불능귀일락 109화</v>
      </c>
      <c r="D2101" t="str">
        <f>T("109")</f>
        <v>109</v>
      </c>
      <c r="E2101" t="str">
        <f>T("피모")</f>
        <v>피모</v>
      </c>
      <c r="H2101" t="str">
        <f>T("쉬라즈")</f>
        <v>쉬라즈</v>
      </c>
      <c r="I2101" t="str">
        <f>T("운상연담: 화불능귀일락")</f>
        <v>운상연담: 화불능귀일락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P2101" s="2">
        <v>70</v>
      </c>
      <c r="AT2101" t="str">
        <f>T("9791164896646")</f>
        <v>9791164896646</v>
      </c>
      <c r="AV2101" t="str">
        <f>T("로맨스 웹소설 &gt; 역사/시대물")</f>
        <v>로맨스 웹소설 &gt; 역사/시대물</v>
      </c>
    </row>
    <row r="2102" spans="1:48" x14ac:dyDescent="0.4">
      <c r="A2102">
        <v>2313011400</v>
      </c>
      <c r="B2102">
        <v>1525007619</v>
      </c>
      <c r="C2102" t="str">
        <f>T("최종 보스 20권 4화")</f>
        <v>최종 보스 20권 4화</v>
      </c>
      <c r="D2102" t="str">
        <f>T("397")</f>
        <v>397</v>
      </c>
      <c r="E2102" t="str">
        <f>T("무장")</f>
        <v>무장</v>
      </c>
      <c r="H2102" t="str">
        <f>T("스토리위즈")</f>
        <v>스토리위즈</v>
      </c>
      <c r="I2102" t="str">
        <f>T("최종 보스 : 빛을 향해 달리는 그림자")</f>
        <v>최종 보스 : 빛을 향해 달리는 그림자</v>
      </c>
      <c r="J2102">
        <v>100</v>
      </c>
      <c r="K2102">
        <v>100</v>
      </c>
      <c r="L2102">
        <v>1</v>
      </c>
      <c r="M2102">
        <v>0</v>
      </c>
      <c r="N2102">
        <v>100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 s="2">
        <v>140</v>
      </c>
      <c r="AT2102" t="str">
        <f>T("9791166067563")</f>
        <v>9791166067563</v>
      </c>
      <c r="AV2102" t="str">
        <f>T("판타지 웹소설 &gt; 현대 판타지")</f>
        <v>판타지 웹소설 &gt; 현대 판타지</v>
      </c>
    </row>
    <row r="2103" spans="1:48" x14ac:dyDescent="0.4">
      <c r="A2103">
        <v>1525004030</v>
      </c>
      <c r="B2103">
        <v>1525004344</v>
      </c>
      <c r="C2103" t="str">
        <f>T("회귀의 전설 316화")</f>
        <v>회귀의 전설 316화</v>
      </c>
      <c r="D2103" t="str">
        <f>T("316")</f>
        <v>316</v>
      </c>
      <c r="E2103" t="str">
        <f>T("김광수")</f>
        <v>김광수</v>
      </c>
      <c r="H2103" t="str">
        <f>T("스토리위즈")</f>
        <v>스토리위즈</v>
      </c>
      <c r="I2103" t="str">
        <f>T("회귀의 전설")</f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P2103" s="2">
        <v>70</v>
      </c>
      <c r="AT2103" t="str">
        <f>T("9788997946006")</f>
        <v>9788997946006</v>
      </c>
      <c r="AV2103" t="str">
        <f>T("판타지 웹소설 &gt; 현대 판타지")</f>
        <v>판타지 웹소설 &gt; 현대 판타지</v>
      </c>
    </row>
    <row r="2104" spans="1:48" x14ac:dyDescent="0.4">
      <c r="A2104">
        <v>1525004030</v>
      </c>
      <c r="B2104">
        <v>1525007145</v>
      </c>
      <c r="C2104" t="str">
        <f>T("회귀의 전설 2부 1028화")</f>
        <v>회귀의 전설 2부 1028화</v>
      </c>
      <c r="D2104" t="str">
        <f>T("1028")</f>
        <v>1028</v>
      </c>
      <c r="E2104" t="str">
        <f>T("김광수")</f>
        <v>김광수</v>
      </c>
      <c r="H2104" t="str">
        <f>T("스토리위즈")</f>
        <v>스토리위즈</v>
      </c>
      <c r="I2104" t="str">
        <f>T("회귀의 전설")</f>
        <v>회귀의 전설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100</v>
      </c>
      <c r="AL2104">
        <v>0</v>
      </c>
      <c r="AM2104">
        <v>0</v>
      </c>
      <c r="AN2104">
        <v>0</v>
      </c>
      <c r="AO2104">
        <v>0</v>
      </c>
      <c r="AP2104" s="2">
        <v>70</v>
      </c>
      <c r="AT2104" t="str">
        <f>T("9791191102086")</f>
        <v>9791191102086</v>
      </c>
      <c r="AV2104" t="str">
        <f>T("판타지 웹소설 &gt; 현대 판타지")</f>
        <v>판타지 웹소설 &gt; 현대 판타지</v>
      </c>
    </row>
    <row r="2105" spans="1:48" x14ac:dyDescent="0.4">
      <c r="A2105">
        <v>1525004030</v>
      </c>
      <c r="B2105">
        <v>1525004456</v>
      </c>
      <c r="C2105" t="str">
        <f>T("회귀의 전설 440화")</f>
        <v>회귀의 전설 440화</v>
      </c>
      <c r="D2105" t="str">
        <f>T("440")</f>
        <v>440</v>
      </c>
      <c r="E2105" t="str">
        <f>T("김광수")</f>
        <v>김광수</v>
      </c>
      <c r="H2105" t="str">
        <f>T("스토리위즈")</f>
        <v>스토리위즈</v>
      </c>
      <c r="I2105" t="str">
        <f>T("회귀의 전설")</f>
        <v>회귀의 전설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P2105" s="2">
        <v>70</v>
      </c>
      <c r="AT2105" t="str">
        <f>T("9788997946006")</f>
        <v>9788997946006</v>
      </c>
      <c r="AV2105" t="str">
        <f>T("판타지 웹소설 &gt; 현대 판타지")</f>
        <v>판타지 웹소설 &gt; 현대 판타지</v>
      </c>
    </row>
    <row r="2106" spans="1:48" x14ac:dyDescent="0.4">
      <c r="A2106">
        <v>1525004030</v>
      </c>
      <c r="B2106">
        <v>1525004536</v>
      </c>
      <c r="C2106" t="str">
        <f>T("회귀의 전설 513화")</f>
        <v>회귀의 전설 513화</v>
      </c>
      <c r="D2106" t="str">
        <f>T("513")</f>
        <v>513</v>
      </c>
      <c r="E2106" t="str">
        <f>T("김광수")</f>
        <v>김광수</v>
      </c>
      <c r="H2106" t="str">
        <f>T("스토리위즈")</f>
        <v>스토리위즈</v>
      </c>
      <c r="I2106" t="str">
        <f>T("회귀의 전설")</f>
        <v>회귀의 전설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100</v>
      </c>
      <c r="AL2106">
        <v>0</v>
      </c>
      <c r="AM2106">
        <v>0</v>
      </c>
      <c r="AN2106">
        <v>0</v>
      </c>
      <c r="AO2106">
        <v>0</v>
      </c>
      <c r="AP2106" s="2">
        <v>70</v>
      </c>
      <c r="AT2106" t="str">
        <f>T("9788997946006")</f>
        <v>9788997946006</v>
      </c>
      <c r="AV2106" t="str">
        <f>T("판타지 웹소설 &gt; 현대 판타지")</f>
        <v>판타지 웹소설 &gt; 현대 판타지</v>
      </c>
    </row>
    <row r="2107" spans="1:48" x14ac:dyDescent="0.4">
      <c r="A2107">
        <v>1525008545</v>
      </c>
      <c r="B2107">
        <v>1525008546</v>
      </c>
      <c r="C2107" t="str">
        <f>T("소년연애담 20화")</f>
        <v>소년연애담 20화</v>
      </c>
      <c r="D2107" t="str">
        <f>T("20")</f>
        <v>20</v>
      </c>
      <c r="E2107" t="str">
        <f>T("나나코")</f>
        <v>나나코</v>
      </c>
      <c r="H2107" t="str">
        <f>T("블러쉬")</f>
        <v>블러쉬</v>
      </c>
      <c r="I2107" t="str">
        <f>T("소년연애담")</f>
        <v>소년연애담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100</v>
      </c>
      <c r="AN2107">
        <v>0</v>
      </c>
      <c r="AO2107">
        <v>0</v>
      </c>
      <c r="AP2107" s="2">
        <v>70</v>
      </c>
      <c r="AR2107" t="str">
        <f>T("0000000000000")</f>
        <v>0000000000000</v>
      </c>
      <c r="AT2107" t="str">
        <f>T("9791164890729")</f>
        <v>9791164890729</v>
      </c>
      <c r="AU2107" t="str">
        <f>T("B12")</f>
        <v>B12</v>
      </c>
      <c r="AV2107" t="str">
        <f>T("BL 웹소설 &gt; 현대물")</f>
        <v>BL 웹소설 &gt; 현대물</v>
      </c>
    </row>
    <row r="2108" spans="1:48" x14ac:dyDescent="0.4">
      <c r="A2108">
        <v>1525004989</v>
      </c>
      <c r="B2108">
        <v>1525005562</v>
      </c>
      <c r="C2108" t="str">
        <f>T("신룡전설 73화")</f>
        <v>신룡전설 73화</v>
      </c>
      <c r="D2108" t="str">
        <f>T("73")</f>
        <v>73</v>
      </c>
      <c r="E2108" t="str">
        <f>T("가람검")</f>
        <v>가람검</v>
      </c>
      <c r="H2108" t="str">
        <f>T("스토리위즈")</f>
        <v>스토리위즈</v>
      </c>
      <c r="I2108" t="str">
        <f>T("신룡전설")</f>
        <v>신룡전설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100</v>
      </c>
      <c r="AL2108">
        <v>0</v>
      </c>
      <c r="AM2108">
        <v>0</v>
      </c>
      <c r="AN2108">
        <v>0</v>
      </c>
      <c r="AO2108">
        <v>0</v>
      </c>
      <c r="AP2108" s="2">
        <v>70</v>
      </c>
      <c r="AT2108" t="str">
        <f>T("9791159283505")</f>
        <v>9791159283505</v>
      </c>
      <c r="AV2108" t="str">
        <f>T("판타지 웹소설 &gt; 무협 소설")</f>
        <v>판타지 웹소설 &gt; 무협 소설</v>
      </c>
    </row>
    <row r="2109" spans="1:48" x14ac:dyDescent="0.4">
      <c r="A2109">
        <v>1525013020</v>
      </c>
      <c r="B2109">
        <v>1525013028</v>
      </c>
      <c r="C2109" t="str">
        <f>T("악당의 리턴 9화")</f>
        <v>악당의 리턴 9화</v>
      </c>
      <c r="D2109" t="str">
        <f>T("9")</f>
        <v>9</v>
      </c>
      <c r="E2109" t="str">
        <f>T("백범(白帆)")</f>
        <v>백범(白帆)</v>
      </c>
      <c r="H2109" t="str">
        <f>T("에필로그")</f>
        <v>에필로그</v>
      </c>
      <c r="I2109" t="str">
        <f>T("악당의 리턴")</f>
        <v>악당의 리턴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 s="2">
        <v>0</v>
      </c>
      <c r="AT2109" t="str">
        <f>T("9791196538927")</f>
        <v>9791196538927</v>
      </c>
      <c r="AV2109" t="str">
        <f>T("판타지 웹소설 &gt; 현대 판타지")</f>
        <v>판타지 웹소설 &gt; 현대 판타지</v>
      </c>
    </row>
    <row r="2110" spans="1:48" x14ac:dyDescent="0.4">
      <c r="A2110">
        <v>1525001116</v>
      </c>
      <c r="B2110">
        <v>1525001128</v>
      </c>
      <c r="C2110" t="str">
        <f>T("개정판 | 영웅 13화")</f>
        <v>개정판 | 영웅 13화</v>
      </c>
      <c r="D2110" t="str">
        <f>T("13")</f>
        <v>13</v>
      </c>
      <c r="E2110" t="str">
        <f>T("김광수")</f>
        <v>김광수</v>
      </c>
      <c r="H2110" t="str">
        <f>T("스토리위즈")</f>
        <v>스토리위즈</v>
      </c>
      <c r="I2110" t="str">
        <f>T("개정판 | 영웅")</f>
        <v>개정판 | 영웅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 s="2">
        <v>0</v>
      </c>
      <c r="AR2110" t="str">
        <f>T("9791159282829")</f>
        <v>9791159282829</v>
      </c>
      <c r="AT2110" t="str">
        <f>T("9791159282829")</f>
        <v>9791159282829</v>
      </c>
      <c r="AV2110" t="str">
        <f>T("판타지 웹소설 &gt; 무협 소설")</f>
        <v>판타지 웹소설 &gt; 무협 소설</v>
      </c>
    </row>
    <row r="2111" spans="1:48" x14ac:dyDescent="0.4">
      <c r="A2111">
        <v>1525002692</v>
      </c>
      <c r="B2111">
        <v>1525002710</v>
      </c>
      <c r="C2111" t="str">
        <f>T("신규무사 19화")</f>
        <v>신규무사 19화</v>
      </c>
      <c r="D2111" t="str">
        <f>T("19")</f>
        <v>19</v>
      </c>
      <c r="E2111" t="str">
        <f>T("권용찬")</f>
        <v>권용찬</v>
      </c>
      <c r="H2111" t="str">
        <f>T("스토리위즈")</f>
        <v>스토리위즈</v>
      </c>
      <c r="I2111" t="str">
        <f>T("신규무사")</f>
        <v>신규무사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 s="2">
        <v>0</v>
      </c>
      <c r="AT2111" t="str">
        <f>T("9791159287480")</f>
        <v>9791159287480</v>
      </c>
      <c r="AV2111" t="str">
        <f>T("판타지 웹소설 &gt; 무협 소설")</f>
        <v>판타지 웹소설 &gt; 무협 소설</v>
      </c>
    </row>
    <row r="2112" spans="1:48" x14ac:dyDescent="0.4">
      <c r="A2112">
        <v>1525004989</v>
      </c>
      <c r="B2112">
        <v>1525005499</v>
      </c>
      <c r="C2112" t="str">
        <f>T("신룡전설 10화")</f>
        <v>신룡전설 10화</v>
      </c>
      <c r="D2112" t="str">
        <f>T("10")</f>
        <v>10</v>
      </c>
      <c r="E2112" t="str">
        <f>T("가람검")</f>
        <v>가람검</v>
      </c>
      <c r="H2112" t="str">
        <f>T("스토리위즈")</f>
        <v>스토리위즈</v>
      </c>
      <c r="I2112" t="str">
        <f>T("신룡전설")</f>
        <v>신룡전설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 s="2">
        <v>0</v>
      </c>
      <c r="AT2112" t="str">
        <f>T("9791159283505")</f>
        <v>9791159283505</v>
      </c>
      <c r="AV2112" t="str">
        <f>T("판타지 웹소설 &gt; 무협 소설")</f>
        <v>판타지 웹소설 &gt; 무협 소설</v>
      </c>
    </row>
    <row r="2113" spans="1:48" x14ac:dyDescent="0.4">
      <c r="A2113">
        <v>1525001609</v>
      </c>
      <c r="B2113">
        <v>1525001615</v>
      </c>
      <c r="C2113" t="str">
        <f>T("[e북]절륜공자 7권")</f>
        <v>[e북]절륜공자 7권</v>
      </c>
      <c r="D2113" t="str">
        <f>T("7")</f>
        <v>7</v>
      </c>
      <c r="E2113" t="str">
        <f>T("전혁")</f>
        <v>전혁</v>
      </c>
      <c r="H2113" t="str">
        <f>T("스토리위즈")</f>
        <v>스토리위즈</v>
      </c>
      <c r="I2113" t="str">
        <f>T("[e북]절륜공자")</f>
        <v>[e북]절륜공자</v>
      </c>
      <c r="J2113">
        <v>3200</v>
      </c>
      <c r="K2113">
        <v>0</v>
      </c>
      <c r="L2113">
        <v>0</v>
      </c>
      <c r="M2113">
        <v>0</v>
      </c>
      <c r="N2113">
        <v>3600</v>
      </c>
      <c r="O2113">
        <v>4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3600</v>
      </c>
      <c r="AH2113">
        <v>4</v>
      </c>
      <c r="AI2113">
        <v>0</v>
      </c>
      <c r="AJ2113">
        <v>0</v>
      </c>
      <c r="AK2113">
        <v>3600</v>
      </c>
      <c r="AL2113">
        <v>0</v>
      </c>
      <c r="AM2113">
        <v>0</v>
      </c>
      <c r="AN2113">
        <v>0</v>
      </c>
      <c r="AO2113">
        <v>0</v>
      </c>
      <c r="AP2113" s="2">
        <v>2520</v>
      </c>
      <c r="AT2113" t="str">
        <f>T("9791159285004")</f>
        <v>9791159285004</v>
      </c>
      <c r="AV2113" t="str">
        <f>T("판타지 e북 &gt; 전통 무협")</f>
        <v>판타지 e북 &gt; 전통 무협</v>
      </c>
    </row>
    <row r="2114" spans="1:48" x14ac:dyDescent="0.4">
      <c r="A2114">
        <v>1525013369</v>
      </c>
      <c r="B2114">
        <v>1525013388</v>
      </c>
      <c r="C2114" t="str">
        <f>T("[e북]티끌모아 대박 11권 (완결)")</f>
        <v>[e북]티끌모아 대박 11권 (완결)</v>
      </c>
      <c r="D2114" t="str">
        <f>T("11")</f>
        <v>11</v>
      </c>
      <c r="E2114" t="str">
        <f>T("백범(白帆)")</f>
        <v>백범(白帆)</v>
      </c>
      <c r="H2114" t="str">
        <f>T("에필로그")</f>
        <v>에필로그</v>
      </c>
      <c r="I2114" t="str">
        <f>T("[e북]티끌모아 대박")</f>
        <v>[e북]티끌모아 대박</v>
      </c>
      <c r="J2114">
        <v>2000</v>
      </c>
      <c r="K2114">
        <v>0</v>
      </c>
      <c r="L2114">
        <v>0</v>
      </c>
      <c r="M2114">
        <v>0</v>
      </c>
      <c r="N2114">
        <v>900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900</v>
      </c>
      <c r="AH2114">
        <v>1</v>
      </c>
      <c r="AI2114">
        <v>0</v>
      </c>
      <c r="AJ2114">
        <v>0</v>
      </c>
      <c r="AK2114">
        <v>900</v>
      </c>
      <c r="AL2114">
        <v>0</v>
      </c>
      <c r="AM2114">
        <v>0</v>
      </c>
      <c r="AN2114">
        <v>0</v>
      </c>
      <c r="AO2114">
        <v>0</v>
      </c>
      <c r="AP2114" s="2">
        <v>630</v>
      </c>
      <c r="AR2114" t="str">
        <f>T("0000000000000")</f>
        <v>0000000000000</v>
      </c>
      <c r="AT2114" t="str">
        <f>T("9791166000300")</f>
        <v>9791166000300</v>
      </c>
      <c r="AV2114" t="str">
        <f>T("판타지 e북 &gt; 퓨전 판타지")</f>
        <v>판타지 e북 &gt; 퓨전 판타지</v>
      </c>
    </row>
    <row r="2115" spans="1:48" x14ac:dyDescent="0.4">
      <c r="A2115">
        <v>1525000209</v>
      </c>
      <c r="B2115">
        <v>1525000209</v>
      </c>
      <c r="C2115" t="str">
        <f>T("[e북]독종무쌍 1권")</f>
        <v>[e북]독종무쌍 1권</v>
      </c>
      <c r="D2115" t="str">
        <f>T("1")</f>
        <v>1</v>
      </c>
      <c r="E2115" t="str">
        <f>T("전혁")</f>
        <v>전혁</v>
      </c>
      <c r="H2115" t="str">
        <f>T("스토리위즈")</f>
        <v>스토리위즈</v>
      </c>
      <c r="I2115" t="str">
        <f>T("[e북]독종무쌍")</f>
        <v>[e북]독종무쌍</v>
      </c>
      <c r="J2115">
        <v>0</v>
      </c>
      <c r="K2115">
        <v>0</v>
      </c>
      <c r="L2115">
        <v>0</v>
      </c>
      <c r="M2115">
        <v>2</v>
      </c>
      <c r="N2115">
        <v>0</v>
      </c>
      <c r="O2115">
        <v>0</v>
      </c>
      <c r="P2115">
        <v>3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5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 s="2">
        <v>0</v>
      </c>
      <c r="AT2115" t="str">
        <f>T("9791195310036")</f>
        <v>9791195310036</v>
      </c>
      <c r="AV2115" t="str">
        <f>T("판타지 e북 &gt; 신무협")</f>
        <v>판타지 e북 &gt; 신무협</v>
      </c>
    </row>
    <row r="2116" spans="1:48" x14ac:dyDescent="0.4">
      <c r="A2116">
        <v>1525002409</v>
      </c>
      <c r="B2116">
        <v>1525002410</v>
      </c>
      <c r="C2116" t="str">
        <f>T("스포트라이트 2화")</f>
        <v>스포트라이트 2화</v>
      </c>
      <c r="D2116" t="str">
        <f>T("2")</f>
        <v>2</v>
      </c>
      <c r="E2116" t="str">
        <f>T("전혁")</f>
        <v>전혁</v>
      </c>
      <c r="H2116" t="str">
        <f>T("스토리위즈")</f>
        <v>스토리위즈</v>
      </c>
      <c r="I2116" t="str">
        <f>T("스포트라이트")</f>
        <v>스포트라이트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 s="2">
        <v>0</v>
      </c>
      <c r="AT2116" t="str">
        <f>T("9791159286841")</f>
        <v>9791159286841</v>
      </c>
      <c r="AV2116" t="str">
        <f>T("판타지 웹소설 &gt; 현대 판타지")</f>
        <v>판타지 웹소설 &gt; 현대 판타지</v>
      </c>
    </row>
    <row r="2117" spans="1:48" x14ac:dyDescent="0.4">
      <c r="A2117">
        <v>1525001334</v>
      </c>
      <c r="B2117">
        <v>1525001350</v>
      </c>
      <c r="C2117" t="str">
        <f>T("게이트 헌터 17화")</f>
        <v>게이트 헌터 17화</v>
      </c>
      <c r="D2117" t="str">
        <f>T("17")</f>
        <v>17</v>
      </c>
      <c r="E2117" t="str">
        <f>T("권용찬")</f>
        <v>권용찬</v>
      </c>
      <c r="H2117" t="str">
        <f>T("스토리위즈")</f>
        <v>스토리위즈</v>
      </c>
      <c r="I2117" t="str">
        <f>T("게이트 헌터")</f>
        <v>게이트 헌터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 s="2">
        <v>0</v>
      </c>
      <c r="AR2117" t="str">
        <f>T("9791159283291")</f>
        <v>9791159283291</v>
      </c>
      <c r="AT2117" t="str">
        <f>T("9791159283291")</f>
        <v>9791159283291</v>
      </c>
      <c r="AV2117" t="str">
        <f>T("판타지 웹소설 &gt; 현대 판타지")</f>
        <v>판타지 웹소설 &gt; 현대 판타지</v>
      </c>
    </row>
    <row r="2118" spans="1:48" x14ac:dyDescent="0.4">
      <c r="A2118">
        <v>1525010982</v>
      </c>
      <c r="B2118">
        <v>1525010980</v>
      </c>
      <c r="C2118" t="str">
        <f>T("[e북]이 맛에 회장한다 3권")</f>
        <v>[e북]이 맛에 회장한다 3권</v>
      </c>
      <c r="D2118" t="str">
        <f>T("3")</f>
        <v>3</v>
      </c>
      <c r="E2118" t="str">
        <f>T("협행마")</f>
        <v>협행마</v>
      </c>
      <c r="H2118" t="str">
        <f>T("에필로그")</f>
        <v>에필로그</v>
      </c>
      <c r="I2118" t="str">
        <f>T("[e북]이 맛에 회장한다")</f>
        <v>[e북]이 맛에 회장한다</v>
      </c>
      <c r="J2118">
        <v>2500</v>
      </c>
      <c r="K2118">
        <v>0</v>
      </c>
      <c r="L2118">
        <v>0</v>
      </c>
      <c r="M2118">
        <v>0</v>
      </c>
      <c r="N2118">
        <v>6840</v>
      </c>
      <c r="O2118">
        <v>8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6840</v>
      </c>
      <c r="AH2118">
        <v>8</v>
      </c>
      <c r="AI2118">
        <v>0</v>
      </c>
      <c r="AJ2118">
        <v>0</v>
      </c>
      <c r="AK2118">
        <v>6840</v>
      </c>
      <c r="AL2118">
        <v>0</v>
      </c>
      <c r="AM2118">
        <v>0</v>
      </c>
      <c r="AN2118">
        <v>0</v>
      </c>
      <c r="AO2118">
        <v>0</v>
      </c>
      <c r="AP2118" s="2">
        <v>4788</v>
      </c>
      <c r="AT2118" t="str">
        <f>T("9791164486083")</f>
        <v>9791164486083</v>
      </c>
      <c r="AV2118" t="str">
        <f>T("판타지 e북 &gt; 현대 판타지")</f>
        <v>판타지 e북 &gt; 현대 판타지</v>
      </c>
    </row>
    <row r="2119" spans="1:48" x14ac:dyDescent="0.4">
      <c r="A2119">
        <v>1525010944</v>
      </c>
      <c r="B2119">
        <v>1525010919</v>
      </c>
      <c r="C2119" t="str">
        <f>T("[e북]법보다 주먹 26권")</f>
        <v>[e북]법보다 주먹 26권</v>
      </c>
      <c r="D2119" t="str">
        <f>T("26")</f>
        <v>26</v>
      </c>
      <c r="E2119" t="str">
        <f>T("백범(白帆)")</f>
        <v>백범(白帆)</v>
      </c>
      <c r="H2119" t="str">
        <f>T("에필로그")</f>
        <v>에필로그</v>
      </c>
      <c r="I2119" t="str">
        <f>T("[e북]법보다 주먹")</f>
        <v>[e북]법보다 주먹</v>
      </c>
      <c r="J2119">
        <v>2000</v>
      </c>
      <c r="K2119">
        <v>0</v>
      </c>
      <c r="L2119">
        <v>0</v>
      </c>
      <c r="M2119">
        <v>0</v>
      </c>
      <c r="N2119">
        <v>1800</v>
      </c>
      <c r="O2119">
        <v>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1800</v>
      </c>
      <c r="AH2119">
        <v>2</v>
      </c>
      <c r="AI2119">
        <v>0</v>
      </c>
      <c r="AJ2119">
        <v>0</v>
      </c>
      <c r="AK2119">
        <v>1800</v>
      </c>
      <c r="AL2119">
        <v>0</v>
      </c>
      <c r="AM2119">
        <v>0</v>
      </c>
      <c r="AN2119">
        <v>0</v>
      </c>
      <c r="AO2119">
        <v>0</v>
      </c>
      <c r="AP2119" s="2">
        <v>1260</v>
      </c>
      <c r="AT2119" t="str">
        <f>T("9791164480142")</f>
        <v>9791164480142</v>
      </c>
      <c r="AV2119" t="str">
        <f>T("판타지 e북 &gt; 현대 판타지")</f>
        <v>판타지 e북 &gt; 현대 판타지</v>
      </c>
    </row>
    <row r="2120" spans="1:48" x14ac:dyDescent="0.4">
      <c r="A2120">
        <v>1525000906</v>
      </c>
      <c r="B2120">
        <v>1525000906</v>
      </c>
      <c r="C2120" t="str">
        <f>T("[e북]완전판 | 레이드 만물상점 1권")</f>
        <v>[e북]완전판 | 레이드 만물상점 1권</v>
      </c>
      <c r="D2120" t="str">
        <f>T("1")</f>
        <v>1</v>
      </c>
      <c r="E2120" t="str">
        <f>T("전혁")</f>
        <v>전혁</v>
      </c>
      <c r="H2120" t="str">
        <f t="shared" ref="H2120:H2126" si="213">T("스토리위즈")</f>
        <v>스토리위즈</v>
      </c>
      <c r="I2120" t="str">
        <f>T("[e북]완전판 | 레이드 만물상점")</f>
        <v>[e북]완전판 | 레이드 만물상점</v>
      </c>
      <c r="J2120">
        <v>0</v>
      </c>
      <c r="K2120">
        <v>0</v>
      </c>
      <c r="L2120">
        <v>0</v>
      </c>
      <c r="M2120">
        <v>4</v>
      </c>
      <c r="N2120">
        <v>0</v>
      </c>
      <c r="O2120">
        <v>0</v>
      </c>
      <c r="P2120">
        <v>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 s="2">
        <v>0</v>
      </c>
      <c r="AT2120" t="str">
        <f>T("9791159282614")</f>
        <v>9791159282614</v>
      </c>
      <c r="AV2120" t="str">
        <f>T("판타지 e북 &gt; 현대 판타지")</f>
        <v>판타지 e북 &gt; 현대 판타지</v>
      </c>
    </row>
    <row r="2121" spans="1:48" x14ac:dyDescent="0.4">
      <c r="A2121">
        <v>1525001924</v>
      </c>
      <c r="B2121">
        <v>1525001925</v>
      </c>
      <c r="C2121" t="str">
        <f>T("[e북]신마협도 2권")</f>
        <v>[e북]신마협도 2권</v>
      </c>
      <c r="D2121" t="str">
        <f>T("2")</f>
        <v>2</v>
      </c>
      <c r="E2121" t="str">
        <f>T("권용찬")</f>
        <v>권용찬</v>
      </c>
      <c r="H2121" t="str">
        <f t="shared" si="213"/>
        <v>스토리위즈</v>
      </c>
      <c r="I2121" t="str">
        <f>T("[e북]신마협도")</f>
        <v>[e북]신마협도</v>
      </c>
      <c r="J2121">
        <v>3200</v>
      </c>
      <c r="K2121">
        <v>0</v>
      </c>
      <c r="L2121">
        <v>0</v>
      </c>
      <c r="M2121">
        <v>0</v>
      </c>
      <c r="N2121">
        <v>1800</v>
      </c>
      <c r="O2121">
        <v>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1800</v>
      </c>
      <c r="AH2121">
        <v>2</v>
      </c>
      <c r="AI2121">
        <v>0</v>
      </c>
      <c r="AJ2121">
        <v>0</v>
      </c>
      <c r="AK2121">
        <v>1080</v>
      </c>
      <c r="AL2121">
        <v>0</v>
      </c>
      <c r="AM2121">
        <v>720</v>
      </c>
      <c r="AN2121">
        <v>0</v>
      </c>
      <c r="AO2121">
        <v>0</v>
      </c>
      <c r="AP2121" s="2">
        <v>1260</v>
      </c>
      <c r="AT2121" t="str">
        <f>T("9791159283086")</f>
        <v>9791159283086</v>
      </c>
      <c r="AV2121" t="str">
        <f>T("판타지 e북 &gt; 신무협")</f>
        <v>판타지 e북 &gt; 신무협</v>
      </c>
    </row>
    <row r="2122" spans="1:48" x14ac:dyDescent="0.4">
      <c r="A2122">
        <v>1525000569</v>
      </c>
      <c r="B2122">
        <v>1525000573</v>
      </c>
      <c r="C2122" t="str">
        <f>T("스트라이커 5화")</f>
        <v>스트라이커 5화</v>
      </c>
      <c r="D2122" t="str">
        <f>T("5")</f>
        <v>5</v>
      </c>
      <c r="E2122" t="str">
        <f>T("독고진")</f>
        <v>독고진</v>
      </c>
      <c r="H2122" t="str">
        <f t="shared" si="213"/>
        <v>스토리위즈</v>
      </c>
      <c r="I2122" t="str">
        <f>T("스트라이커")</f>
        <v>스트라이커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 s="2">
        <v>0</v>
      </c>
      <c r="AT2122" t="str">
        <f>T("9791170151678")</f>
        <v>9791170151678</v>
      </c>
      <c r="AV2122" t="str">
        <f>T("판타지 웹소설 &gt; 현대 판타지")</f>
        <v>판타지 웹소설 &gt; 현대 판타지</v>
      </c>
    </row>
    <row r="2123" spans="1:48" x14ac:dyDescent="0.4">
      <c r="A2123">
        <v>1525004988</v>
      </c>
      <c r="B2123">
        <v>1525005305</v>
      </c>
      <c r="C2123" t="str">
        <f>T("용무쌍 18화")</f>
        <v>용무쌍 18화</v>
      </c>
      <c r="D2123" t="str">
        <f>T("18")</f>
        <v>18</v>
      </c>
      <c r="E2123" t="str">
        <f>T("권용찬")</f>
        <v>권용찬</v>
      </c>
      <c r="H2123" t="str">
        <f t="shared" si="213"/>
        <v>스토리위즈</v>
      </c>
      <c r="I2123" t="str">
        <f>T("용무쌍")</f>
        <v>용무쌍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 s="2">
        <v>0</v>
      </c>
      <c r="AT2123" t="str">
        <f>T("9791159284861")</f>
        <v>9791159284861</v>
      </c>
      <c r="AV2123" t="str">
        <f>T("판타지 웹소설 &gt; 무협 소설")</f>
        <v>판타지 웹소설 &gt; 무협 소설</v>
      </c>
    </row>
    <row r="2124" spans="1:48" x14ac:dyDescent="0.4">
      <c r="A2124">
        <v>1525001540</v>
      </c>
      <c r="B2124">
        <v>1525001546</v>
      </c>
      <c r="C2124" t="str">
        <f>T("[e북]철중쟁쟁 7권")</f>
        <v>[e북]철중쟁쟁 7권</v>
      </c>
      <c r="D2124" t="str">
        <f>T("7")</f>
        <v>7</v>
      </c>
      <c r="E2124" t="str">
        <f>T("권용찬")</f>
        <v>권용찬</v>
      </c>
      <c r="H2124" t="str">
        <f t="shared" si="213"/>
        <v>스토리위즈</v>
      </c>
      <c r="I2124" t="str">
        <f>T("[e북]철중쟁쟁")</f>
        <v>[e북]철중쟁쟁</v>
      </c>
      <c r="J2124">
        <v>3200</v>
      </c>
      <c r="K2124">
        <v>0</v>
      </c>
      <c r="L2124">
        <v>0</v>
      </c>
      <c r="M2124">
        <v>0</v>
      </c>
      <c r="N2124">
        <v>1800</v>
      </c>
      <c r="O2124">
        <v>2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1800</v>
      </c>
      <c r="AH2124">
        <v>2</v>
      </c>
      <c r="AI2124">
        <v>0</v>
      </c>
      <c r="AJ2124">
        <v>0</v>
      </c>
      <c r="AK2124">
        <v>1800</v>
      </c>
      <c r="AL2124">
        <v>0</v>
      </c>
      <c r="AM2124">
        <v>0</v>
      </c>
      <c r="AN2124">
        <v>0</v>
      </c>
      <c r="AO2124">
        <v>0</v>
      </c>
      <c r="AP2124" s="2">
        <v>1260</v>
      </c>
      <c r="AT2124" t="str">
        <f>T("9791159282331")</f>
        <v>9791159282331</v>
      </c>
      <c r="AV2124" t="str">
        <f>T("판타지 e북 &gt; 전통 무협")</f>
        <v>판타지 e북 &gt; 전통 무협</v>
      </c>
    </row>
    <row r="2125" spans="1:48" x14ac:dyDescent="0.4">
      <c r="A2125">
        <v>1525002864</v>
      </c>
      <c r="B2125">
        <v>1525002884</v>
      </c>
      <c r="C2125" t="str">
        <f>T("소드마스터의 환생 21화")</f>
        <v>소드마스터의 환생 21화</v>
      </c>
      <c r="D2125" t="str">
        <f>T("21")</f>
        <v>21</v>
      </c>
      <c r="E2125" t="str">
        <f>T("파란영")</f>
        <v>파란영</v>
      </c>
      <c r="H2125" t="str">
        <f t="shared" si="213"/>
        <v>스토리위즈</v>
      </c>
      <c r="I2125" t="str">
        <f>T("소드마스터의 환생")</f>
        <v>소드마스터의 환생</v>
      </c>
      <c r="J2125">
        <v>0</v>
      </c>
      <c r="K2125">
        <v>0</v>
      </c>
      <c r="L2125">
        <v>0</v>
      </c>
      <c r="M2125">
        <v>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3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 s="2">
        <v>0</v>
      </c>
      <c r="AT2125" t="str">
        <f>T("9791159287527")</f>
        <v>9791159287527</v>
      </c>
      <c r="AV2125" t="str">
        <f>T("판타지 웹소설 &gt; 정통 판타지")</f>
        <v>판타지 웹소설 &gt; 정통 판타지</v>
      </c>
    </row>
    <row r="2126" spans="1:48" x14ac:dyDescent="0.4">
      <c r="A2126">
        <v>1525001540</v>
      </c>
      <c r="B2126">
        <v>1525001547</v>
      </c>
      <c r="C2126" t="str">
        <f>T("[e북]철중쟁쟁 8권 (완결)")</f>
        <v>[e북]철중쟁쟁 8권 (완결)</v>
      </c>
      <c r="D2126" t="str">
        <f>T("8")</f>
        <v>8</v>
      </c>
      <c r="E2126" t="str">
        <f>T("권용찬")</f>
        <v>권용찬</v>
      </c>
      <c r="H2126" t="str">
        <f t="shared" si="213"/>
        <v>스토리위즈</v>
      </c>
      <c r="I2126" t="str">
        <f>T("[e북]철중쟁쟁")</f>
        <v>[e북]철중쟁쟁</v>
      </c>
      <c r="J2126">
        <v>3200</v>
      </c>
      <c r="K2126">
        <v>0</v>
      </c>
      <c r="L2126">
        <v>0</v>
      </c>
      <c r="M2126">
        <v>0</v>
      </c>
      <c r="N2126">
        <v>1800</v>
      </c>
      <c r="O2126">
        <v>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1800</v>
      </c>
      <c r="AH2126">
        <v>2</v>
      </c>
      <c r="AI2126">
        <v>0</v>
      </c>
      <c r="AJ2126">
        <v>0</v>
      </c>
      <c r="AK2126">
        <v>1800</v>
      </c>
      <c r="AL2126">
        <v>0</v>
      </c>
      <c r="AM2126">
        <v>0</v>
      </c>
      <c r="AN2126">
        <v>0</v>
      </c>
      <c r="AO2126">
        <v>0</v>
      </c>
      <c r="AP2126" s="2">
        <v>1260</v>
      </c>
      <c r="AT2126" t="str">
        <f>T("9791159282348")</f>
        <v>9791159282348</v>
      </c>
      <c r="AV2126" t="str">
        <f>T("판타지 e북 &gt; 전통 무협")</f>
        <v>판타지 e북 &gt; 전통 무협</v>
      </c>
    </row>
    <row r="2127" spans="1:48" x14ac:dyDescent="0.4">
      <c r="A2127">
        <v>1525013369</v>
      </c>
      <c r="B2127">
        <v>1525013381</v>
      </c>
      <c r="C2127" t="str">
        <f>T("[e북]티끌모아 대박 4권")</f>
        <v>[e북]티끌모아 대박 4권</v>
      </c>
      <c r="D2127" t="str">
        <f>T("4")</f>
        <v>4</v>
      </c>
      <c r="E2127" t="str">
        <f>T("백범(白帆)")</f>
        <v>백범(白帆)</v>
      </c>
      <c r="H2127" t="str">
        <f>T("에필로그")</f>
        <v>에필로그</v>
      </c>
      <c r="I2127" t="str">
        <f>T("[e북]티끌모아 대박")</f>
        <v>[e북]티끌모아 대박</v>
      </c>
      <c r="J2127">
        <v>2000</v>
      </c>
      <c r="K2127">
        <v>0</v>
      </c>
      <c r="L2127">
        <v>0</v>
      </c>
      <c r="M2127">
        <v>0</v>
      </c>
      <c r="N2127">
        <v>1800</v>
      </c>
      <c r="O2127">
        <v>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1800</v>
      </c>
      <c r="AH2127">
        <v>2</v>
      </c>
      <c r="AI2127">
        <v>0</v>
      </c>
      <c r="AJ2127">
        <v>0</v>
      </c>
      <c r="AK2127">
        <v>1800</v>
      </c>
      <c r="AL2127">
        <v>0</v>
      </c>
      <c r="AM2127">
        <v>0</v>
      </c>
      <c r="AN2127">
        <v>0</v>
      </c>
      <c r="AO2127">
        <v>0</v>
      </c>
      <c r="AP2127" s="2">
        <v>1260</v>
      </c>
      <c r="AR2127" t="str">
        <f>T("0000000000000")</f>
        <v>0000000000000</v>
      </c>
      <c r="AT2127" t="str">
        <f>T("9791166000232")</f>
        <v>9791166000232</v>
      </c>
      <c r="AV2127" t="str">
        <f>T("판타지 e북 &gt; 퓨전 판타지")</f>
        <v>판타지 e북 &gt; 퓨전 판타지</v>
      </c>
    </row>
    <row r="2128" spans="1:48" x14ac:dyDescent="0.4">
      <c r="A2128">
        <v>1525002125</v>
      </c>
      <c r="B2128">
        <v>1525002145</v>
      </c>
      <c r="C2128" t="str">
        <f>T("신을 죽이러 갑니다 21화")</f>
        <v>신을 죽이러 갑니다 21화</v>
      </c>
      <c r="D2128" t="str">
        <f>T("21")</f>
        <v>21</v>
      </c>
      <c r="E2128" t="str">
        <f>T("독고진")</f>
        <v>독고진</v>
      </c>
      <c r="H2128" t="str">
        <f>T("스토리위즈")</f>
        <v>스토리위즈</v>
      </c>
      <c r="I2128" t="str">
        <f>T("신을 죽이러 갑니다")</f>
        <v>신을 죽이러 갑니다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 s="2">
        <v>0</v>
      </c>
      <c r="AT2128" t="str">
        <f>T("9791159285806")</f>
        <v>9791159285806</v>
      </c>
      <c r="AV2128" t="str">
        <f>T("판타지 웹소설 &gt; 퓨전 판타지")</f>
        <v>판타지 웹소설 &gt; 퓨전 판타지</v>
      </c>
    </row>
    <row r="2129" spans="1:48" x14ac:dyDescent="0.4">
      <c r="A2129">
        <v>1525001334</v>
      </c>
      <c r="B2129">
        <v>1525001343</v>
      </c>
      <c r="C2129" t="str">
        <f>T("게이트 헌터 10화")</f>
        <v>게이트 헌터 10화</v>
      </c>
      <c r="D2129" t="str">
        <f>T("10")</f>
        <v>10</v>
      </c>
      <c r="E2129" t="str">
        <f>T("권용찬")</f>
        <v>권용찬</v>
      </c>
      <c r="H2129" t="str">
        <f>T("스토리위즈")</f>
        <v>스토리위즈</v>
      </c>
      <c r="I2129" t="str">
        <f>T("게이트 헌터")</f>
        <v>게이트 헌터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 s="2">
        <v>0</v>
      </c>
      <c r="AR2129" t="str">
        <f>T("9791159283291")</f>
        <v>9791159283291</v>
      </c>
      <c r="AT2129" t="str">
        <f>T("9791159283291")</f>
        <v>9791159283291</v>
      </c>
      <c r="AV2129" t="str">
        <f>T("판타지 웹소설 &gt; 현대 판타지")</f>
        <v>판타지 웹소설 &gt; 현대 판타지</v>
      </c>
    </row>
    <row r="2130" spans="1:48" x14ac:dyDescent="0.4">
      <c r="A2130">
        <v>1525010974</v>
      </c>
      <c r="B2130">
        <v>1525010973</v>
      </c>
      <c r="C2130" t="str">
        <f>T("[e북]위사무적 2권")</f>
        <v>[e북]위사무적 2권</v>
      </c>
      <c r="D2130" t="str">
        <f>T("2")</f>
        <v>2</v>
      </c>
      <c r="E2130" t="str">
        <f>T("협행마")</f>
        <v>협행마</v>
      </c>
      <c r="H2130" t="str">
        <f>T("에필로그")</f>
        <v>에필로그</v>
      </c>
      <c r="I2130" t="str">
        <f>T("[e북]위사무적")</f>
        <v>[e북]위사무적</v>
      </c>
      <c r="J2130">
        <v>2000</v>
      </c>
      <c r="K2130">
        <v>0</v>
      </c>
      <c r="L2130">
        <v>0</v>
      </c>
      <c r="M2130">
        <v>0</v>
      </c>
      <c r="N2130">
        <v>1400</v>
      </c>
      <c r="O2130">
        <v>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1400</v>
      </c>
      <c r="AH2130">
        <v>2</v>
      </c>
      <c r="AI2130">
        <v>0</v>
      </c>
      <c r="AJ2130">
        <v>0</v>
      </c>
      <c r="AK2130">
        <v>1400</v>
      </c>
      <c r="AL2130">
        <v>0</v>
      </c>
      <c r="AM2130">
        <v>0</v>
      </c>
      <c r="AN2130">
        <v>0</v>
      </c>
      <c r="AO2130">
        <v>0</v>
      </c>
      <c r="AP2130" s="2">
        <v>980</v>
      </c>
      <c r="AT2130" t="str">
        <f>T("9791164489015")</f>
        <v>9791164489015</v>
      </c>
      <c r="AV2130" t="str">
        <f>T("판타지 e북 &gt; 신무협")</f>
        <v>판타지 e북 &gt; 신무협</v>
      </c>
    </row>
    <row r="2131" spans="1:48" x14ac:dyDescent="0.4">
      <c r="A2131">
        <v>1525003477</v>
      </c>
      <c r="B2131">
        <v>1525003479</v>
      </c>
      <c r="C2131" t="str">
        <f>T("[e북]신규무사 3권")</f>
        <v>[e북]신규무사 3권</v>
      </c>
      <c r="D2131" t="str">
        <f>T("3")</f>
        <v>3</v>
      </c>
      <c r="E2131" t="str">
        <f>T("권용찬")</f>
        <v>권용찬</v>
      </c>
      <c r="H2131" t="str">
        <f t="shared" ref="H2131:H2136" si="214">T("스토리위즈")</f>
        <v>스토리위즈</v>
      </c>
      <c r="I2131" t="str">
        <f>T("[e북]신규무사")</f>
        <v>[e북]신규무사</v>
      </c>
      <c r="J2131">
        <v>3200</v>
      </c>
      <c r="K2131">
        <v>0</v>
      </c>
      <c r="L2131">
        <v>0</v>
      </c>
      <c r="M2131">
        <v>0</v>
      </c>
      <c r="N2131">
        <v>900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900</v>
      </c>
      <c r="AH2131">
        <v>1</v>
      </c>
      <c r="AI2131">
        <v>0</v>
      </c>
      <c r="AJ2131">
        <v>0</v>
      </c>
      <c r="AK2131">
        <v>900</v>
      </c>
      <c r="AL2131">
        <v>0</v>
      </c>
      <c r="AM2131">
        <v>0</v>
      </c>
      <c r="AN2131">
        <v>0</v>
      </c>
      <c r="AO2131">
        <v>0</v>
      </c>
      <c r="AP2131" s="2">
        <v>630</v>
      </c>
      <c r="AT2131" t="str">
        <f>T("9791159288524")</f>
        <v>9791159288524</v>
      </c>
      <c r="AV2131" t="str">
        <f>T("판타지 e북 &gt; 신무협")</f>
        <v>판타지 e북 &gt; 신무협</v>
      </c>
    </row>
    <row r="2132" spans="1:48" x14ac:dyDescent="0.4">
      <c r="A2132">
        <v>1525001917</v>
      </c>
      <c r="B2132">
        <v>1525001918</v>
      </c>
      <c r="C2132" t="str">
        <f>T("[e북]용중신권 2권")</f>
        <v>[e북]용중신권 2권</v>
      </c>
      <c r="D2132" t="str">
        <f>T("2")</f>
        <v>2</v>
      </c>
      <c r="E2132" t="str">
        <f>T("권용찬")</f>
        <v>권용찬</v>
      </c>
      <c r="H2132" t="str">
        <f t="shared" si="214"/>
        <v>스토리위즈</v>
      </c>
      <c r="I2132" t="str">
        <f>T("[e북]용중신권")</f>
        <v>[e북]용중신권</v>
      </c>
      <c r="J2132">
        <v>3200</v>
      </c>
      <c r="K2132">
        <v>0</v>
      </c>
      <c r="L2132">
        <v>0</v>
      </c>
      <c r="M2132">
        <v>0</v>
      </c>
      <c r="N2132">
        <v>3600</v>
      </c>
      <c r="O2132">
        <v>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3600</v>
      </c>
      <c r="AH2132">
        <v>4</v>
      </c>
      <c r="AI2132">
        <v>0</v>
      </c>
      <c r="AJ2132">
        <v>0</v>
      </c>
      <c r="AK2132">
        <v>2700</v>
      </c>
      <c r="AL2132">
        <v>0</v>
      </c>
      <c r="AM2132">
        <v>900</v>
      </c>
      <c r="AN2132">
        <v>0</v>
      </c>
      <c r="AO2132">
        <v>0</v>
      </c>
      <c r="AP2132" s="2">
        <v>2520</v>
      </c>
      <c r="AT2132" t="str">
        <f>T("9791159285936")</f>
        <v>9791159285936</v>
      </c>
      <c r="AV2132" t="str">
        <f>T("판타지 e북 &gt; 신무협")</f>
        <v>판타지 e북 &gt; 신무협</v>
      </c>
    </row>
    <row r="2133" spans="1:48" x14ac:dyDescent="0.4">
      <c r="A2133">
        <v>1525000209</v>
      </c>
      <c r="B2133">
        <v>1525000218</v>
      </c>
      <c r="C2133" t="str">
        <f>T("[e북]독종무쌍 10권")</f>
        <v>[e북]독종무쌍 10권</v>
      </c>
      <c r="D2133" t="str">
        <f>T("10")</f>
        <v>10</v>
      </c>
      <c r="E2133" t="str">
        <f>T("전혁")</f>
        <v>전혁</v>
      </c>
      <c r="H2133" t="str">
        <f t="shared" si="214"/>
        <v>스토리위즈</v>
      </c>
      <c r="I2133" t="str">
        <f>T("[e북]독종무쌍")</f>
        <v>[e북]독종무쌍</v>
      </c>
      <c r="J2133">
        <v>3200</v>
      </c>
      <c r="K2133">
        <v>0</v>
      </c>
      <c r="L2133">
        <v>0</v>
      </c>
      <c r="M2133">
        <v>0</v>
      </c>
      <c r="N2133">
        <v>1800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1800</v>
      </c>
      <c r="AH2133">
        <v>2</v>
      </c>
      <c r="AI2133">
        <v>0</v>
      </c>
      <c r="AJ2133">
        <v>0</v>
      </c>
      <c r="AK2133">
        <v>900</v>
      </c>
      <c r="AL2133">
        <v>0</v>
      </c>
      <c r="AM2133">
        <v>900</v>
      </c>
      <c r="AN2133">
        <v>0</v>
      </c>
      <c r="AO2133">
        <v>0</v>
      </c>
      <c r="AP2133" s="2">
        <v>1260</v>
      </c>
      <c r="AT2133" t="str">
        <f>T("9791186520024")</f>
        <v>9791186520024</v>
      </c>
      <c r="AV2133" t="str">
        <f>T("판타지 e북 &gt; 신무협")</f>
        <v>판타지 e북 &gt; 신무협</v>
      </c>
    </row>
    <row r="2134" spans="1:48" x14ac:dyDescent="0.4">
      <c r="A2134">
        <v>1525004988</v>
      </c>
      <c r="B2134">
        <v>1525005298</v>
      </c>
      <c r="C2134" t="str">
        <f>T("용무쌍 11화")</f>
        <v>용무쌍 11화</v>
      </c>
      <c r="D2134" t="str">
        <f>T("11")</f>
        <v>11</v>
      </c>
      <c r="E2134" t="str">
        <f>T("권용찬")</f>
        <v>권용찬</v>
      </c>
      <c r="H2134" t="str">
        <f t="shared" si="214"/>
        <v>스토리위즈</v>
      </c>
      <c r="I2134" t="str">
        <f>T("용무쌍")</f>
        <v>용무쌍</v>
      </c>
      <c r="J2134">
        <v>0</v>
      </c>
      <c r="K2134">
        <v>0</v>
      </c>
      <c r="L2134">
        <v>0</v>
      </c>
      <c r="M2134">
        <v>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2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 s="2">
        <v>0</v>
      </c>
      <c r="AT2134" t="str">
        <f>T("9791159284861")</f>
        <v>9791159284861</v>
      </c>
      <c r="AV2134" t="str">
        <f>T("판타지 웹소설 &gt; 무협 소설")</f>
        <v>판타지 웹소설 &gt; 무협 소설</v>
      </c>
    </row>
    <row r="2135" spans="1:48" x14ac:dyDescent="0.4">
      <c r="A2135">
        <v>1525001508</v>
      </c>
      <c r="B2135">
        <v>1525001514</v>
      </c>
      <c r="C2135" t="str">
        <f>T("[e북]칼 7권 (완결)")</f>
        <v>[e북]칼 7권 (완결)</v>
      </c>
      <c r="D2135" t="str">
        <f>T("7")</f>
        <v>7</v>
      </c>
      <c r="E2135" t="str">
        <f>T("권용찬")</f>
        <v>권용찬</v>
      </c>
      <c r="H2135" t="str">
        <f t="shared" si="214"/>
        <v>스토리위즈</v>
      </c>
      <c r="I2135" t="str">
        <f>T("[e북]칼")</f>
        <v>[e북]칼</v>
      </c>
      <c r="J2135">
        <v>3200</v>
      </c>
      <c r="K2135">
        <v>0</v>
      </c>
      <c r="L2135">
        <v>0</v>
      </c>
      <c r="M2135">
        <v>0</v>
      </c>
      <c r="N2135">
        <v>900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900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900</v>
      </c>
      <c r="AN2135">
        <v>0</v>
      </c>
      <c r="AO2135">
        <v>0</v>
      </c>
      <c r="AP2135" s="2">
        <v>630</v>
      </c>
      <c r="AT2135" t="str">
        <f>T("9791159282416")</f>
        <v>9791159282416</v>
      </c>
      <c r="AV2135" t="str">
        <f>T("판타지 e북 &gt; 신무협")</f>
        <v>판타지 e북 &gt; 신무협</v>
      </c>
    </row>
    <row r="2136" spans="1:48" x14ac:dyDescent="0.4">
      <c r="A2136">
        <v>1525000055</v>
      </c>
      <c r="B2136">
        <v>1525000072</v>
      </c>
      <c r="C2136" t="str">
        <f>T("[e북]21세기 대마법사 17권")</f>
        <v>[e북]21세기 대마법사 17권</v>
      </c>
      <c r="D2136" t="str">
        <f>T("17")</f>
        <v>17</v>
      </c>
      <c r="E2136" t="str">
        <f>T("김광수")</f>
        <v>김광수</v>
      </c>
      <c r="H2136" t="str">
        <f t="shared" si="214"/>
        <v>스토리위즈</v>
      </c>
      <c r="I2136" t="str">
        <f>T("[e북]21세기 대마법사")</f>
        <v>[e북]21세기 대마법사</v>
      </c>
      <c r="J2136">
        <v>3200</v>
      </c>
      <c r="K2136">
        <v>0</v>
      </c>
      <c r="L2136">
        <v>0</v>
      </c>
      <c r="M2136">
        <v>0</v>
      </c>
      <c r="N2136">
        <v>4500</v>
      </c>
      <c r="O2136">
        <v>5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4500</v>
      </c>
      <c r="AH2136">
        <v>5</v>
      </c>
      <c r="AI2136">
        <v>0</v>
      </c>
      <c r="AJ2136">
        <v>0</v>
      </c>
      <c r="AK2136">
        <v>4500</v>
      </c>
      <c r="AL2136">
        <v>0</v>
      </c>
      <c r="AM2136">
        <v>0</v>
      </c>
      <c r="AN2136">
        <v>0</v>
      </c>
      <c r="AO2136">
        <v>0</v>
      </c>
      <c r="AP2136" s="2">
        <v>3150</v>
      </c>
      <c r="AT2136" t="str">
        <f>T("9788925120386")</f>
        <v>9788925120386</v>
      </c>
      <c r="AV2136" t="str">
        <f>T("판타지 e북 &gt; 퓨전 판타지")</f>
        <v>판타지 e북 &gt; 퓨전 판타지</v>
      </c>
    </row>
    <row r="2137" spans="1:48" x14ac:dyDescent="0.4">
      <c r="A2137">
        <v>1525013020</v>
      </c>
      <c r="B2137">
        <v>1525013021</v>
      </c>
      <c r="C2137" t="str">
        <f>T("악당의 리턴 2화")</f>
        <v>악당의 리턴 2화</v>
      </c>
      <c r="D2137" t="str">
        <f>T("2")</f>
        <v>2</v>
      </c>
      <c r="E2137" t="str">
        <f>T("백범(白帆)")</f>
        <v>백범(白帆)</v>
      </c>
      <c r="H2137" t="str">
        <f>T("에필로그")</f>
        <v>에필로그</v>
      </c>
      <c r="I2137" t="str">
        <f>T("악당의 리턴")</f>
        <v>악당의 리턴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 s="2">
        <v>0</v>
      </c>
      <c r="AT2137" t="str">
        <f>T("9791196538927")</f>
        <v>9791196538927</v>
      </c>
      <c r="AV2137" t="str">
        <f>T("판타지 웹소설 &gt; 현대 판타지")</f>
        <v>판타지 웹소설 &gt; 현대 판타지</v>
      </c>
    </row>
    <row r="2138" spans="1:48" x14ac:dyDescent="0.4">
      <c r="A2138">
        <v>1525011063</v>
      </c>
      <c r="B2138">
        <v>1525011063</v>
      </c>
      <c r="C2138" t="str">
        <f>T("[e북]남창목가 1권")</f>
        <v>[e북]남창목가 1권</v>
      </c>
      <c r="D2138" t="str">
        <f>T("1")</f>
        <v>1</v>
      </c>
      <c r="E2138" t="str">
        <f>T("최재봉")</f>
        <v>최재봉</v>
      </c>
      <c r="H2138" t="str">
        <f>T("에필로그")</f>
        <v>에필로그</v>
      </c>
      <c r="I2138" t="str">
        <f>T("[e북]남창목가")</f>
        <v>[e북]남창목가</v>
      </c>
      <c r="J2138">
        <v>0</v>
      </c>
      <c r="K2138">
        <v>0</v>
      </c>
      <c r="L2138">
        <v>0</v>
      </c>
      <c r="M2138">
        <v>4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4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 s="2">
        <v>0</v>
      </c>
      <c r="AT2138" t="str">
        <f>T("9791164482979")</f>
        <v>9791164482979</v>
      </c>
      <c r="AV2138" t="str">
        <f>T("판타지 e북 &gt; 신무협")</f>
        <v>판타지 e북 &gt; 신무협</v>
      </c>
    </row>
    <row r="2139" spans="1:48" x14ac:dyDescent="0.4">
      <c r="A2139">
        <v>1525001116</v>
      </c>
      <c r="B2139">
        <v>1525001121</v>
      </c>
      <c r="C2139" t="str">
        <f>T("개정판 | 영웅 6화")</f>
        <v>개정판 | 영웅 6화</v>
      </c>
      <c r="D2139" t="str">
        <f>T("6")</f>
        <v>6</v>
      </c>
      <c r="E2139" t="str">
        <f>T("김광수")</f>
        <v>김광수</v>
      </c>
      <c r="H2139" t="str">
        <f>T("스토리위즈")</f>
        <v>스토리위즈</v>
      </c>
      <c r="I2139" t="str">
        <f>T("개정판 | 영웅")</f>
        <v>개정판 | 영웅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 s="2">
        <v>0</v>
      </c>
      <c r="AR2139" t="str">
        <f>T("9791159282829")</f>
        <v>9791159282829</v>
      </c>
      <c r="AT2139" t="str">
        <f>T("9791159282829")</f>
        <v>9791159282829</v>
      </c>
      <c r="AV2139" t="str">
        <f>T("판타지 웹소설 &gt; 무협 소설")</f>
        <v>판타지 웹소설 &gt; 무협 소설</v>
      </c>
    </row>
    <row r="2140" spans="1:48" x14ac:dyDescent="0.4">
      <c r="A2140">
        <v>1525004030</v>
      </c>
      <c r="B2140">
        <v>1525004052</v>
      </c>
      <c r="C2140" t="str">
        <f>T("회귀의 전설 23화")</f>
        <v>회귀의 전설 23화</v>
      </c>
      <c r="D2140" t="str">
        <f>T("23")</f>
        <v>23</v>
      </c>
      <c r="E2140" t="str">
        <f>T("김광수")</f>
        <v>김광수</v>
      </c>
      <c r="H2140" t="str">
        <f>T("스토리위즈")</f>
        <v>스토리위즈</v>
      </c>
      <c r="I2140" t="str">
        <f>T("회귀의 전설")</f>
        <v>회귀의 전설</v>
      </c>
      <c r="J2140">
        <v>0</v>
      </c>
      <c r="K2140">
        <v>0</v>
      </c>
      <c r="L2140">
        <v>0</v>
      </c>
      <c r="M2140">
        <v>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 s="2">
        <v>0</v>
      </c>
      <c r="AT2140" t="str">
        <f>T("9788997946006")</f>
        <v>9788997946006</v>
      </c>
      <c r="AV2140" t="str">
        <f>T("판타지 웹소설 &gt; 현대 판타지")</f>
        <v>판타지 웹소설 &gt; 현대 판타지</v>
      </c>
    </row>
    <row r="2141" spans="1:48" x14ac:dyDescent="0.4">
      <c r="A2141">
        <v>1525002692</v>
      </c>
      <c r="B2141">
        <v>1525002703</v>
      </c>
      <c r="C2141" t="str">
        <f>T("신규무사 12화")</f>
        <v>신규무사 12화</v>
      </c>
      <c r="D2141" t="str">
        <f>T("12")</f>
        <v>12</v>
      </c>
      <c r="E2141" t="str">
        <f>T("권용찬")</f>
        <v>권용찬</v>
      </c>
      <c r="H2141" t="str">
        <f>T("스토리위즈")</f>
        <v>스토리위즈</v>
      </c>
      <c r="I2141" t="str">
        <f>T("신규무사")</f>
        <v>신규무사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 s="2">
        <v>0</v>
      </c>
      <c r="AT2141" t="str">
        <f>T("9791159287480")</f>
        <v>9791159287480</v>
      </c>
      <c r="AV2141" t="str">
        <f>T("판타지 웹소설 &gt; 무협 소설")</f>
        <v>판타지 웹소설 &gt; 무협 소설</v>
      </c>
    </row>
    <row r="2142" spans="1:48" x14ac:dyDescent="0.4">
      <c r="A2142">
        <v>1525013320</v>
      </c>
      <c r="B2142">
        <v>1525013329</v>
      </c>
      <c r="C2142" t="str">
        <f>T("[e북]악당의 리턴 10권")</f>
        <v>[e북]악당의 리턴 10권</v>
      </c>
      <c r="D2142" t="str">
        <f>T("10")</f>
        <v>10</v>
      </c>
      <c r="E2142" t="str">
        <f>T("백범(白帆)")</f>
        <v>백범(白帆)</v>
      </c>
      <c r="H2142" t="str">
        <f>T("에필로그")</f>
        <v>에필로그</v>
      </c>
      <c r="I2142" t="str">
        <f>T("[e북]악당의 리턴")</f>
        <v>[e북]악당의 리턴</v>
      </c>
      <c r="J2142">
        <v>3200</v>
      </c>
      <c r="K2142">
        <v>0</v>
      </c>
      <c r="L2142">
        <v>0</v>
      </c>
      <c r="M2142">
        <v>0</v>
      </c>
      <c r="N2142">
        <v>900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900</v>
      </c>
      <c r="AH2142">
        <v>1</v>
      </c>
      <c r="AI2142">
        <v>0</v>
      </c>
      <c r="AJ2142">
        <v>0</v>
      </c>
      <c r="AK2142">
        <v>900</v>
      </c>
      <c r="AL2142">
        <v>0</v>
      </c>
      <c r="AM2142">
        <v>0</v>
      </c>
      <c r="AN2142">
        <v>0</v>
      </c>
      <c r="AO2142">
        <v>0</v>
      </c>
      <c r="AP2142" s="2">
        <v>630</v>
      </c>
      <c r="AT2142" t="str">
        <f>T("9791164482948")</f>
        <v>9791164482948</v>
      </c>
      <c r="AV2142" t="str">
        <f>T("판타지 e북 &gt; 현대 판타지")</f>
        <v>판타지 e북 &gt; 현대 판타지</v>
      </c>
    </row>
    <row r="2143" spans="1:48" x14ac:dyDescent="0.4">
      <c r="A2143">
        <v>1525004989</v>
      </c>
      <c r="B2143">
        <v>1525005492</v>
      </c>
      <c r="C2143" t="str">
        <f>T("신룡전설 3화")</f>
        <v>신룡전설 3화</v>
      </c>
      <c r="D2143" t="str">
        <f>T("3")</f>
        <v>3</v>
      </c>
      <c r="E2143" t="str">
        <f>T("가람검")</f>
        <v>가람검</v>
      </c>
      <c r="H2143" t="str">
        <f t="shared" ref="H2143:H2148" si="215">T("스토리위즈")</f>
        <v>스토리위즈</v>
      </c>
      <c r="I2143" t="str">
        <f>T("신룡전설")</f>
        <v>신룡전설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 s="2">
        <v>0</v>
      </c>
      <c r="AT2143" t="str">
        <f>T("9791159283505")</f>
        <v>9791159283505</v>
      </c>
      <c r="AV2143" t="str">
        <f>T("판타지 웹소설 &gt; 무협 소설")</f>
        <v>판타지 웹소설 &gt; 무협 소설</v>
      </c>
    </row>
    <row r="2144" spans="1:48" x14ac:dyDescent="0.4">
      <c r="A2144">
        <v>1525000055</v>
      </c>
      <c r="B2144">
        <v>1525000065</v>
      </c>
      <c r="C2144" t="str">
        <f>T("[e북]21세기 대마법사 10권")</f>
        <v>[e북]21세기 대마법사 10권</v>
      </c>
      <c r="D2144" t="str">
        <f>T("10")</f>
        <v>10</v>
      </c>
      <c r="E2144" t="str">
        <f>T("김광수")</f>
        <v>김광수</v>
      </c>
      <c r="H2144" t="str">
        <f t="shared" si="215"/>
        <v>스토리위즈</v>
      </c>
      <c r="I2144" t="str">
        <f>T("[e북]21세기 대마법사")</f>
        <v>[e북]21세기 대마법사</v>
      </c>
      <c r="J2144">
        <v>3200</v>
      </c>
      <c r="K2144">
        <v>0</v>
      </c>
      <c r="L2144">
        <v>0</v>
      </c>
      <c r="M2144">
        <v>0</v>
      </c>
      <c r="N2144">
        <v>9000</v>
      </c>
      <c r="O2144">
        <v>10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9000</v>
      </c>
      <c r="AH2144">
        <v>10</v>
      </c>
      <c r="AI2144">
        <v>0</v>
      </c>
      <c r="AJ2144">
        <v>0</v>
      </c>
      <c r="AK2144">
        <v>8100</v>
      </c>
      <c r="AL2144">
        <v>0</v>
      </c>
      <c r="AM2144">
        <v>900</v>
      </c>
      <c r="AN2144">
        <v>0</v>
      </c>
      <c r="AO2144">
        <v>0</v>
      </c>
      <c r="AP2144" s="2">
        <v>6300</v>
      </c>
      <c r="AT2144" t="str">
        <f>T("9788925118871")</f>
        <v>9788925118871</v>
      </c>
      <c r="AV2144" t="str">
        <f>T("판타지 e북 &gt; 퓨전 판타지")</f>
        <v>판타지 e북 &gt; 퓨전 판타지</v>
      </c>
    </row>
    <row r="2145" spans="1:48" x14ac:dyDescent="0.4">
      <c r="A2145">
        <v>1525000924</v>
      </c>
      <c r="B2145">
        <v>1525000932</v>
      </c>
      <c r="C2145" t="str">
        <f>T("스피릿 소드 9화")</f>
        <v>스피릿 소드 9화</v>
      </c>
      <c r="D2145" t="str">
        <f>T("9")</f>
        <v>9</v>
      </c>
      <c r="E2145" t="str">
        <f>T("김정률")</f>
        <v>김정률</v>
      </c>
      <c r="H2145" t="str">
        <f t="shared" si="215"/>
        <v>스토리위즈</v>
      </c>
      <c r="I2145" t="str">
        <f>T("스피릿 소드")</f>
        <v>스피릿 소드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 s="2">
        <v>0</v>
      </c>
      <c r="AR2145" t="str">
        <f>T("9791159282713")</f>
        <v>9791159282713</v>
      </c>
      <c r="AT2145" t="str">
        <f>T("9791159282713")</f>
        <v>9791159282713</v>
      </c>
      <c r="AV2145" t="str">
        <f>T("판타지 웹소설 &gt; 정통 판타지")</f>
        <v>판타지 웹소설 &gt; 정통 판타지</v>
      </c>
    </row>
    <row r="2146" spans="1:48" x14ac:dyDescent="0.4">
      <c r="A2146">
        <v>1525004030</v>
      </c>
      <c r="B2146">
        <v>1525004045</v>
      </c>
      <c r="C2146" t="str">
        <f>T("회귀의 전설 16화")</f>
        <v>회귀의 전설 16화</v>
      </c>
      <c r="D2146" t="str">
        <f>T("16")</f>
        <v>16</v>
      </c>
      <c r="E2146" t="str">
        <f>T("김광수")</f>
        <v>김광수</v>
      </c>
      <c r="H2146" t="str">
        <f t="shared" si="215"/>
        <v>스토리위즈</v>
      </c>
      <c r="I2146" t="str">
        <f>T("회귀의 전설")</f>
        <v>회귀의 전설</v>
      </c>
      <c r="J2146">
        <v>0</v>
      </c>
      <c r="K2146">
        <v>0</v>
      </c>
      <c r="L2146">
        <v>0</v>
      </c>
      <c r="M2146">
        <v>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3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 s="2">
        <v>0</v>
      </c>
      <c r="AT2146" t="str">
        <f>T("9788997946006")</f>
        <v>9788997946006</v>
      </c>
      <c r="AV2146" t="str">
        <f>T("판타지 웹소설 &gt; 현대 판타지")</f>
        <v>판타지 웹소설 &gt; 현대 판타지</v>
      </c>
    </row>
    <row r="2147" spans="1:48" x14ac:dyDescent="0.4">
      <c r="A2147">
        <v>1525002692</v>
      </c>
      <c r="B2147">
        <v>1525002696</v>
      </c>
      <c r="C2147" t="str">
        <f>T("신규무사 5화")</f>
        <v>신규무사 5화</v>
      </c>
      <c r="D2147" t="str">
        <f>T("5")</f>
        <v>5</v>
      </c>
      <c r="E2147" t="str">
        <f>T("권용찬")</f>
        <v>권용찬</v>
      </c>
      <c r="H2147" t="str">
        <f t="shared" si="215"/>
        <v>스토리위즈</v>
      </c>
      <c r="I2147" t="str">
        <f>T("신규무사")</f>
        <v>신규무사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 s="2">
        <v>0</v>
      </c>
      <c r="AT2147" t="str">
        <f>T("9791159287480")</f>
        <v>9791159287480</v>
      </c>
      <c r="AV2147" t="str">
        <f>T("판타지 웹소설 &gt; 무협 소설")</f>
        <v>판타지 웹소설 &gt; 무협 소설</v>
      </c>
    </row>
    <row r="2148" spans="1:48" x14ac:dyDescent="0.4">
      <c r="A2148">
        <v>1525000569</v>
      </c>
      <c r="B2148">
        <v>1525000591</v>
      </c>
      <c r="C2148" t="str">
        <f>T("스트라이커 23화")</f>
        <v>스트라이커 23화</v>
      </c>
      <c r="D2148" t="str">
        <f>T("23")</f>
        <v>23</v>
      </c>
      <c r="E2148" t="str">
        <f>T("독고진")</f>
        <v>독고진</v>
      </c>
      <c r="H2148" t="str">
        <f t="shared" si="215"/>
        <v>스토리위즈</v>
      </c>
      <c r="I2148" t="str">
        <f>T("스트라이커")</f>
        <v>스트라이커</v>
      </c>
      <c r="J2148">
        <v>0</v>
      </c>
      <c r="K2148">
        <v>0</v>
      </c>
      <c r="L2148">
        <v>0</v>
      </c>
      <c r="M2148">
        <v>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2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 s="2">
        <v>0</v>
      </c>
      <c r="AT2148" t="str">
        <f>T("9791170151678")</f>
        <v>9791170151678</v>
      </c>
      <c r="AV2148" t="str">
        <f>T("판타지 웹소설 &gt; 현대 판타지")</f>
        <v>판타지 웹소설 &gt; 현대 판타지</v>
      </c>
    </row>
    <row r="2149" spans="1:48" x14ac:dyDescent="0.4">
      <c r="A2149">
        <v>1525014015</v>
      </c>
      <c r="B2149">
        <v>1525014017</v>
      </c>
      <c r="C2149" t="str">
        <f>T("사냥꾼은 마왕이 되기 싫다 3화")</f>
        <v>사냥꾼은 마왕이 되기 싫다 3화</v>
      </c>
      <c r="D2149" t="str">
        <f>T("3")</f>
        <v>3</v>
      </c>
      <c r="E2149" t="str">
        <f>T("강명운")</f>
        <v>강명운</v>
      </c>
      <c r="H2149" t="str">
        <f>T("스토리아크")</f>
        <v>스토리아크</v>
      </c>
      <c r="I2149" t="str">
        <f>T("사냥꾼은 마왕이 되기 싫다")</f>
        <v>사냥꾼은 마왕이 되기 싫다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 s="2">
        <v>0</v>
      </c>
      <c r="AR2149" t="str">
        <f>T("0000000000000")</f>
        <v>0000000000000</v>
      </c>
      <c r="AT2149" t="str">
        <f>T("9791191039269")</f>
        <v>9791191039269</v>
      </c>
      <c r="AV2149" t="str">
        <f>T("판타지 웹소설 &gt; 정통 판타지")</f>
        <v>판타지 웹소설 &gt; 정통 판타지</v>
      </c>
    </row>
    <row r="2150" spans="1:48" x14ac:dyDescent="0.4">
      <c r="A2150">
        <v>1525013320</v>
      </c>
      <c r="B2150">
        <v>1525013320</v>
      </c>
      <c r="C2150" t="str">
        <f>T("[e북]악당의 리턴 1권")</f>
        <v>[e북]악당의 리턴 1권</v>
      </c>
      <c r="D2150" t="str">
        <f>T("1")</f>
        <v>1</v>
      </c>
      <c r="E2150" t="str">
        <f>T("백범(白帆)")</f>
        <v>백범(白帆)</v>
      </c>
      <c r="H2150" t="str">
        <f>T("에필로그")</f>
        <v>에필로그</v>
      </c>
      <c r="I2150" t="str">
        <f>T("[e북]악당의 리턴")</f>
        <v>[e북]악당의 리턴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3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 s="2">
        <v>0</v>
      </c>
      <c r="AT2150" t="str">
        <f>T("9791164482856")</f>
        <v>9791164482856</v>
      </c>
      <c r="AV2150" t="str">
        <f>T("판타지 e북 &gt; 현대 판타지")</f>
        <v>판타지 e북 &gt; 현대 판타지</v>
      </c>
    </row>
    <row r="2151" spans="1:48" x14ac:dyDescent="0.4">
      <c r="A2151">
        <v>1525011523</v>
      </c>
      <c r="B2151">
        <v>1525011519</v>
      </c>
      <c r="C2151" t="str">
        <f>T("남창목가 5화")</f>
        <v>남창목가 5화</v>
      </c>
      <c r="D2151" t="str">
        <f>T("5")</f>
        <v>5</v>
      </c>
      <c r="E2151" t="str">
        <f>T("최재봉")</f>
        <v>최재봉</v>
      </c>
      <c r="H2151" t="str">
        <f>T("에필로그")</f>
        <v>에필로그</v>
      </c>
      <c r="I2151" t="str">
        <f>T("남창목가")</f>
        <v>남창목가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 s="2">
        <v>0</v>
      </c>
      <c r="AT2151" t="str">
        <f>T("9791164482849")</f>
        <v>9791164482849</v>
      </c>
      <c r="AV2151" t="str">
        <f>T("판타지 웹소설 &gt; 무협 소설")</f>
        <v>판타지 웹소설 &gt; 무협 소설</v>
      </c>
    </row>
    <row r="2152" spans="1:48" x14ac:dyDescent="0.4">
      <c r="A2152">
        <v>1525002864</v>
      </c>
      <c r="B2152">
        <v>1525002877</v>
      </c>
      <c r="C2152" t="str">
        <f>T("소드마스터의 환생 14화")</f>
        <v>소드마스터의 환생 14화</v>
      </c>
      <c r="D2152" t="str">
        <f>T("14")</f>
        <v>14</v>
      </c>
      <c r="E2152" t="str">
        <f>T("파란영")</f>
        <v>파란영</v>
      </c>
      <c r="H2152" t="str">
        <f>T("스토리위즈")</f>
        <v>스토리위즈</v>
      </c>
      <c r="I2152" t="str">
        <f>T("소드마스터의 환생")</f>
        <v>소드마스터의 환생</v>
      </c>
      <c r="J2152">
        <v>0</v>
      </c>
      <c r="K2152">
        <v>0</v>
      </c>
      <c r="L2152">
        <v>0</v>
      </c>
      <c r="M2152">
        <v>3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3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 s="2">
        <v>0</v>
      </c>
      <c r="AT2152" t="str">
        <f>T("9791159287527")</f>
        <v>9791159287527</v>
      </c>
      <c r="AV2152" t="str">
        <f>T("판타지 웹소설 &gt; 정통 판타지")</f>
        <v>판타지 웹소설 &gt; 정통 판타지</v>
      </c>
    </row>
    <row r="2153" spans="1:48" x14ac:dyDescent="0.4">
      <c r="A2153">
        <v>1525000158</v>
      </c>
      <c r="B2153">
        <v>1525000170</v>
      </c>
      <c r="C2153" t="str">
        <f>T("[e북]아나크레온 13권")</f>
        <v>[e북]아나크레온 13권</v>
      </c>
      <c r="D2153" t="str">
        <f>T("13")</f>
        <v>13</v>
      </c>
      <c r="E2153" t="str">
        <f>T("김정률")</f>
        <v>김정률</v>
      </c>
      <c r="H2153" t="str">
        <f>T("스토리위즈")</f>
        <v>스토리위즈</v>
      </c>
      <c r="I2153" t="str">
        <f>T("[e북]아나크레온")</f>
        <v>[e북]아나크레온</v>
      </c>
      <c r="J2153">
        <v>3200</v>
      </c>
      <c r="K2153">
        <v>0</v>
      </c>
      <c r="L2153">
        <v>0</v>
      </c>
      <c r="M2153">
        <v>0</v>
      </c>
      <c r="N2153">
        <v>900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900</v>
      </c>
      <c r="AH2153">
        <v>1</v>
      </c>
      <c r="AI2153">
        <v>0</v>
      </c>
      <c r="AJ2153">
        <v>0</v>
      </c>
      <c r="AK2153">
        <v>900</v>
      </c>
      <c r="AL2153">
        <v>0</v>
      </c>
      <c r="AM2153">
        <v>0</v>
      </c>
      <c r="AN2153">
        <v>0</v>
      </c>
      <c r="AO2153">
        <v>0</v>
      </c>
      <c r="AP2153" s="2">
        <v>630</v>
      </c>
      <c r="AV2153" t="str">
        <f>T("판타지 e북 &gt; 퓨전 판타지")</f>
        <v>판타지 e북 &gt; 퓨전 판타지</v>
      </c>
    </row>
    <row r="2154" spans="1:48" x14ac:dyDescent="0.4">
      <c r="A2154">
        <v>1525001334</v>
      </c>
      <c r="B2154">
        <v>1525001336</v>
      </c>
      <c r="C2154" t="str">
        <f>T("게이트 헌터 3화")</f>
        <v>게이트 헌터 3화</v>
      </c>
      <c r="D2154" t="str">
        <f>T("3")</f>
        <v>3</v>
      </c>
      <c r="E2154" t="str">
        <f>T("권용찬")</f>
        <v>권용찬</v>
      </c>
      <c r="H2154" t="str">
        <f>T("스토리위즈")</f>
        <v>스토리위즈</v>
      </c>
      <c r="I2154" t="str">
        <f>T("게이트 헌터")</f>
        <v>게이트 헌터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 s="2">
        <v>0</v>
      </c>
      <c r="AR2154" t="str">
        <f>T("9791159283291")</f>
        <v>9791159283291</v>
      </c>
      <c r="AT2154" t="str">
        <f>T("9791159283291")</f>
        <v>9791159283291</v>
      </c>
      <c r="AV2154" t="str">
        <f>T("판타지 웹소설 &gt; 현대 판타지")</f>
        <v>판타지 웹소설 &gt; 현대 판타지</v>
      </c>
    </row>
    <row r="2155" spans="1:48" x14ac:dyDescent="0.4">
      <c r="A2155">
        <v>1525008717</v>
      </c>
      <c r="B2155">
        <v>1525008739</v>
      </c>
      <c r="C2155" t="str">
        <f>T("음양상열지사 3화")</f>
        <v>음양상열지사 3화</v>
      </c>
      <c r="D2155" t="str">
        <f>T("3")</f>
        <v>3</v>
      </c>
      <c r="E2155" t="str">
        <f>T("이염")</f>
        <v>이염</v>
      </c>
      <c r="H2155" t="str">
        <f>T("블러쉬")</f>
        <v>블러쉬</v>
      </c>
      <c r="I2155" t="str">
        <f>T("음양상열지사")</f>
        <v>음양상열지사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 s="2">
        <v>0</v>
      </c>
      <c r="AR2155" t="str">
        <f>T("0000000000000")</f>
        <v>0000000000000</v>
      </c>
      <c r="AT2155" t="str">
        <f>T("9791164896639")</f>
        <v>9791164896639</v>
      </c>
      <c r="AU2155" t="str">
        <f>T("B10")</f>
        <v>B10</v>
      </c>
      <c r="AV2155" t="str">
        <f>T("BL 웹소설 &gt; 역사/시대물")</f>
        <v>BL 웹소설 &gt; 역사/시대물</v>
      </c>
    </row>
    <row r="2156" spans="1:48" x14ac:dyDescent="0.4">
      <c r="A2156">
        <v>1525010954</v>
      </c>
      <c r="B2156">
        <v>1525010954</v>
      </c>
      <c r="C2156" t="str">
        <f>T("[e북]동대륙의 낭인무사 1권")</f>
        <v>[e북]동대륙의 낭인무사 1권</v>
      </c>
      <c r="D2156" t="str">
        <f>T("1")</f>
        <v>1</v>
      </c>
      <c r="E2156" t="str">
        <f>T("협행마")</f>
        <v>협행마</v>
      </c>
      <c r="H2156" t="str">
        <f>T("에필로그")</f>
        <v>에필로그</v>
      </c>
      <c r="I2156" t="str">
        <f>T("[e북]동대륙의 낭인무사")</f>
        <v>[e북]동대륙의 낭인무사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 s="2">
        <v>0</v>
      </c>
      <c r="AT2156" t="str">
        <f>T("9791164489077")</f>
        <v>9791164489077</v>
      </c>
      <c r="AV2156" t="str">
        <f>T("판타지 e북 &gt; 퓨전 판타지")</f>
        <v>판타지 e북 &gt; 퓨전 판타지</v>
      </c>
    </row>
    <row r="2157" spans="1:48" x14ac:dyDescent="0.4">
      <c r="A2157">
        <v>1525010898</v>
      </c>
      <c r="B2157">
        <v>1525010877</v>
      </c>
      <c r="C2157" t="str">
        <f>T("[e북]용병수칙 6권")</f>
        <v>[e북]용병수칙 6권</v>
      </c>
      <c r="D2157" t="str">
        <f>T("6")</f>
        <v>6</v>
      </c>
      <c r="E2157" t="str">
        <f>T("협행마")</f>
        <v>협행마</v>
      </c>
      <c r="H2157" t="str">
        <f>T("에필로그")</f>
        <v>에필로그</v>
      </c>
      <c r="I2157" t="str">
        <f>T("[e북]용병수칙")</f>
        <v>[e북]용병수칙</v>
      </c>
      <c r="J2157">
        <v>2500</v>
      </c>
      <c r="K2157">
        <v>0</v>
      </c>
      <c r="L2157">
        <v>0</v>
      </c>
      <c r="M2157">
        <v>0</v>
      </c>
      <c r="N2157">
        <v>810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810</v>
      </c>
      <c r="AH2157">
        <v>1</v>
      </c>
      <c r="AI2157">
        <v>0</v>
      </c>
      <c r="AJ2157">
        <v>0</v>
      </c>
      <c r="AK2157">
        <v>810</v>
      </c>
      <c r="AL2157">
        <v>0</v>
      </c>
      <c r="AM2157">
        <v>0</v>
      </c>
      <c r="AN2157">
        <v>0</v>
      </c>
      <c r="AO2157">
        <v>0</v>
      </c>
      <c r="AP2157" s="2">
        <v>567</v>
      </c>
      <c r="AT2157" t="str">
        <f>T("9791166000140")</f>
        <v>9791166000140</v>
      </c>
      <c r="AV2157" t="str">
        <f>T("판타지 e북 &gt; 퓨전 판타지")</f>
        <v>판타지 e북 &gt; 퓨전 판타지</v>
      </c>
    </row>
    <row r="2158" spans="1:48" x14ac:dyDescent="0.4">
      <c r="A2158">
        <v>1525001908</v>
      </c>
      <c r="B2158">
        <v>1525001911</v>
      </c>
      <c r="C2158" t="str">
        <f>T("[e북]상왕 진우몽 4권")</f>
        <v>[e북]상왕 진우몽 4권</v>
      </c>
      <c r="D2158" t="str">
        <f>T("4")</f>
        <v>4</v>
      </c>
      <c r="E2158" t="str">
        <f>T("권용찬")</f>
        <v>권용찬</v>
      </c>
      <c r="H2158" t="str">
        <f>T("스토리위즈")</f>
        <v>스토리위즈</v>
      </c>
      <c r="I2158" t="str">
        <f>T("[e북]상왕 진우몽")</f>
        <v>[e북]상왕 진우몽</v>
      </c>
      <c r="J2158">
        <v>3200</v>
      </c>
      <c r="K2158">
        <v>0</v>
      </c>
      <c r="L2158">
        <v>0</v>
      </c>
      <c r="M2158">
        <v>0</v>
      </c>
      <c r="N2158">
        <v>900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900</v>
      </c>
      <c r="AH2158">
        <v>1</v>
      </c>
      <c r="AI2158">
        <v>0</v>
      </c>
      <c r="AJ2158">
        <v>0</v>
      </c>
      <c r="AK2158">
        <v>900</v>
      </c>
      <c r="AL2158">
        <v>0</v>
      </c>
      <c r="AM2158">
        <v>0</v>
      </c>
      <c r="AN2158">
        <v>0</v>
      </c>
      <c r="AO2158">
        <v>0</v>
      </c>
      <c r="AP2158" s="2">
        <v>630</v>
      </c>
      <c r="AT2158" t="str">
        <f>T("9791159285868")</f>
        <v>9791159285868</v>
      </c>
      <c r="AV2158" t="str">
        <f>T("판타지 e북 &gt; 신무협")</f>
        <v>판타지 e북 &gt; 신무협</v>
      </c>
    </row>
    <row r="2159" spans="1:48" x14ac:dyDescent="0.4">
      <c r="A2159">
        <v>1525004988</v>
      </c>
      <c r="B2159">
        <v>1525005291</v>
      </c>
      <c r="C2159" t="str">
        <f>T("용무쌍 4화")</f>
        <v>용무쌍 4화</v>
      </c>
      <c r="D2159" t="str">
        <f>T("4")</f>
        <v>4</v>
      </c>
      <c r="E2159" t="str">
        <f>T("권용찬")</f>
        <v>권용찬</v>
      </c>
      <c r="H2159" t="str">
        <f>T("스토리위즈")</f>
        <v>스토리위즈</v>
      </c>
      <c r="I2159" t="str">
        <f>T("용무쌍")</f>
        <v>용무쌍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 s="2">
        <v>0</v>
      </c>
      <c r="AT2159" t="str">
        <f>T("9791159284861")</f>
        <v>9791159284861</v>
      </c>
      <c r="AV2159" t="str">
        <f>T("판타지 웹소설 &gt; 무협 소설")</f>
        <v>판타지 웹소설 &gt; 무협 소설</v>
      </c>
    </row>
    <row r="2160" spans="1:48" x14ac:dyDescent="0.4">
      <c r="A2160">
        <v>1525002409</v>
      </c>
      <c r="B2160">
        <v>1525002428</v>
      </c>
      <c r="C2160" t="str">
        <f>T("스포트라이트 20화")</f>
        <v>스포트라이트 20화</v>
      </c>
      <c r="D2160" t="str">
        <f>T("20")</f>
        <v>20</v>
      </c>
      <c r="E2160" t="str">
        <f>T("전혁")</f>
        <v>전혁</v>
      </c>
      <c r="H2160" t="str">
        <f>T("스토리위즈")</f>
        <v>스토리위즈</v>
      </c>
      <c r="I2160" t="str">
        <f>T("스포트라이트")</f>
        <v>스포트라이트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 s="2">
        <v>0</v>
      </c>
      <c r="AT2160" t="str">
        <f>T("9791159286841")</f>
        <v>9791159286841</v>
      </c>
      <c r="AV2160" t="str">
        <f>T("판타지 웹소설 &gt; 현대 판타지")</f>
        <v>판타지 웹소설 &gt; 현대 판타지</v>
      </c>
    </row>
    <row r="2161" spans="1:48" x14ac:dyDescent="0.4">
      <c r="A2161">
        <v>1525001499</v>
      </c>
      <c r="B2161">
        <v>1525001506</v>
      </c>
      <c r="C2161" t="str">
        <f>T("[e북]파계 8권")</f>
        <v>[e북]파계 8권</v>
      </c>
      <c r="D2161" t="str">
        <f>T("8")</f>
        <v>8</v>
      </c>
      <c r="E2161" t="str">
        <f>T("권용찬")</f>
        <v>권용찬</v>
      </c>
      <c r="H2161" t="str">
        <f>T("스토리위즈")</f>
        <v>스토리위즈</v>
      </c>
      <c r="I2161" t="str">
        <f>T("[e북]파계")</f>
        <v>[e북]파계</v>
      </c>
      <c r="J2161">
        <v>3200</v>
      </c>
      <c r="K2161">
        <v>0</v>
      </c>
      <c r="L2161">
        <v>0</v>
      </c>
      <c r="M2161">
        <v>0</v>
      </c>
      <c r="N2161">
        <v>900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900</v>
      </c>
      <c r="AH2161">
        <v>1</v>
      </c>
      <c r="AI2161">
        <v>0</v>
      </c>
      <c r="AJ2161">
        <v>0</v>
      </c>
      <c r="AK2161">
        <v>900</v>
      </c>
      <c r="AL2161">
        <v>0</v>
      </c>
      <c r="AM2161">
        <v>0</v>
      </c>
      <c r="AN2161">
        <v>0</v>
      </c>
      <c r="AO2161">
        <v>0</v>
      </c>
      <c r="AP2161" s="2">
        <v>630</v>
      </c>
      <c r="AT2161" t="str">
        <f>T("9791159282805")</f>
        <v>9791159282805</v>
      </c>
      <c r="AV2161" t="str">
        <f>T("판타지 e북 &gt; 신무협")</f>
        <v>판타지 e북 &gt; 신무협</v>
      </c>
    </row>
    <row r="2162" spans="1:48" x14ac:dyDescent="0.4">
      <c r="A2162">
        <v>1525002864</v>
      </c>
      <c r="B2162">
        <v>1525002870</v>
      </c>
      <c r="C2162" t="str">
        <f>T("소드마스터의 환생 7화")</f>
        <v>소드마스터의 환생 7화</v>
      </c>
      <c r="D2162" t="str">
        <f>T("7")</f>
        <v>7</v>
      </c>
      <c r="E2162" t="str">
        <f>T("파란영")</f>
        <v>파란영</v>
      </c>
      <c r="H2162" t="str">
        <f>T("스토리위즈")</f>
        <v>스토리위즈</v>
      </c>
      <c r="I2162" t="str">
        <f>T("소드마스터의 환생")</f>
        <v>소드마스터의 환생</v>
      </c>
      <c r="J2162">
        <v>0</v>
      </c>
      <c r="K2162">
        <v>0</v>
      </c>
      <c r="L2162">
        <v>0</v>
      </c>
      <c r="M2162">
        <v>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4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 s="2">
        <v>0</v>
      </c>
      <c r="AT2162" t="str">
        <f>T("9791159287527")</f>
        <v>9791159287527</v>
      </c>
      <c r="AV2162" t="str">
        <f>T("판타지 웹소설 &gt; 정통 판타지")</f>
        <v>판타지 웹소설 &gt; 정통 판타지</v>
      </c>
    </row>
    <row r="2163" spans="1:48" x14ac:dyDescent="0.4">
      <c r="A2163">
        <v>1525013344</v>
      </c>
      <c r="B2163">
        <v>1525013348</v>
      </c>
      <c r="C2163" t="str">
        <f>T("[e북]진짜 사나이 5권")</f>
        <v>[e북]진짜 사나이 5권</v>
      </c>
      <c r="D2163" t="str">
        <f>T("5")</f>
        <v>5</v>
      </c>
      <c r="E2163" t="str">
        <f>T("백범(白帆)")</f>
        <v>백범(白帆)</v>
      </c>
      <c r="H2163" t="str">
        <f>T("에필로그")</f>
        <v>에필로그</v>
      </c>
      <c r="I2163" t="str">
        <f>T("[e북]진짜 사나이")</f>
        <v>[e북]진짜 사나이</v>
      </c>
      <c r="J2163">
        <v>2000</v>
      </c>
      <c r="K2163">
        <v>0</v>
      </c>
      <c r="L2163">
        <v>0</v>
      </c>
      <c r="M2163">
        <v>0</v>
      </c>
      <c r="N2163">
        <v>900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900</v>
      </c>
      <c r="AH2163">
        <v>1</v>
      </c>
      <c r="AI2163">
        <v>0</v>
      </c>
      <c r="AJ2163">
        <v>0</v>
      </c>
      <c r="AK2163">
        <v>900</v>
      </c>
      <c r="AL2163">
        <v>0</v>
      </c>
      <c r="AM2163">
        <v>0</v>
      </c>
      <c r="AN2163">
        <v>0</v>
      </c>
      <c r="AO2163">
        <v>0</v>
      </c>
      <c r="AP2163" s="2">
        <v>630</v>
      </c>
      <c r="AT2163" t="str">
        <f>T("9791164480562")</f>
        <v>9791164480562</v>
      </c>
      <c r="AV2163" t="str">
        <f>T("판타지 e북 &gt; 퓨전 판타지")</f>
        <v>판타지 e북 &gt; 퓨전 판타지</v>
      </c>
    </row>
    <row r="2164" spans="1:48" x14ac:dyDescent="0.4">
      <c r="A2164">
        <v>1525000113</v>
      </c>
      <c r="B2164">
        <v>1525000123</v>
      </c>
      <c r="C2164" t="str">
        <f>T("[e북]마왕 데이몬 11권")</f>
        <v>[e북]마왕 데이몬 11권</v>
      </c>
      <c r="D2164" t="str">
        <f>T("11")</f>
        <v>11</v>
      </c>
      <c r="E2164" t="str">
        <f>T("김정률")</f>
        <v>김정률</v>
      </c>
      <c r="H2164" t="str">
        <f>T("스토리위즈")</f>
        <v>스토리위즈</v>
      </c>
      <c r="I2164" t="str">
        <f>T("[e북]마왕 데이몬")</f>
        <v>[e북]마왕 데이몬</v>
      </c>
      <c r="J2164">
        <v>3200</v>
      </c>
      <c r="K2164">
        <v>0</v>
      </c>
      <c r="L2164">
        <v>0</v>
      </c>
      <c r="M2164">
        <v>0</v>
      </c>
      <c r="N2164">
        <v>2700</v>
      </c>
      <c r="O2164">
        <v>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2700</v>
      </c>
      <c r="AH2164">
        <v>3</v>
      </c>
      <c r="AI2164">
        <v>0</v>
      </c>
      <c r="AJ2164">
        <v>0</v>
      </c>
      <c r="AK2164">
        <v>2700</v>
      </c>
      <c r="AL2164">
        <v>0</v>
      </c>
      <c r="AM2164">
        <v>0</v>
      </c>
      <c r="AN2164">
        <v>0</v>
      </c>
      <c r="AO2164">
        <v>0</v>
      </c>
      <c r="AP2164" s="2">
        <v>1890</v>
      </c>
      <c r="AT2164" t="str">
        <f>T("9788925731155")</f>
        <v>9788925731155</v>
      </c>
      <c r="AV2164" t="str">
        <f>T("판타지 e북 &gt; 현대 판타지")</f>
        <v>판타지 e북 &gt; 현대 판타지</v>
      </c>
    </row>
    <row r="2165" spans="1:48" x14ac:dyDescent="0.4">
      <c r="A2165">
        <v>1525012005</v>
      </c>
      <c r="B2165">
        <v>1525012004</v>
      </c>
      <c r="C2165" t="str">
        <f>T("[e북]남궁세가 건달공자 2권")</f>
        <v>[e북]남궁세가 건달공자 2권</v>
      </c>
      <c r="D2165" t="str">
        <f>T("2")</f>
        <v>2</v>
      </c>
      <c r="E2165" t="str">
        <f>T("협행마")</f>
        <v>협행마</v>
      </c>
      <c r="H2165" t="str">
        <f>T("에필로그")</f>
        <v>에필로그</v>
      </c>
      <c r="I2165" t="str">
        <f>T("[e북]남궁세가 건달공자")</f>
        <v>[e북]남궁세가 건달공자</v>
      </c>
      <c r="J2165">
        <v>2500</v>
      </c>
      <c r="K2165">
        <v>0</v>
      </c>
      <c r="L2165">
        <v>0</v>
      </c>
      <c r="M2165">
        <v>0</v>
      </c>
      <c r="N2165">
        <v>900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900</v>
      </c>
      <c r="AH2165">
        <v>1</v>
      </c>
      <c r="AI2165">
        <v>0</v>
      </c>
      <c r="AJ2165">
        <v>0</v>
      </c>
      <c r="AK2165">
        <v>900</v>
      </c>
      <c r="AL2165">
        <v>0</v>
      </c>
      <c r="AM2165">
        <v>0</v>
      </c>
      <c r="AN2165">
        <v>0</v>
      </c>
      <c r="AO2165">
        <v>0</v>
      </c>
      <c r="AP2165" s="2">
        <v>630</v>
      </c>
      <c r="AT2165" t="str">
        <f>T("9791164481569")</f>
        <v>9791164481569</v>
      </c>
      <c r="AV2165" t="str">
        <f>T("판타지 e북 &gt; 신무협")</f>
        <v>판타지 e북 &gt; 신무협</v>
      </c>
    </row>
    <row r="2166" spans="1:48" x14ac:dyDescent="0.4">
      <c r="A2166">
        <v>1525001317</v>
      </c>
      <c r="B2166">
        <v>1525001327</v>
      </c>
      <c r="C2166" t="str">
        <f>T("[e북]완전판 | 스트라이커 11권")</f>
        <v>[e북]완전판 | 스트라이커 11권</v>
      </c>
      <c r="D2166" t="str">
        <f>T("11")</f>
        <v>11</v>
      </c>
      <c r="E2166" t="str">
        <f>T("독고진")</f>
        <v>독고진</v>
      </c>
      <c r="H2166" t="str">
        <f>T("스토리위즈")</f>
        <v>스토리위즈</v>
      </c>
      <c r="I2166" t="str">
        <f>T("[e북]완전판 | 스트라이커")</f>
        <v>[e북]완전판 | 스트라이커</v>
      </c>
      <c r="J2166">
        <v>3200</v>
      </c>
      <c r="K2166">
        <v>0</v>
      </c>
      <c r="L2166">
        <v>0</v>
      </c>
      <c r="M2166">
        <v>0</v>
      </c>
      <c r="N2166">
        <v>4500</v>
      </c>
      <c r="O2166">
        <v>5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4500</v>
      </c>
      <c r="AH2166">
        <v>5</v>
      </c>
      <c r="AI2166">
        <v>0</v>
      </c>
      <c r="AJ2166">
        <v>0</v>
      </c>
      <c r="AK2166">
        <v>3600</v>
      </c>
      <c r="AL2166">
        <v>0</v>
      </c>
      <c r="AM2166">
        <v>1080</v>
      </c>
      <c r="AN2166">
        <v>-324</v>
      </c>
      <c r="AO2166">
        <v>0</v>
      </c>
      <c r="AP2166" s="2">
        <v>3049.2</v>
      </c>
      <c r="AR2166" t="str">
        <f>T("9791159282935")</f>
        <v>9791159282935</v>
      </c>
      <c r="AT2166" t="str">
        <f>T("9791159282935")</f>
        <v>9791159282935</v>
      </c>
      <c r="AV2166" t="str">
        <f>T("판타지 e북 &gt; 스포츠물")</f>
        <v>판타지 e북 &gt; 스포츠물</v>
      </c>
    </row>
    <row r="2167" spans="1:48" x14ac:dyDescent="0.4">
      <c r="A2167">
        <v>1525004989</v>
      </c>
      <c r="B2167">
        <v>1525005510</v>
      </c>
      <c r="C2167" t="str">
        <f>T("신룡전설 21화")</f>
        <v>신룡전설 21화</v>
      </c>
      <c r="D2167" t="str">
        <f>T("21")</f>
        <v>21</v>
      </c>
      <c r="E2167" t="str">
        <f>T("가람검")</f>
        <v>가람검</v>
      </c>
      <c r="H2167" t="str">
        <f>T("스토리위즈")</f>
        <v>스토리위즈</v>
      </c>
      <c r="I2167" t="str">
        <f>T("신룡전설")</f>
        <v>신룡전설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 s="2">
        <v>0</v>
      </c>
      <c r="AT2167" t="str">
        <f>T("9791159283505")</f>
        <v>9791159283505</v>
      </c>
      <c r="AV2167" t="str">
        <f>T("판타지 웹소설 &gt; 무협 소설")</f>
        <v>판타지 웹소설 &gt; 무협 소설</v>
      </c>
    </row>
    <row r="2168" spans="1:48" x14ac:dyDescent="0.4">
      <c r="A2168">
        <v>1525000022</v>
      </c>
      <c r="B2168">
        <v>1525000022</v>
      </c>
      <c r="C2168" t="str">
        <f>T("[e북]마계대공 연대기 1권")</f>
        <v>[e북]마계대공 연대기 1권</v>
      </c>
      <c r="D2168" t="str">
        <f>T("1")</f>
        <v>1</v>
      </c>
      <c r="E2168" t="str">
        <f>T("김광수")</f>
        <v>김광수</v>
      </c>
      <c r="H2168" t="str">
        <f>T("스토리위즈")</f>
        <v>스토리위즈</v>
      </c>
      <c r="I2168" t="str">
        <f>T("[e북]마계대공 연대기")</f>
        <v>[e북]마계대공 연대기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8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9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 s="2">
        <v>0</v>
      </c>
      <c r="AV2168" t="str">
        <f>T("판타지 e북 &gt; 퓨전 판타지")</f>
        <v>판타지 e북 &gt; 퓨전 판타지</v>
      </c>
    </row>
    <row r="2169" spans="1:48" x14ac:dyDescent="0.4">
      <c r="A2169">
        <v>1525008604</v>
      </c>
      <c r="B2169">
        <v>1525008626</v>
      </c>
      <c r="C2169" t="str">
        <f>T("우아한 곡선 3화")</f>
        <v>우아한 곡선 3화</v>
      </c>
      <c r="D2169" t="str">
        <f>T("3")</f>
        <v>3</v>
      </c>
      <c r="E2169" t="str">
        <f>T("용가리맛쿠키")</f>
        <v>용가리맛쿠키</v>
      </c>
      <c r="H2169" t="str">
        <f>T("블러쉬")</f>
        <v>블러쉬</v>
      </c>
      <c r="I2169" t="str">
        <f>T("우아한 곡선")</f>
        <v>우아한 곡선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 s="2">
        <v>0</v>
      </c>
      <c r="AR2169" t="str">
        <f>T("0000000000000")</f>
        <v>0000000000000</v>
      </c>
      <c r="AT2169" t="str">
        <f>T("9791164896615")</f>
        <v>9791164896615</v>
      </c>
      <c r="AV2169" t="str">
        <f>T("BL 웹소설 &gt; 현대물")</f>
        <v>BL 웹소설 &gt; 현대물</v>
      </c>
    </row>
    <row r="2170" spans="1:48" x14ac:dyDescent="0.4">
      <c r="A2170">
        <v>1525010579</v>
      </c>
      <c r="B2170">
        <v>1525010579</v>
      </c>
      <c r="C2170" t="str">
        <f>T("법보다 주먹 1화")</f>
        <v>법보다 주먹 1화</v>
      </c>
      <c r="D2170" t="str">
        <f>T("1")</f>
        <v>1</v>
      </c>
      <c r="E2170" t="str">
        <f>T("백범(白帆)")</f>
        <v>백범(白帆)</v>
      </c>
      <c r="H2170" t="str">
        <f>T("에필로그")</f>
        <v>에필로그</v>
      </c>
      <c r="I2170" t="str">
        <f>T("법보다 주먹")</f>
        <v>법보다 주먹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 s="2">
        <v>0</v>
      </c>
      <c r="AT2170" t="str">
        <f>T("9791164489367")</f>
        <v>9791164489367</v>
      </c>
      <c r="AV2170" t="str">
        <f>T("판타지 웹소설 &gt; 현대 판타지")</f>
        <v>판타지 웹소설 &gt; 현대 판타지</v>
      </c>
    </row>
    <row r="2171" spans="1:48" x14ac:dyDescent="0.4">
      <c r="A2171">
        <v>1525001836</v>
      </c>
      <c r="B2171">
        <v>1525001843</v>
      </c>
      <c r="C2171" t="str">
        <f>T("[e북]완전판ㅣ스피릿 소드 8권 (완결)")</f>
        <v>[e북]완전판ㅣ스피릿 소드 8권 (완결)</v>
      </c>
      <c r="D2171" t="str">
        <f>T("8")</f>
        <v>8</v>
      </c>
      <c r="E2171" t="str">
        <f>T("김정률")</f>
        <v>김정률</v>
      </c>
      <c r="H2171" t="str">
        <f>T("스토리위즈")</f>
        <v>스토리위즈</v>
      </c>
      <c r="I2171" t="str">
        <f>T("[e북]완전판ㅣ스피릿 소드")</f>
        <v>[e북]완전판ㅣ스피릿 소드</v>
      </c>
      <c r="J2171">
        <v>3000</v>
      </c>
      <c r="K2171">
        <v>0</v>
      </c>
      <c r="L2171">
        <v>0</v>
      </c>
      <c r="M2171">
        <v>0</v>
      </c>
      <c r="N2171">
        <v>4900</v>
      </c>
      <c r="O2171">
        <v>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4900</v>
      </c>
      <c r="AH2171">
        <v>7</v>
      </c>
      <c r="AI2171">
        <v>0</v>
      </c>
      <c r="AJ2171">
        <v>0</v>
      </c>
      <c r="AK2171">
        <v>3500</v>
      </c>
      <c r="AL2171">
        <v>0</v>
      </c>
      <c r="AM2171">
        <v>1400</v>
      </c>
      <c r="AN2171">
        <v>0</v>
      </c>
      <c r="AO2171">
        <v>0</v>
      </c>
      <c r="AP2171" s="2">
        <v>3430</v>
      </c>
      <c r="AT2171" t="str">
        <f>T("9791159285295")</f>
        <v>9791159285295</v>
      </c>
      <c r="AV2171" t="str">
        <f>T("판타지 e북 &gt; 정통 판타지")</f>
        <v>판타지 e북 &gt; 정통 판타지</v>
      </c>
    </row>
    <row r="2172" spans="1:48" x14ac:dyDescent="0.4">
      <c r="A2172">
        <v>1525004799</v>
      </c>
      <c r="B2172">
        <v>1525004818</v>
      </c>
      <c r="C2172" t="str">
        <f>T("검산도해 20화")</f>
        <v>검산도해 20화</v>
      </c>
      <c r="D2172" t="str">
        <f>T("20")</f>
        <v>20</v>
      </c>
      <c r="E2172" t="str">
        <f>T("권용찬")</f>
        <v>권용찬</v>
      </c>
      <c r="H2172" t="str">
        <f>T("스토리위즈")</f>
        <v>스토리위즈</v>
      </c>
      <c r="I2172" t="str">
        <f>T("검산도해")</f>
        <v>검산도해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 s="2">
        <v>0</v>
      </c>
      <c r="AT2172" t="str">
        <f>T("9791159285936")</f>
        <v>9791159285936</v>
      </c>
      <c r="AV2172" t="str">
        <f>T("판타지 웹소설 &gt; 무협 소설")</f>
        <v>판타지 웹소설 &gt; 무협 소설</v>
      </c>
    </row>
    <row r="2173" spans="1:48" x14ac:dyDescent="0.4">
      <c r="A2173">
        <v>1525002409</v>
      </c>
      <c r="B2173">
        <v>1525002421</v>
      </c>
      <c r="C2173" t="str">
        <f>T("스포트라이트 13화")</f>
        <v>스포트라이트 13화</v>
      </c>
      <c r="D2173" t="str">
        <f>T("13")</f>
        <v>13</v>
      </c>
      <c r="E2173" t="str">
        <f>T("전혁")</f>
        <v>전혁</v>
      </c>
      <c r="H2173" t="str">
        <f>T("스토리위즈")</f>
        <v>스토리위즈</v>
      </c>
      <c r="I2173" t="str">
        <f>T("스포트라이트")</f>
        <v>스포트라이트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 s="2">
        <v>0</v>
      </c>
      <c r="AT2173" t="str">
        <f>T("9791159286841")</f>
        <v>9791159286841</v>
      </c>
      <c r="AV2173" t="str">
        <f>T("판타지 웹소설 &gt; 현대 판타지")</f>
        <v>판타지 웹소설 &gt; 현대 판타지</v>
      </c>
    </row>
    <row r="2174" spans="1:48" x14ac:dyDescent="0.4">
      <c r="A2174">
        <v>1525001499</v>
      </c>
      <c r="B2174">
        <v>1525001499</v>
      </c>
      <c r="C2174" t="str">
        <f>T("[e북]파계 1권")</f>
        <v>[e북]파계 1권</v>
      </c>
      <c r="D2174" t="str">
        <f>T("1")</f>
        <v>1</v>
      </c>
      <c r="E2174" t="str">
        <f>T("권용찬")</f>
        <v>권용찬</v>
      </c>
      <c r="H2174" t="str">
        <f>T("스토리위즈")</f>
        <v>스토리위즈</v>
      </c>
      <c r="I2174" t="str">
        <f>T("[e북]파계")</f>
        <v>[e북]파계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4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5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 s="2">
        <v>0</v>
      </c>
      <c r="AT2174" t="str">
        <f>T("9791159282737")</f>
        <v>9791159282737</v>
      </c>
      <c r="AV2174" t="str">
        <f>T("판타지 e북 &gt; 신무협")</f>
        <v>판타지 e북 &gt; 신무협</v>
      </c>
    </row>
    <row r="2175" spans="1:48" x14ac:dyDescent="0.4">
      <c r="A2175">
        <v>1525010944</v>
      </c>
      <c r="B2175">
        <v>1525010930</v>
      </c>
      <c r="C2175" t="str">
        <f>T("[e북]법보다 주먹 15권")</f>
        <v>[e북]법보다 주먹 15권</v>
      </c>
      <c r="D2175" t="str">
        <f>T("15")</f>
        <v>15</v>
      </c>
      <c r="E2175" t="str">
        <f>T("백범(白帆)")</f>
        <v>백범(白帆)</v>
      </c>
      <c r="H2175" t="str">
        <f>T("에필로그")</f>
        <v>에필로그</v>
      </c>
      <c r="I2175" t="str">
        <f>T("[e북]법보다 주먹")</f>
        <v>[e북]법보다 주먹</v>
      </c>
      <c r="J2175">
        <v>2000</v>
      </c>
      <c r="K2175">
        <v>0</v>
      </c>
      <c r="L2175">
        <v>0</v>
      </c>
      <c r="M2175">
        <v>0</v>
      </c>
      <c r="N2175">
        <v>3600</v>
      </c>
      <c r="O2175">
        <v>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3600</v>
      </c>
      <c r="AH2175">
        <v>4</v>
      </c>
      <c r="AI2175">
        <v>0</v>
      </c>
      <c r="AJ2175">
        <v>0</v>
      </c>
      <c r="AK2175">
        <v>3600</v>
      </c>
      <c r="AL2175">
        <v>0</v>
      </c>
      <c r="AM2175">
        <v>0</v>
      </c>
      <c r="AN2175">
        <v>0</v>
      </c>
      <c r="AO2175">
        <v>0</v>
      </c>
      <c r="AP2175" s="2">
        <v>2520</v>
      </c>
      <c r="AT2175" t="str">
        <f>T("9791164480142")</f>
        <v>9791164480142</v>
      </c>
      <c r="AV2175" t="str">
        <f>T("판타지 e북 &gt; 현대 판타지")</f>
        <v>판타지 e북 &gt; 현대 판타지</v>
      </c>
    </row>
    <row r="2176" spans="1:48" x14ac:dyDescent="0.4">
      <c r="A2176">
        <v>1525000924</v>
      </c>
      <c r="B2176">
        <v>1525000925</v>
      </c>
      <c r="C2176" t="str">
        <f>T("스피릿 소드 2화")</f>
        <v>스피릿 소드 2화</v>
      </c>
      <c r="D2176" t="str">
        <f>T("2")</f>
        <v>2</v>
      </c>
      <c r="E2176" t="str">
        <f>T("김정률")</f>
        <v>김정률</v>
      </c>
      <c r="H2176" t="str">
        <f>T("스토리위즈")</f>
        <v>스토리위즈</v>
      </c>
      <c r="I2176" t="str">
        <f>T("스피릿 소드")</f>
        <v>스피릿 소드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 s="2">
        <v>0</v>
      </c>
      <c r="AR2176" t="str">
        <f>T("9791159282713")</f>
        <v>9791159282713</v>
      </c>
      <c r="AT2176" t="str">
        <f>T("9791159282713")</f>
        <v>9791159282713</v>
      </c>
      <c r="AV2176" t="str">
        <f>T("판타지 웹소설 &gt; 정통 판타지")</f>
        <v>판타지 웹소설 &gt; 정통 판타지</v>
      </c>
    </row>
    <row r="2177" spans="1:48" x14ac:dyDescent="0.4">
      <c r="A2177">
        <v>1525004030</v>
      </c>
      <c r="B2177">
        <v>1525004038</v>
      </c>
      <c r="C2177" t="str">
        <f>T("회귀의 전설 9화")</f>
        <v>회귀의 전설 9화</v>
      </c>
      <c r="D2177" t="str">
        <f>T("9")</f>
        <v>9</v>
      </c>
      <c r="E2177" t="str">
        <f>T("김광수")</f>
        <v>김광수</v>
      </c>
      <c r="H2177" t="str">
        <f>T("스토리위즈")</f>
        <v>스토리위즈</v>
      </c>
      <c r="I2177" t="str">
        <f>T("회귀의 전설")</f>
        <v>회귀의 전설</v>
      </c>
      <c r="J2177">
        <v>0</v>
      </c>
      <c r="K2177">
        <v>0</v>
      </c>
      <c r="L2177">
        <v>0</v>
      </c>
      <c r="M2177">
        <v>3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3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 s="2">
        <v>0</v>
      </c>
      <c r="AT2177" t="str">
        <f>T("9788997946006")</f>
        <v>9788997946006</v>
      </c>
      <c r="AV2177" t="str">
        <f>T("판타지 웹소설 &gt; 현대 판타지")</f>
        <v>판타지 웹소설 &gt; 현대 판타지</v>
      </c>
    </row>
    <row r="2178" spans="1:48" x14ac:dyDescent="0.4">
      <c r="A2178">
        <v>1525002125</v>
      </c>
      <c r="B2178">
        <v>1525002139</v>
      </c>
      <c r="C2178" t="str">
        <f>T("신을 죽이러 갑니다 15화")</f>
        <v>신을 죽이러 갑니다 15화</v>
      </c>
      <c r="D2178" t="str">
        <f>T("15")</f>
        <v>15</v>
      </c>
      <c r="E2178" t="str">
        <f>T("독고진")</f>
        <v>독고진</v>
      </c>
      <c r="H2178" t="str">
        <f>T("스토리위즈")</f>
        <v>스토리위즈</v>
      </c>
      <c r="I2178" t="str">
        <f>T("신을 죽이러 갑니다")</f>
        <v>신을 죽이러 갑니다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 s="2">
        <v>0</v>
      </c>
      <c r="AT2178" t="str">
        <f>T("9791159285806")</f>
        <v>9791159285806</v>
      </c>
      <c r="AV2178" t="str">
        <f>T("판타지 웹소설 &gt; 퓨전 판타지")</f>
        <v>판타지 웹소설 &gt; 퓨전 판타지</v>
      </c>
    </row>
    <row r="2179" spans="1:48" x14ac:dyDescent="0.4">
      <c r="A2179">
        <v>1525000569</v>
      </c>
      <c r="B2179">
        <v>1525000584</v>
      </c>
      <c r="C2179" t="str">
        <f>T("스트라이커 16화")</f>
        <v>스트라이커 16화</v>
      </c>
      <c r="D2179" t="str">
        <f>T("16")</f>
        <v>16</v>
      </c>
      <c r="E2179" t="str">
        <f>T("독고진")</f>
        <v>독고진</v>
      </c>
      <c r="H2179" t="str">
        <f>T("스토리위즈")</f>
        <v>스토리위즈</v>
      </c>
      <c r="I2179" t="str">
        <f>T("스트라이커")</f>
        <v>스트라이커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 s="2">
        <v>0</v>
      </c>
      <c r="AT2179" t="str">
        <f>T("9791170151678")</f>
        <v>9791170151678</v>
      </c>
      <c r="AV2179" t="str">
        <f>T("판타지 웹소설 &gt; 현대 판타지")</f>
        <v>판타지 웹소설 &gt; 현대 판타지</v>
      </c>
    </row>
    <row r="2180" spans="1:48" x14ac:dyDescent="0.4">
      <c r="A2180">
        <v>1525013020</v>
      </c>
      <c r="B2180">
        <v>1525013039</v>
      </c>
      <c r="C2180" t="str">
        <f>T("악당의 리턴 20화")</f>
        <v>악당의 리턴 20화</v>
      </c>
      <c r="D2180" t="str">
        <f>T("20")</f>
        <v>20</v>
      </c>
      <c r="E2180" t="str">
        <f>T("백범(白帆)")</f>
        <v>백범(白帆)</v>
      </c>
      <c r="H2180" t="str">
        <f>T("에필로그")</f>
        <v>에필로그</v>
      </c>
      <c r="I2180" t="str">
        <f>T("악당의 리턴")</f>
        <v>악당의 리턴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 s="2">
        <v>0</v>
      </c>
      <c r="AT2180" t="str">
        <f>T("9791196538927")</f>
        <v>9791196538927</v>
      </c>
      <c r="AV2180" t="str">
        <f>T("판타지 웹소설 &gt; 현대 판타지")</f>
        <v>판타지 웹소설 &gt; 현대 판타지</v>
      </c>
    </row>
    <row r="2181" spans="1:48" x14ac:dyDescent="0.4">
      <c r="A2181">
        <v>1525011523</v>
      </c>
      <c r="B2181">
        <v>1525011512</v>
      </c>
      <c r="C2181" t="str">
        <f>T("남창목가 12화")</f>
        <v>남창목가 12화</v>
      </c>
      <c r="D2181" t="str">
        <f>T("12")</f>
        <v>12</v>
      </c>
      <c r="E2181" t="str">
        <f>T("최재봉")</f>
        <v>최재봉</v>
      </c>
      <c r="H2181" t="str">
        <f>T("에필로그")</f>
        <v>에필로그</v>
      </c>
      <c r="I2181" t="str">
        <f>T("남창목가")</f>
        <v>남창목가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 s="2">
        <v>0</v>
      </c>
      <c r="AT2181" t="str">
        <f>T("9791164482849")</f>
        <v>9791164482849</v>
      </c>
      <c r="AV2181" t="str">
        <f>T("판타지 웹소설 &gt; 무협 소설")</f>
        <v>판타지 웹소설 &gt; 무협 소설</v>
      </c>
    </row>
    <row r="2182" spans="1:48" x14ac:dyDescent="0.4">
      <c r="A2182">
        <v>1525001317</v>
      </c>
      <c r="B2182">
        <v>1525001319</v>
      </c>
      <c r="C2182" t="str">
        <f>T("[e북]완전판 | 스트라이커 3권")</f>
        <v>[e북]완전판 | 스트라이커 3권</v>
      </c>
      <c r="D2182" t="str">
        <f>T("3")</f>
        <v>3</v>
      </c>
      <c r="E2182" t="str">
        <f>T("독고진")</f>
        <v>독고진</v>
      </c>
      <c r="H2182" t="str">
        <f>T("스토리위즈")</f>
        <v>스토리위즈</v>
      </c>
      <c r="I2182" t="str">
        <f>T("[e북]완전판 | 스트라이커")</f>
        <v>[e북]완전판 | 스트라이커</v>
      </c>
      <c r="J2182">
        <v>3200</v>
      </c>
      <c r="K2182">
        <v>0</v>
      </c>
      <c r="L2182">
        <v>0</v>
      </c>
      <c r="M2182">
        <v>0</v>
      </c>
      <c r="N2182">
        <v>12600</v>
      </c>
      <c r="O2182">
        <v>14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12600</v>
      </c>
      <c r="AH2182">
        <v>14</v>
      </c>
      <c r="AI2182">
        <v>0</v>
      </c>
      <c r="AJ2182">
        <v>0</v>
      </c>
      <c r="AK2182">
        <v>12600</v>
      </c>
      <c r="AL2182">
        <v>0</v>
      </c>
      <c r="AM2182">
        <v>0</v>
      </c>
      <c r="AN2182">
        <v>0</v>
      </c>
      <c r="AO2182">
        <v>0</v>
      </c>
      <c r="AP2182" s="2">
        <v>8820</v>
      </c>
      <c r="AR2182" t="str">
        <f>T("9791159282850")</f>
        <v>9791159282850</v>
      </c>
      <c r="AT2182" t="str">
        <f>T("9791159282850")</f>
        <v>9791159282850</v>
      </c>
      <c r="AV2182" t="str">
        <f>T("판타지 e북 &gt; 스포츠물")</f>
        <v>판타지 e북 &gt; 스포츠물</v>
      </c>
    </row>
    <row r="2183" spans="1:48" x14ac:dyDescent="0.4">
      <c r="A2183">
        <v>1525010944</v>
      </c>
      <c r="B2183">
        <v>1525010923</v>
      </c>
      <c r="C2183" t="str">
        <f>T("[e북]법보다 주먹 22권")</f>
        <v>[e북]법보다 주먹 22권</v>
      </c>
      <c r="D2183" t="str">
        <f>T("22")</f>
        <v>22</v>
      </c>
      <c r="E2183" t="str">
        <f>T("백범(白帆)")</f>
        <v>백범(白帆)</v>
      </c>
      <c r="H2183" t="str">
        <f>T("에필로그")</f>
        <v>에필로그</v>
      </c>
      <c r="I2183" t="str">
        <f>T("[e북]법보다 주먹")</f>
        <v>[e북]법보다 주먹</v>
      </c>
      <c r="J2183">
        <v>2000</v>
      </c>
      <c r="K2183">
        <v>0</v>
      </c>
      <c r="L2183">
        <v>0</v>
      </c>
      <c r="M2183">
        <v>0</v>
      </c>
      <c r="N2183">
        <v>1800</v>
      </c>
      <c r="O2183">
        <v>2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1800</v>
      </c>
      <c r="AH2183">
        <v>2</v>
      </c>
      <c r="AI2183">
        <v>0</v>
      </c>
      <c r="AJ2183">
        <v>0</v>
      </c>
      <c r="AK2183">
        <v>1800</v>
      </c>
      <c r="AL2183">
        <v>0</v>
      </c>
      <c r="AM2183">
        <v>0</v>
      </c>
      <c r="AN2183">
        <v>0</v>
      </c>
      <c r="AO2183">
        <v>0</v>
      </c>
      <c r="AP2183" s="2">
        <v>1260</v>
      </c>
      <c r="AT2183" t="str">
        <f>T("9791164480142")</f>
        <v>9791164480142</v>
      </c>
      <c r="AV2183" t="str">
        <f>T("판타지 e북 &gt; 현대 판타지")</f>
        <v>판타지 e북 &gt; 현대 판타지</v>
      </c>
    </row>
    <row r="2184" spans="1:48" x14ac:dyDescent="0.4">
      <c r="A2184">
        <v>1525000906</v>
      </c>
      <c r="B2184">
        <v>1525000910</v>
      </c>
      <c r="C2184" t="str">
        <f>T("[e북]완전판 | 레이드 만물상점 5권")</f>
        <v>[e북]완전판 | 레이드 만물상점 5권</v>
      </c>
      <c r="D2184" t="str">
        <f>T("5")</f>
        <v>5</v>
      </c>
      <c r="E2184" t="str">
        <f>T("전혁")</f>
        <v>전혁</v>
      </c>
      <c r="H2184" t="str">
        <f t="shared" ref="H2184:H2189" si="216">T("스토리위즈")</f>
        <v>스토리위즈</v>
      </c>
      <c r="I2184" t="str">
        <f>T("[e북]완전판 | 레이드 만물상점")</f>
        <v>[e북]완전판 | 레이드 만물상점</v>
      </c>
      <c r="J2184">
        <v>3200</v>
      </c>
      <c r="K2184">
        <v>0</v>
      </c>
      <c r="L2184">
        <v>0</v>
      </c>
      <c r="M2184">
        <v>0</v>
      </c>
      <c r="N2184">
        <v>7200</v>
      </c>
      <c r="O2184">
        <v>8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7200</v>
      </c>
      <c r="AH2184">
        <v>8</v>
      </c>
      <c r="AI2184">
        <v>0</v>
      </c>
      <c r="AJ2184">
        <v>0</v>
      </c>
      <c r="AK2184">
        <v>5400</v>
      </c>
      <c r="AL2184">
        <v>0</v>
      </c>
      <c r="AM2184">
        <v>1800</v>
      </c>
      <c r="AN2184">
        <v>0</v>
      </c>
      <c r="AO2184">
        <v>0</v>
      </c>
      <c r="AP2184" s="2">
        <v>5040</v>
      </c>
      <c r="AT2184" t="str">
        <f>T("9791159282652")</f>
        <v>9791159282652</v>
      </c>
      <c r="AV2184" t="str">
        <f>T("판타지 e북 &gt; 현대 판타지")</f>
        <v>판타지 e북 &gt; 현대 판타지</v>
      </c>
    </row>
    <row r="2185" spans="1:48" x14ac:dyDescent="0.4">
      <c r="A2185">
        <v>1525004030</v>
      </c>
      <c r="B2185">
        <v>1525004031</v>
      </c>
      <c r="C2185" t="str">
        <f>T("회귀의 전설 2화")</f>
        <v>회귀의 전설 2화</v>
      </c>
      <c r="D2185" t="str">
        <f>T("2")</f>
        <v>2</v>
      </c>
      <c r="E2185" t="str">
        <f>T("김광수")</f>
        <v>김광수</v>
      </c>
      <c r="H2185" t="str">
        <f t="shared" si="216"/>
        <v>스토리위즈</v>
      </c>
      <c r="I2185" t="str">
        <f>T("회귀의 전설")</f>
        <v>회귀의 전설</v>
      </c>
      <c r="J2185">
        <v>0</v>
      </c>
      <c r="K2185">
        <v>0</v>
      </c>
      <c r="L2185">
        <v>0</v>
      </c>
      <c r="M2185">
        <v>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6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 s="2">
        <v>0</v>
      </c>
      <c r="AT2185" t="str">
        <f>T("9788997946006")</f>
        <v>9788997946006</v>
      </c>
      <c r="AV2185" t="str">
        <f>T("판타지 웹소설 &gt; 현대 판타지")</f>
        <v>판타지 웹소설 &gt; 현대 판타지</v>
      </c>
    </row>
    <row r="2186" spans="1:48" x14ac:dyDescent="0.4">
      <c r="A2186">
        <v>1525002682</v>
      </c>
      <c r="B2186">
        <v>1525002682</v>
      </c>
      <c r="C2186" t="str">
        <f>T("[e북]스포트라이트 1권")</f>
        <v>[e북]스포트라이트 1권</v>
      </c>
      <c r="D2186" t="str">
        <f>T("1")</f>
        <v>1</v>
      </c>
      <c r="E2186" t="str">
        <f>T("전혁")</f>
        <v>전혁</v>
      </c>
      <c r="H2186" t="str">
        <f t="shared" si="216"/>
        <v>스토리위즈</v>
      </c>
      <c r="I2186" t="str">
        <f>T("[e북]스포트라이트")</f>
        <v>[e북]스포트라이트</v>
      </c>
      <c r="J2186">
        <v>0</v>
      </c>
      <c r="K2186">
        <v>0</v>
      </c>
      <c r="L2186">
        <v>0</v>
      </c>
      <c r="M2186">
        <v>7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7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 s="2">
        <v>0</v>
      </c>
      <c r="AT2186" t="str">
        <f>T("9791159287657")</f>
        <v>9791159287657</v>
      </c>
      <c r="AV2186" t="str">
        <f>T("판타지 e북 &gt; 현대 판타지")</f>
        <v>판타지 e북 &gt; 현대 판타지</v>
      </c>
    </row>
    <row r="2187" spans="1:48" x14ac:dyDescent="0.4">
      <c r="A2187">
        <v>1525002125</v>
      </c>
      <c r="B2187">
        <v>1525002132</v>
      </c>
      <c r="C2187" t="str">
        <f>T("신을 죽이러 갑니다 8화")</f>
        <v>신을 죽이러 갑니다 8화</v>
      </c>
      <c r="D2187" t="str">
        <f>T("8")</f>
        <v>8</v>
      </c>
      <c r="E2187" t="str">
        <f>T("독고진")</f>
        <v>독고진</v>
      </c>
      <c r="H2187" t="str">
        <f t="shared" si="216"/>
        <v>스토리위즈</v>
      </c>
      <c r="I2187" t="str">
        <f>T("신을 죽이러 갑니다")</f>
        <v>신을 죽이러 갑니다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 s="2">
        <v>0</v>
      </c>
      <c r="AT2187" t="str">
        <f>T("9791159285806")</f>
        <v>9791159285806</v>
      </c>
      <c r="AV2187" t="str">
        <f>T("판타지 웹소설 &gt; 퓨전 판타지")</f>
        <v>판타지 웹소설 &gt; 퓨전 판타지</v>
      </c>
    </row>
    <row r="2188" spans="1:48" x14ac:dyDescent="0.4">
      <c r="A2188">
        <v>1525000569</v>
      </c>
      <c r="B2188">
        <v>1525000577</v>
      </c>
      <c r="C2188" t="str">
        <f>T("스트라이커 9화")</f>
        <v>스트라이커 9화</v>
      </c>
      <c r="D2188" t="str">
        <f>T("9")</f>
        <v>9</v>
      </c>
      <c r="E2188" t="str">
        <f>T("독고진")</f>
        <v>독고진</v>
      </c>
      <c r="H2188" t="str">
        <f t="shared" si="216"/>
        <v>스토리위즈</v>
      </c>
      <c r="I2188" t="str">
        <f>T("스트라이커")</f>
        <v>스트라이커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 s="2">
        <v>0</v>
      </c>
      <c r="AT2188" t="str">
        <f>T("9791170151678")</f>
        <v>9791170151678</v>
      </c>
      <c r="AV2188" t="str">
        <f>T("판타지 웹소설 &gt; 현대 판타지")</f>
        <v>판타지 웹소설 &gt; 현대 판타지</v>
      </c>
    </row>
    <row r="2189" spans="1:48" x14ac:dyDescent="0.4">
      <c r="A2189">
        <v>1525004988</v>
      </c>
      <c r="B2189">
        <v>1525005309</v>
      </c>
      <c r="C2189" t="str">
        <f>T("용무쌍 22화")</f>
        <v>용무쌍 22화</v>
      </c>
      <c r="D2189" t="str">
        <f>T("22")</f>
        <v>22</v>
      </c>
      <c r="E2189" t="str">
        <f>T("권용찬")</f>
        <v>권용찬</v>
      </c>
      <c r="H2189" t="str">
        <f t="shared" si="216"/>
        <v>스토리위즈</v>
      </c>
      <c r="I2189" t="str">
        <f>T("용무쌍")</f>
        <v>용무쌍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 s="2">
        <v>0</v>
      </c>
      <c r="AT2189" t="str">
        <f>T("9791159284861")</f>
        <v>9791159284861</v>
      </c>
      <c r="AV2189" t="str">
        <f>T("판타지 웹소설 &gt; 무협 소설")</f>
        <v>판타지 웹소설 &gt; 무협 소설</v>
      </c>
    </row>
    <row r="2190" spans="1:48" x14ac:dyDescent="0.4">
      <c r="A2190">
        <v>1525013020</v>
      </c>
      <c r="B2190">
        <v>1525013032</v>
      </c>
      <c r="C2190" t="str">
        <f>T("악당의 리턴 13화")</f>
        <v>악당의 리턴 13화</v>
      </c>
      <c r="D2190" t="str">
        <f>T("13")</f>
        <v>13</v>
      </c>
      <c r="E2190" t="str">
        <f>T("백범(白帆)")</f>
        <v>백범(白帆)</v>
      </c>
      <c r="H2190" t="str">
        <f>T("에필로그")</f>
        <v>에필로그</v>
      </c>
      <c r="I2190" t="str">
        <f>T("악당의 리턴")</f>
        <v>악당의 리턴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 s="2">
        <v>0</v>
      </c>
      <c r="AT2190" t="str">
        <f>T("9791196538927")</f>
        <v>9791196538927</v>
      </c>
      <c r="AV2190" t="str">
        <f>T("판타지 웹소설 &gt; 현대 판타지")</f>
        <v>판타지 웹소설 &gt; 현대 판타지</v>
      </c>
    </row>
    <row r="2191" spans="1:48" x14ac:dyDescent="0.4">
      <c r="A2191">
        <v>1525011523</v>
      </c>
      <c r="B2191">
        <v>1525011505</v>
      </c>
      <c r="C2191" t="str">
        <f>T("남창목가 19화")</f>
        <v>남창목가 19화</v>
      </c>
      <c r="D2191" t="str">
        <f>T("19")</f>
        <v>19</v>
      </c>
      <c r="E2191" t="str">
        <f>T("최재봉")</f>
        <v>최재봉</v>
      </c>
      <c r="H2191" t="str">
        <f>T("에필로그")</f>
        <v>에필로그</v>
      </c>
      <c r="I2191" t="str">
        <f>T("남창목가")</f>
        <v>남창목가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 s="2">
        <v>0</v>
      </c>
      <c r="AT2191" t="str">
        <f>T("9791164482849")</f>
        <v>9791164482849</v>
      </c>
      <c r="AV2191" t="str">
        <f>T("판타지 웹소설 &gt; 무협 소설")</f>
        <v>판타지 웹소설 &gt; 무협 소설</v>
      </c>
    </row>
    <row r="2192" spans="1:48" x14ac:dyDescent="0.4">
      <c r="A2192">
        <v>1525001116</v>
      </c>
      <c r="B2192">
        <v>1525001132</v>
      </c>
      <c r="C2192" t="str">
        <f>T("개정판 | 영웅 17화")</f>
        <v>개정판 | 영웅 17화</v>
      </c>
      <c r="D2192" t="str">
        <f>T("17")</f>
        <v>17</v>
      </c>
      <c r="E2192" t="str">
        <f>T("김광수")</f>
        <v>김광수</v>
      </c>
      <c r="H2192" t="str">
        <f>T("스토리위즈")</f>
        <v>스토리위즈</v>
      </c>
      <c r="I2192" t="str">
        <f>T("개정판 | 영웅")</f>
        <v>개정판 | 영웅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 s="2">
        <v>0</v>
      </c>
      <c r="AR2192" t="str">
        <f>T("9791159282829")</f>
        <v>9791159282829</v>
      </c>
      <c r="AT2192" t="str">
        <f>T("9791159282829")</f>
        <v>9791159282829</v>
      </c>
      <c r="AV2192" t="str">
        <f>T("판타지 웹소설 &gt; 무협 소설")</f>
        <v>판타지 웹소설 &gt; 무협 소설</v>
      </c>
    </row>
    <row r="2193" spans="1:48" x14ac:dyDescent="0.4">
      <c r="A2193">
        <v>1525000146</v>
      </c>
      <c r="B2193">
        <v>1525000156</v>
      </c>
      <c r="C2193" t="str">
        <f>T("[e북]트루베니아 연대기 11권")</f>
        <v>[e북]트루베니아 연대기 11권</v>
      </c>
      <c r="D2193" t="str">
        <f>T("11")</f>
        <v>11</v>
      </c>
      <c r="E2193" t="str">
        <f>T("김정률")</f>
        <v>김정률</v>
      </c>
      <c r="H2193" t="str">
        <f>T("스토리위즈")</f>
        <v>스토리위즈</v>
      </c>
      <c r="I2193" t="str">
        <f>T("[e북]트루베니아 연대기")</f>
        <v>[e북]트루베니아 연대기</v>
      </c>
      <c r="J2193">
        <v>3200</v>
      </c>
      <c r="K2193">
        <v>0</v>
      </c>
      <c r="L2193">
        <v>0</v>
      </c>
      <c r="M2193">
        <v>0</v>
      </c>
      <c r="N2193">
        <v>9000</v>
      </c>
      <c r="O2193">
        <v>10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9000</v>
      </c>
      <c r="AH2193">
        <v>10</v>
      </c>
      <c r="AI2193">
        <v>0</v>
      </c>
      <c r="AJ2193">
        <v>0</v>
      </c>
      <c r="AK2193">
        <v>7200</v>
      </c>
      <c r="AL2193">
        <v>0</v>
      </c>
      <c r="AM2193">
        <v>1800</v>
      </c>
      <c r="AN2193">
        <v>0</v>
      </c>
      <c r="AO2193">
        <v>0</v>
      </c>
      <c r="AP2193" s="2">
        <v>6300</v>
      </c>
      <c r="AV2193" t="str">
        <f>T("판타지 e북 &gt; 정통 판타지")</f>
        <v>판타지 e북 &gt; 정통 판타지</v>
      </c>
    </row>
    <row r="2194" spans="1:48" x14ac:dyDescent="0.4">
      <c r="A2194">
        <v>1525000113</v>
      </c>
      <c r="B2194">
        <v>1525000116</v>
      </c>
      <c r="C2194" t="str">
        <f>T("[e북]마왕 데이몬 4권")</f>
        <v>[e북]마왕 데이몬 4권</v>
      </c>
      <c r="D2194" t="str">
        <f>T("4")</f>
        <v>4</v>
      </c>
      <c r="E2194" t="str">
        <f>T("김정률")</f>
        <v>김정률</v>
      </c>
      <c r="H2194" t="str">
        <f>T("스토리위즈")</f>
        <v>스토리위즈</v>
      </c>
      <c r="I2194" t="str">
        <f>T("[e북]마왕 데이몬")</f>
        <v>[e북]마왕 데이몬</v>
      </c>
      <c r="J2194">
        <v>3200</v>
      </c>
      <c r="K2194">
        <v>0</v>
      </c>
      <c r="L2194">
        <v>0</v>
      </c>
      <c r="M2194">
        <v>0</v>
      </c>
      <c r="N2194">
        <v>1800</v>
      </c>
      <c r="O2194">
        <v>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1800</v>
      </c>
      <c r="AH2194">
        <v>2</v>
      </c>
      <c r="AI2194">
        <v>0</v>
      </c>
      <c r="AJ2194">
        <v>0</v>
      </c>
      <c r="AK2194">
        <v>1800</v>
      </c>
      <c r="AL2194">
        <v>0</v>
      </c>
      <c r="AM2194">
        <v>0</v>
      </c>
      <c r="AN2194">
        <v>0</v>
      </c>
      <c r="AO2194">
        <v>0</v>
      </c>
      <c r="AP2194" s="2">
        <v>1260</v>
      </c>
      <c r="AT2194" t="str">
        <f>T("9788925723853")</f>
        <v>9788925723853</v>
      </c>
      <c r="AV2194" t="str">
        <f>T("판타지 e북 &gt; 현대 판타지")</f>
        <v>판타지 e북 &gt; 현대 판타지</v>
      </c>
    </row>
    <row r="2195" spans="1:48" x14ac:dyDescent="0.4">
      <c r="A2195">
        <v>1525012005</v>
      </c>
      <c r="B2195">
        <v>1525011997</v>
      </c>
      <c r="C2195" t="str">
        <f>T("[e북]남궁세가 건달공자 9권")</f>
        <v>[e북]남궁세가 건달공자 9권</v>
      </c>
      <c r="D2195" t="str">
        <f>T("9")</f>
        <v>9</v>
      </c>
      <c r="E2195" t="str">
        <f>T("협행마")</f>
        <v>협행마</v>
      </c>
      <c r="H2195" t="str">
        <f>T("에필로그")</f>
        <v>에필로그</v>
      </c>
      <c r="I2195" t="str">
        <f>T("[e북]남궁세가 건달공자")</f>
        <v>[e북]남궁세가 건달공자</v>
      </c>
      <c r="J2195">
        <v>2500</v>
      </c>
      <c r="K2195">
        <v>0</v>
      </c>
      <c r="L2195">
        <v>0</v>
      </c>
      <c r="M2195">
        <v>0</v>
      </c>
      <c r="N2195">
        <v>900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900</v>
      </c>
      <c r="AH2195">
        <v>1</v>
      </c>
      <c r="AI2195">
        <v>0</v>
      </c>
      <c r="AJ2195">
        <v>0</v>
      </c>
      <c r="AK2195">
        <v>900</v>
      </c>
      <c r="AL2195">
        <v>0</v>
      </c>
      <c r="AM2195">
        <v>0</v>
      </c>
      <c r="AN2195">
        <v>0</v>
      </c>
      <c r="AO2195">
        <v>0</v>
      </c>
      <c r="AP2195" s="2">
        <v>630</v>
      </c>
      <c r="AT2195" t="str">
        <f>T("9791164481637")</f>
        <v>9791164481637</v>
      </c>
      <c r="AV2195" t="str">
        <f>T("판타지 e북 &gt; 신무협")</f>
        <v>판타지 e북 &gt; 신무협</v>
      </c>
    </row>
    <row r="2196" spans="1:48" x14ac:dyDescent="0.4">
      <c r="A2196">
        <v>1525004989</v>
      </c>
      <c r="B2196">
        <v>1525005503</v>
      </c>
      <c r="C2196" t="str">
        <f>T("신룡전설 14화")</f>
        <v>신룡전설 14화</v>
      </c>
      <c r="D2196" t="str">
        <f>T("14")</f>
        <v>14</v>
      </c>
      <c r="E2196" t="str">
        <f>T("가람검")</f>
        <v>가람검</v>
      </c>
      <c r="H2196" t="str">
        <f>T("스토리위즈")</f>
        <v>스토리위즈</v>
      </c>
      <c r="I2196" t="str">
        <f>T("신룡전설")</f>
        <v>신룡전설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 s="2">
        <v>0</v>
      </c>
      <c r="AT2196" t="str">
        <f>T("9791159283505")</f>
        <v>9791159283505</v>
      </c>
      <c r="AV2196" t="str">
        <f>T("판타지 웹소설 &gt; 무협 소설")</f>
        <v>판타지 웹소설 &gt; 무협 소설</v>
      </c>
    </row>
    <row r="2197" spans="1:48" x14ac:dyDescent="0.4">
      <c r="A2197">
        <v>1525001836</v>
      </c>
      <c r="B2197">
        <v>1525001836</v>
      </c>
      <c r="C2197" t="str">
        <f>T("[e북]완전판ㅣ스피릿 소드 1권")</f>
        <v>[e북]완전판ㅣ스피릿 소드 1권</v>
      </c>
      <c r="D2197" t="str">
        <f>T("1")</f>
        <v>1</v>
      </c>
      <c r="E2197" t="str">
        <f>T("김정률")</f>
        <v>김정률</v>
      </c>
      <c r="H2197" t="str">
        <f>T("스토리위즈")</f>
        <v>스토리위즈</v>
      </c>
      <c r="I2197" t="str">
        <f>T("[e북]완전판ㅣ스피릿 소드")</f>
        <v>[e북]완전판ㅣ스피릿 소드</v>
      </c>
      <c r="J2197">
        <v>0</v>
      </c>
      <c r="K2197">
        <v>0</v>
      </c>
      <c r="L2197">
        <v>0</v>
      </c>
      <c r="M2197">
        <v>4</v>
      </c>
      <c r="N2197">
        <v>0</v>
      </c>
      <c r="O2197">
        <v>0</v>
      </c>
      <c r="P2197">
        <v>10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14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 s="2">
        <v>0</v>
      </c>
      <c r="AT2197" t="str">
        <f>T("9791159285226")</f>
        <v>9791159285226</v>
      </c>
      <c r="AV2197" t="str">
        <f>T("판타지 e북 &gt; 정통 판타지")</f>
        <v>판타지 e북 &gt; 정통 판타지</v>
      </c>
    </row>
    <row r="2198" spans="1:48" x14ac:dyDescent="0.4">
      <c r="A2198">
        <v>1525013418</v>
      </c>
      <c r="B2198">
        <v>1525013420</v>
      </c>
      <c r="C2198" t="str">
        <f>T("[e북]헌터 킹 3권")</f>
        <v>[e북]헌터 킹 3권</v>
      </c>
      <c r="D2198" t="str">
        <f>T("3")</f>
        <v>3</v>
      </c>
      <c r="E2198" t="str">
        <f>T("백범(白帆)")</f>
        <v>백범(白帆)</v>
      </c>
      <c r="H2198" t="str">
        <f>T("에필로그")</f>
        <v>에필로그</v>
      </c>
      <c r="I2198" t="str">
        <f>T("[e북]헌터 킹")</f>
        <v>[e북]헌터 킹</v>
      </c>
      <c r="J2198">
        <v>2000</v>
      </c>
      <c r="K2198">
        <v>0</v>
      </c>
      <c r="L2198">
        <v>0</v>
      </c>
      <c r="M2198">
        <v>0</v>
      </c>
      <c r="N2198">
        <v>900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900</v>
      </c>
      <c r="AH2198">
        <v>1</v>
      </c>
      <c r="AI2198">
        <v>0</v>
      </c>
      <c r="AJ2198">
        <v>0</v>
      </c>
      <c r="AK2198">
        <v>900</v>
      </c>
      <c r="AL2198">
        <v>0</v>
      </c>
      <c r="AM2198">
        <v>0</v>
      </c>
      <c r="AN2198">
        <v>0</v>
      </c>
      <c r="AO2198">
        <v>0</v>
      </c>
      <c r="AP2198" s="2">
        <v>630</v>
      </c>
      <c r="AR2198" t="str">
        <f>T("0000000000000")</f>
        <v>0000000000000</v>
      </c>
      <c r="AT2198" t="str">
        <f>T("9791164480180")</f>
        <v>9791164480180</v>
      </c>
      <c r="AV2198" t="str">
        <f>T("판타지 e북 &gt; 퓨전 판타지")</f>
        <v>판타지 e북 &gt; 퓨전 판타지</v>
      </c>
    </row>
    <row r="2199" spans="1:48" x14ac:dyDescent="0.4">
      <c r="A2199">
        <v>1525000209</v>
      </c>
      <c r="B2199">
        <v>1525000213</v>
      </c>
      <c r="C2199" t="str">
        <f>T("[e북]독종무쌍 5권")</f>
        <v>[e북]독종무쌍 5권</v>
      </c>
      <c r="D2199" t="str">
        <f>T("5")</f>
        <v>5</v>
      </c>
      <c r="E2199" t="str">
        <f>T("전혁")</f>
        <v>전혁</v>
      </c>
      <c r="H2199" t="str">
        <f>T("스토리위즈")</f>
        <v>스토리위즈</v>
      </c>
      <c r="I2199" t="str">
        <f>T("[e북]독종무쌍")</f>
        <v>[e북]독종무쌍</v>
      </c>
      <c r="J2199">
        <v>3200</v>
      </c>
      <c r="K2199">
        <v>0</v>
      </c>
      <c r="L2199">
        <v>0</v>
      </c>
      <c r="M2199">
        <v>0</v>
      </c>
      <c r="N2199">
        <v>1800</v>
      </c>
      <c r="O2199">
        <v>2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1800</v>
      </c>
      <c r="AH2199">
        <v>2</v>
      </c>
      <c r="AI2199">
        <v>0</v>
      </c>
      <c r="AJ2199">
        <v>0</v>
      </c>
      <c r="AK2199">
        <v>900</v>
      </c>
      <c r="AL2199">
        <v>0</v>
      </c>
      <c r="AM2199">
        <v>900</v>
      </c>
      <c r="AN2199">
        <v>0</v>
      </c>
      <c r="AO2199">
        <v>0</v>
      </c>
      <c r="AP2199" s="2">
        <v>1260</v>
      </c>
      <c r="AT2199" t="str">
        <f>T("9791195310074")</f>
        <v>9791195310074</v>
      </c>
      <c r="AV2199" t="str">
        <f>T("판타지 e북 &gt; 신무협")</f>
        <v>판타지 e북 &gt; 신무협</v>
      </c>
    </row>
    <row r="2200" spans="1:48" x14ac:dyDescent="0.4">
      <c r="A2200">
        <v>1525002409</v>
      </c>
      <c r="B2200">
        <v>1525002414</v>
      </c>
      <c r="C2200" t="str">
        <f>T("스포트라이트 6화")</f>
        <v>스포트라이트 6화</v>
      </c>
      <c r="D2200" t="str">
        <f>T("6")</f>
        <v>6</v>
      </c>
      <c r="E2200" t="str">
        <f>T("전혁")</f>
        <v>전혁</v>
      </c>
      <c r="H2200" t="str">
        <f>T("스토리위즈")</f>
        <v>스토리위즈</v>
      </c>
      <c r="I2200" t="str">
        <f>T("스포트라이트")</f>
        <v>스포트라이트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 s="2">
        <v>0</v>
      </c>
      <c r="AT2200" t="str">
        <f>T("9791159286841")</f>
        <v>9791159286841</v>
      </c>
      <c r="AV2200" t="str">
        <f>T("판타지 웹소설 &gt; 현대 판타지")</f>
        <v>판타지 웹소설 &gt; 현대 판타지</v>
      </c>
    </row>
    <row r="2201" spans="1:48" x14ac:dyDescent="0.4">
      <c r="A2201">
        <v>1525001334</v>
      </c>
      <c r="B2201">
        <v>1525001354</v>
      </c>
      <c r="C2201" t="str">
        <f>T("게이트 헌터 21화")</f>
        <v>게이트 헌터 21화</v>
      </c>
      <c r="D2201" t="str">
        <f>T("21")</f>
        <v>21</v>
      </c>
      <c r="E2201" t="str">
        <f>T("권용찬")</f>
        <v>권용찬</v>
      </c>
      <c r="H2201" t="str">
        <f>T("스토리위즈")</f>
        <v>스토리위즈</v>
      </c>
      <c r="I2201" t="str">
        <f>T("게이트 헌터")</f>
        <v>게이트 헌터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 s="2">
        <v>0</v>
      </c>
      <c r="AR2201" t="str">
        <f>T("9791159283291")</f>
        <v>9791159283291</v>
      </c>
      <c r="AT2201" t="str">
        <f>T("9791159283291")</f>
        <v>9791159283291</v>
      </c>
      <c r="AV2201" t="str">
        <f>T("판타지 웹소설 &gt; 현대 판타지")</f>
        <v>판타지 웹소설 &gt; 현대 판타지</v>
      </c>
    </row>
    <row r="2202" spans="1:48" x14ac:dyDescent="0.4">
      <c r="A2202">
        <v>1525004989</v>
      </c>
      <c r="B2202">
        <v>1525005496</v>
      </c>
      <c r="C2202" t="str">
        <f>T("신룡전설 7화")</f>
        <v>신룡전설 7화</v>
      </c>
      <c r="D2202" t="str">
        <f>T("7")</f>
        <v>7</v>
      </c>
      <c r="E2202" t="str">
        <f>T("가람검")</f>
        <v>가람검</v>
      </c>
      <c r="H2202" t="str">
        <f>T("스토리위즈")</f>
        <v>스토리위즈</v>
      </c>
      <c r="I2202" t="str">
        <f>T("신룡전설")</f>
        <v>신룡전설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 s="2">
        <v>0</v>
      </c>
      <c r="AT2202" t="str">
        <f>T("9791159283505")</f>
        <v>9791159283505</v>
      </c>
      <c r="AV2202" t="str">
        <f>T("판타지 웹소설 &gt; 무협 소설")</f>
        <v>판타지 웹소설 &gt; 무협 소설</v>
      </c>
    </row>
    <row r="2203" spans="1:48" x14ac:dyDescent="0.4">
      <c r="A2203">
        <v>1525013369</v>
      </c>
      <c r="B2203">
        <v>1525013385</v>
      </c>
      <c r="C2203" t="str">
        <f>T("[e북]티끌모아 대박 8권")</f>
        <v>[e북]티끌모아 대박 8권</v>
      </c>
      <c r="D2203" t="str">
        <f>T("8")</f>
        <v>8</v>
      </c>
      <c r="E2203" t="str">
        <f>T("백범(白帆)")</f>
        <v>백범(白帆)</v>
      </c>
      <c r="H2203" t="str">
        <f>T("에필로그")</f>
        <v>에필로그</v>
      </c>
      <c r="I2203" t="str">
        <f>T("[e북]티끌모아 대박")</f>
        <v>[e북]티끌모아 대박</v>
      </c>
      <c r="J2203">
        <v>2000</v>
      </c>
      <c r="K2203">
        <v>0</v>
      </c>
      <c r="L2203">
        <v>0</v>
      </c>
      <c r="M2203">
        <v>0</v>
      </c>
      <c r="N2203">
        <v>900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900</v>
      </c>
      <c r="AH2203">
        <v>1</v>
      </c>
      <c r="AI2203">
        <v>0</v>
      </c>
      <c r="AJ2203">
        <v>0</v>
      </c>
      <c r="AK2203">
        <v>900</v>
      </c>
      <c r="AL2203">
        <v>0</v>
      </c>
      <c r="AM2203">
        <v>0</v>
      </c>
      <c r="AN2203">
        <v>0</v>
      </c>
      <c r="AO2203">
        <v>0</v>
      </c>
      <c r="AP2203" s="2">
        <v>630</v>
      </c>
      <c r="AR2203" t="str">
        <f>T("0000000000000")</f>
        <v>0000000000000</v>
      </c>
      <c r="AT2203" t="str">
        <f>T("9791166000270")</f>
        <v>9791166000270</v>
      </c>
      <c r="AV2203" t="str">
        <f>T("판타지 e북 &gt; 퓨전 판타지")</f>
        <v>판타지 e북 &gt; 퓨전 판타지</v>
      </c>
    </row>
    <row r="2204" spans="1:48" x14ac:dyDescent="0.4">
      <c r="A2204">
        <v>1525002125</v>
      </c>
      <c r="B2204">
        <v>1525002149</v>
      </c>
      <c r="C2204" t="str">
        <f>T("신을 죽이러 갑니다 25화")</f>
        <v>신을 죽이러 갑니다 25화</v>
      </c>
      <c r="D2204" t="str">
        <f>T("25")</f>
        <v>25</v>
      </c>
      <c r="E2204" t="str">
        <f>T("독고진")</f>
        <v>독고진</v>
      </c>
      <c r="H2204" t="str">
        <f>T("스토리위즈")</f>
        <v>스토리위즈</v>
      </c>
      <c r="I2204" t="str">
        <f>T("신을 죽이러 갑니다")</f>
        <v>신을 죽이러 갑니다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 s="2">
        <v>0</v>
      </c>
      <c r="AT2204" t="str">
        <f>T("9791159285806")</f>
        <v>9791159285806</v>
      </c>
      <c r="AV2204" t="str">
        <f>T("판타지 웹소설 &gt; 퓨전 판타지")</f>
        <v>판타지 웹소설 &gt; 퓨전 판타지</v>
      </c>
    </row>
    <row r="2205" spans="1:48" x14ac:dyDescent="0.4">
      <c r="A2205">
        <v>1525008204</v>
      </c>
      <c r="B2205">
        <v>1525008204</v>
      </c>
      <c r="C2205" t="str">
        <f>T("[e북]피할 수 없으면 즐겨라 1권")</f>
        <v>[e북]피할 수 없으면 즐겨라 1권</v>
      </c>
      <c r="D2205" t="str">
        <f>T("1")</f>
        <v>1</v>
      </c>
      <c r="E2205" t="str">
        <f>T("한슬")</f>
        <v>한슬</v>
      </c>
      <c r="H2205" t="str">
        <f>T("블러쉬")</f>
        <v>블러쉬</v>
      </c>
      <c r="I2205" t="str">
        <f>T("[e북]피할 수 없으면 즐겨라")</f>
        <v>[e북]피할 수 없으면 즐겨라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 s="2">
        <v>0</v>
      </c>
      <c r="AR2205" t="str">
        <f>T("0000000000000")</f>
        <v>0000000000000</v>
      </c>
      <c r="AT2205" t="str">
        <f>T("9791164892457")</f>
        <v>9791164892457</v>
      </c>
      <c r="AV2205" t="str">
        <f>T("BL 소설 e북 &gt; 현대물")</f>
        <v>BL 소설 e북 &gt; 현대물</v>
      </c>
    </row>
    <row r="2206" spans="1:48" x14ac:dyDescent="0.4">
      <c r="A2206">
        <v>1525001334</v>
      </c>
      <c r="B2206">
        <v>1525001347</v>
      </c>
      <c r="C2206" t="str">
        <f>T("게이트 헌터 14화")</f>
        <v>게이트 헌터 14화</v>
      </c>
      <c r="D2206" t="str">
        <f>T("14")</f>
        <v>14</v>
      </c>
      <c r="E2206" t="str">
        <f>T("권용찬")</f>
        <v>권용찬</v>
      </c>
      <c r="H2206" t="str">
        <f>T("스토리위즈")</f>
        <v>스토리위즈</v>
      </c>
      <c r="I2206" t="str">
        <f>T("게이트 헌터")</f>
        <v>게이트 헌터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 s="2">
        <v>0</v>
      </c>
      <c r="AR2206" t="str">
        <f>T("9791159283291")</f>
        <v>9791159283291</v>
      </c>
      <c r="AT2206" t="str">
        <f>T("9791159283291")</f>
        <v>9791159283291</v>
      </c>
      <c r="AV2206" t="str">
        <f>T("판타지 웹소설 &gt; 현대 판타지")</f>
        <v>판타지 웹소설 &gt; 현대 판타지</v>
      </c>
    </row>
    <row r="2207" spans="1:48" x14ac:dyDescent="0.4">
      <c r="A2207">
        <v>1525010982</v>
      </c>
      <c r="B2207">
        <v>1525010977</v>
      </c>
      <c r="C2207" t="str">
        <f>T("[e북]이 맛에 회장한다 6권")</f>
        <v>[e북]이 맛에 회장한다 6권</v>
      </c>
      <c r="D2207" t="str">
        <f>T("6")</f>
        <v>6</v>
      </c>
      <c r="E2207" t="str">
        <f>T("협행마")</f>
        <v>협행마</v>
      </c>
      <c r="H2207" t="str">
        <f>T("에필로그")</f>
        <v>에필로그</v>
      </c>
      <c r="I2207" t="str">
        <f>T("[e북]이 맛에 회장한다")</f>
        <v>[e북]이 맛에 회장한다</v>
      </c>
      <c r="J2207">
        <v>2500</v>
      </c>
      <c r="K2207">
        <v>0</v>
      </c>
      <c r="L2207">
        <v>0</v>
      </c>
      <c r="M2207">
        <v>0</v>
      </c>
      <c r="N2207">
        <v>4140</v>
      </c>
      <c r="O2207">
        <v>5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4140</v>
      </c>
      <c r="AH2207">
        <v>5</v>
      </c>
      <c r="AI2207">
        <v>0</v>
      </c>
      <c r="AJ2207">
        <v>0</v>
      </c>
      <c r="AK2207">
        <v>4140</v>
      </c>
      <c r="AL2207">
        <v>0</v>
      </c>
      <c r="AM2207">
        <v>0</v>
      </c>
      <c r="AN2207">
        <v>0</v>
      </c>
      <c r="AO2207">
        <v>0</v>
      </c>
      <c r="AP2207" s="2">
        <v>2898</v>
      </c>
      <c r="AT2207" t="str">
        <f>T("9791164486113")</f>
        <v>9791164486113</v>
      </c>
      <c r="AV2207" t="str">
        <f>T("판타지 e북 &gt; 현대 판타지")</f>
        <v>판타지 e북 &gt; 현대 판타지</v>
      </c>
    </row>
    <row r="2208" spans="1:48" x14ac:dyDescent="0.4">
      <c r="A2208">
        <v>1525010944</v>
      </c>
      <c r="B2208">
        <v>1525010916</v>
      </c>
      <c r="C2208" t="str">
        <f>T("[e북]법보다 주먹 29권")</f>
        <v>[e북]법보다 주먹 29권</v>
      </c>
      <c r="D2208" t="str">
        <f>T("29")</f>
        <v>29</v>
      </c>
      <c r="E2208" t="str">
        <f>T("백범(白帆)")</f>
        <v>백범(白帆)</v>
      </c>
      <c r="H2208" t="str">
        <f>T("에필로그")</f>
        <v>에필로그</v>
      </c>
      <c r="I2208" t="str">
        <f>T("[e북]법보다 주먹")</f>
        <v>[e북]법보다 주먹</v>
      </c>
      <c r="J2208">
        <v>2000</v>
      </c>
      <c r="K2208">
        <v>0</v>
      </c>
      <c r="L2208">
        <v>0</v>
      </c>
      <c r="M2208">
        <v>0</v>
      </c>
      <c r="N2208">
        <v>1800</v>
      </c>
      <c r="O2208">
        <v>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1800</v>
      </c>
      <c r="AH2208">
        <v>2</v>
      </c>
      <c r="AI2208">
        <v>0</v>
      </c>
      <c r="AJ2208">
        <v>0</v>
      </c>
      <c r="AK2208">
        <v>1800</v>
      </c>
      <c r="AL2208">
        <v>0</v>
      </c>
      <c r="AM2208">
        <v>0</v>
      </c>
      <c r="AN2208">
        <v>0</v>
      </c>
      <c r="AO2208">
        <v>0</v>
      </c>
      <c r="AP2208" s="2">
        <v>1260</v>
      </c>
      <c r="AT2208" t="str">
        <f>T("9791164480142")</f>
        <v>9791164480142</v>
      </c>
      <c r="AV2208" t="str">
        <f>T("판타지 e북 &gt; 현대 판타지")</f>
        <v>판타지 e북 &gt; 현대 판타지</v>
      </c>
    </row>
    <row r="2209" spans="1:48" x14ac:dyDescent="0.4">
      <c r="A2209">
        <v>1525001917</v>
      </c>
      <c r="B2209">
        <v>1525001922</v>
      </c>
      <c r="C2209" t="str">
        <f>T("[e북]용중신권 6권")</f>
        <v>[e북]용중신권 6권</v>
      </c>
      <c r="D2209" t="str">
        <f>T("6")</f>
        <v>6</v>
      </c>
      <c r="E2209" t="str">
        <f>T("권용찬")</f>
        <v>권용찬</v>
      </c>
      <c r="H2209" t="str">
        <f>T("스토리위즈")</f>
        <v>스토리위즈</v>
      </c>
      <c r="I2209" t="str">
        <f>T("[e북]용중신권")</f>
        <v>[e북]용중신권</v>
      </c>
      <c r="J2209">
        <v>3200</v>
      </c>
      <c r="K2209">
        <v>0</v>
      </c>
      <c r="L2209">
        <v>0</v>
      </c>
      <c r="M2209">
        <v>0</v>
      </c>
      <c r="N2209">
        <v>900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900</v>
      </c>
      <c r="AH2209">
        <v>1</v>
      </c>
      <c r="AI2209">
        <v>0</v>
      </c>
      <c r="AJ2209">
        <v>0</v>
      </c>
      <c r="AK2209">
        <v>900</v>
      </c>
      <c r="AL2209">
        <v>0</v>
      </c>
      <c r="AM2209">
        <v>0</v>
      </c>
      <c r="AN2209">
        <v>0</v>
      </c>
      <c r="AO2209">
        <v>0</v>
      </c>
      <c r="AP2209" s="2">
        <v>630</v>
      </c>
      <c r="AT2209" t="str">
        <f>T("9791159285974")</f>
        <v>9791159285974</v>
      </c>
      <c r="AV2209" t="str">
        <f>T("판타지 e북 &gt; 신무협")</f>
        <v>판타지 e북 &gt; 신무협</v>
      </c>
    </row>
    <row r="2210" spans="1:48" x14ac:dyDescent="0.4">
      <c r="A2210">
        <v>1525000569</v>
      </c>
      <c r="B2210">
        <v>1525000570</v>
      </c>
      <c r="C2210" t="str">
        <f>T("스트라이커 2화")</f>
        <v>스트라이커 2화</v>
      </c>
      <c r="D2210" t="str">
        <f>T("2")</f>
        <v>2</v>
      </c>
      <c r="E2210" t="str">
        <f>T("독고진")</f>
        <v>독고진</v>
      </c>
      <c r="H2210" t="str">
        <f>T("스토리위즈")</f>
        <v>스토리위즈</v>
      </c>
      <c r="I2210" t="str">
        <f>T("스트라이커")</f>
        <v>스트라이커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 s="2">
        <v>0</v>
      </c>
      <c r="AT2210" t="str">
        <f>T("9791170151678")</f>
        <v>9791170151678</v>
      </c>
      <c r="AV2210" t="str">
        <f>T("판타지 웹소설 &gt; 현대 판타지")</f>
        <v>판타지 웹소설 &gt; 현대 판타지</v>
      </c>
    </row>
    <row r="2211" spans="1:48" x14ac:dyDescent="0.4">
      <c r="A2211">
        <v>1525004988</v>
      </c>
      <c r="B2211">
        <v>1525005302</v>
      </c>
      <c r="C2211" t="str">
        <f>T("용무쌍 15화")</f>
        <v>용무쌍 15화</v>
      </c>
      <c r="D2211" t="str">
        <f>T("15")</f>
        <v>15</v>
      </c>
      <c r="E2211" t="str">
        <f>T("권용찬")</f>
        <v>권용찬</v>
      </c>
      <c r="H2211" t="str">
        <f>T("스토리위즈")</f>
        <v>스토리위즈</v>
      </c>
      <c r="I2211" t="str">
        <f>T("용무쌍")</f>
        <v>용무쌍</v>
      </c>
      <c r="J2211">
        <v>0</v>
      </c>
      <c r="K2211">
        <v>0</v>
      </c>
      <c r="L2211">
        <v>0</v>
      </c>
      <c r="M2211">
        <v>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2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 s="2">
        <v>0</v>
      </c>
      <c r="AT2211" t="str">
        <f>T("9791159284861")</f>
        <v>9791159284861</v>
      </c>
      <c r="AV2211" t="str">
        <f>T("판타지 웹소설 &gt; 무협 소설")</f>
        <v>판타지 웹소설 &gt; 무협 소설</v>
      </c>
    </row>
    <row r="2212" spans="1:48" x14ac:dyDescent="0.4">
      <c r="A2212">
        <v>1525001540</v>
      </c>
      <c r="B2212">
        <v>1525001543</v>
      </c>
      <c r="C2212" t="str">
        <f>T("[e북]철중쟁쟁 4권")</f>
        <v>[e북]철중쟁쟁 4권</v>
      </c>
      <c r="D2212" t="str">
        <f>T("4")</f>
        <v>4</v>
      </c>
      <c r="E2212" t="str">
        <f>T("권용찬")</f>
        <v>권용찬</v>
      </c>
      <c r="H2212" t="str">
        <f>T("스토리위즈")</f>
        <v>스토리위즈</v>
      </c>
      <c r="I2212" t="str">
        <f>T("[e북]철중쟁쟁")</f>
        <v>[e북]철중쟁쟁</v>
      </c>
      <c r="J2212">
        <v>3200</v>
      </c>
      <c r="K2212">
        <v>0</v>
      </c>
      <c r="L2212">
        <v>0</v>
      </c>
      <c r="M2212">
        <v>0</v>
      </c>
      <c r="N2212">
        <v>2700</v>
      </c>
      <c r="O2212">
        <v>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2700</v>
      </c>
      <c r="AH2212">
        <v>3</v>
      </c>
      <c r="AI2212">
        <v>0</v>
      </c>
      <c r="AJ2212">
        <v>0</v>
      </c>
      <c r="AK2212">
        <v>2700</v>
      </c>
      <c r="AL2212">
        <v>0</v>
      </c>
      <c r="AM2212">
        <v>0</v>
      </c>
      <c r="AN2212">
        <v>0</v>
      </c>
      <c r="AO2212">
        <v>0</v>
      </c>
      <c r="AP2212" s="2">
        <v>1890</v>
      </c>
      <c r="AT2212" t="str">
        <f>T("9791159282300")</f>
        <v>9791159282300</v>
      </c>
      <c r="AV2212" t="str">
        <f>T("판타지 e북 &gt; 전통 무협")</f>
        <v>판타지 e북 &gt; 전통 무협</v>
      </c>
    </row>
    <row r="2213" spans="1:48" x14ac:dyDescent="0.4">
      <c r="A2213">
        <v>1525013020</v>
      </c>
      <c r="B2213">
        <v>1525013025</v>
      </c>
      <c r="C2213" t="str">
        <f>T("악당의 리턴 6화")</f>
        <v>악당의 리턴 6화</v>
      </c>
      <c r="D2213" t="str">
        <f>T("6")</f>
        <v>6</v>
      </c>
      <c r="E2213" t="str">
        <f>T("백범(白帆)")</f>
        <v>백범(白帆)</v>
      </c>
      <c r="H2213" t="str">
        <f>T("에필로그")</f>
        <v>에필로그</v>
      </c>
      <c r="I2213" t="str">
        <f>T("악당의 리턴")</f>
        <v>악당의 리턴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 s="2">
        <v>0</v>
      </c>
      <c r="AT2213" t="str">
        <f>T("9791196538927")</f>
        <v>9791196538927</v>
      </c>
      <c r="AV2213" t="str">
        <f>T("판타지 웹소설 &gt; 현대 판타지")</f>
        <v>판타지 웹소설 &gt; 현대 판타지</v>
      </c>
    </row>
    <row r="2214" spans="1:48" x14ac:dyDescent="0.4">
      <c r="A2214">
        <v>1525001116</v>
      </c>
      <c r="B2214">
        <v>1525001125</v>
      </c>
      <c r="C2214" t="str">
        <f>T("개정판 | 영웅 10화")</f>
        <v>개정판 | 영웅 10화</v>
      </c>
      <c r="D2214" t="str">
        <f>T("10")</f>
        <v>10</v>
      </c>
      <c r="E2214" t="str">
        <f>T("김광수")</f>
        <v>김광수</v>
      </c>
      <c r="H2214" t="str">
        <f>T("스토리위즈")</f>
        <v>스토리위즈</v>
      </c>
      <c r="I2214" t="str">
        <f>T("개정판 | 영웅")</f>
        <v>개정판 | 영웅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 s="2">
        <v>0</v>
      </c>
      <c r="AR2214" t="str">
        <f>T("9791159282829")</f>
        <v>9791159282829</v>
      </c>
      <c r="AT2214" t="str">
        <f>T("9791159282829")</f>
        <v>9791159282829</v>
      </c>
      <c r="AV2214" t="str">
        <f>T("판타지 웹소설 &gt; 무협 소설")</f>
        <v>판타지 웹소설 &gt; 무협 소설</v>
      </c>
    </row>
    <row r="2215" spans="1:48" x14ac:dyDescent="0.4">
      <c r="A2215">
        <v>1525002692</v>
      </c>
      <c r="B2215">
        <v>1525002707</v>
      </c>
      <c r="C2215" t="str">
        <f>T("신규무사 16화")</f>
        <v>신규무사 16화</v>
      </c>
      <c r="D2215" t="str">
        <f>T("16")</f>
        <v>16</v>
      </c>
      <c r="E2215" t="str">
        <f>T("권용찬")</f>
        <v>권용찬</v>
      </c>
      <c r="H2215" t="str">
        <f>T("스토리위즈")</f>
        <v>스토리위즈</v>
      </c>
      <c r="I2215" t="str">
        <f>T("신규무사")</f>
        <v>신규무사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 s="2">
        <v>0</v>
      </c>
      <c r="AT2215" t="str">
        <f>T("9791159287480")</f>
        <v>9791159287480</v>
      </c>
      <c r="AV2215" t="str">
        <f>T("판타지 웹소설 &gt; 무협 소설")</f>
        <v>판타지 웹소설 &gt; 무협 소설</v>
      </c>
    </row>
    <row r="2216" spans="1:48" x14ac:dyDescent="0.4">
      <c r="A2216">
        <v>1525010974</v>
      </c>
      <c r="B2216">
        <v>1525010970</v>
      </c>
      <c r="C2216" t="str">
        <f>T("[e북]위사무적 5권")</f>
        <v>[e북]위사무적 5권</v>
      </c>
      <c r="D2216" t="str">
        <f>T("5")</f>
        <v>5</v>
      </c>
      <c r="E2216" t="str">
        <f>T("협행마")</f>
        <v>협행마</v>
      </c>
      <c r="H2216" t="str">
        <f>T("에필로그")</f>
        <v>에필로그</v>
      </c>
      <c r="I2216" t="str">
        <f>T("[e북]위사무적")</f>
        <v>[e북]위사무적</v>
      </c>
      <c r="J2216">
        <v>2000</v>
      </c>
      <c r="K2216">
        <v>0</v>
      </c>
      <c r="L2216">
        <v>0</v>
      </c>
      <c r="M2216">
        <v>0</v>
      </c>
      <c r="N2216">
        <v>1400</v>
      </c>
      <c r="O2216">
        <v>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1400</v>
      </c>
      <c r="AH2216">
        <v>2</v>
      </c>
      <c r="AI2216">
        <v>0</v>
      </c>
      <c r="AJ2216">
        <v>0</v>
      </c>
      <c r="AK2216">
        <v>1400</v>
      </c>
      <c r="AL2216">
        <v>0</v>
      </c>
      <c r="AM2216">
        <v>0</v>
      </c>
      <c r="AN2216">
        <v>0</v>
      </c>
      <c r="AO2216">
        <v>0</v>
      </c>
      <c r="AP2216" s="2">
        <v>980</v>
      </c>
      <c r="AT2216" t="str">
        <f>T("9791164489015")</f>
        <v>9791164489015</v>
      </c>
      <c r="AV2216" t="str">
        <f>T("판타지 e북 &gt; 신무협")</f>
        <v>판타지 e북 &gt; 신무협</v>
      </c>
    </row>
    <row r="2217" spans="1:48" x14ac:dyDescent="0.4">
      <c r="A2217">
        <v>1525010898</v>
      </c>
      <c r="B2217">
        <v>1525010881</v>
      </c>
      <c r="C2217" t="str">
        <f>T("[e북]용병수칙 2권")</f>
        <v>[e북]용병수칙 2권</v>
      </c>
      <c r="D2217" t="str">
        <f>T("2")</f>
        <v>2</v>
      </c>
      <c r="E2217" t="str">
        <f>T("협행마")</f>
        <v>협행마</v>
      </c>
      <c r="H2217" t="str">
        <f>T("에필로그")</f>
        <v>에필로그</v>
      </c>
      <c r="I2217" t="str">
        <f>T("[e북]용병수칙")</f>
        <v>[e북]용병수칙</v>
      </c>
      <c r="J2217">
        <v>2500</v>
      </c>
      <c r="K2217">
        <v>0</v>
      </c>
      <c r="L2217">
        <v>0</v>
      </c>
      <c r="M2217">
        <v>0</v>
      </c>
      <c r="N2217">
        <v>810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810</v>
      </c>
      <c r="AH2217">
        <v>1</v>
      </c>
      <c r="AI2217">
        <v>0</v>
      </c>
      <c r="AJ2217">
        <v>0</v>
      </c>
      <c r="AK2217">
        <v>810</v>
      </c>
      <c r="AL2217">
        <v>0</v>
      </c>
      <c r="AM2217">
        <v>0</v>
      </c>
      <c r="AN2217">
        <v>0</v>
      </c>
      <c r="AO2217">
        <v>0</v>
      </c>
      <c r="AP2217" s="2">
        <v>567</v>
      </c>
      <c r="AT2217" t="str">
        <f>T("9791166000140")</f>
        <v>9791166000140</v>
      </c>
      <c r="AV2217" t="str">
        <f>T("판타지 e북 &gt; 퓨전 판타지")</f>
        <v>판타지 e북 &gt; 퓨전 판타지</v>
      </c>
    </row>
    <row r="2218" spans="1:48" x14ac:dyDescent="0.4">
      <c r="A2218">
        <v>1525001908</v>
      </c>
      <c r="B2218">
        <v>1525001915</v>
      </c>
      <c r="C2218" t="str">
        <f>T("[e북]상왕 진우몽 8권")</f>
        <v>[e북]상왕 진우몽 8권</v>
      </c>
      <c r="D2218" t="str">
        <f>T("8")</f>
        <v>8</v>
      </c>
      <c r="E2218" t="str">
        <f>T("권용찬")</f>
        <v>권용찬</v>
      </c>
      <c r="H2218" t="str">
        <f t="shared" ref="H2218:H2225" si="217">T("스토리위즈")</f>
        <v>스토리위즈</v>
      </c>
      <c r="I2218" t="str">
        <f>T("[e북]상왕 진우몽")</f>
        <v>[e북]상왕 진우몽</v>
      </c>
      <c r="J2218">
        <v>3200</v>
      </c>
      <c r="K2218">
        <v>0</v>
      </c>
      <c r="L2218">
        <v>0</v>
      </c>
      <c r="M2218">
        <v>0</v>
      </c>
      <c r="N2218">
        <v>900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900</v>
      </c>
      <c r="AH2218">
        <v>1</v>
      </c>
      <c r="AI2218">
        <v>0</v>
      </c>
      <c r="AJ2218">
        <v>0</v>
      </c>
      <c r="AK2218">
        <v>900</v>
      </c>
      <c r="AL2218">
        <v>0</v>
      </c>
      <c r="AM2218">
        <v>0</v>
      </c>
      <c r="AN2218">
        <v>0</v>
      </c>
      <c r="AO2218">
        <v>0</v>
      </c>
      <c r="AP2218" s="2">
        <v>630</v>
      </c>
      <c r="AT2218" t="str">
        <f>T("9791159285905")</f>
        <v>9791159285905</v>
      </c>
      <c r="AV2218" t="str">
        <f>T("판타지 e북 &gt; 신무협")</f>
        <v>판타지 e북 &gt; 신무협</v>
      </c>
    </row>
    <row r="2219" spans="1:48" x14ac:dyDescent="0.4">
      <c r="A2219">
        <v>1525004988</v>
      </c>
      <c r="B2219">
        <v>1525005295</v>
      </c>
      <c r="C2219" t="str">
        <f>T("용무쌍 8화")</f>
        <v>용무쌍 8화</v>
      </c>
      <c r="D2219" t="str">
        <f>T("8")</f>
        <v>8</v>
      </c>
      <c r="E2219" t="str">
        <f>T("권용찬")</f>
        <v>권용찬</v>
      </c>
      <c r="H2219" t="str">
        <f t="shared" si="217"/>
        <v>스토리위즈</v>
      </c>
      <c r="I2219" t="str">
        <f>T("용무쌍")</f>
        <v>용무쌍</v>
      </c>
      <c r="J2219">
        <v>0</v>
      </c>
      <c r="K2219">
        <v>0</v>
      </c>
      <c r="L2219">
        <v>0</v>
      </c>
      <c r="M2219">
        <v>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 s="2">
        <v>0</v>
      </c>
      <c r="AT2219" t="str">
        <f>T("9791159284861")</f>
        <v>9791159284861</v>
      </c>
      <c r="AV2219" t="str">
        <f>T("판타지 웹소설 &gt; 무협 소설")</f>
        <v>판타지 웹소설 &gt; 무협 소설</v>
      </c>
    </row>
    <row r="2220" spans="1:48" x14ac:dyDescent="0.4">
      <c r="A2220">
        <v>1525002409</v>
      </c>
      <c r="B2220">
        <v>1525002432</v>
      </c>
      <c r="C2220" t="str">
        <f>T("스포트라이트 24화")</f>
        <v>스포트라이트 24화</v>
      </c>
      <c r="D2220" t="str">
        <f>T("24")</f>
        <v>24</v>
      </c>
      <c r="E2220" t="str">
        <f>T("전혁")</f>
        <v>전혁</v>
      </c>
      <c r="H2220" t="str">
        <f t="shared" si="217"/>
        <v>스토리위즈</v>
      </c>
      <c r="I2220" t="str">
        <f>T("스포트라이트")</f>
        <v>스포트라이트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 s="2">
        <v>0</v>
      </c>
      <c r="AT2220" t="str">
        <f>T("9791159286841")</f>
        <v>9791159286841</v>
      </c>
      <c r="AV2220" t="str">
        <f>T("판타지 웹소설 &gt; 현대 판타지")</f>
        <v>판타지 웹소설 &gt; 현대 판타지</v>
      </c>
    </row>
    <row r="2221" spans="1:48" x14ac:dyDescent="0.4">
      <c r="A2221">
        <v>1525001508</v>
      </c>
      <c r="B2221">
        <v>1525001511</v>
      </c>
      <c r="C2221" t="str">
        <f>T("[e북]칼 4권")</f>
        <v>[e북]칼 4권</v>
      </c>
      <c r="D2221" t="str">
        <f>T("4")</f>
        <v>4</v>
      </c>
      <c r="E2221" t="str">
        <f>T("권용찬")</f>
        <v>권용찬</v>
      </c>
      <c r="H2221" t="str">
        <f t="shared" si="217"/>
        <v>스토리위즈</v>
      </c>
      <c r="I2221" t="str">
        <f>T("[e북]칼")</f>
        <v>[e북]칼</v>
      </c>
      <c r="J2221">
        <v>3200</v>
      </c>
      <c r="K2221">
        <v>0</v>
      </c>
      <c r="L2221">
        <v>0</v>
      </c>
      <c r="M2221">
        <v>0</v>
      </c>
      <c r="N2221">
        <v>900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900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900</v>
      </c>
      <c r="AN2221">
        <v>0</v>
      </c>
      <c r="AO2221">
        <v>0</v>
      </c>
      <c r="AP2221" s="2">
        <v>630</v>
      </c>
      <c r="AT2221" t="str">
        <f>T("9791159282386")</f>
        <v>9791159282386</v>
      </c>
      <c r="AV2221" t="str">
        <f>T("판타지 e북 &gt; 신무협")</f>
        <v>판타지 e북 &gt; 신무협</v>
      </c>
    </row>
    <row r="2222" spans="1:48" x14ac:dyDescent="0.4">
      <c r="A2222">
        <v>1525000055</v>
      </c>
      <c r="B2222">
        <v>1525000069</v>
      </c>
      <c r="C2222" t="str">
        <f>T("[e북]21세기 대마법사 14권")</f>
        <v>[e북]21세기 대마법사 14권</v>
      </c>
      <c r="D2222" t="str">
        <f>T("14")</f>
        <v>14</v>
      </c>
      <c r="E2222" t="str">
        <f>T("김광수")</f>
        <v>김광수</v>
      </c>
      <c r="H2222" t="str">
        <f t="shared" si="217"/>
        <v>스토리위즈</v>
      </c>
      <c r="I2222" t="str">
        <f>T("[e북]21세기 대마법사")</f>
        <v>[e북]21세기 대마법사</v>
      </c>
      <c r="J2222">
        <v>3200</v>
      </c>
      <c r="K2222">
        <v>0</v>
      </c>
      <c r="L2222">
        <v>0</v>
      </c>
      <c r="M2222">
        <v>0</v>
      </c>
      <c r="N2222">
        <v>6300</v>
      </c>
      <c r="O2222">
        <v>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6300</v>
      </c>
      <c r="AH2222">
        <v>7</v>
      </c>
      <c r="AI2222">
        <v>0</v>
      </c>
      <c r="AJ2222">
        <v>0</v>
      </c>
      <c r="AK2222">
        <v>6300</v>
      </c>
      <c r="AL2222">
        <v>0</v>
      </c>
      <c r="AM2222">
        <v>0</v>
      </c>
      <c r="AN2222">
        <v>0</v>
      </c>
      <c r="AO2222">
        <v>0</v>
      </c>
      <c r="AP2222" s="2">
        <v>4410</v>
      </c>
      <c r="AT2222" t="str">
        <f>T("9788925119755")</f>
        <v>9788925119755</v>
      </c>
      <c r="AV2222" t="str">
        <f>T("판타지 e북 &gt; 퓨전 판타지")</f>
        <v>판타지 e북 &gt; 퓨전 판타지</v>
      </c>
    </row>
    <row r="2223" spans="1:48" x14ac:dyDescent="0.4">
      <c r="A2223">
        <v>1525001116</v>
      </c>
      <c r="B2223">
        <v>1525001118</v>
      </c>
      <c r="C2223" t="str">
        <f>T("개정판 | 영웅 3화")</f>
        <v>개정판 | 영웅 3화</v>
      </c>
      <c r="D2223" t="str">
        <f>T("3")</f>
        <v>3</v>
      </c>
      <c r="E2223" t="str">
        <f>T("김광수")</f>
        <v>김광수</v>
      </c>
      <c r="H2223" t="str">
        <f t="shared" si="217"/>
        <v>스토리위즈</v>
      </c>
      <c r="I2223" t="str">
        <f>T("개정판 | 영웅")</f>
        <v>개정판 | 영웅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 s="2">
        <v>0</v>
      </c>
      <c r="AR2223" t="str">
        <f>T("9791159282829")</f>
        <v>9791159282829</v>
      </c>
      <c r="AT2223" t="str">
        <f>T("9791159282829")</f>
        <v>9791159282829</v>
      </c>
      <c r="AV2223" t="str">
        <f>T("판타지 웹소설 &gt; 무협 소설")</f>
        <v>판타지 웹소설 &gt; 무협 소설</v>
      </c>
    </row>
    <row r="2224" spans="1:48" x14ac:dyDescent="0.4">
      <c r="A2224">
        <v>1525004030</v>
      </c>
      <c r="B2224">
        <v>1525004049</v>
      </c>
      <c r="C2224" t="str">
        <f>T("회귀의 전설 20화")</f>
        <v>회귀의 전설 20화</v>
      </c>
      <c r="D2224" t="str">
        <f>T("20")</f>
        <v>20</v>
      </c>
      <c r="E2224" t="str">
        <f>T("김광수")</f>
        <v>김광수</v>
      </c>
      <c r="H2224" t="str">
        <f t="shared" si="217"/>
        <v>스토리위즈</v>
      </c>
      <c r="I2224" t="str">
        <f>T("회귀의 전설")</f>
        <v>회귀의 전설</v>
      </c>
      <c r="J2224">
        <v>0</v>
      </c>
      <c r="K2224">
        <v>0</v>
      </c>
      <c r="L2224">
        <v>0</v>
      </c>
      <c r="M2224">
        <v>3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3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 s="2">
        <v>0</v>
      </c>
      <c r="AT2224" t="str">
        <f>T("9788997946006")</f>
        <v>9788997946006</v>
      </c>
      <c r="AV2224" t="str">
        <f>T("판타지 웹소설 &gt; 현대 판타지")</f>
        <v>판타지 웹소설 &gt; 현대 판타지</v>
      </c>
    </row>
    <row r="2225" spans="1:48" x14ac:dyDescent="0.4">
      <c r="A2225">
        <v>1525002692</v>
      </c>
      <c r="B2225">
        <v>1525002700</v>
      </c>
      <c r="C2225" t="str">
        <f>T("신규무사 9화")</f>
        <v>신규무사 9화</v>
      </c>
      <c r="D2225" t="str">
        <f>T("9")</f>
        <v>9</v>
      </c>
      <c r="E2225" t="str">
        <f>T("권용찬")</f>
        <v>권용찬</v>
      </c>
      <c r="H2225" t="str">
        <f t="shared" si="217"/>
        <v>스토리위즈</v>
      </c>
      <c r="I2225" t="str">
        <f>T("신규무사")</f>
        <v>신규무사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 s="2">
        <v>0</v>
      </c>
      <c r="AT2225" t="str">
        <f>T("9791159287480")</f>
        <v>9791159287480</v>
      </c>
      <c r="AV2225" t="str">
        <f>T("판타지 웹소설 &gt; 무협 소설")</f>
        <v>판타지 웹소설 &gt; 무협 소설</v>
      </c>
    </row>
    <row r="2226" spans="1:48" x14ac:dyDescent="0.4">
      <c r="A2226">
        <v>1525014015</v>
      </c>
      <c r="B2226">
        <v>1525014037</v>
      </c>
      <c r="C2226" t="str">
        <f>T("사냥꾼은 마왕이 되기 싫다 23화")</f>
        <v>사냥꾼은 마왕이 되기 싫다 23화</v>
      </c>
      <c r="D2226" t="str">
        <f>T("23")</f>
        <v>23</v>
      </c>
      <c r="E2226" t="str">
        <f>T("강명운")</f>
        <v>강명운</v>
      </c>
      <c r="H2226" t="str">
        <f>T("스토리아크")</f>
        <v>스토리아크</v>
      </c>
      <c r="I2226" t="str">
        <f>T("사냥꾼은 마왕이 되기 싫다")</f>
        <v>사냥꾼은 마왕이 되기 싫다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 s="2">
        <v>0</v>
      </c>
      <c r="AR2226" t="str">
        <f>T("0000000000000")</f>
        <v>0000000000000</v>
      </c>
      <c r="AT2226" t="str">
        <f>T("9791191039269")</f>
        <v>9791191039269</v>
      </c>
      <c r="AV2226" t="str">
        <f>T("판타지 웹소설 &gt; 정통 판타지")</f>
        <v>판타지 웹소설 &gt; 정통 판타지</v>
      </c>
    </row>
    <row r="2227" spans="1:48" x14ac:dyDescent="0.4">
      <c r="A2227">
        <v>1525013320</v>
      </c>
      <c r="B2227">
        <v>1525013324</v>
      </c>
      <c r="C2227" t="str">
        <f>T("[e북]악당의 리턴 5권")</f>
        <v>[e북]악당의 리턴 5권</v>
      </c>
      <c r="D2227" t="str">
        <f>T("5")</f>
        <v>5</v>
      </c>
      <c r="E2227" t="str">
        <f>T("백범(白帆)")</f>
        <v>백범(白帆)</v>
      </c>
      <c r="H2227" t="str">
        <f>T("에필로그")</f>
        <v>에필로그</v>
      </c>
      <c r="I2227" t="str">
        <f>T("[e북]악당의 리턴")</f>
        <v>[e북]악당의 리턴</v>
      </c>
      <c r="J2227">
        <v>3200</v>
      </c>
      <c r="K2227">
        <v>0</v>
      </c>
      <c r="L2227">
        <v>0</v>
      </c>
      <c r="M2227">
        <v>0</v>
      </c>
      <c r="N2227">
        <v>900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900</v>
      </c>
      <c r="AH2227">
        <v>1</v>
      </c>
      <c r="AI2227">
        <v>0</v>
      </c>
      <c r="AJ2227">
        <v>0</v>
      </c>
      <c r="AK2227">
        <v>900</v>
      </c>
      <c r="AL2227">
        <v>0</v>
      </c>
      <c r="AM2227">
        <v>0</v>
      </c>
      <c r="AN2227">
        <v>0</v>
      </c>
      <c r="AO2227">
        <v>0</v>
      </c>
      <c r="AP2227" s="2">
        <v>630</v>
      </c>
      <c r="AT2227" t="str">
        <f>T("9791164482900")</f>
        <v>9791164482900</v>
      </c>
      <c r="AV2227" t="str">
        <f>T("판타지 e북 &gt; 현대 판타지")</f>
        <v>판타지 e북 &gt; 현대 판타지</v>
      </c>
    </row>
    <row r="2228" spans="1:48" x14ac:dyDescent="0.4">
      <c r="A2228">
        <v>1525011523</v>
      </c>
      <c r="B2228">
        <v>1525011523</v>
      </c>
      <c r="C2228" t="str">
        <f>T("남창목가 1화")</f>
        <v>남창목가 1화</v>
      </c>
      <c r="D2228" t="str">
        <f>T("1")</f>
        <v>1</v>
      </c>
      <c r="E2228" t="str">
        <f>T("최재봉")</f>
        <v>최재봉</v>
      </c>
      <c r="H2228" t="str">
        <f>T("에필로그")</f>
        <v>에필로그</v>
      </c>
      <c r="I2228" t="str">
        <f>T("남창목가")</f>
        <v>남창목가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 s="2">
        <v>0</v>
      </c>
      <c r="AT2228" t="str">
        <f>T("9791164482849")</f>
        <v>9791164482849</v>
      </c>
      <c r="AV2228" t="str">
        <f>T("판타지 웹소설 &gt; 무협 소설")</f>
        <v>판타지 웹소설 &gt; 무협 소설</v>
      </c>
    </row>
    <row r="2229" spans="1:48" x14ac:dyDescent="0.4">
      <c r="A2229">
        <v>1525002864</v>
      </c>
      <c r="B2229">
        <v>1525002881</v>
      </c>
      <c r="C2229" t="str">
        <f>T("소드마스터의 환생 18화")</f>
        <v>소드마스터의 환생 18화</v>
      </c>
      <c r="D2229" t="str">
        <f>T("18")</f>
        <v>18</v>
      </c>
      <c r="E2229" t="str">
        <f>T("파란영")</f>
        <v>파란영</v>
      </c>
      <c r="H2229" t="str">
        <f>T("스토리위즈")</f>
        <v>스토리위즈</v>
      </c>
      <c r="I2229" t="str">
        <f>T("소드마스터의 환생")</f>
        <v>소드마스터의 환생</v>
      </c>
      <c r="J2229">
        <v>0</v>
      </c>
      <c r="K2229">
        <v>0</v>
      </c>
      <c r="L2229">
        <v>0</v>
      </c>
      <c r="M2229">
        <v>3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3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 s="2">
        <v>0</v>
      </c>
      <c r="AT2229" t="str">
        <f>T("9791159287527")</f>
        <v>9791159287527</v>
      </c>
      <c r="AV2229" t="str">
        <f>T("판타지 웹소설 &gt; 정통 판타지")</f>
        <v>판타지 웹소설 &gt; 정통 판타지</v>
      </c>
    </row>
    <row r="2230" spans="1:48" x14ac:dyDescent="0.4">
      <c r="A2230">
        <v>1525013369</v>
      </c>
      <c r="B2230">
        <v>1525013369</v>
      </c>
      <c r="C2230" t="str">
        <f>T("[e북]티끌모아 대박 1권")</f>
        <v>[e북]티끌모아 대박 1권</v>
      </c>
      <c r="D2230" t="str">
        <f>T("1")</f>
        <v>1</v>
      </c>
      <c r="E2230" t="str">
        <f>T("백범(白帆)")</f>
        <v>백범(白帆)</v>
      </c>
      <c r="H2230" t="str">
        <f>T("에필로그")</f>
        <v>에필로그</v>
      </c>
      <c r="I2230" t="str">
        <f>T("[e북]티끌모아 대박")</f>
        <v>[e북]티끌모아 대박</v>
      </c>
      <c r="J2230">
        <v>0</v>
      </c>
      <c r="K2230">
        <v>0</v>
      </c>
      <c r="L2230">
        <v>0</v>
      </c>
      <c r="M2230">
        <v>3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4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 s="2">
        <v>0</v>
      </c>
      <c r="AR2230" t="str">
        <f>T("0000000000000")</f>
        <v>0000000000000</v>
      </c>
      <c r="AT2230" t="str">
        <f>T("9791166000201")</f>
        <v>9791166000201</v>
      </c>
      <c r="AV2230" t="str">
        <f>T("판타지 e북 &gt; 퓨전 판타지")</f>
        <v>판타지 e북 &gt; 퓨전 판타지</v>
      </c>
    </row>
    <row r="2231" spans="1:48" x14ac:dyDescent="0.4">
      <c r="A2231">
        <v>1525000190</v>
      </c>
      <c r="B2231">
        <v>1525000190</v>
      </c>
      <c r="C2231" t="str">
        <f>T("[e북]프리나이트 1권")</f>
        <v>[e북]프리나이트 1권</v>
      </c>
      <c r="D2231" t="str">
        <f>T("1")</f>
        <v>1</v>
      </c>
      <c r="E2231" t="str">
        <f>T("김광수")</f>
        <v>김광수</v>
      </c>
      <c r="H2231" t="str">
        <f>T("스토리위즈")</f>
        <v>스토리위즈</v>
      </c>
      <c r="I2231" t="str">
        <f>T("[e북]프리나이트")</f>
        <v>[e북]프리나이트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 s="2">
        <v>0</v>
      </c>
      <c r="AV2231" t="str">
        <f>T("판타지 e북 &gt; 퓨전 판타지")</f>
        <v>판타지 e북 &gt; 퓨전 판타지</v>
      </c>
    </row>
    <row r="2232" spans="1:48" x14ac:dyDescent="0.4">
      <c r="A2232">
        <v>1525001334</v>
      </c>
      <c r="B2232">
        <v>1525001340</v>
      </c>
      <c r="C2232" t="str">
        <f>T("게이트 헌터 7화")</f>
        <v>게이트 헌터 7화</v>
      </c>
      <c r="D2232" t="str">
        <f>T("7")</f>
        <v>7</v>
      </c>
      <c r="E2232" t="str">
        <f>T("권용찬")</f>
        <v>권용찬</v>
      </c>
      <c r="H2232" t="str">
        <f>T("스토리위즈")</f>
        <v>스토리위즈</v>
      </c>
      <c r="I2232" t="str">
        <f>T("게이트 헌터")</f>
        <v>게이트 헌터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 s="2">
        <v>0</v>
      </c>
      <c r="AR2232" t="str">
        <f>T("9791159283291")</f>
        <v>9791159283291</v>
      </c>
      <c r="AT2232" t="str">
        <f>T("9791159283291")</f>
        <v>9791159283291</v>
      </c>
      <c r="AV2232" t="str">
        <f>T("판타지 웹소설 &gt; 현대 판타지")</f>
        <v>판타지 웹소설 &gt; 현대 판타지</v>
      </c>
    </row>
    <row r="2233" spans="1:48" x14ac:dyDescent="0.4">
      <c r="A2233">
        <v>1525002125</v>
      </c>
      <c r="B2233">
        <v>1525002143</v>
      </c>
      <c r="C2233" t="str">
        <f>T("신을 죽이러 갑니다 19화")</f>
        <v>신을 죽이러 갑니다 19화</v>
      </c>
      <c r="D2233" t="str">
        <f>T("19")</f>
        <v>19</v>
      </c>
      <c r="E2233" t="str">
        <f>T("독고진")</f>
        <v>독고진</v>
      </c>
      <c r="H2233" t="str">
        <f>T("스토리위즈")</f>
        <v>스토리위즈</v>
      </c>
      <c r="I2233" t="str">
        <f>T("신을 죽이러 갑니다")</f>
        <v>신을 죽이러 갑니다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 s="2">
        <v>0</v>
      </c>
      <c r="AT2233" t="str">
        <f>T("9791159285806")</f>
        <v>9791159285806</v>
      </c>
      <c r="AV2233" t="str">
        <f>T("판타지 웹소설 &gt; 퓨전 판타지")</f>
        <v>판타지 웹소설 &gt; 퓨전 판타지</v>
      </c>
    </row>
    <row r="2234" spans="1:48" x14ac:dyDescent="0.4">
      <c r="A2234">
        <v>1525000569</v>
      </c>
      <c r="B2234">
        <v>1525000588</v>
      </c>
      <c r="C2234" t="str">
        <f>T("스트라이커 20화")</f>
        <v>스트라이커 20화</v>
      </c>
      <c r="D2234" t="str">
        <f>T("20")</f>
        <v>20</v>
      </c>
      <c r="E2234" t="str">
        <f>T("독고진")</f>
        <v>독고진</v>
      </c>
      <c r="H2234" t="str">
        <f>T("스토리위즈")</f>
        <v>스토리위즈</v>
      </c>
      <c r="I2234" t="str">
        <f>T("스트라이커")</f>
        <v>스트라이커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 s="2">
        <v>0</v>
      </c>
      <c r="AT2234" t="str">
        <f>T("9791170151678")</f>
        <v>9791170151678</v>
      </c>
      <c r="AV2234" t="str">
        <f>T("판타지 웹소설 &gt; 현대 판타지")</f>
        <v>판타지 웹소설 &gt; 현대 판타지</v>
      </c>
    </row>
    <row r="2235" spans="1:48" x14ac:dyDescent="0.4">
      <c r="A2235">
        <v>1525013020</v>
      </c>
      <c r="B2235">
        <v>1525013043</v>
      </c>
      <c r="C2235" t="str">
        <f>T("악당의 리턴 24화")</f>
        <v>악당의 리턴 24화</v>
      </c>
      <c r="D2235" t="str">
        <f>T("24")</f>
        <v>24</v>
      </c>
      <c r="E2235" t="str">
        <f>T("백범(白帆)")</f>
        <v>백범(白帆)</v>
      </c>
      <c r="H2235" t="str">
        <f>T("에필로그")</f>
        <v>에필로그</v>
      </c>
      <c r="I2235" t="str">
        <f>T("악당의 리턴")</f>
        <v>악당의 리턴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 s="2">
        <v>0</v>
      </c>
      <c r="AT2235" t="str">
        <f>T("9791196538927")</f>
        <v>9791196538927</v>
      </c>
      <c r="AV2235" t="str">
        <f>T("판타지 웹소설 &gt; 현대 판타지")</f>
        <v>판타지 웹소설 &gt; 현대 판타지</v>
      </c>
    </row>
    <row r="2236" spans="1:48" x14ac:dyDescent="0.4">
      <c r="A2236">
        <v>1525011523</v>
      </c>
      <c r="B2236">
        <v>1525011516</v>
      </c>
      <c r="C2236" t="str">
        <f>T("남창목가 8화")</f>
        <v>남창목가 8화</v>
      </c>
      <c r="D2236" t="str">
        <f>T("8")</f>
        <v>8</v>
      </c>
      <c r="E2236" t="str">
        <f>T("최재봉")</f>
        <v>최재봉</v>
      </c>
      <c r="H2236" t="str">
        <f>T("에필로그")</f>
        <v>에필로그</v>
      </c>
      <c r="I2236" t="str">
        <f>T("남창목가")</f>
        <v>남창목가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 s="2">
        <v>0</v>
      </c>
      <c r="AT2236" t="str">
        <f>T("9791164482849")</f>
        <v>9791164482849</v>
      </c>
      <c r="AV2236" t="str">
        <f>T("판타지 웹소설 &gt; 무협 소설")</f>
        <v>판타지 웹소설 &gt; 무협 소설</v>
      </c>
    </row>
    <row r="2237" spans="1:48" x14ac:dyDescent="0.4">
      <c r="A2237">
        <v>1525001317</v>
      </c>
      <c r="B2237">
        <v>1525001323</v>
      </c>
      <c r="C2237" t="str">
        <f>T("[e북]완전판 | 스트라이커 7권")</f>
        <v>[e북]완전판 | 스트라이커 7권</v>
      </c>
      <c r="D2237" t="str">
        <f>T("7")</f>
        <v>7</v>
      </c>
      <c r="E2237" t="str">
        <f>T("독고진")</f>
        <v>독고진</v>
      </c>
      <c r="H2237" t="str">
        <f>T("스토리위즈")</f>
        <v>스토리위즈</v>
      </c>
      <c r="I2237" t="str">
        <f>T("[e북]완전판 | 스트라이커")</f>
        <v>[e북]완전판 | 스트라이커</v>
      </c>
      <c r="J2237">
        <v>3200</v>
      </c>
      <c r="K2237">
        <v>0</v>
      </c>
      <c r="L2237">
        <v>0</v>
      </c>
      <c r="M2237">
        <v>0</v>
      </c>
      <c r="N2237">
        <v>6300</v>
      </c>
      <c r="O2237">
        <v>7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6300</v>
      </c>
      <c r="AH2237">
        <v>7</v>
      </c>
      <c r="AI2237">
        <v>0</v>
      </c>
      <c r="AJ2237">
        <v>0</v>
      </c>
      <c r="AK2237">
        <v>6300</v>
      </c>
      <c r="AL2237">
        <v>0</v>
      </c>
      <c r="AM2237">
        <v>0</v>
      </c>
      <c r="AN2237">
        <v>0</v>
      </c>
      <c r="AO2237">
        <v>0</v>
      </c>
      <c r="AP2237" s="2">
        <v>4410</v>
      </c>
      <c r="AR2237" t="str">
        <f>T("9791159282898")</f>
        <v>9791159282898</v>
      </c>
      <c r="AT2237" t="str">
        <f>T("9791159282898")</f>
        <v>9791159282898</v>
      </c>
      <c r="AV2237" t="str">
        <f>T("판타지 e북 &gt; 스포츠물")</f>
        <v>판타지 e북 &gt; 스포츠물</v>
      </c>
    </row>
    <row r="2238" spans="1:48" x14ac:dyDescent="0.4">
      <c r="A2238">
        <v>1525007923</v>
      </c>
      <c r="B2238">
        <v>1525007956</v>
      </c>
      <c r="C2238" t="str">
        <f>T("운상연담: 화불능귀일락 4화")</f>
        <v>운상연담: 화불능귀일락 4화</v>
      </c>
      <c r="D2238" t="str">
        <f>T("4")</f>
        <v>4</v>
      </c>
      <c r="E2238" t="str">
        <f>T("피모")</f>
        <v>피모</v>
      </c>
      <c r="H2238" t="str">
        <f>T("쉬라즈")</f>
        <v>쉬라즈</v>
      </c>
      <c r="I2238" t="str">
        <f>T("운상연담: 화불능귀일락")</f>
        <v>운상연담: 화불능귀일락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 s="2">
        <v>0</v>
      </c>
      <c r="AT2238" t="str">
        <f>T("9791164896646")</f>
        <v>9791164896646</v>
      </c>
      <c r="AV2238" t="str">
        <f>T("로맨스 웹소설 &gt; 역사/시대물")</f>
        <v>로맨스 웹소설 &gt; 역사/시대물</v>
      </c>
    </row>
    <row r="2239" spans="1:48" x14ac:dyDescent="0.4">
      <c r="A2239">
        <v>1525002864</v>
      </c>
      <c r="B2239">
        <v>1525002874</v>
      </c>
      <c r="C2239" t="str">
        <f>T("소드마스터의 환생 11화")</f>
        <v>소드마스터의 환생 11화</v>
      </c>
      <c r="D2239" t="str">
        <f>T("11")</f>
        <v>11</v>
      </c>
      <c r="E2239" t="str">
        <f>T("파란영")</f>
        <v>파란영</v>
      </c>
      <c r="H2239" t="str">
        <f>T("스토리위즈")</f>
        <v>스토리위즈</v>
      </c>
      <c r="I2239" t="str">
        <f>T("소드마스터의 환생")</f>
        <v>소드마스터의 환생</v>
      </c>
      <c r="J2239">
        <v>0</v>
      </c>
      <c r="K2239">
        <v>0</v>
      </c>
      <c r="L2239">
        <v>0</v>
      </c>
      <c r="M2239">
        <v>3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3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 s="2">
        <v>0</v>
      </c>
      <c r="AT2239" t="str">
        <f>T("9791159287527")</f>
        <v>9791159287527</v>
      </c>
      <c r="AV2239" t="str">
        <f>T("판타지 웹소설 &gt; 정통 판타지")</f>
        <v>판타지 웹소설 &gt; 정통 판타지</v>
      </c>
    </row>
    <row r="2240" spans="1:48" x14ac:dyDescent="0.4">
      <c r="A2240">
        <v>1525000158</v>
      </c>
      <c r="B2240">
        <v>1525000167</v>
      </c>
      <c r="C2240" t="str">
        <f>T("[e북]아나크레온 11권")</f>
        <v>[e북]아나크레온 11권</v>
      </c>
      <c r="D2240" t="str">
        <f>T("11")</f>
        <v>11</v>
      </c>
      <c r="E2240" t="str">
        <f>T("김정률")</f>
        <v>김정률</v>
      </c>
      <c r="H2240" t="str">
        <f>T("스토리위즈")</f>
        <v>스토리위즈</v>
      </c>
      <c r="I2240" t="str">
        <f>T("[e북]아나크레온")</f>
        <v>[e북]아나크레온</v>
      </c>
      <c r="J2240">
        <v>3200</v>
      </c>
      <c r="K2240">
        <v>0</v>
      </c>
      <c r="L2240">
        <v>0</v>
      </c>
      <c r="M2240">
        <v>0</v>
      </c>
      <c r="N2240">
        <v>1800</v>
      </c>
      <c r="O2240">
        <v>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1800</v>
      </c>
      <c r="AH2240">
        <v>2</v>
      </c>
      <c r="AI2240">
        <v>0</v>
      </c>
      <c r="AJ2240">
        <v>0</v>
      </c>
      <c r="AK2240">
        <v>1800</v>
      </c>
      <c r="AL2240">
        <v>0</v>
      </c>
      <c r="AM2240">
        <v>0</v>
      </c>
      <c r="AN2240">
        <v>0</v>
      </c>
      <c r="AO2240">
        <v>0</v>
      </c>
      <c r="AP2240" s="2">
        <v>1260</v>
      </c>
      <c r="AV2240" t="str">
        <f>T("판타지 e북 &gt; 퓨전 판타지")</f>
        <v>판타지 e북 &gt; 퓨전 판타지</v>
      </c>
    </row>
    <row r="2241" spans="1:48" x14ac:dyDescent="0.4">
      <c r="A2241">
        <v>1525012202</v>
      </c>
      <c r="B2241">
        <v>1525012201</v>
      </c>
      <c r="C2241" t="str">
        <f>T("이세계 최강 군바리 2화")</f>
        <v>이세계 최강 군바리 2화</v>
      </c>
      <c r="D2241" t="str">
        <f>T("2")</f>
        <v>2</v>
      </c>
      <c r="E2241" t="str">
        <f>T("협행마")</f>
        <v>협행마</v>
      </c>
      <c r="H2241" t="str">
        <f>T("에필로그")</f>
        <v>에필로그</v>
      </c>
      <c r="I2241" t="str">
        <f>T("이세계 최강 군바리")</f>
        <v>이세계 최강 군바리</v>
      </c>
      <c r="J2241">
        <v>0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 s="2">
        <v>0</v>
      </c>
      <c r="AT2241" t="str">
        <f>T("9791164480159")</f>
        <v>9791164480159</v>
      </c>
      <c r="AV2241" t="str">
        <f>T("판타지 웹소설 &gt; 퓨전 판타지")</f>
        <v>판타지 웹소설 &gt; 퓨전 판타지</v>
      </c>
    </row>
    <row r="2242" spans="1:48" x14ac:dyDescent="0.4">
      <c r="A2242">
        <v>1525001317</v>
      </c>
      <c r="B2242">
        <v>1525001331</v>
      </c>
      <c r="C2242" t="str">
        <f>T("[e북]완전판 | 스트라이커 15권 (완결)")</f>
        <v>[e북]완전판 | 스트라이커 15권 (완결)</v>
      </c>
      <c r="D2242" t="str">
        <f>T("15")</f>
        <v>15</v>
      </c>
      <c r="E2242" t="str">
        <f>T("독고진")</f>
        <v>독고진</v>
      </c>
      <c r="H2242" t="str">
        <f>T("스토리위즈")</f>
        <v>스토리위즈</v>
      </c>
      <c r="I2242" t="str">
        <f>T("[e북]완전판 | 스트라이커")</f>
        <v>[e북]완전판 | 스트라이커</v>
      </c>
      <c r="J2242">
        <v>3200</v>
      </c>
      <c r="K2242">
        <v>0</v>
      </c>
      <c r="L2242">
        <v>0</v>
      </c>
      <c r="M2242">
        <v>0</v>
      </c>
      <c r="N2242">
        <v>2700</v>
      </c>
      <c r="O2242">
        <v>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2700</v>
      </c>
      <c r="AH2242">
        <v>3</v>
      </c>
      <c r="AI2242">
        <v>0</v>
      </c>
      <c r="AJ2242">
        <v>0</v>
      </c>
      <c r="AK2242">
        <v>2700</v>
      </c>
      <c r="AL2242">
        <v>0</v>
      </c>
      <c r="AM2242">
        <v>0</v>
      </c>
      <c r="AN2242">
        <v>0</v>
      </c>
      <c r="AO2242">
        <v>0</v>
      </c>
      <c r="AP2242" s="2">
        <v>1890</v>
      </c>
      <c r="AR2242" t="str">
        <f>T("9791159282973")</f>
        <v>9791159282973</v>
      </c>
      <c r="AT2242" t="str">
        <f>T("9791159282973")</f>
        <v>9791159282973</v>
      </c>
      <c r="AV2242" t="str">
        <f>T("판타지 e북 &gt; 스포츠물")</f>
        <v>판타지 e북 &gt; 스포츠물</v>
      </c>
    </row>
    <row r="2243" spans="1:48" x14ac:dyDescent="0.4">
      <c r="A2243">
        <v>1525004989</v>
      </c>
      <c r="B2243">
        <v>1525005514</v>
      </c>
      <c r="C2243" t="str">
        <f>T("신룡전설 25화")</f>
        <v>신룡전설 25화</v>
      </c>
      <c r="D2243" t="str">
        <f>T("25")</f>
        <v>25</v>
      </c>
      <c r="E2243" t="str">
        <f>T("가람검")</f>
        <v>가람검</v>
      </c>
      <c r="H2243" t="str">
        <f>T("스토리위즈")</f>
        <v>스토리위즈</v>
      </c>
      <c r="I2243" t="str">
        <f>T("신룡전설")</f>
        <v>신룡전설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 s="2">
        <v>0</v>
      </c>
      <c r="AT2243" t="str">
        <f>T("9791159283505")</f>
        <v>9791159283505</v>
      </c>
      <c r="AV2243" t="str">
        <f>T("판타지 웹소설 &gt; 무협 소설")</f>
        <v>판타지 웹소설 &gt; 무협 소설</v>
      </c>
    </row>
    <row r="2244" spans="1:48" x14ac:dyDescent="0.4">
      <c r="A2244">
        <v>1525010898</v>
      </c>
      <c r="B2244">
        <v>1525010874</v>
      </c>
      <c r="C2244" t="str">
        <f>T("[e북]용병수칙 9권 (완결)")</f>
        <v>[e북]용병수칙 9권 (완결)</v>
      </c>
      <c r="D2244" t="str">
        <f>T("9")</f>
        <v>9</v>
      </c>
      <c r="E2244" t="str">
        <f>T("협행마")</f>
        <v>협행마</v>
      </c>
      <c r="H2244" t="str">
        <f>T("에필로그")</f>
        <v>에필로그</v>
      </c>
      <c r="I2244" t="str">
        <f>T("[e북]용병수칙")</f>
        <v>[e북]용병수칙</v>
      </c>
      <c r="J2244">
        <v>2500</v>
      </c>
      <c r="K2244">
        <v>0</v>
      </c>
      <c r="L2244">
        <v>0</v>
      </c>
      <c r="M2244">
        <v>0</v>
      </c>
      <c r="N2244">
        <v>810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810</v>
      </c>
      <c r="AH2244">
        <v>1</v>
      </c>
      <c r="AI2244">
        <v>0</v>
      </c>
      <c r="AJ2244">
        <v>0</v>
      </c>
      <c r="AK2244">
        <v>810</v>
      </c>
      <c r="AL2244">
        <v>0</v>
      </c>
      <c r="AM2244">
        <v>0</v>
      </c>
      <c r="AN2244">
        <v>0</v>
      </c>
      <c r="AO2244">
        <v>0</v>
      </c>
      <c r="AP2244" s="2">
        <v>567</v>
      </c>
      <c r="AT2244" t="str">
        <f>T("9791166000140")</f>
        <v>9791166000140</v>
      </c>
      <c r="AV2244" t="str">
        <f>T("판타지 e북 &gt; 퓨전 판타지")</f>
        <v>판타지 e북 &gt; 퓨전 판타지</v>
      </c>
    </row>
    <row r="2245" spans="1:48" x14ac:dyDescent="0.4">
      <c r="A2245">
        <v>1525001908</v>
      </c>
      <c r="B2245">
        <v>1525001908</v>
      </c>
      <c r="C2245" t="str">
        <f>T("[e북]상왕 진우몽 1권")</f>
        <v>[e북]상왕 진우몽 1권</v>
      </c>
      <c r="D2245" t="str">
        <f>T("1")</f>
        <v>1</v>
      </c>
      <c r="E2245" t="str">
        <f>T("권용찬")</f>
        <v>권용찬</v>
      </c>
      <c r="H2245" t="str">
        <f t="shared" ref="H2245:H2254" si="218">T("스토리위즈")</f>
        <v>스토리위즈</v>
      </c>
      <c r="I2245" t="str">
        <f>T("[e북]상왕 진우몽")</f>
        <v>[e북]상왕 진우몽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3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 s="2">
        <v>0</v>
      </c>
      <c r="AT2245" t="str">
        <f>T("9791159285837")</f>
        <v>9791159285837</v>
      </c>
      <c r="AV2245" t="str">
        <f>T("판타지 e북 &gt; 신무협")</f>
        <v>판타지 e북 &gt; 신무협</v>
      </c>
    </row>
    <row r="2246" spans="1:48" x14ac:dyDescent="0.4">
      <c r="A2246">
        <v>1525004989</v>
      </c>
      <c r="B2246">
        <v>1525004989</v>
      </c>
      <c r="C2246" t="str">
        <f>T("신룡전설 1화")</f>
        <v>신룡전설 1화</v>
      </c>
      <c r="D2246" t="str">
        <f>T("1")</f>
        <v>1</v>
      </c>
      <c r="E2246" t="str">
        <f>T("가람검")</f>
        <v>가람검</v>
      </c>
      <c r="H2246" t="str">
        <f t="shared" si="218"/>
        <v>스토리위즈</v>
      </c>
      <c r="I2246" t="str">
        <f>T("신룡전설")</f>
        <v>신룡전설</v>
      </c>
      <c r="J2246">
        <v>0</v>
      </c>
      <c r="K2246">
        <v>0</v>
      </c>
      <c r="L2246">
        <v>0</v>
      </c>
      <c r="M2246">
        <v>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 s="2">
        <v>0</v>
      </c>
      <c r="AT2246" t="str">
        <f>T("9791159283505")</f>
        <v>9791159283505</v>
      </c>
      <c r="AV2246" t="str">
        <f>T("판타지 웹소설 &gt; 무협 소설")</f>
        <v>판타지 웹소설 &gt; 무협 소설</v>
      </c>
    </row>
    <row r="2247" spans="1:48" x14ac:dyDescent="0.4">
      <c r="A2247">
        <v>1525002409</v>
      </c>
      <c r="B2247">
        <v>1525002425</v>
      </c>
      <c r="C2247" t="str">
        <f>T("스포트라이트 17화")</f>
        <v>스포트라이트 17화</v>
      </c>
      <c r="D2247" t="str">
        <f>T("17")</f>
        <v>17</v>
      </c>
      <c r="E2247" t="str">
        <f>T("전혁")</f>
        <v>전혁</v>
      </c>
      <c r="H2247" t="str">
        <f t="shared" si="218"/>
        <v>스토리위즈</v>
      </c>
      <c r="I2247" t="str">
        <f>T("스포트라이트")</f>
        <v>스포트라이트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 s="2">
        <v>0</v>
      </c>
      <c r="AT2247" t="str">
        <f>T("9791159286841")</f>
        <v>9791159286841</v>
      </c>
      <c r="AV2247" t="str">
        <f>T("판타지 웹소설 &gt; 현대 판타지")</f>
        <v>판타지 웹소설 &gt; 현대 판타지</v>
      </c>
    </row>
    <row r="2248" spans="1:48" x14ac:dyDescent="0.4">
      <c r="A2248">
        <v>1525001499</v>
      </c>
      <c r="B2248">
        <v>1525001503</v>
      </c>
      <c r="C2248" t="str">
        <f>T("[e북]파계 5권")</f>
        <v>[e북]파계 5권</v>
      </c>
      <c r="D2248" t="str">
        <f>T("5")</f>
        <v>5</v>
      </c>
      <c r="E2248" t="str">
        <f>T("권용찬")</f>
        <v>권용찬</v>
      </c>
      <c r="H2248" t="str">
        <f t="shared" si="218"/>
        <v>스토리위즈</v>
      </c>
      <c r="I2248" t="str">
        <f>T("[e북]파계")</f>
        <v>[e북]파계</v>
      </c>
      <c r="J2248">
        <v>3200</v>
      </c>
      <c r="K2248">
        <v>0</v>
      </c>
      <c r="L2248">
        <v>0</v>
      </c>
      <c r="M2248">
        <v>0</v>
      </c>
      <c r="N2248">
        <v>900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900</v>
      </c>
      <c r="AH2248">
        <v>1</v>
      </c>
      <c r="AI2248">
        <v>0</v>
      </c>
      <c r="AJ2248">
        <v>0</v>
      </c>
      <c r="AK2248">
        <v>900</v>
      </c>
      <c r="AL2248">
        <v>0</v>
      </c>
      <c r="AM2248">
        <v>0</v>
      </c>
      <c r="AN2248">
        <v>0</v>
      </c>
      <c r="AO2248">
        <v>0</v>
      </c>
      <c r="AP2248" s="2">
        <v>630</v>
      </c>
      <c r="AT2248" t="str">
        <f>T("9791159282775")</f>
        <v>9791159282775</v>
      </c>
      <c r="AV2248" t="str">
        <f>T("판타지 e북 &gt; 신무협")</f>
        <v>판타지 e북 &gt; 신무협</v>
      </c>
    </row>
    <row r="2249" spans="1:48" x14ac:dyDescent="0.4">
      <c r="A2249">
        <v>1525000055</v>
      </c>
      <c r="B2249">
        <v>1525000062</v>
      </c>
      <c r="C2249" t="str">
        <f>T("[e북]21세기 대마법사 7권")</f>
        <v>[e북]21세기 대마법사 7권</v>
      </c>
      <c r="D2249" t="str">
        <f>T("7")</f>
        <v>7</v>
      </c>
      <c r="E2249" t="str">
        <f>T("김광수")</f>
        <v>김광수</v>
      </c>
      <c r="H2249" t="str">
        <f t="shared" si="218"/>
        <v>스토리위즈</v>
      </c>
      <c r="I2249" t="str">
        <f>T("[e북]21세기 대마법사")</f>
        <v>[e북]21세기 대마법사</v>
      </c>
      <c r="J2249">
        <v>3200</v>
      </c>
      <c r="K2249">
        <v>0</v>
      </c>
      <c r="L2249">
        <v>0</v>
      </c>
      <c r="M2249">
        <v>0</v>
      </c>
      <c r="N2249">
        <v>9900</v>
      </c>
      <c r="O2249">
        <v>11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9900</v>
      </c>
      <c r="AH2249">
        <v>11</v>
      </c>
      <c r="AI2249">
        <v>0</v>
      </c>
      <c r="AJ2249">
        <v>0</v>
      </c>
      <c r="AK2249">
        <v>9000</v>
      </c>
      <c r="AL2249">
        <v>0</v>
      </c>
      <c r="AM2249">
        <v>900</v>
      </c>
      <c r="AN2249">
        <v>0</v>
      </c>
      <c r="AO2249">
        <v>0</v>
      </c>
      <c r="AP2249" s="2">
        <v>6930</v>
      </c>
      <c r="AT2249" t="str">
        <f>T("9788925117850")</f>
        <v>9788925117850</v>
      </c>
      <c r="AV2249" t="str">
        <f>T("판타지 e북 &gt; 퓨전 판타지")</f>
        <v>판타지 e북 &gt; 퓨전 판타지</v>
      </c>
    </row>
    <row r="2250" spans="1:48" x14ac:dyDescent="0.4">
      <c r="A2250">
        <v>1525000924</v>
      </c>
      <c r="B2250">
        <v>1525000929</v>
      </c>
      <c r="C2250" t="str">
        <f>T("스피릿 소드 6화")</f>
        <v>스피릿 소드 6화</v>
      </c>
      <c r="D2250" t="str">
        <f>T("6")</f>
        <v>6</v>
      </c>
      <c r="E2250" t="str">
        <f>T("김정률")</f>
        <v>김정률</v>
      </c>
      <c r="H2250" t="str">
        <f t="shared" si="218"/>
        <v>스토리위즈</v>
      </c>
      <c r="I2250" t="str">
        <f>T("스피릿 소드")</f>
        <v>스피릿 소드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 s="2">
        <v>0</v>
      </c>
      <c r="AR2250" t="str">
        <f>T("9791159282713")</f>
        <v>9791159282713</v>
      </c>
      <c r="AT2250" t="str">
        <f>T("9791159282713")</f>
        <v>9791159282713</v>
      </c>
      <c r="AV2250" t="str">
        <f>T("판타지 웹소설 &gt; 정통 판타지")</f>
        <v>판타지 웹소설 &gt; 정통 판타지</v>
      </c>
    </row>
    <row r="2251" spans="1:48" x14ac:dyDescent="0.4">
      <c r="A2251">
        <v>1525004030</v>
      </c>
      <c r="B2251">
        <v>1525004042</v>
      </c>
      <c r="C2251" t="str">
        <f>T("회귀의 전설 13화")</f>
        <v>회귀의 전설 13화</v>
      </c>
      <c r="D2251" t="str">
        <f>T("13")</f>
        <v>13</v>
      </c>
      <c r="E2251" t="str">
        <f>T("김광수")</f>
        <v>김광수</v>
      </c>
      <c r="H2251" t="str">
        <f t="shared" si="218"/>
        <v>스토리위즈</v>
      </c>
      <c r="I2251" t="str">
        <f>T("회귀의 전설")</f>
        <v>회귀의 전설</v>
      </c>
      <c r="J2251">
        <v>0</v>
      </c>
      <c r="K2251">
        <v>0</v>
      </c>
      <c r="L2251">
        <v>0</v>
      </c>
      <c r="M2251">
        <v>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3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s="2">
        <v>0</v>
      </c>
      <c r="AT2251" t="str">
        <f>T("9788997946006")</f>
        <v>9788997946006</v>
      </c>
      <c r="AV2251" t="str">
        <f>T("판타지 웹소설 &gt; 현대 판타지")</f>
        <v>판타지 웹소설 &gt; 현대 판타지</v>
      </c>
    </row>
    <row r="2252" spans="1:48" x14ac:dyDescent="0.4">
      <c r="A2252">
        <v>1525002692</v>
      </c>
      <c r="B2252">
        <v>1525002693</v>
      </c>
      <c r="C2252" t="str">
        <f>T("신규무사 2화")</f>
        <v>신규무사 2화</v>
      </c>
      <c r="D2252" t="str">
        <f>T("2")</f>
        <v>2</v>
      </c>
      <c r="E2252" t="str">
        <f>T("권용찬")</f>
        <v>권용찬</v>
      </c>
      <c r="H2252" t="str">
        <f t="shared" si="218"/>
        <v>스토리위즈</v>
      </c>
      <c r="I2252" t="str">
        <f>T("신규무사")</f>
        <v>신규무사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 s="2">
        <v>0</v>
      </c>
      <c r="AT2252" t="str">
        <f>T("9791159287480")</f>
        <v>9791159287480</v>
      </c>
      <c r="AV2252" t="str">
        <f>T("판타지 웹소설 &gt; 무협 소설")</f>
        <v>판타지 웹소설 &gt; 무협 소설</v>
      </c>
    </row>
    <row r="2253" spans="1:48" x14ac:dyDescent="0.4">
      <c r="A2253">
        <v>1525004989</v>
      </c>
      <c r="B2253">
        <v>1525005507</v>
      </c>
      <c r="C2253" t="str">
        <f>T("신룡전설 18화")</f>
        <v>신룡전설 18화</v>
      </c>
      <c r="D2253" t="str">
        <f>T("18")</f>
        <v>18</v>
      </c>
      <c r="E2253" t="str">
        <f>T("가람검")</f>
        <v>가람검</v>
      </c>
      <c r="H2253" t="str">
        <f t="shared" si="218"/>
        <v>스토리위즈</v>
      </c>
      <c r="I2253" t="str">
        <f>T("신룡전설")</f>
        <v>신룡전설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 s="2">
        <v>0</v>
      </c>
      <c r="AT2253" t="str">
        <f>T("9791159283505")</f>
        <v>9791159283505</v>
      </c>
      <c r="AV2253" t="str">
        <f>T("판타지 웹소설 &gt; 무협 소설")</f>
        <v>판타지 웹소설 &gt; 무협 소설</v>
      </c>
    </row>
    <row r="2254" spans="1:48" x14ac:dyDescent="0.4">
      <c r="A2254">
        <v>1525001836</v>
      </c>
      <c r="B2254">
        <v>1525001840</v>
      </c>
      <c r="C2254" t="str">
        <f>T("[e북]완전판ㅣ스피릿 소드 5권")</f>
        <v>[e북]완전판ㅣ스피릿 소드 5권</v>
      </c>
      <c r="D2254" t="str">
        <f>T("5")</f>
        <v>5</v>
      </c>
      <c r="E2254" t="str">
        <f>T("김정률")</f>
        <v>김정률</v>
      </c>
      <c r="H2254" t="str">
        <f t="shared" si="218"/>
        <v>스토리위즈</v>
      </c>
      <c r="I2254" t="str">
        <f>T("[e북]완전판ㅣ스피릿 소드")</f>
        <v>[e북]완전판ㅣ스피릿 소드</v>
      </c>
      <c r="J2254">
        <v>3200</v>
      </c>
      <c r="K2254">
        <v>0</v>
      </c>
      <c r="L2254">
        <v>0</v>
      </c>
      <c r="M2254">
        <v>0</v>
      </c>
      <c r="N2254">
        <v>6300</v>
      </c>
      <c r="O2254">
        <v>7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6300</v>
      </c>
      <c r="AH2254">
        <v>7</v>
      </c>
      <c r="AI2254">
        <v>0</v>
      </c>
      <c r="AJ2254">
        <v>0</v>
      </c>
      <c r="AK2254">
        <v>4500</v>
      </c>
      <c r="AL2254">
        <v>0</v>
      </c>
      <c r="AM2254">
        <v>1800</v>
      </c>
      <c r="AN2254">
        <v>0</v>
      </c>
      <c r="AO2254">
        <v>0</v>
      </c>
      <c r="AP2254" s="2">
        <v>4410</v>
      </c>
      <c r="AT2254" t="str">
        <f>T("9791159285264")</f>
        <v>9791159285264</v>
      </c>
      <c r="AV2254" t="str">
        <f>T("판타지 e북 &gt; 정통 판타지")</f>
        <v>판타지 e북 &gt; 정통 판타지</v>
      </c>
    </row>
    <row r="2255" spans="1:48" x14ac:dyDescent="0.4">
      <c r="A2255">
        <v>1525013418</v>
      </c>
      <c r="B2255">
        <v>1525013424</v>
      </c>
      <c r="C2255" t="str">
        <f>T("[e북]헌터 킹 7권")</f>
        <v>[e북]헌터 킹 7권</v>
      </c>
      <c r="D2255" t="str">
        <f>T("7")</f>
        <v>7</v>
      </c>
      <c r="E2255" t="str">
        <f>T("백범(白帆)")</f>
        <v>백범(白帆)</v>
      </c>
      <c r="H2255" t="str">
        <f>T("에필로그")</f>
        <v>에필로그</v>
      </c>
      <c r="I2255" t="str">
        <f>T("[e북]헌터 킹")</f>
        <v>[e북]헌터 킹</v>
      </c>
      <c r="J2255">
        <v>2000</v>
      </c>
      <c r="K2255">
        <v>0</v>
      </c>
      <c r="L2255">
        <v>0</v>
      </c>
      <c r="M2255">
        <v>0</v>
      </c>
      <c r="N2255">
        <v>900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900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900</v>
      </c>
      <c r="AN2255">
        <v>0</v>
      </c>
      <c r="AO2255">
        <v>0</v>
      </c>
      <c r="AP2255" s="2">
        <v>630</v>
      </c>
      <c r="AR2255" t="str">
        <f>T("0000000000000")</f>
        <v>0000000000000</v>
      </c>
      <c r="AT2255" t="str">
        <f>T("9791164480227")</f>
        <v>9791164480227</v>
      </c>
      <c r="AV2255" t="str">
        <f>T("판타지 e북 &gt; 퓨전 판타지")</f>
        <v>판타지 e북 &gt; 퓨전 판타지</v>
      </c>
    </row>
    <row r="2256" spans="1:48" x14ac:dyDescent="0.4">
      <c r="A2256">
        <v>1525000209</v>
      </c>
      <c r="B2256">
        <v>1525000217</v>
      </c>
      <c r="C2256" t="str">
        <f>T("[e북]독종무쌍 9권")</f>
        <v>[e북]독종무쌍 9권</v>
      </c>
      <c r="D2256" t="str">
        <f>T("9")</f>
        <v>9</v>
      </c>
      <c r="E2256" t="str">
        <f>T("전혁")</f>
        <v>전혁</v>
      </c>
      <c r="H2256" t="str">
        <f>T("스토리위즈")</f>
        <v>스토리위즈</v>
      </c>
      <c r="I2256" t="str">
        <f>T("[e북]독종무쌍")</f>
        <v>[e북]독종무쌍</v>
      </c>
      <c r="J2256">
        <v>3200</v>
      </c>
      <c r="K2256">
        <v>0</v>
      </c>
      <c r="L2256">
        <v>0</v>
      </c>
      <c r="M2256">
        <v>0</v>
      </c>
      <c r="N2256">
        <v>1800</v>
      </c>
      <c r="O2256">
        <v>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1800</v>
      </c>
      <c r="AH2256">
        <v>2</v>
      </c>
      <c r="AI2256">
        <v>0</v>
      </c>
      <c r="AJ2256">
        <v>0</v>
      </c>
      <c r="AK2256">
        <v>900</v>
      </c>
      <c r="AL2256">
        <v>0</v>
      </c>
      <c r="AM2256">
        <v>900</v>
      </c>
      <c r="AN2256">
        <v>0</v>
      </c>
      <c r="AO2256">
        <v>0</v>
      </c>
      <c r="AP2256" s="2">
        <v>1260</v>
      </c>
      <c r="AT2256" t="str">
        <f>T("9791186520017")</f>
        <v>9791186520017</v>
      </c>
      <c r="AV2256" t="str">
        <f>T("판타지 e북 &gt; 신무협")</f>
        <v>판타지 e북 &gt; 신무협</v>
      </c>
    </row>
    <row r="2257" spans="1:48" x14ac:dyDescent="0.4">
      <c r="A2257">
        <v>1525002409</v>
      </c>
      <c r="B2257">
        <v>1525002418</v>
      </c>
      <c r="C2257" t="str">
        <f>T("스포트라이트 10화")</f>
        <v>스포트라이트 10화</v>
      </c>
      <c r="D2257" t="str">
        <f>T("10")</f>
        <v>10</v>
      </c>
      <c r="E2257" t="str">
        <f>T("전혁")</f>
        <v>전혁</v>
      </c>
      <c r="H2257" t="str">
        <f>T("스토리위즈")</f>
        <v>스토리위즈</v>
      </c>
      <c r="I2257" t="str">
        <f>T("스포트라이트")</f>
        <v>스포트라이트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 s="2">
        <v>0</v>
      </c>
      <c r="AT2257" t="str">
        <f>T("9791159286841")</f>
        <v>9791159286841</v>
      </c>
      <c r="AV2257" t="str">
        <f>T("판타지 웹소설 &gt; 현대 판타지")</f>
        <v>판타지 웹소설 &gt; 현대 판타지</v>
      </c>
    </row>
    <row r="2258" spans="1:48" x14ac:dyDescent="0.4">
      <c r="A2258">
        <v>1525008276</v>
      </c>
      <c r="B2258">
        <v>1525008276</v>
      </c>
      <c r="C2258" t="str">
        <f>T("달보드레 1화")</f>
        <v>달보드레 1화</v>
      </c>
      <c r="D2258" t="str">
        <f>T("1")</f>
        <v>1</v>
      </c>
      <c r="E2258" t="str">
        <f>T("시아")</f>
        <v>시아</v>
      </c>
      <c r="H2258" t="str">
        <f>T("비엘스토리")</f>
        <v>비엘스토리</v>
      </c>
      <c r="I2258" t="str">
        <f>T("달보드레")</f>
        <v>달보드레</v>
      </c>
      <c r="J2258">
        <v>0</v>
      </c>
      <c r="K2258">
        <v>0</v>
      </c>
      <c r="L2258">
        <v>0</v>
      </c>
      <c r="M2258">
        <v>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 s="2">
        <v>0</v>
      </c>
      <c r="AT2258" t="str">
        <f>T("9791164899715")</f>
        <v>9791164899715</v>
      </c>
      <c r="AU2258" t="str">
        <f>T("1319229892")</f>
        <v>1319229892</v>
      </c>
      <c r="AV2258" t="str">
        <f>T("BL 웹소설 &gt; 현대물")</f>
        <v>BL 웹소설 &gt; 현대물</v>
      </c>
    </row>
    <row r="2259" spans="1:48" x14ac:dyDescent="0.4">
      <c r="A2259">
        <v>1525001334</v>
      </c>
      <c r="B2259">
        <v>1525001358</v>
      </c>
      <c r="C2259" t="str">
        <f>T("게이트 헌터 25화")</f>
        <v>게이트 헌터 25화</v>
      </c>
      <c r="D2259" t="str">
        <f>T("25")</f>
        <v>25</v>
      </c>
      <c r="E2259" t="str">
        <f>T("권용찬")</f>
        <v>권용찬</v>
      </c>
      <c r="H2259" t="str">
        <f>T("스토리위즈")</f>
        <v>스토리위즈</v>
      </c>
      <c r="I2259" t="str">
        <f>T("게이트 헌터")</f>
        <v>게이트 헌터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 s="2">
        <v>0</v>
      </c>
      <c r="AR2259" t="str">
        <f>T("9791159283291")</f>
        <v>9791159283291</v>
      </c>
      <c r="AT2259" t="str">
        <f>T("9791159283291")</f>
        <v>9791159283291</v>
      </c>
      <c r="AV2259" t="str">
        <f>T("판타지 웹소설 &gt; 현대 판타지")</f>
        <v>판타지 웹소설 &gt; 현대 판타지</v>
      </c>
    </row>
    <row r="2260" spans="1:48" x14ac:dyDescent="0.4">
      <c r="A2260">
        <v>1525010944</v>
      </c>
      <c r="B2260">
        <v>1525010927</v>
      </c>
      <c r="C2260" t="str">
        <f>T("[e북]법보다 주먹 18권")</f>
        <v>[e북]법보다 주먹 18권</v>
      </c>
      <c r="D2260" t="str">
        <f>T("18")</f>
        <v>18</v>
      </c>
      <c r="E2260" t="str">
        <f>T("백범(白帆)")</f>
        <v>백범(白帆)</v>
      </c>
      <c r="H2260" t="str">
        <f>T("에필로그")</f>
        <v>에필로그</v>
      </c>
      <c r="I2260" t="str">
        <f>T("[e북]법보다 주먹")</f>
        <v>[e북]법보다 주먹</v>
      </c>
      <c r="J2260">
        <v>2000</v>
      </c>
      <c r="K2260">
        <v>0</v>
      </c>
      <c r="L2260">
        <v>0</v>
      </c>
      <c r="M2260">
        <v>0</v>
      </c>
      <c r="N2260">
        <v>4500</v>
      </c>
      <c r="O2260">
        <v>5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4500</v>
      </c>
      <c r="AH2260">
        <v>5</v>
      </c>
      <c r="AI2260">
        <v>0</v>
      </c>
      <c r="AJ2260">
        <v>0</v>
      </c>
      <c r="AK2260">
        <v>4500</v>
      </c>
      <c r="AL2260">
        <v>0</v>
      </c>
      <c r="AM2260">
        <v>0</v>
      </c>
      <c r="AN2260">
        <v>0</v>
      </c>
      <c r="AO2260">
        <v>0</v>
      </c>
      <c r="AP2260" s="2">
        <v>3150</v>
      </c>
      <c r="AT2260" t="str">
        <f>T("9791164480142")</f>
        <v>9791164480142</v>
      </c>
      <c r="AV2260" t="str">
        <f>T("판타지 e북 &gt; 현대 판타지")</f>
        <v>판타지 e북 &gt; 현대 판타지</v>
      </c>
    </row>
    <row r="2261" spans="1:48" x14ac:dyDescent="0.4">
      <c r="A2261">
        <v>1525000906</v>
      </c>
      <c r="B2261">
        <v>1525000914</v>
      </c>
      <c r="C2261" t="str">
        <f>T("[e북]완전판 | 레이드 만물상점 9권 (완결)")</f>
        <v>[e북]완전판 | 레이드 만물상점 9권 (완결)</v>
      </c>
      <c r="D2261" t="str">
        <f>T("9")</f>
        <v>9</v>
      </c>
      <c r="E2261" t="str">
        <f>T("전혁")</f>
        <v>전혁</v>
      </c>
      <c r="H2261" t="str">
        <f>T("스토리위즈")</f>
        <v>스토리위즈</v>
      </c>
      <c r="I2261" t="str">
        <f>T("[e북]완전판 | 레이드 만물상점")</f>
        <v>[e북]완전판 | 레이드 만물상점</v>
      </c>
      <c r="J2261">
        <v>3200</v>
      </c>
      <c r="K2261">
        <v>0</v>
      </c>
      <c r="L2261">
        <v>0</v>
      </c>
      <c r="M2261">
        <v>0</v>
      </c>
      <c r="N2261">
        <v>4500</v>
      </c>
      <c r="O2261">
        <v>5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4500</v>
      </c>
      <c r="AH2261">
        <v>5</v>
      </c>
      <c r="AI2261">
        <v>0</v>
      </c>
      <c r="AJ2261">
        <v>0</v>
      </c>
      <c r="AK2261">
        <v>3600</v>
      </c>
      <c r="AL2261">
        <v>0</v>
      </c>
      <c r="AM2261">
        <v>900</v>
      </c>
      <c r="AN2261">
        <v>0</v>
      </c>
      <c r="AO2261">
        <v>0</v>
      </c>
      <c r="AP2261" s="2">
        <v>3150</v>
      </c>
      <c r="AT2261" t="str">
        <f>T("9791159282690")</f>
        <v>9791159282690</v>
      </c>
      <c r="AV2261" t="str">
        <f>T("판타지 e북 &gt; 현대 판타지")</f>
        <v>판타지 e북 &gt; 현대 판타지</v>
      </c>
    </row>
    <row r="2262" spans="1:48" x14ac:dyDescent="0.4">
      <c r="A2262">
        <v>1525004030</v>
      </c>
      <c r="B2262">
        <v>1525004035</v>
      </c>
      <c r="C2262" t="str">
        <f>T("회귀의 전설 6화")</f>
        <v>회귀의 전설 6화</v>
      </c>
      <c r="D2262" t="str">
        <f>T("6")</f>
        <v>6</v>
      </c>
      <c r="E2262" t="str">
        <f>T("김광수")</f>
        <v>김광수</v>
      </c>
      <c r="H2262" t="str">
        <f>T("스토리위즈")</f>
        <v>스토리위즈</v>
      </c>
      <c r="I2262" t="str">
        <f>T("회귀의 전설")</f>
        <v>회귀의 전설</v>
      </c>
      <c r="J2262">
        <v>0</v>
      </c>
      <c r="K2262">
        <v>0</v>
      </c>
      <c r="L2262">
        <v>0</v>
      </c>
      <c r="M2262">
        <v>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3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 s="2">
        <v>0</v>
      </c>
      <c r="AT2262" t="str">
        <f>T("9788997946006")</f>
        <v>9788997946006</v>
      </c>
      <c r="AV2262" t="str">
        <f>T("판타지 웹소설 &gt; 현대 판타지")</f>
        <v>판타지 웹소설 &gt; 현대 판타지</v>
      </c>
    </row>
    <row r="2263" spans="1:48" x14ac:dyDescent="0.4">
      <c r="A2263">
        <v>1525002125</v>
      </c>
      <c r="B2263">
        <v>1525002136</v>
      </c>
      <c r="C2263" t="str">
        <f>T("신을 죽이러 갑니다 12화")</f>
        <v>신을 죽이러 갑니다 12화</v>
      </c>
      <c r="D2263" t="str">
        <f>T("12")</f>
        <v>12</v>
      </c>
      <c r="E2263" t="str">
        <f>T("독고진")</f>
        <v>독고진</v>
      </c>
      <c r="H2263" t="str">
        <f>T("스토리위즈")</f>
        <v>스토리위즈</v>
      </c>
      <c r="I2263" t="str">
        <f>T("신을 죽이러 갑니다")</f>
        <v>신을 죽이러 갑니다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 s="2">
        <v>0</v>
      </c>
      <c r="AT2263" t="str">
        <f>T("9791159285806")</f>
        <v>9791159285806</v>
      </c>
      <c r="AV2263" t="str">
        <f>T("판타지 웹소설 &gt; 퓨전 판타지")</f>
        <v>판타지 웹소설 &gt; 퓨전 판타지</v>
      </c>
    </row>
    <row r="2264" spans="1:48" x14ac:dyDescent="0.4">
      <c r="A2264">
        <v>1525000569</v>
      </c>
      <c r="B2264">
        <v>1525000581</v>
      </c>
      <c r="C2264" t="str">
        <f>T("스트라이커 13화")</f>
        <v>스트라이커 13화</v>
      </c>
      <c r="D2264" t="str">
        <f>T("13")</f>
        <v>13</v>
      </c>
      <c r="E2264" t="str">
        <f>T("독고진")</f>
        <v>독고진</v>
      </c>
      <c r="H2264" t="str">
        <f>T("스토리위즈")</f>
        <v>스토리위즈</v>
      </c>
      <c r="I2264" t="str">
        <f>T("스트라이커")</f>
        <v>스트라이커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 s="2">
        <v>0</v>
      </c>
      <c r="AT2264" t="str">
        <f>T("9791170151678")</f>
        <v>9791170151678</v>
      </c>
      <c r="AV2264" t="str">
        <f>T("판타지 웹소설 &gt; 현대 판타지")</f>
        <v>판타지 웹소설 &gt; 현대 판타지</v>
      </c>
    </row>
    <row r="2265" spans="1:48" x14ac:dyDescent="0.4">
      <c r="A2265">
        <v>1525013020</v>
      </c>
      <c r="B2265">
        <v>1525013036</v>
      </c>
      <c r="C2265" t="str">
        <f>T("악당의 리턴 17화")</f>
        <v>악당의 리턴 17화</v>
      </c>
      <c r="D2265" t="str">
        <f>T("17")</f>
        <v>17</v>
      </c>
      <c r="E2265" t="str">
        <f>T("백범(白帆)")</f>
        <v>백범(白帆)</v>
      </c>
      <c r="H2265" t="str">
        <f>T("에필로그")</f>
        <v>에필로그</v>
      </c>
      <c r="I2265" t="str">
        <f>T("악당의 리턴")</f>
        <v>악당의 리턴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 s="2">
        <v>0</v>
      </c>
      <c r="AT2265" t="str">
        <f>T("9791196538927")</f>
        <v>9791196538927</v>
      </c>
      <c r="AV2265" t="str">
        <f>T("판타지 웹소설 &gt; 현대 판타지")</f>
        <v>판타지 웹소설 &gt; 현대 판타지</v>
      </c>
    </row>
    <row r="2266" spans="1:48" x14ac:dyDescent="0.4">
      <c r="A2266">
        <v>1525011523</v>
      </c>
      <c r="B2266">
        <v>1525011509</v>
      </c>
      <c r="C2266" t="str">
        <f>T("남창목가 15화")</f>
        <v>남창목가 15화</v>
      </c>
      <c r="D2266" t="str">
        <f>T("15")</f>
        <v>15</v>
      </c>
      <c r="E2266" t="str">
        <f>T("최재봉")</f>
        <v>최재봉</v>
      </c>
      <c r="H2266" t="str">
        <f>T("에필로그")</f>
        <v>에필로그</v>
      </c>
      <c r="I2266" t="str">
        <f>T("남창목가")</f>
        <v>남창목가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 s="2">
        <v>0</v>
      </c>
      <c r="AT2266" t="str">
        <f>T("9791164482849")</f>
        <v>9791164482849</v>
      </c>
      <c r="AV2266" t="str">
        <f>T("판타지 웹소설 &gt; 무협 소설")</f>
        <v>판타지 웹소설 &gt; 무협 소설</v>
      </c>
    </row>
    <row r="2267" spans="1:48" x14ac:dyDescent="0.4">
      <c r="A2267">
        <v>1525002864</v>
      </c>
      <c r="B2267">
        <v>1525002867</v>
      </c>
      <c r="C2267" t="str">
        <f>T("소드마스터의 환생 4화")</f>
        <v>소드마스터의 환생 4화</v>
      </c>
      <c r="D2267" t="str">
        <f>T("4")</f>
        <v>4</v>
      </c>
      <c r="E2267" t="str">
        <f>T("파란영")</f>
        <v>파란영</v>
      </c>
      <c r="H2267" t="str">
        <f>T("스토리위즈")</f>
        <v>스토리위즈</v>
      </c>
      <c r="I2267" t="str">
        <f>T("소드마스터의 환생")</f>
        <v>소드마스터의 환생</v>
      </c>
      <c r="J2267">
        <v>0</v>
      </c>
      <c r="K2267">
        <v>0</v>
      </c>
      <c r="L2267">
        <v>0</v>
      </c>
      <c r="M2267">
        <v>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5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 s="2">
        <v>0</v>
      </c>
      <c r="AT2267" t="str">
        <f>T("9791159287527")</f>
        <v>9791159287527</v>
      </c>
      <c r="AV2267" t="str">
        <f>T("판타지 웹소설 &gt; 정통 판타지")</f>
        <v>판타지 웹소설 &gt; 정통 판타지</v>
      </c>
    </row>
    <row r="2268" spans="1:48" x14ac:dyDescent="0.4">
      <c r="A2268">
        <v>1525013344</v>
      </c>
      <c r="B2268">
        <v>1525013345</v>
      </c>
      <c r="C2268" t="str">
        <f>T("[e북]진짜 사나이 2권")</f>
        <v>[e북]진짜 사나이 2권</v>
      </c>
      <c r="D2268" t="str">
        <f>T("2")</f>
        <v>2</v>
      </c>
      <c r="E2268" t="str">
        <f>T("백범(白帆)")</f>
        <v>백범(白帆)</v>
      </c>
      <c r="H2268" t="str">
        <f>T("에필로그")</f>
        <v>에필로그</v>
      </c>
      <c r="I2268" t="str">
        <f>T("[e북]진짜 사나이")</f>
        <v>[e북]진짜 사나이</v>
      </c>
      <c r="J2268">
        <v>2000</v>
      </c>
      <c r="K2268">
        <v>0</v>
      </c>
      <c r="L2268">
        <v>0</v>
      </c>
      <c r="M2268">
        <v>0</v>
      </c>
      <c r="N2268">
        <v>2700</v>
      </c>
      <c r="O2268">
        <v>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2700</v>
      </c>
      <c r="AH2268">
        <v>3</v>
      </c>
      <c r="AI2268">
        <v>0</v>
      </c>
      <c r="AJ2268">
        <v>0</v>
      </c>
      <c r="AK2268">
        <v>2700</v>
      </c>
      <c r="AL2268">
        <v>0</v>
      </c>
      <c r="AM2268">
        <v>0</v>
      </c>
      <c r="AN2268">
        <v>0</v>
      </c>
      <c r="AO2268">
        <v>0</v>
      </c>
      <c r="AP2268" s="2">
        <v>1890</v>
      </c>
      <c r="AT2268" t="str">
        <f>T("9791164480531")</f>
        <v>9791164480531</v>
      </c>
      <c r="AV2268" t="str">
        <f>T("판타지 e북 &gt; 퓨전 판타지")</f>
        <v>판타지 e북 &gt; 퓨전 판타지</v>
      </c>
    </row>
    <row r="2269" spans="1:48" x14ac:dyDescent="0.4">
      <c r="A2269">
        <v>1525000113</v>
      </c>
      <c r="B2269">
        <v>1525000120</v>
      </c>
      <c r="C2269" t="str">
        <f>T("[e북]마왕 데이몬 8권")</f>
        <v>[e북]마왕 데이몬 8권</v>
      </c>
      <c r="D2269" t="str">
        <f>T("8")</f>
        <v>8</v>
      </c>
      <c r="E2269" t="str">
        <f>T("김정률")</f>
        <v>김정률</v>
      </c>
      <c r="H2269" t="str">
        <f>T("스토리위즈")</f>
        <v>스토리위즈</v>
      </c>
      <c r="I2269" t="str">
        <f>T("[e북]마왕 데이몬")</f>
        <v>[e북]마왕 데이몬</v>
      </c>
      <c r="J2269">
        <v>3200</v>
      </c>
      <c r="K2269">
        <v>0</v>
      </c>
      <c r="L2269">
        <v>0</v>
      </c>
      <c r="M2269">
        <v>0</v>
      </c>
      <c r="N2269">
        <v>2700</v>
      </c>
      <c r="O2269">
        <v>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2700</v>
      </c>
      <c r="AH2269">
        <v>3</v>
      </c>
      <c r="AI2269">
        <v>0</v>
      </c>
      <c r="AJ2269">
        <v>0</v>
      </c>
      <c r="AK2269">
        <v>2700</v>
      </c>
      <c r="AL2269">
        <v>0</v>
      </c>
      <c r="AM2269">
        <v>0</v>
      </c>
      <c r="AN2269">
        <v>0</v>
      </c>
      <c r="AO2269">
        <v>0</v>
      </c>
      <c r="AP2269" s="2">
        <v>1890</v>
      </c>
      <c r="AT2269" t="str">
        <f>T("9788925727356")</f>
        <v>9788925727356</v>
      </c>
      <c r="AV2269" t="str">
        <f>T("판타지 e북 &gt; 현대 판타지")</f>
        <v>판타지 e북 &gt; 현대 판타지</v>
      </c>
    </row>
    <row r="2270" spans="1:48" x14ac:dyDescent="0.4">
      <c r="A2270">
        <v>1525012005</v>
      </c>
      <c r="B2270">
        <v>1525012001</v>
      </c>
      <c r="C2270" t="str">
        <f>T("[e북]남궁세가 건달공자 5권")</f>
        <v>[e북]남궁세가 건달공자 5권</v>
      </c>
      <c r="D2270" t="str">
        <f>T("5")</f>
        <v>5</v>
      </c>
      <c r="E2270" t="str">
        <f>T("협행마")</f>
        <v>협행마</v>
      </c>
      <c r="H2270" t="str">
        <f>T("에필로그")</f>
        <v>에필로그</v>
      </c>
      <c r="I2270" t="str">
        <f>T("[e북]남궁세가 건달공자")</f>
        <v>[e북]남궁세가 건달공자</v>
      </c>
      <c r="J2270">
        <v>2500</v>
      </c>
      <c r="K2270">
        <v>0</v>
      </c>
      <c r="L2270">
        <v>0</v>
      </c>
      <c r="M2270">
        <v>0</v>
      </c>
      <c r="N2270">
        <v>900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900</v>
      </c>
      <c r="AH2270">
        <v>1</v>
      </c>
      <c r="AI2270">
        <v>0</v>
      </c>
      <c r="AJ2270">
        <v>0</v>
      </c>
      <c r="AK2270">
        <v>900</v>
      </c>
      <c r="AL2270">
        <v>0</v>
      </c>
      <c r="AM2270">
        <v>0</v>
      </c>
      <c r="AN2270">
        <v>0</v>
      </c>
      <c r="AO2270">
        <v>0</v>
      </c>
      <c r="AP2270" s="2">
        <v>630</v>
      </c>
      <c r="AT2270" t="str">
        <f>T("9791164481590")</f>
        <v>9791164481590</v>
      </c>
      <c r="AV2270" t="str">
        <f>T("판타지 e북 &gt; 신무협")</f>
        <v>판타지 e북 &gt; 신무협</v>
      </c>
    </row>
    <row r="2271" spans="1:48" x14ac:dyDescent="0.4">
      <c r="A2271">
        <v>1525001924</v>
      </c>
      <c r="B2271">
        <v>1525001926</v>
      </c>
      <c r="C2271" t="str">
        <f>T("[e북]신마협도 3권")</f>
        <v>[e북]신마협도 3권</v>
      </c>
      <c r="D2271" t="str">
        <f>T("3")</f>
        <v>3</v>
      </c>
      <c r="E2271" t="str">
        <f>T("권용찬")</f>
        <v>권용찬</v>
      </c>
      <c r="H2271" t="str">
        <f>T("스토리위즈")</f>
        <v>스토리위즈</v>
      </c>
      <c r="I2271" t="str">
        <f>T("[e북]신마협도")</f>
        <v>[e북]신마협도</v>
      </c>
      <c r="J2271">
        <v>3200</v>
      </c>
      <c r="K2271">
        <v>0</v>
      </c>
      <c r="L2271">
        <v>0</v>
      </c>
      <c r="M2271">
        <v>0</v>
      </c>
      <c r="N2271">
        <v>900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900</v>
      </c>
      <c r="AH2271">
        <v>1</v>
      </c>
      <c r="AI2271">
        <v>0</v>
      </c>
      <c r="AJ2271">
        <v>0</v>
      </c>
      <c r="AK2271">
        <v>0</v>
      </c>
      <c r="AL2271">
        <v>0</v>
      </c>
      <c r="AM2271">
        <v>900</v>
      </c>
      <c r="AN2271">
        <v>0</v>
      </c>
      <c r="AO2271">
        <v>0</v>
      </c>
      <c r="AP2271" s="2">
        <v>630</v>
      </c>
      <c r="AT2271" t="str">
        <f>T("9791159283093")</f>
        <v>9791159283093</v>
      </c>
      <c r="AV2271" t="str">
        <f>T("판타지 e북 &gt; 신무협")</f>
        <v>판타지 e북 &gt; 신무협</v>
      </c>
    </row>
    <row r="2272" spans="1:48" x14ac:dyDescent="0.4">
      <c r="A2272">
        <v>1525000569</v>
      </c>
      <c r="B2272">
        <v>1525000574</v>
      </c>
      <c r="C2272" t="str">
        <f>T("스트라이커 6화")</f>
        <v>스트라이커 6화</v>
      </c>
      <c r="D2272" t="str">
        <f>T("6")</f>
        <v>6</v>
      </c>
      <c r="E2272" t="str">
        <f>T("독고진")</f>
        <v>독고진</v>
      </c>
      <c r="H2272" t="str">
        <f>T("스토리위즈")</f>
        <v>스토리위즈</v>
      </c>
      <c r="I2272" t="str">
        <f>T("스트라이커")</f>
        <v>스트라이커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 s="2">
        <v>0</v>
      </c>
      <c r="AT2272" t="str">
        <f>T("9791170151678")</f>
        <v>9791170151678</v>
      </c>
      <c r="AV2272" t="str">
        <f>T("판타지 웹소설 &gt; 현대 판타지")</f>
        <v>판타지 웹소설 &gt; 현대 판타지</v>
      </c>
    </row>
    <row r="2273" spans="1:48" x14ac:dyDescent="0.4">
      <c r="A2273">
        <v>1525004988</v>
      </c>
      <c r="B2273">
        <v>1525005306</v>
      </c>
      <c r="C2273" t="str">
        <f>T("용무쌍 19화")</f>
        <v>용무쌍 19화</v>
      </c>
      <c r="D2273" t="str">
        <f>T("19")</f>
        <v>19</v>
      </c>
      <c r="E2273" t="str">
        <f>T("권용찬")</f>
        <v>권용찬</v>
      </c>
      <c r="H2273" t="str">
        <f>T("스토리위즈")</f>
        <v>스토리위즈</v>
      </c>
      <c r="I2273" t="str">
        <f>T("용무쌍")</f>
        <v>용무쌍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 s="2">
        <v>0</v>
      </c>
      <c r="AT2273" t="str">
        <f>T("9791159284861")</f>
        <v>9791159284861</v>
      </c>
      <c r="AV2273" t="str">
        <f>T("판타지 웹소설 &gt; 무협 소설")</f>
        <v>판타지 웹소설 &gt; 무협 소설</v>
      </c>
    </row>
    <row r="2274" spans="1:48" x14ac:dyDescent="0.4">
      <c r="A2274">
        <v>1525013020</v>
      </c>
      <c r="B2274">
        <v>1525013029</v>
      </c>
      <c r="C2274" t="str">
        <f>T("악당의 리턴 10화")</f>
        <v>악당의 리턴 10화</v>
      </c>
      <c r="D2274" t="str">
        <f>T("10")</f>
        <v>10</v>
      </c>
      <c r="E2274" t="str">
        <f>T("백범(白帆)")</f>
        <v>백범(白帆)</v>
      </c>
      <c r="H2274" t="str">
        <f>T("에필로그")</f>
        <v>에필로그</v>
      </c>
      <c r="I2274" t="str">
        <f>T("악당의 리턴")</f>
        <v>악당의 리턴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 s="2">
        <v>0</v>
      </c>
      <c r="AT2274" t="str">
        <f>T("9791196538927")</f>
        <v>9791196538927</v>
      </c>
      <c r="AV2274" t="str">
        <f>T("판타지 웹소설 &gt; 현대 판타지")</f>
        <v>판타지 웹소설 &gt; 현대 판타지</v>
      </c>
    </row>
    <row r="2275" spans="1:48" x14ac:dyDescent="0.4">
      <c r="A2275">
        <v>1525001116</v>
      </c>
      <c r="B2275">
        <v>1525001129</v>
      </c>
      <c r="C2275" t="str">
        <f>T("개정판 | 영웅 14화")</f>
        <v>개정판 | 영웅 14화</v>
      </c>
      <c r="D2275" t="str">
        <f>T("14")</f>
        <v>14</v>
      </c>
      <c r="E2275" t="str">
        <f>T("김광수")</f>
        <v>김광수</v>
      </c>
      <c r="H2275" t="str">
        <f>T("스토리위즈")</f>
        <v>스토리위즈</v>
      </c>
      <c r="I2275" t="str">
        <f>T("개정판 | 영웅")</f>
        <v>개정판 | 영웅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 s="2">
        <v>0</v>
      </c>
      <c r="AR2275" t="str">
        <f>T("9791159282829")</f>
        <v>9791159282829</v>
      </c>
      <c r="AT2275" t="str">
        <f>T("9791159282829")</f>
        <v>9791159282829</v>
      </c>
      <c r="AV2275" t="str">
        <f>T("판타지 웹소설 &gt; 무협 소설")</f>
        <v>판타지 웹소설 &gt; 무협 소설</v>
      </c>
    </row>
    <row r="2276" spans="1:48" x14ac:dyDescent="0.4">
      <c r="A2276">
        <v>1525002692</v>
      </c>
      <c r="B2276">
        <v>1525002711</v>
      </c>
      <c r="C2276" t="str">
        <f>T("신규무사 20화")</f>
        <v>신규무사 20화</v>
      </c>
      <c r="D2276" t="str">
        <f>T("20")</f>
        <v>20</v>
      </c>
      <c r="E2276" t="str">
        <f>T("권용찬")</f>
        <v>권용찬</v>
      </c>
      <c r="H2276" t="str">
        <f>T("스토리위즈")</f>
        <v>스토리위즈</v>
      </c>
      <c r="I2276" t="str">
        <f>T("신규무사")</f>
        <v>신규무사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 s="2">
        <v>0</v>
      </c>
      <c r="AT2276" t="str">
        <f>T("9791159287480")</f>
        <v>9791159287480</v>
      </c>
      <c r="AV2276" t="str">
        <f>T("판타지 웹소설 &gt; 무협 소설")</f>
        <v>판타지 웹소설 &gt; 무협 소설</v>
      </c>
    </row>
    <row r="2277" spans="1:48" x14ac:dyDescent="0.4">
      <c r="A2277">
        <v>1525000113</v>
      </c>
      <c r="B2277">
        <v>1525000113</v>
      </c>
      <c r="C2277" t="str">
        <f>T("[e북]마왕 데이몬 1권")</f>
        <v>[e북]마왕 데이몬 1권</v>
      </c>
      <c r="D2277" t="str">
        <f>T("1")</f>
        <v>1</v>
      </c>
      <c r="E2277" t="str">
        <f>T("김정률")</f>
        <v>김정률</v>
      </c>
      <c r="H2277" t="str">
        <f>T("스토리위즈")</f>
        <v>스토리위즈</v>
      </c>
      <c r="I2277" t="str">
        <f>T("[e북]마왕 데이몬")</f>
        <v>[e북]마왕 데이몬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7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 s="2">
        <v>0</v>
      </c>
      <c r="AT2277" t="str">
        <f>T("9788925723822")</f>
        <v>9788925723822</v>
      </c>
      <c r="AV2277" t="str">
        <f>T("판타지 e북 &gt; 현대 판타지")</f>
        <v>판타지 e북 &gt; 현대 판타지</v>
      </c>
    </row>
    <row r="2278" spans="1:48" x14ac:dyDescent="0.4">
      <c r="A2278">
        <v>1525004989</v>
      </c>
      <c r="B2278">
        <v>1525005500</v>
      </c>
      <c r="C2278" t="str">
        <f>T("신룡전설 11화")</f>
        <v>신룡전설 11화</v>
      </c>
      <c r="D2278" t="str">
        <f>T("11")</f>
        <v>11</v>
      </c>
      <c r="E2278" t="str">
        <f>T("가람검")</f>
        <v>가람검</v>
      </c>
      <c r="H2278" t="str">
        <f>T("스토리위즈")</f>
        <v>스토리위즈</v>
      </c>
      <c r="I2278" t="str">
        <f>T("신룡전설")</f>
        <v>신룡전설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 s="2">
        <v>0</v>
      </c>
      <c r="AT2278" t="str">
        <f>T("9791159283505")</f>
        <v>9791159283505</v>
      </c>
      <c r="AV2278" t="str">
        <f>T("판타지 웹소설 &gt; 무협 소설")</f>
        <v>판타지 웹소설 &gt; 무협 소설</v>
      </c>
    </row>
    <row r="2279" spans="1:48" x14ac:dyDescent="0.4">
      <c r="A2279">
        <v>1525001609</v>
      </c>
      <c r="B2279">
        <v>1525001616</v>
      </c>
      <c r="C2279" t="str">
        <f>T("[e북]절륜공자 8권")</f>
        <v>[e북]절륜공자 8권</v>
      </c>
      <c r="D2279" t="str">
        <f>T("8")</f>
        <v>8</v>
      </c>
      <c r="E2279" t="str">
        <f>T("전혁")</f>
        <v>전혁</v>
      </c>
      <c r="H2279" t="str">
        <f>T("스토리위즈")</f>
        <v>스토리위즈</v>
      </c>
      <c r="I2279" t="str">
        <f>T("[e북]절륜공자")</f>
        <v>[e북]절륜공자</v>
      </c>
      <c r="J2279">
        <v>3200</v>
      </c>
      <c r="K2279">
        <v>0</v>
      </c>
      <c r="L2279">
        <v>0</v>
      </c>
      <c r="M2279">
        <v>0</v>
      </c>
      <c r="N2279">
        <v>3600</v>
      </c>
      <c r="O2279">
        <v>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3600</v>
      </c>
      <c r="AH2279">
        <v>4</v>
      </c>
      <c r="AI2279">
        <v>0</v>
      </c>
      <c r="AJ2279">
        <v>0</v>
      </c>
      <c r="AK2279">
        <v>3600</v>
      </c>
      <c r="AL2279">
        <v>0</v>
      </c>
      <c r="AM2279">
        <v>0</v>
      </c>
      <c r="AN2279">
        <v>0</v>
      </c>
      <c r="AO2279">
        <v>0</v>
      </c>
      <c r="AP2279" s="2">
        <v>2520</v>
      </c>
      <c r="AT2279" t="str">
        <f>T("9791159285011")</f>
        <v>9791159285011</v>
      </c>
      <c r="AV2279" t="str">
        <f>T("판타지 e북 &gt; 전통 무협")</f>
        <v>판타지 e북 &gt; 전통 무협</v>
      </c>
    </row>
    <row r="2280" spans="1:48" x14ac:dyDescent="0.4">
      <c r="A2280">
        <v>1525013409</v>
      </c>
      <c r="B2280">
        <v>1525013409</v>
      </c>
      <c r="C2280" t="str">
        <f>T("[e북]더 캡틴 1권")</f>
        <v>[e북]더 캡틴 1권</v>
      </c>
      <c r="D2280" t="str">
        <f>T("1")</f>
        <v>1</v>
      </c>
      <c r="E2280" t="str">
        <f>T("백범(白帆)")</f>
        <v>백범(白帆)</v>
      </c>
      <c r="H2280" t="str">
        <f>T("에필로그")</f>
        <v>에필로그</v>
      </c>
      <c r="I2280" t="str">
        <f>T("[e북]더 캡틴")</f>
        <v>[e북]더 캡틴</v>
      </c>
      <c r="J2280">
        <v>0</v>
      </c>
      <c r="K2280">
        <v>0</v>
      </c>
      <c r="L2280">
        <v>0</v>
      </c>
      <c r="M2280">
        <v>2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3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 s="2">
        <v>0</v>
      </c>
      <c r="AR2280" t="str">
        <f>T("0000000000000")</f>
        <v>0000000000000</v>
      </c>
      <c r="AT2280" t="str">
        <f>T("9791189867607")</f>
        <v>9791189867607</v>
      </c>
      <c r="AV2280" t="str">
        <f>T("판타지 e북 &gt; 현대 판타지")</f>
        <v>판타지 e북 &gt; 현대 판타지</v>
      </c>
    </row>
    <row r="2281" spans="1:48" x14ac:dyDescent="0.4">
      <c r="A2281">
        <v>1525000209</v>
      </c>
      <c r="B2281">
        <v>1525000210</v>
      </c>
      <c r="C2281" t="str">
        <f>T("[e북]독종무쌍 2권")</f>
        <v>[e북]독종무쌍 2권</v>
      </c>
      <c r="D2281" t="str">
        <f>T("2")</f>
        <v>2</v>
      </c>
      <c r="E2281" t="str">
        <f>T("전혁")</f>
        <v>전혁</v>
      </c>
      <c r="H2281" t="str">
        <f>T("스토리위즈")</f>
        <v>스토리위즈</v>
      </c>
      <c r="I2281" t="str">
        <f>T("[e북]독종무쌍")</f>
        <v>[e북]독종무쌍</v>
      </c>
      <c r="J2281">
        <v>3200</v>
      </c>
      <c r="K2281">
        <v>0</v>
      </c>
      <c r="L2281">
        <v>0</v>
      </c>
      <c r="M2281">
        <v>0</v>
      </c>
      <c r="N2281">
        <v>2700</v>
      </c>
      <c r="O2281">
        <v>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2700</v>
      </c>
      <c r="AH2281">
        <v>3</v>
      </c>
      <c r="AI2281">
        <v>0</v>
      </c>
      <c r="AJ2281">
        <v>0</v>
      </c>
      <c r="AK2281">
        <v>2130</v>
      </c>
      <c r="AL2281">
        <v>0</v>
      </c>
      <c r="AM2281">
        <v>570</v>
      </c>
      <c r="AN2281">
        <v>0</v>
      </c>
      <c r="AO2281">
        <v>0</v>
      </c>
      <c r="AP2281" s="2">
        <v>1890</v>
      </c>
      <c r="AT2281" t="str">
        <f>T("9791195310043")</f>
        <v>9791195310043</v>
      </c>
      <c r="AV2281" t="str">
        <f>T("판타지 e북 &gt; 신무협")</f>
        <v>판타지 e북 &gt; 신무협</v>
      </c>
    </row>
    <row r="2282" spans="1:48" x14ac:dyDescent="0.4">
      <c r="A2282">
        <v>1525002409</v>
      </c>
      <c r="B2282">
        <v>1525002411</v>
      </c>
      <c r="C2282" t="str">
        <f>T("스포트라이트 3화")</f>
        <v>스포트라이트 3화</v>
      </c>
      <c r="D2282" t="str">
        <f>T("3")</f>
        <v>3</v>
      </c>
      <c r="E2282" t="str">
        <f>T("전혁")</f>
        <v>전혁</v>
      </c>
      <c r="H2282" t="str">
        <f>T("스토리위즈")</f>
        <v>스토리위즈</v>
      </c>
      <c r="I2282" t="str">
        <f>T("스포트라이트")</f>
        <v>스포트라이트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 s="2">
        <v>0</v>
      </c>
      <c r="AT2282" t="str">
        <f>T("9791159286841")</f>
        <v>9791159286841</v>
      </c>
      <c r="AV2282" t="str">
        <f>T("판타지 웹소설 &gt; 현대 판타지")</f>
        <v>판타지 웹소설 &gt; 현대 판타지</v>
      </c>
    </row>
    <row r="2283" spans="1:48" x14ac:dyDescent="0.4">
      <c r="A2283">
        <v>1525001334</v>
      </c>
      <c r="B2283">
        <v>1525001351</v>
      </c>
      <c r="C2283" t="str">
        <f>T("게이트 헌터 18화")</f>
        <v>게이트 헌터 18화</v>
      </c>
      <c r="D2283" t="str">
        <f>T("18")</f>
        <v>18</v>
      </c>
      <c r="E2283" t="str">
        <f>T("권용찬")</f>
        <v>권용찬</v>
      </c>
      <c r="H2283" t="str">
        <f>T("스토리위즈")</f>
        <v>스토리위즈</v>
      </c>
      <c r="I2283" t="str">
        <f>T("게이트 헌터")</f>
        <v>게이트 헌터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 s="2">
        <v>0</v>
      </c>
      <c r="AR2283" t="str">
        <f>T("9791159283291")</f>
        <v>9791159283291</v>
      </c>
      <c r="AT2283" t="str">
        <f>T("9791159283291")</f>
        <v>9791159283291</v>
      </c>
      <c r="AV2283" t="str">
        <f>T("판타지 웹소설 &gt; 현대 판타지")</f>
        <v>판타지 웹소설 &gt; 현대 판타지</v>
      </c>
    </row>
    <row r="2284" spans="1:48" x14ac:dyDescent="0.4">
      <c r="A2284">
        <v>1525010982</v>
      </c>
      <c r="B2284">
        <v>1525010981</v>
      </c>
      <c r="C2284" t="str">
        <f>T("[e북]이 맛에 회장한다 2권")</f>
        <v>[e북]이 맛에 회장한다 2권</v>
      </c>
      <c r="D2284" t="str">
        <f>T("2")</f>
        <v>2</v>
      </c>
      <c r="E2284" t="str">
        <f>T("협행마")</f>
        <v>협행마</v>
      </c>
      <c r="H2284" t="str">
        <f>T("에필로그")</f>
        <v>에필로그</v>
      </c>
      <c r="I2284" t="str">
        <f>T("[e북]이 맛에 회장한다")</f>
        <v>[e북]이 맛에 회장한다</v>
      </c>
      <c r="J2284">
        <v>2500</v>
      </c>
      <c r="K2284">
        <v>0</v>
      </c>
      <c r="L2284">
        <v>0</v>
      </c>
      <c r="M2284">
        <v>0</v>
      </c>
      <c r="N2284">
        <v>7740</v>
      </c>
      <c r="O2284">
        <v>9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7740</v>
      </c>
      <c r="AH2284">
        <v>9</v>
      </c>
      <c r="AI2284">
        <v>0</v>
      </c>
      <c r="AJ2284">
        <v>0</v>
      </c>
      <c r="AK2284">
        <v>7740</v>
      </c>
      <c r="AL2284">
        <v>0</v>
      </c>
      <c r="AM2284">
        <v>0</v>
      </c>
      <c r="AN2284">
        <v>0</v>
      </c>
      <c r="AO2284">
        <v>0</v>
      </c>
      <c r="AP2284" s="2">
        <v>5418</v>
      </c>
      <c r="AT2284" t="str">
        <f>T("9791164486076")</f>
        <v>9791164486076</v>
      </c>
      <c r="AV2284" t="str">
        <f>T("판타지 e북 &gt; 현대 판타지")</f>
        <v>판타지 e북 &gt; 현대 판타지</v>
      </c>
    </row>
    <row r="2285" spans="1:48" x14ac:dyDescent="0.4">
      <c r="A2285">
        <v>1525010944</v>
      </c>
      <c r="B2285">
        <v>1525010920</v>
      </c>
      <c r="C2285" t="str">
        <f>T("[e북]법보다 주먹 25권")</f>
        <v>[e북]법보다 주먹 25권</v>
      </c>
      <c r="D2285" t="str">
        <f>T("25")</f>
        <v>25</v>
      </c>
      <c r="E2285" t="str">
        <f>T("백범(白帆)")</f>
        <v>백범(白帆)</v>
      </c>
      <c r="H2285" t="str">
        <f>T("에필로그")</f>
        <v>에필로그</v>
      </c>
      <c r="I2285" t="str">
        <f>T("[e북]법보다 주먹")</f>
        <v>[e북]법보다 주먹</v>
      </c>
      <c r="J2285">
        <v>2000</v>
      </c>
      <c r="K2285">
        <v>0</v>
      </c>
      <c r="L2285">
        <v>0</v>
      </c>
      <c r="M2285">
        <v>0</v>
      </c>
      <c r="N2285">
        <v>2700</v>
      </c>
      <c r="O2285">
        <v>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2700</v>
      </c>
      <c r="AH2285">
        <v>3</v>
      </c>
      <c r="AI2285">
        <v>0</v>
      </c>
      <c r="AJ2285">
        <v>0</v>
      </c>
      <c r="AK2285">
        <v>2700</v>
      </c>
      <c r="AL2285">
        <v>0</v>
      </c>
      <c r="AM2285">
        <v>0</v>
      </c>
      <c r="AN2285">
        <v>0</v>
      </c>
      <c r="AO2285">
        <v>0</v>
      </c>
      <c r="AP2285" s="2">
        <v>1890</v>
      </c>
      <c r="AT2285" t="str">
        <f>T("9791164480142")</f>
        <v>9791164480142</v>
      </c>
      <c r="AV2285" t="str">
        <f>T("판타지 e북 &gt; 현대 판타지")</f>
        <v>판타지 e북 &gt; 현대 판타지</v>
      </c>
    </row>
    <row r="2286" spans="1:48" x14ac:dyDescent="0.4">
      <c r="A2286">
        <v>1525004989</v>
      </c>
      <c r="B2286">
        <v>1525005493</v>
      </c>
      <c r="C2286" t="str">
        <f>T("신룡전설 4화")</f>
        <v>신룡전설 4화</v>
      </c>
      <c r="D2286" t="str">
        <f>T("4")</f>
        <v>4</v>
      </c>
      <c r="E2286" t="str">
        <f>T("가람검")</f>
        <v>가람검</v>
      </c>
      <c r="H2286" t="str">
        <f>T("스토리위즈")</f>
        <v>스토리위즈</v>
      </c>
      <c r="I2286" t="str">
        <f>T("신룡전설")</f>
        <v>신룡전설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 s="2">
        <v>0</v>
      </c>
      <c r="AT2286" t="str">
        <f>T("9791159283505")</f>
        <v>9791159283505</v>
      </c>
      <c r="AV2286" t="str">
        <f>T("판타지 웹소설 &gt; 무협 소설")</f>
        <v>판타지 웹소설 &gt; 무협 소설</v>
      </c>
    </row>
    <row r="2287" spans="1:48" x14ac:dyDescent="0.4">
      <c r="A2287">
        <v>1525002864</v>
      </c>
      <c r="B2287">
        <v>1525002885</v>
      </c>
      <c r="C2287" t="str">
        <f>T("소드마스터의 환생 22화")</f>
        <v>소드마스터의 환생 22화</v>
      </c>
      <c r="D2287" t="str">
        <f>T("22")</f>
        <v>22</v>
      </c>
      <c r="E2287" t="str">
        <f>T("파란영")</f>
        <v>파란영</v>
      </c>
      <c r="H2287" t="str">
        <f>T("스토리위즈")</f>
        <v>스토리위즈</v>
      </c>
      <c r="I2287" t="str">
        <f>T("소드마스터의 환생")</f>
        <v>소드마스터의 환생</v>
      </c>
      <c r="J2287">
        <v>0</v>
      </c>
      <c r="K2287">
        <v>0</v>
      </c>
      <c r="L2287">
        <v>0</v>
      </c>
      <c r="M2287">
        <v>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3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 s="2">
        <v>0</v>
      </c>
      <c r="AT2287" t="str">
        <f>T("9791159287527")</f>
        <v>9791159287527</v>
      </c>
      <c r="AV2287" t="str">
        <f>T("판타지 웹소설 &gt; 정통 판타지")</f>
        <v>판타지 웹소설 &gt; 정통 판타지</v>
      </c>
    </row>
    <row r="2288" spans="1:48" x14ac:dyDescent="0.4">
      <c r="A2288">
        <v>1525001609</v>
      </c>
      <c r="B2288">
        <v>1525001609</v>
      </c>
      <c r="C2288" t="str">
        <f>T("[e북]절륜공자 1권")</f>
        <v>[e북]절륜공자 1권</v>
      </c>
      <c r="D2288" t="str">
        <f>T("1")</f>
        <v>1</v>
      </c>
      <c r="E2288" t="str">
        <f>T("전혁")</f>
        <v>전혁</v>
      </c>
      <c r="H2288" t="str">
        <f>T("스토리위즈")</f>
        <v>스토리위즈</v>
      </c>
      <c r="I2288" t="str">
        <f>T("[e북]절륜공자")</f>
        <v>[e북]절륜공자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7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 s="2">
        <v>0</v>
      </c>
      <c r="AT2288" t="str">
        <f>T("9791159284946")</f>
        <v>9791159284946</v>
      </c>
      <c r="AV2288" t="str">
        <f>T("판타지 e북 &gt; 전통 무협")</f>
        <v>판타지 e북 &gt; 전통 무협</v>
      </c>
    </row>
    <row r="2289" spans="1:48" x14ac:dyDescent="0.4">
      <c r="A2289">
        <v>1525013369</v>
      </c>
      <c r="B2289">
        <v>1525013382</v>
      </c>
      <c r="C2289" t="str">
        <f>T("[e북]티끌모아 대박 5권")</f>
        <v>[e북]티끌모아 대박 5권</v>
      </c>
      <c r="D2289" t="str">
        <f>T("5")</f>
        <v>5</v>
      </c>
      <c r="E2289" t="str">
        <f>T("백범(白帆)")</f>
        <v>백범(白帆)</v>
      </c>
      <c r="H2289" t="str">
        <f>T("에필로그")</f>
        <v>에필로그</v>
      </c>
      <c r="I2289" t="str">
        <f>T("[e북]티끌모아 대박")</f>
        <v>[e북]티끌모아 대박</v>
      </c>
      <c r="J2289">
        <v>2000</v>
      </c>
      <c r="K2289">
        <v>0</v>
      </c>
      <c r="L2289">
        <v>0</v>
      </c>
      <c r="M2289">
        <v>0</v>
      </c>
      <c r="N2289">
        <v>900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900</v>
      </c>
      <c r="AH2289">
        <v>1</v>
      </c>
      <c r="AI2289">
        <v>0</v>
      </c>
      <c r="AJ2289">
        <v>0</v>
      </c>
      <c r="AK2289">
        <v>900</v>
      </c>
      <c r="AL2289">
        <v>0</v>
      </c>
      <c r="AM2289">
        <v>0</v>
      </c>
      <c r="AN2289">
        <v>0</v>
      </c>
      <c r="AO2289">
        <v>0</v>
      </c>
      <c r="AP2289" s="2">
        <v>630</v>
      </c>
      <c r="AR2289" t="str">
        <f>T("0000000000000")</f>
        <v>0000000000000</v>
      </c>
      <c r="AT2289" t="str">
        <f>T("9791166000249")</f>
        <v>9791166000249</v>
      </c>
      <c r="AV2289" t="str">
        <f>T("판타지 e북 &gt; 퓨전 판타지")</f>
        <v>판타지 e북 &gt; 퓨전 판타지</v>
      </c>
    </row>
    <row r="2290" spans="1:48" x14ac:dyDescent="0.4">
      <c r="A2290">
        <v>1525002125</v>
      </c>
      <c r="B2290">
        <v>1525002146</v>
      </c>
      <c r="C2290" t="str">
        <f>T("신을 죽이러 갑니다 22화")</f>
        <v>신을 죽이러 갑니다 22화</v>
      </c>
      <c r="D2290" t="str">
        <f>T("22")</f>
        <v>22</v>
      </c>
      <c r="E2290" t="str">
        <f>T("독고진")</f>
        <v>독고진</v>
      </c>
      <c r="H2290" t="str">
        <f>T("스토리위즈")</f>
        <v>스토리위즈</v>
      </c>
      <c r="I2290" t="str">
        <f>T("신을 죽이러 갑니다")</f>
        <v>신을 죽이러 갑니다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 s="2">
        <v>0</v>
      </c>
      <c r="AT2290" t="str">
        <f>T("9791159285806")</f>
        <v>9791159285806</v>
      </c>
      <c r="AV2290" t="str">
        <f>T("판타지 웹소설 &gt; 퓨전 판타지")</f>
        <v>판타지 웹소설 &gt; 퓨전 판타지</v>
      </c>
    </row>
    <row r="2291" spans="1:48" x14ac:dyDescent="0.4">
      <c r="A2291">
        <v>1525001334</v>
      </c>
      <c r="B2291">
        <v>1525001344</v>
      </c>
      <c r="C2291" t="str">
        <f>T("게이트 헌터 11화")</f>
        <v>게이트 헌터 11화</v>
      </c>
      <c r="D2291" t="str">
        <f>T("11")</f>
        <v>11</v>
      </c>
      <c r="E2291" t="str">
        <f>T("권용찬")</f>
        <v>권용찬</v>
      </c>
      <c r="H2291" t="str">
        <f>T("스토리위즈")</f>
        <v>스토리위즈</v>
      </c>
      <c r="I2291" t="str">
        <f>T("게이트 헌터")</f>
        <v>게이트 헌터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 s="2">
        <v>0</v>
      </c>
      <c r="AR2291" t="str">
        <f>T("9791159283291")</f>
        <v>9791159283291</v>
      </c>
      <c r="AT2291" t="str">
        <f>T("9791159283291")</f>
        <v>9791159283291</v>
      </c>
      <c r="AV2291" t="str">
        <f>T("판타지 웹소설 &gt; 현대 판타지")</f>
        <v>판타지 웹소설 &gt; 현대 판타지</v>
      </c>
    </row>
    <row r="2292" spans="1:48" x14ac:dyDescent="0.4">
      <c r="A2292">
        <v>1525010974</v>
      </c>
      <c r="B2292">
        <v>1525010974</v>
      </c>
      <c r="C2292" t="str">
        <f>T("[e북]위사무적 1권")</f>
        <v>[e북]위사무적 1권</v>
      </c>
      <c r="D2292" t="str">
        <f>T("1")</f>
        <v>1</v>
      </c>
      <c r="E2292" t="str">
        <f>T("협행마")</f>
        <v>협행마</v>
      </c>
      <c r="H2292" t="str">
        <f>T("에필로그")</f>
        <v>에필로그</v>
      </c>
      <c r="I2292" t="str">
        <f>T("[e북]위사무적")</f>
        <v>[e북]위사무적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 s="2">
        <v>0</v>
      </c>
      <c r="AT2292" t="str">
        <f>T("9791164489015")</f>
        <v>9791164489015</v>
      </c>
      <c r="AV2292" t="str">
        <f>T("판타지 e북 &gt; 신무협")</f>
        <v>판타지 e북 &gt; 신무협</v>
      </c>
    </row>
    <row r="2293" spans="1:48" x14ac:dyDescent="0.4">
      <c r="A2293">
        <v>1525010898</v>
      </c>
      <c r="B2293">
        <v>1525010898</v>
      </c>
      <c r="C2293" t="str">
        <f>T("[e북]용병수칙 1권")</f>
        <v>[e북]용병수칙 1권</v>
      </c>
      <c r="D2293" t="str">
        <f>T("1")</f>
        <v>1</v>
      </c>
      <c r="E2293" t="str">
        <f>T("협행마")</f>
        <v>협행마</v>
      </c>
      <c r="H2293" t="str">
        <f>T("에필로그")</f>
        <v>에필로그</v>
      </c>
      <c r="I2293" t="str">
        <f>T("[e북]용병수칙")</f>
        <v>[e북]용병수칙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3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 s="2">
        <v>0</v>
      </c>
      <c r="AT2293" t="str">
        <f>T("9791166000140")</f>
        <v>9791166000140</v>
      </c>
      <c r="AV2293" t="str">
        <f>T("판타지 e북 &gt; 퓨전 판타지")</f>
        <v>판타지 e북 &gt; 퓨전 판타지</v>
      </c>
    </row>
    <row r="2294" spans="1:48" x14ac:dyDescent="0.4">
      <c r="A2294">
        <v>1525003495</v>
      </c>
      <c r="B2294">
        <v>1525003495</v>
      </c>
      <c r="C2294" t="str">
        <f>T("[e북]소드마스터의 환생 1권")</f>
        <v>[e북]소드마스터의 환생 1권</v>
      </c>
      <c r="D2294" t="str">
        <f>T("1")</f>
        <v>1</v>
      </c>
      <c r="E2294" t="str">
        <f>T("파란영")</f>
        <v>파란영</v>
      </c>
      <c r="H2294" t="str">
        <f t="shared" ref="H2294:H2299" si="219">T("스토리위즈")</f>
        <v>스토리위즈</v>
      </c>
      <c r="I2294" t="str">
        <f>T("[e북]소드마스터의 환생")</f>
        <v>[e북]소드마스터의 환생</v>
      </c>
      <c r="J2294">
        <v>0</v>
      </c>
      <c r="K2294">
        <v>0</v>
      </c>
      <c r="L2294">
        <v>0</v>
      </c>
      <c r="M2294">
        <v>22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22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 s="2">
        <v>0</v>
      </c>
      <c r="AT2294" t="str">
        <f>T("9791159289811")</f>
        <v>9791159289811</v>
      </c>
      <c r="AV2294" t="str">
        <f>T("판타지 e북 &gt; 정통 판타지")</f>
        <v>판타지 e북 &gt; 정통 판타지</v>
      </c>
    </row>
    <row r="2295" spans="1:48" x14ac:dyDescent="0.4">
      <c r="A2295">
        <v>1525001917</v>
      </c>
      <c r="B2295">
        <v>1525001919</v>
      </c>
      <c r="C2295" t="str">
        <f>T("[e북]용중신권 3권")</f>
        <v>[e북]용중신권 3권</v>
      </c>
      <c r="D2295" t="str">
        <f>T("3")</f>
        <v>3</v>
      </c>
      <c r="E2295" t="str">
        <f>T("권용찬")</f>
        <v>권용찬</v>
      </c>
      <c r="H2295" t="str">
        <f t="shared" si="219"/>
        <v>스토리위즈</v>
      </c>
      <c r="I2295" t="str">
        <f>T("[e북]용중신권")</f>
        <v>[e북]용중신권</v>
      </c>
      <c r="J2295">
        <v>3200</v>
      </c>
      <c r="K2295">
        <v>0</v>
      </c>
      <c r="L2295">
        <v>0</v>
      </c>
      <c r="M2295">
        <v>0</v>
      </c>
      <c r="N2295">
        <v>900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900</v>
      </c>
      <c r="AH2295">
        <v>1</v>
      </c>
      <c r="AI2295">
        <v>0</v>
      </c>
      <c r="AJ2295">
        <v>0</v>
      </c>
      <c r="AK2295">
        <v>900</v>
      </c>
      <c r="AL2295">
        <v>0</v>
      </c>
      <c r="AM2295">
        <v>0</v>
      </c>
      <c r="AN2295">
        <v>0</v>
      </c>
      <c r="AO2295">
        <v>0</v>
      </c>
      <c r="AP2295" s="2">
        <v>630</v>
      </c>
      <c r="AT2295" t="str">
        <f>T("9791159285943")</f>
        <v>9791159285943</v>
      </c>
      <c r="AV2295" t="str">
        <f>T("판타지 e북 &gt; 신무협")</f>
        <v>판타지 e북 &gt; 신무협</v>
      </c>
    </row>
    <row r="2296" spans="1:48" x14ac:dyDescent="0.4">
      <c r="A2296">
        <v>1525000209</v>
      </c>
      <c r="B2296">
        <v>1525000219</v>
      </c>
      <c r="C2296" t="str">
        <f>T("[e북]독종무쌍 11권 (완결)")</f>
        <v>[e북]독종무쌍 11권 (완결)</v>
      </c>
      <c r="D2296" t="str">
        <f>T("11")</f>
        <v>11</v>
      </c>
      <c r="E2296" t="str">
        <f>T("전혁")</f>
        <v>전혁</v>
      </c>
      <c r="H2296" t="str">
        <f t="shared" si="219"/>
        <v>스토리위즈</v>
      </c>
      <c r="I2296" t="str">
        <f>T("[e북]독종무쌍")</f>
        <v>[e북]독종무쌍</v>
      </c>
      <c r="J2296">
        <v>3200</v>
      </c>
      <c r="K2296">
        <v>0</v>
      </c>
      <c r="L2296">
        <v>0</v>
      </c>
      <c r="M2296">
        <v>0</v>
      </c>
      <c r="N2296">
        <v>1800</v>
      </c>
      <c r="O2296">
        <v>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1800</v>
      </c>
      <c r="AH2296">
        <v>2</v>
      </c>
      <c r="AI2296">
        <v>0</v>
      </c>
      <c r="AJ2296">
        <v>0</v>
      </c>
      <c r="AK2296">
        <v>900</v>
      </c>
      <c r="AL2296">
        <v>0</v>
      </c>
      <c r="AM2296">
        <v>900</v>
      </c>
      <c r="AN2296">
        <v>0</v>
      </c>
      <c r="AO2296">
        <v>0</v>
      </c>
      <c r="AP2296" s="2">
        <v>1260</v>
      </c>
      <c r="AT2296" t="str">
        <f>T("9791186520031")</f>
        <v>9791186520031</v>
      </c>
      <c r="AV2296" t="str">
        <f>T("판타지 e북 &gt; 신무협")</f>
        <v>판타지 e북 &gt; 신무협</v>
      </c>
    </row>
    <row r="2297" spans="1:48" x14ac:dyDescent="0.4">
      <c r="A2297">
        <v>1525004988</v>
      </c>
      <c r="B2297">
        <v>1525005299</v>
      </c>
      <c r="C2297" t="str">
        <f>T("용무쌍 12화")</f>
        <v>용무쌍 12화</v>
      </c>
      <c r="D2297" t="str">
        <f>T("12")</f>
        <v>12</v>
      </c>
      <c r="E2297" t="str">
        <f>T("권용찬")</f>
        <v>권용찬</v>
      </c>
      <c r="H2297" t="str">
        <f t="shared" si="219"/>
        <v>스토리위즈</v>
      </c>
      <c r="I2297" t="str">
        <f>T("용무쌍")</f>
        <v>용무쌍</v>
      </c>
      <c r="J2297">
        <v>0</v>
      </c>
      <c r="K2297">
        <v>0</v>
      </c>
      <c r="L2297">
        <v>0</v>
      </c>
      <c r="M2297">
        <v>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2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 s="2">
        <v>0</v>
      </c>
      <c r="AT2297" t="str">
        <f>T("9791159284861")</f>
        <v>9791159284861</v>
      </c>
      <c r="AV2297" t="str">
        <f>T("판타지 웹소설 &gt; 무협 소설")</f>
        <v>판타지 웹소설 &gt; 무협 소설</v>
      </c>
    </row>
    <row r="2298" spans="1:48" x14ac:dyDescent="0.4">
      <c r="A2298">
        <v>1525001540</v>
      </c>
      <c r="B2298">
        <v>1525001540</v>
      </c>
      <c r="C2298" t="str">
        <f>T("[e북]철중쟁쟁 1권")</f>
        <v>[e북]철중쟁쟁 1권</v>
      </c>
      <c r="D2298" t="str">
        <f>T("1")</f>
        <v>1</v>
      </c>
      <c r="E2298" t="str">
        <f>T("권용찬")</f>
        <v>권용찬</v>
      </c>
      <c r="H2298" t="str">
        <f t="shared" si="219"/>
        <v>스토리위즈</v>
      </c>
      <c r="I2298" t="str">
        <f>T("[e북]철중쟁쟁")</f>
        <v>[e북]철중쟁쟁</v>
      </c>
      <c r="J2298">
        <v>0</v>
      </c>
      <c r="K2298">
        <v>0</v>
      </c>
      <c r="L2298">
        <v>0</v>
      </c>
      <c r="M2298">
        <v>2</v>
      </c>
      <c r="N2298">
        <v>0</v>
      </c>
      <c r="O2298">
        <v>0</v>
      </c>
      <c r="P2298">
        <v>4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6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 s="2">
        <v>0</v>
      </c>
      <c r="AT2298" t="str">
        <f>T("9791159282270")</f>
        <v>9791159282270</v>
      </c>
      <c r="AV2298" t="str">
        <f>T("판타지 e북 &gt; 전통 무협")</f>
        <v>판타지 e북 &gt; 전통 무협</v>
      </c>
    </row>
    <row r="2299" spans="1:48" x14ac:dyDescent="0.4">
      <c r="A2299">
        <v>1525000055</v>
      </c>
      <c r="B2299">
        <v>1525000073</v>
      </c>
      <c r="C2299" t="str">
        <f>T("[e북]21세기 대마법사 18권 (완결)")</f>
        <v>[e북]21세기 대마법사 18권 (완결)</v>
      </c>
      <c r="D2299" t="str">
        <f>T("18")</f>
        <v>18</v>
      </c>
      <c r="E2299" t="str">
        <f>T("김광수")</f>
        <v>김광수</v>
      </c>
      <c r="H2299" t="str">
        <f t="shared" si="219"/>
        <v>스토리위즈</v>
      </c>
      <c r="I2299" t="str">
        <f>T("[e북]21세기 대마법사")</f>
        <v>[e북]21세기 대마법사</v>
      </c>
      <c r="J2299">
        <v>3200</v>
      </c>
      <c r="K2299">
        <v>0</v>
      </c>
      <c r="L2299">
        <v>0</v>
      </c>
      <c r="M2299">
        <v>0</v>
      </c>
      <c r="N2299">
        <v>4500</v>
      </c>
      <c r="O2299">
        <v>5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4500</v>
      </c>
      <c r="AH2299">
        <v>5</v>
      </c>
      <c r="AI2299">
        <v>0</v>
      </c>
      <c r="AJ2299">
        <v>0</v>
      </c>
      <c r="AK2299">
        <v>4500</v>
      </c>
      <c r="AL2299">
        <v>0</v>
      </c>
      <c r="AM2299">
        <v>0</v>
      </c>
      <c r="AN2299">
        <v>0</v>
      </c>
      <c r="AO2299">
        <v>0</v>
      </c>
      <c r="AP2299" s="2">
        <v>3150</v>
      </c>
      <c r="AT2299" t="str">
        <f>T("9788925120737")</f>
        <v>9788925120737</v>
      </c>
      <c r="AV2299" t="str">
        <f>T("판타지 e북 &gt; 퓨전 판타지")</f>
        <v>판타지 e북 &gt; 퓨전 판타지</v>
      </c>
    </row>
    <row r="2300" spans="1:48" x14ac:dyDescent="0.4">
      <c r="A2300">
        <v>1525013020</v>
      </c>
      <c r="B2300">
        <v>1525013022</v>
      </c>
      <c r="C2300" t="str">
        <f>T("악당의 리턴 3화")</f>
        <v>악당의 리턴 3화</v>
      </c>
      <c r="D2300" t="str">
        <f>T("3")</f>
        <v>3</v>
      </c>
      <c r="E2300" t="str">
        <f>T("백범(白帆)")</f>
        <v>백범(白帆)</v>
      </c>
      <c r="H2300" t="str">
        <f>T("에필로그")</f>
        <v>에필로그</v>
      </c>
      <c r="I2300" t="str">
        <f>T("악당의 리턴")</f>
        <v>악당의 리턴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 s="2">
        <v>0</v>
      </c>
      <c r="AT2300" t="str">
        <f>T("9791196538927")</f>
        <v>9791196538927</v>
      </c>
      <c r="AV2300" t="str">
        <f>T("판타지 웹소설 &gt; 현대 판타지")</f>
        <v>판타지 웹소설 &gt; 현대 판타지</v>
      </c>
    </row>
    <row r="2301" spans="1:48" x14ac:dyDescent="0.4">
      <c r="A2301">
        <v>1525001116</v>
      </c>
      <c r="B2301">
        <v>1525001122</v>
      </c>
      <c r="C2301" t="str">
        <f>T("개정판 | 영웅 7화")</f>
        <v>개정판 | 영웅 7화</v>
      </c>
      <c r="D2301" t="str">
        <f>T("7")</f>
        <v>7</v>
      </c>
      <c r="E2301" t="str">
        <f>T("김광수")</f>
        <v>김광수</v>
      </c>
      <c r="H2301" t="str">
        <f>T("스토리위즈")</f>
        <v>스토리위즈</v>
      </c>
      <c r="I2301" t="str">
        <f>T("개정판 | 영웅")</f>
        <v>개정판 | 영웅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 s="2">
        <v>0</v>
      </c>
      <c r="AR2301" t="str">
        <f>T("9791159282829")</f>
        <v>9791159282829</v>
      </c>
      <c r="AT2301" t="str">
        <f>T("9791159282829")</f>
        <v>9791159282829</v>
      </c>
      <c r="AV2301" t="str">
        <f>T("판타지 웹소설 &gt; 무협 소설")</f>
        <v>판타지 웹소설 &gt; 무협 소설</v>
      </c>
    </row>
    <row r="2302" spans="1:48" x14ac:dyDescent="0.4">
      <c r="A2302">
        <v>1525004030</v>
      </c>
      <c r="B2302">
        <v>1525004053</v>
      </c>
      <c r="C2302" t="str">
        <f>T("회귀의 전설 24화")</f>
        <v>회귀의 전설 24화</v>
      </c>
      <c r="D2302" t="str">
        <f>T("24")</f>
        <v>24</v>
      </c>
      <c r="E2302" t="str">
        <f>T("김광수")</f>
        <v>김광수</v>
      </c>
      <c r="H2302" t="str">
        <f>T("스토리위즈")</f>
        <v>스토리위즈</v>
      </c>
      <c r="I2302" t="str">
        <f>T("회귀의 전설")</f>
        <v>회귀의 전설</v>
      </c>
      <c r="J2302">
        <v>0</v>
      </c>
      <c r="K2302">
        <v>0</v>
      </c>
      <c r="L2302">
        <v>0</v>
      </c>
      <c r="M2302">
        <v>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3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 s="2">
        <v>0</v>
      </c>
      <c r="AT2302" t="str">
        <f>T("9788997946006")</f>
        <v>9788997946006</v>
      </c>
      <c r="AV2302" t="str">
        <f>T("판타지 웹소설 &gt; 현대 판타지")</f>
        <v>판타지 웹소설 &gt; 현대 판타지</v>
      </c>
    </row>
    <row r="2303" spans="1:48" x14ac:dyDescent="0.4">
      <c r="A2303">
        <v>1525002692</v>
      </c>
      <c r="B2303">
        <v>1525002704</v>
      </c>
      <c r="C2303" t="str">
        <f>T("신규무사 13화")</f>
        <v>신규무사 13화</v>
      </c>
      <c r="D2303" t="str">
        <f>T("13")</f>
        <v>13</v>
      </c>
      <c r="E2303" t="str">
        <f>T("권용찬")</f>
        <v>권용찬</v>
      </c>
      <c r="H2303" t="str">
        <f>T("스토리위즈")</f>
        <v>스토리위즈</v>
      </c>
      <c r="I2303" t="str">
        <f>T("신규무사")</f>
        <v>신규무사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1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 s="2">
        <v>0</v>
      </c>
      <c r="AT2303" t="str">
        <f>T("9791159287480")</f>
        <v>9791159287480</v>
      </c>
      <c r="AV2303" t="str">
        <f>T("판타지 웹소설 &gt; 무협 소설")</f>
        <v>판타지 웹소설 &gt; 무협 소설</v>
      </c>
    </row>
    <row r="2304" spans="1:48" x14ac:dyDescent="0.4">
      <c r="A2304">
        <v>1525013320</v>
      </c>
      <c r="B2304">
        <v>1525013330</v>
      </c>
      <c r="C2304" t="str">
        <f>T("[e북]악당의 리턴 11권")</f>
        <v>[e북]악당의 리턴 11권</v>
      </c>
      <c r="D2304" t="str">
        <f>T("11")</f>
        <v>11</v>
      </c>
      <c r="E2304" t="str">
        <f>T("백범(白帆)")</f>
        <v>백범(白帆)</v>
      </c>
      <c r="H2304" t="str">
        <f>T("에필로그")</f>
        <v>에필로그</v>
      </c>
      <c r="I2304" t="str">
        <f>T("[e북]악당의 리턴")</f>
        <v>[e북]악당의 리턴</v>
      </c>
      <c r="J2304">
        <v>3200</v>
      </c>
      <c r="K2304">
        <v>0</v>
      </c>
      <c r="L2304">
        <v>0</v>
      </c>
      <c r="M2304">
        <v>0</v>
      </c>
      <c r="N2304">
        <v>900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900</v>
      </c>
      <c r="AH2304">
        <v>1</v>
      </c>
      <c r="AI2304">
        <v>0</v>
      </c>
      <c r="AJ2304">
        <v>0</v>
      </c>
      <c r="AK2304">
        <v>900</v>
      </c>
      <c r="AL2304">
        <v>0</v>
      </c>
      <c r="AM2304">
        <v>0</v>
      </c>
      <c r="AN2304">
        <v>0</v>
      </c>
      <c r="AO2304">
        <v>0</v>
      </c>
      <c r="AP2304" s="2">
        <v>630</v>
      </c>
      <c r="AT2304" t="str">
        <f>T("9791164482955")</f>
        <v>9791164482955</v>
      </c>
      <c r="AV2304" t="str">
        <f>T("판타지 e북 &gt; 현대 판타지")</f>
        <v>판타지 e북 &gt; 현대 판타지</v>
      </c>
    </row>
    <row r="2305" spans="1:48" x14ac:dyDescent="0.4">
      <c r="A2305">
        <v>1525000146</v>
      </c>
      <c r="B2305">
        <v>1525000146</v>
      </c>
      <c r="C2305" t="str">
        <f>T("[e북]트루베니아 연대기 1권")</f>
        <v>[e북]트루베니아 연대기 1권</v>
      </c>
      <c r="D2305" t="str">
        <f>T("1")</f>
        <v>1</v>
      </c>
      <c r="E2305" t="str">
        <f>T("김정률")</f>
        <v>김정률</v>
      </c>
      <c r="H2305" t="str">
        <f t="shared" ref="H2305:H2314" si="220">T("스토리위즈")</f>
        <v>스토리위즈</v>
      </c>
      <c r="I2305" t="str">
        <f>T("[e북]트루베니아 연대기")</f>
        <v>[e북]트루베니아 연대기</v>
      </c>
      <c r="J2305">
        <v>0</v>
      </c>
      <c r="K2305">
        <v>0</v>
      </c>
      <c r="L2305">
        <v>0</v>
      </c>
      <c r="M2305">
        <v>6</v>
      </c>
      <c r="N2305">
        <v>0</v>
      </c>
      <c r="O2305">
        <v>0</v>
      </c>
      <c r="P2305">
        <v>5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 s="2">
        <v>0</v>
      </c>
      <c r="AT2305" t="str">
        <f>T("9788954221429")</f>
        <v>9788954221429</v>
      </c>
      <c r="AV2305" t="str">
        <f>T("판타지 e북 &gt; 정통 판타지")</f>
        <v>판타지 e북 &gt; 정통 판타지</v>
      </c>
    </row>
    <row r="2306" spans="1:48" x14ac:dyDescent="0.4">
      <c r="A2306">
        <v>1525001908</v>
      </c>
      <c r="B2306">
        <v>1525001912</v>
      </c>
      <c r="C2306" t="str">
        <f>T("[e북]상왕 진우몽 5권")</f>
        <v>[e북]상왕 진우몽 5권</v>
      </c>
      <c r="D2306" t="str">
        <f>T("5")</f>
        <v>5</v>
      </c>
      <c r="E2306" t="str">
        <f>T("권용찬")</f>
        <v>권용찬</v>
      </c>
      <c r="H2306" t="str">
        <f t="shared" si="220"/>
        <v>스토리위즈</v>
      </c>
      <c r="I2306" t="str">
        <f>T("[e북]상왕 진우몽")</f>
        <v>[e북]상왕 진우몽</v>
      </c>
      <c r="J2306">
        <v>3200</v>
      </c>
      <c r="K2306">
        <v>0</v>
      </c>
      <c r="L2306">
        <v>0</v>
      </c>
      <c r="M2306">
        <v>0</v>
      </c>
      <c r="N2306">
        <v>900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900</v>
      </c>
      <c r="AH2306">
        <v>1</v>
      </c>
      <c r="AI2306">
        <v>0</v>
      </c>
      <c r="AJ2306">
        <v>0</v>
      </c>
      <c r="AK2306">
        <v>900</v>
      </c>
      <c r="AL2306">
        <v>0</v>
      </c>
      <c r="AM2306">
        <v>0</v>
      </c>
      <c r="AN2306">
        <v>0</v>
      </c>
      <c r="AO2306">
        <v>0</v>
      </c>
      <c r="AP2306" s="2">
        <v>630</v>
      </c>
      <c r="AT2306" t="str">
        <f>T("9791159285875")</f>
        <v>9791159285875</v>
      </c>
      <c r="AV2306" t="str">
        <f>T("판타지 e북 &gt; 신무협")</f>
        <v>판타지 e북 &gt; 신무협</v>
      </c>
    </row>
    <row r="2307" spans="1:48" x14ac:dyDescent="0.4">
      <c r="A2307">
        <v>1525004988</v>
      </c>
      <c r="B2307">
        <v>1525005292</v>
      </c>
      <c r="C2307" t="str">
        <f>T("용무쌍 5화")</f>
        <v>용무쌍 5화</v>
      </c>
      <c r="D2307" t="str">
        <f>T("5")</f>
        <v>5</v>
      </c>
      <c r="E2307" t="str">
        <f>T("권용찬")</f>
        <v>권용찬</v>
      </c>
      <c r="H2307" t="str">
        <f t="shared" si="220"/>
        <v>스토리위즈</v>
      </c>
      <c r="I2307" t="str">
        <f>T("용무쌍")</f>
        <v>용무쌍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 s="2">
        <v>0</v>
      </c>
      <c r="AT2307" t="str">
        <f>T("9791159284861")</f>
        <v>9791159284861</v>
      </c>
      <c r="AV2307" t="str">
        <f>T("판타지 웹소설 &gt; 무협 소설")</f>
        <v>판타지 웹소설 &gt; 무협 소설</v>
      </c>
    </row>
    <row r="2308" spans="1:48" x14ac:dyDescent="0.4">
      <c r="A2308">
        <v>1525002409</v>
      </c>
      <c r="B2308">
        <v>1525002429</v>
      </c>
      <c r="C2308" t="str">
        <f>T("스포트라이트 21화")</f>
        <v>스포트라이트 21화</v>
      </c>
      <c r="D2308" t="str">
        <f>T("21")</f>
        <v>21</v>
      </c>
      <c r="E2308" t="str">
        <f>T("전혁")</f>
        <v>전혁</v>
      </c>
      <c r="H2308" t="str">
        <f t="shared" si="220"/>
        <v>스토리위즈</v>
      </c>
      <c r="I2308" t="str">
        <f>T("스포트라이트")</f>
        <v>스포트라이트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 s="2">
        <v>0</v>
      </c>
      <c r="AT2308" t="str">
        <f>T("9791159286841")</f>
        <v>9791159286841</v>
      </c>
      <c r="AV2308" t="str">
        <f>T("판타지 웹소설 &gt; 현대 판타지")</f>
        <v>판타지 웹소설 &gt; 현대 판타지</v>
      </c>
    </row>
    <row r="2309" spans="1:48" x14ac:dyDescent="0.4">
      <c r="A2309">
        <v>1525001508</v>
      </c>
      <c r="B2309">
        <v>1525001508</v>
      </c>
      <c r="C2309" t="str">
        <f>T("[e북]칼 1권")</f>
        <v>[e북]칼 1권</v>
      </c>
      <c r="D2309" t="str">
        <f>T("1")</f>
        <v>1</v>
      </c>
      <c r="E2309" t="str">
        <f>T("권용찬")</f>
        <v>권용찬</v>
      </c>
      <c r="H2309" t="str">
        <f t="shared" si="220"/>
        <v>스토리위즈</v>
      </c>
      <c r="I2309" t="str">
        <f>T("[e북]칼")</f>
        <v>[e북]칼</v>
      </c>
      <c r="J2309">
        <v>0</v>
      </c>
      <c r="K2309">
        <v>0</v>
      </c>
      <c r="L2309">
        <v>0</v>
      </c>
      <c r="M2309">
        <v>2</v>
      </c>
      <c r="N2309">
        <v>0</v>
      </c>
      <c r="O2309">
        <v>0</v>
      </c>
      <c r="P2309">
        <v>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9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 s="2">
        <v>0</v>
      </c>
      <c r="AT2309" t="str">
        <f>T("9791159282355")</f>
        <v>9791159282355</v>
      </c>
      <c r="AV2309" t="str">
        <f>T("판타지 e북 &gt; 신무협")</f>
        <v>판타지 e북 &gt; 신무협</v>
      </c>
    </row>
    <row r="2310" spans="1:48" x14ac:dyDescent="0.4">
      <c r="A2310">
        <v>1525000055</v>
      </c>
      <c r="B2310">
        <v>1525000066</v>
      </c>
      <c r="C2310" t="str">
        <f>T("[e북]21세기 대마법사 11권")</f>
        <v>[e북]21세기 대마법사 11권</v>
      </c>
      <c r="D2310" t="str">
        <f>T("11")</f>
        <v>11</v>
      </c>
      <c r="E2310" t="str">
        <f>T("김광수")</f>
        <v>김광수</v>
      </c>
      <c r="H2310" t="str">
        <f t="shared" si="220"/>
        <v>스토리위즈</v>
      </c>
      <c r="I2310" t="str">
        <f>T("[e북]21세기 대마법사")</f>
        <v>[e북]21세기 대마법사</v>
      </c>
      <c r="J2310">
        <v>3200</v>
      </c>
      <c r="K2310">
        <v>0</v>
      </c>
      <c r="L2310">
        <v>0</v>
      </c>
      <c r="M2310">
        <v>0</v>
      </c>
      <c r="N2310">
        <v>9000</v>
      </c>
      <c r="O2310">
        <v>10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9000</v>
      </c>
      <c r="AH2310">
        <v>10</v>
      </c>
      <c r="AI2310">
        <v>0</v>
      </c>
      <c r="AJ2310">
        <v>0</v>
      </c>
      <c r="AK2310">
        <v>8100</v>
      </c>
      <c r="AL2310">
        <v>0</v>
      </c>
      <c r="AM2310">
        <v>900</v>
      </c>
      <c r="AN2310">
        <v>0</v>
      </c>
      <c r="AO2310">
        <v>0</v>
      </c>
      <c r="AP2310" s="2">
        <v>6300</v>
      </c>
      <c r="AT2310" t="str">
        <f>T("9788925119144")</f>
        <v>9788925119144</v>
      </c>
      <c r="AV2310" t="str">
        <f>T("판타지 e북 &gt; 퓨전 판타지")</f>
        <v>판타지 e북 &gt; 퓨전 판타지</v>
      </c>
    </row>
    <row r="2311" spans="1:48" x14ac:dyDescent="0.4">
      <c r="A2311">
        <v>1525000924</v>
      </c>
      <c r="B2311">
        <v>1525000933</v>
      </c>
      <c r="C2311" t="str">
        <f>T("스피릿 소드 10화")</f>
        <v>스피릿 소드 10화</v>
      </c>
      <c r="D2311" t="str">
        <f>T("10")</f>
        <v>10</v>
      </c>
      <c r="E2311" t="str">
        <f>T("김정률")</f>
        <v>김정률</v>
      </c>
      <c r="H2311" t="str">
        <f t="shared" si="220"/>
        <v>스토리위즈</v>
      </c>
      <c r="I2311" t="str">
        <f>T("스피릿 소드")</f>
        <v>스피릿 소드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 s="2">
        <v>0</v>
      </c>
      <c r="AR2311" t="str">
        <f>T("9791159282713")</f>
        <v>9791159282713</v>
      </c>
      <c r="AT2311" t="str">
        <f>T("9791159282713")</f>
        <v>9791159282713</v>
      </c>
      <c r="AV2311" t="str">
        <f>T("판타지 웹소설 &gt; 정통 판타지")</f>
        <v>판타지 웹소설 &gt; 정통 판타지</v>
      </c>
    </row>
    <row r="2312" spans="1:48" x14ac:dyDescent="0.4">
      <c r="A2312">
        <v>1525004030</v>
      </c>
      <c r="B2312">
        <v>1525004046</v>
      </c>
      <c r="C2312" t="str">
        <f>T("회귀의 전설 17화")</f>
        <v>회귀의 전설 17화</v>
      </c>
      <c r="D2312" t="str">
        <f>T("17")</f>
        <v>17</v>
      </c>
      <c r="E2312" t="str">
        <f>T("김광수")</f>
        <v>김광수</v>
      </c>
      <c r="H2312" t="str">
        <f t="shared" si="220"/>
        <v>스토리위즈</v>
      </c>
      <c r="I2312" t="str">
        <f>T("회귀의 전설")</f>
        <v>회귀의 전설</v>
      </c>
      <c r="J2312">
        <v>0</v>
      </c>
      <c r="K2312">
        <v>0</v>
      </c>
      <c r="L2312">
        <v>0</v>
      </c>
      <c r="M2312">
        <v>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 s="2">
        <v>0</v>
      </c>
      <c r="AT2312" t="str">
        <f>T("9788997946006")</f>
        <v>9788997946006</v>
      </c>
      <c r="AV2312" t="str">
        <f>T("판타지 웹소설 &gt; 현대 판타지")</f>
        <v>판타지 웹소설 &gt; 현대 판타지</v>
      </c>
    </row>
    <row r="2313" spans="1:48" x14ac:dyDescent="0.4">
      <c r="A2313">
        <v>1525002692</v>
      </c>
      <c r="B2313">
        <v>1525002697</v>
      </c>
      <c r="C2313" t="str">
        <f>T("신규무사 6화")</f>
        <v>신규무사 6화</v>
      </c>
      <c r="D2313" t="str">
        <f>T("6")</f>
        <v>6</v>
      </c>
      <c r="E2313" t="str">
        <f>T("권용찬")</f>
        <v>권용찬</v>
      </c>
      <c r="H2313" t="str">
        <f t="shared" si="220"/>
        <v>스토리위즈</v>
      </c>
      <c r="I2313" t="str">
        <f>T("신규무사")</f>
        <v>신규무사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 s="2">
        <v>0</v>
      </c>
      <c r="AT2313" t="str">
        <f>T("9791159287480")</f>
        <v>9791159287480</v>
      </c>
      <c r="AV2313" t="str">
        <f>T("판타지 웹소설 &gt; 무협 소설")</f>
        <v>판타지 웹소설 &gt; 무협 소설</v>
      </c>
    </row>
    <row r="2314" spans="1:48" x14ac:dyDescent="0.4">
      <c r="A2314">
        <v>1525000569</v>
      </c>
      <c r="B2314">
        <v>1525000592</v>
      </c>
      <c r="C2314" t="str">
        <f>T("스트라이커 24화")</f>
        <v>스트라이커 24화</v>
      </c>
      <c r="D2314" t="str">
        <f>T("24")</f>
        <v>24</v>
      </c>
      <c r="E2314" t="str">
        <f>T("독고진")</f>
        <v>독고진</v>
      </c>
      <c r="H2314" t="str">
        <f t="shared" si="220"/>
        <v>스토리위즈</v>
      </c>
      <c r="I2314" t="str">
        <f>T("스트라이커")</f>
        <v>스트라이커</v>
      </c>
      <c r="J2314">
        <v>0</v>
      </c>
      <c r="K2314">
        <v>0</v>
      </c>
      <c r="L2314">
        <v>0</v>
      </c>
      <c r="M2314">
        <v>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 s="2">
        <v>0</v>
      </c>
      <c r="AT2314" t="str">
        <f>T("9791170151678")</f>
        <v>9791170151678</v>
      </c>
      <c r="AV2314" t="str">
        <f>T("판타지 웹소설 &gt; 현대 판타지")</f>
        <v>판타지 웹소설 &gt; 현대 판타지</v>
      </c>
    </row>
    <row r="2315" spans="1:48" x14ac:dyDescent="0.4">
      <c r="A2315">
        <v>1525014015</v>
      </c>
      <c r="B2315">
        <v>1525014034</v>
      </c>
      <c r="C2315" t="str">
        <f>T("사냥꾼은 마왕이 되기 싫다 20화")</f>
        <v>사냥꾼은 마왕이 되기 싫다 20화</v>
      </c>
      <c r="D2315" t="str">
        <f>T("20")</f>
        <v>20</v>
      </c>
      <c r="E2315" t="str">
        <f>T("강명운")</f>
        <v>강명운</v>
      </c>
      <c r="H2315" t="str">
        <f>T("스토리아크")</f>
        <v>스토리아크</v>
      </c>
      <c r="I2315" t="str">
        <f>T("사냥꾼은 마왕이 되기 싫다")</f>
        <v>사냥꾼은 마왕이 되기 싫다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 s="2">
        <v>0</v>
      </c>
      <c r="AR2315" t="str">
        <f>T("0000000000000")</f>
        <v>0000000000000</v>
      </c>
      <c r="AT2315" t="str">
        <f>T("9791191039269")</f>
        <v>9791191039269</v>
      </c>
      <c r="AV2315" t="str">
        <f>T("판타지 웹소설 &gt; 정통 판타지")</f>
        <v>판타지 웹소설 &gt; 정통 판타지</v>
      </c>
    </row>
    <row r="2316" spans="1:48" x14ac:dyDescent="0.4">
      <c r="A2316">
        <v>1525013320</v>
      </c>
      <c r="B2316">
        <v>1525013321</v>
      </c>
      <c r="C2316" t="str">
        <f>T("[e북]악당의 리턴 2권")</f>
        <v>[e북]악당의 리턴 2권</v>
      </c>
      <c r="D2316" t="str">
        <f>T("2")</f>
        <v>2</v>
      </c>
      <c r="E2316" t="str">
        <f>T("백범(白帆)")</f>
        <v>백범(白帆)</v>
      </c>
      <c r="H2316" t="str">
        <f>T("에필로그")</f>
        <v>에필로그</v>
      </c>
      <c r="I2316" t="str">
        <f>T("[e북]악당의 리턴")</f>
        <v>[e북]악당의 리턴</v>
      </c>
      <c r="J2316">
        <v>3200</v>
      </c>
      <c r="K2316">
        <v>0</v>
      </c>
      <c r="L2316">
        <v>0</v>
      </c>
      <c r="M2316">
        <v>0</v>
      </c>
      <c r="N2316">
        <v>900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900</v>
      </c>
      <c r="AH2316">
        <v>1</v>
      </c>
      <c r="AI2316">
        <v>0</v>
      </c>
      <c r="AJ2316">
        <v>0</v>
      </c>
      <c r="AK2316">
        <v>900</v>
      </c>
      <c r="AL2316">
        <v>0</v>
      </c>
      <c r="AM2316">
        <v>0</v>
      </c>
      <c r="AN2316">
        <v>0</v>
      </c>
      <c r="AO2316">
        <v>0</v>
      </c>
      <c r="AP2316" s="2">
        <v>630</v>
      </c>
      <c r="AT2316" t="str">
        <f>T("9791164482863")</f>
        <v>9791164482863</v>
      </c>
      <c r="AV2316" t="str">
        <f>T("판타지 e북 &gt; 현대 판타지")</f>
        <v>판타지 e북 &gt; 현대 판타지</v>
      </c>
    </row>
    <row r="2317" spans="1:48" x14ac:dyDescent="0.4">
      <c r="A2317">
        <v>1525011523</v>
      </c>
      <c r="B2317">
        <v>1525011520</v>
      </c>
      <c r="C2317" t="str">
        <f>T("남창목가 4화")</f>
        <v>남창목가 4화</v>
      </c>
      <c r="D2317" t="str">
        <f>T("4")</f>
        <v>4</v>
      </c>
      <c r="E2317" t="str">
        <f>T("최재봉")</f>
        <v>최재봉</v>
      </c>
      <c r="H2317" t="str">
        <f>T("에필로그")</f>
        <v>에필로그</v>
      </c>
      <c r="I2317" t="str">
        <f>T("남창목가")</f>
        <v>남창목가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 s="2">
        <v>0</v>
      </c>
      <c r="AT2317" t="str">
        <f>T("9791164482849")</f>
        <v>9791164482849</v>
      </c>
      <c r="AV2317" t="str">
        <f>T("판타지 웹소설 &gt; 무협 소설")</f>
        <v>판타지 웹소설 &gt; 무협 소설</v>
      </c>
    </row>
    <row r="2318" spans="1:48" x14ac:dyDescent="0.4">
      <c r="A2318">
        <v>1525002864</v>
      </c>
      <c r="B2318">
        <v>1525002878</v>
      </c>
      <c r="C2318" t="str">
        <f>T("소드마스터의 환생 15화")</f>
        <v>소드마스터의 환생 15화</v>
      </c>
      <c r="D2318" t="str">
        <f>T("15")</f>
        <v>15</v>
      </c>
      <c r="E2318" t="str">
        <f>T("파란영")</f>
        <v>파란영</v>
      </c>
      <c r="H2318" t="str">
        <f>T("스토리위즈")</f>
        <v>스토리위즈</v>
      </c>
      <c r="I2318" t="str">
        <f>T("소드마스터의 환생")</f>
        <v>소드마스터의 환생</v>
      </c>
      <c r="J2318">
        <v>0</v>
      </c>
      <c r="K2318">
        <v>0</v>
      </c>
      <c r="L2318">
        <v>0</v>
      </c>
      <c r="M2318">
        <v>4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4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 s="2">
        <v>0</v>
      </c>
      <c r="AT2318" t="str">
        <f>T("9791159287527")</f>
        <v>9791159287527</v>
      </c>
      <c r="AV2318" t="str">
        <f>T("판타지 웹소설 &gt; 정통 판타지")</f>
        <v>판타지 웹소설 &gt; 정통 판타지</v>
      </c>
    </row>
    <row r="2319" spans="1:48" x14ac:dyDescent="0.4">
      <c r="A2319">
        <v>1525001334</v>
      </c>
      <c r="B2319">
        <v>1525001337</v>
      </c>
      <c r="C2319" t="str">
        <f>T("게이트 헌터 4화")</f>
        <v>게이트 헌터 4화</v>
      </c>
      <c r="D2319" t="str">
        <f>T("4")</f>
        <v>4</v>
      </c>
      <c r="E2319" t="str">
        <f>T("권용찬")</f>
        <v>권용찬</v>
      </c>
      <c r="H2319" t="str">
        <f>T("스토리위즈")</f>
        <v>스토리위즈</v>
      </c>
      <c r="I2319" t="str">
        <f>T("게이트 헌터")</f>
        <v>게이트 헌터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 s="2">
        <v>0</v>
      </c>
      <c r="AR2319" t="str">
        <f>T("9791159283291")</f>
        <v>9791159283291</v>
      </c>
      <c r="AT2319" t="str">
        <f>T("9791159283291")</f>
        <v>9791159283291</v>
      </c>
      <c r="AV2319" t="str">
        <f>T("판타지 웹소설 &gt; 현대 판타지")</f>
        <v>판타지 웹소설 &gt; 현대 판타지</v>
      </c>
    </row>
    <row r="2320" spans="1:48" x14ac:dyDescent="0.4">
      <c r="A2320">
        <v>1525010974</v>
      </c>
      <c r="B2320">
        <v>1525010967</v>
      </c>
      <c r="C2320" t="str">
        <f>T("[e북]위사무적 8권 (완결)")</f>
        <v>[e북]위사무적 8권 (완결)</v>
      </c>
      <c r="D2320" t="str">
        <f>T("8")</f>
        <v>8</v>
      </c>
      <c r="E2320" t="str">
        <f>T("협행마")</f>
        <v>협행마</v>
      </c>
      <c r="H2320" t="str">
        <f>T("에필로그")</f>
        <v>에필로그</v>
      </c>
      <c r="I2320" t="str">
        <f>T("[e북]위사무적")</f>
        <v>[e북]위사무적</v>
      </c>
      <c r="J2320">
        <v>2000</v>
      </c>
      <c r="K2320">
        <v>0</v>
      </c>
      <c r="L2320">
        <v>0</v>
      </c>
      <c r="M2320">
        <v>0</v>
      </c>
      <c r="N2320">
        <v>1400</v>
      </c>
      <c r="O2320">
        <v>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1400</v>
      </c>
      <c r="AH2320">
        <v>2</v>
      </c>
      <c r="AI2320">
        <v>0</v>
      </c>
      <c r="AJ2320">
        <v>0</v>
      </c>
      <c r="AK2320">
        <v>1400</v>
      </c>
      <c r="AL2320">
        <v>0</v>
      </c>
      <c r="AM2320">
        <v>0</v>
      </c>
      <c r="AN2320">
        <v>0</v>
      </c>
      <c r="AO2320">
        <v>0</v>
      </c>
      <c r="AP2320" s="2">
        <v>980</v>
      </c>
      <c r="AT2320" t="str">
        <f>T("9791164489015")</f>
        <v>9791164489015</v>
      </c>
      <c r="AV2320" t="str">
        <f>T("판타지 e북 &gt; 신무협")</f>
        <v>판타지 e북 &gt; 신무협</v>
      </c>
    </row>
    <row r="2321" spans="1:48" x14ac:dyDescent="0.4">
      <c r="A2321">
        <v>1525010898</v>
      </c>
      <c r="B2321">
        <v>1525010878</v>
      </c>
      <c r="C2321" t="str">
        <f>T("[e북]용병수칙 5권")</f>
        <v>[e북]용병수칙 5권</v>
      </c>
      <c r="D2321" t="str">
        <f>T("5")</f>
        <v>5</v>
      </c>
      <c r="E2321" t="str">
        <f>T("협행마")</f>
        <v>협행마</v>
      </c>
      <c r="H2321" t="str">
        <f>T("에필로그")</f>
        <v>에필로그</v>
      </c>
      <c r="I2321" t="str">
        <f>T("[e북]용병수칙")</f>
        <v>[e북]용병수칙</v>
      </c>
      <c r="J2321">
        <v>2500</v>
      </c>
      <c r="K2321">
        <v>0</v>
      </c>
      <c r="L2321">
        <v>0</v>
      </c>
      <c r="M2321">
        <v>0</v>
      </c>
      <c r="N2321">
        <v>810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810</v>
      </c>
      <c r="AH2321">
        <v>1</v>
      </c>
      <c r="AI2321">
        <v>0</v>
      </c>
      <c r="AJ2321">
        <v>0</v>
      </c>
      <c r="AK2321">
        <v>810</v>
      </c>
      <c r="AL2321">
        <v>0</v>
      </c>
      <c r="AM2321">
        <v>0</v>
      </c>
      <c r="AN2321">
        <v>0</v>
      </c>
      <c r="AO2321">
        <v>0</v>
      </c>
      <c r="AP2321" s="2">
        <v>567</v>
      </c>
      <c r="AT2321" t="str">
        <f>T("9791166000140")</f>
        <v>9791166000140</v>
      </c>
      <c r="AV2321" t="str">
        <f>T("판타지 e북 &gt; 퓨전 판타지")</f>
        <v>판타지 e북 &gt; 퓨전 판타지</v>
      </c>
    </row>
    <row r="2322" spans="1:48" x14ac:dyDescent="0.4">
      <c r="A2322">
        <v>1525001317</v>
      </c>
      <c r="B2322">
        <v>1525001320</v>
      </c>
      <c r="C2322" t="str">
        <f>T("[e북]완전판 | 스트라이커 4권")</f>
        <v>[e북]완전판 | 스트라이커 4권</v>
      </c>
      <c r="D2322" t="str">
        <f>T("4")</f>
        <v>4</v>
      </c>
      <c r="E2322" t="str">
        <f>T("독고진")</f>
        <v>독고진</v>
      </c>
      <c r="H2322" t="str">
        <f>T("스토리위즈")</f>
        <v>스토리위즈</v>
      </c>
      <c r="I2322" t="str">
        <f>T("[e북]완전판 | 스트라이커")</f>
        <v>[e북]완전판 | 스트라이커</v>
      </c>
      <c r="J2322">
        <v>3200</v>
      </c>
      <c r="K2322">
        <v>0</v>
      </c>
      <c r="L2322">
        <v>0</v>
      </c>
      <c r="M2322">
        <v>0</v>
      </c>
      <c r="N2322">
        <v>8100</v>
      </c>
      <c r="O2322">
        <v>9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8100</v>
      </c>
      <c r="AH2322">
        <v>9</v>
      </c>
      <c r="AI2322">
        <v>0</v>
      </c>
      <c r="AJ2322">
        <v>0</v>
      </c>
      <c r="AK2322">
        <v>8100</v>
      </c>
      <c r="AL2322">
        <v>0</v>
      </c>
      <c r="AM2322">
        <v>0</v>
      </c>
      <c r="AN2322">
        <v>0</v>
      </c>
      <c r="AO2322">
        <v>0</v>
      </c>
      <c r="AP2322" s="2">
        <v>5670</v>
      </c>
      <c r="AR2322" t="str">
        <f>T("9791159282867")</f>
        <v>9791159282867</v>
      </c>
      <c r="AT2322" t="str">
        <f>T("9791159282867")</f>
        <v>9791159282867</v>
      </c>
      <c r="AV2322" t="str">
        <f>T("판타지 e북 &gt; 스포츠물")</f>
        <v>판타지 e북 &gt; 스포츠물</v>
      </c>
    </row>
    <row r="2323" spans="1:48" x14ac:dyDescent="0.4">
      <c r="A2323">
        <v>1525007923</v>
      </c>
      <c r="B2323">
        <v>1525007923</v>
      </c>
      <c r="C2323" t="str">
        <f>T("운상연담: 화불능귀일락 1화")</f>
        <v>운상연담: 화불능귀일락 1화</v>
      </c>
      <c r="D2323" t="str">
        <f>T("1")</f>
        <v>1</v>
      </c>
      <c r="E2323" t="str">
        <f>T("피모")</f>
        <v>피모</v>
      </c>
      <c r="H2323" t="str">
        <f>T("쉬라즈")</f>
        <v>쉬라즈</v>
      </c>
      <c r="I2323" t="str">
        <f>T("운상연담: 화불능귀일락")</f>
        <v>운상연담: 화불능귀일락</v>
      </c>
      <c r="J2323">
        <v>0</v>
      </c>
      <c r="K2323">
        <v>0</v>
      </c>
      <c r="L2323">
        <v>0</v>
      </c>
      <c r="M2323">
        <v>7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7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 s="2">
        <v>0</v>
      </c>
      <c r="AR2323" t="str">
        <f>T("0000000000000")</f>
        <v>0000000000000</v>
      </c>
      <c r="AT2323" t="str">
        <f>T("9791164896646")</f>
        <v>9791164896646</v>
      </c>
      <c r="AV2323" t="str">
        <f>T("로맨스 웹소설 &gt; 역사/시대물")</f>
        <v>로맨스 웹소설 &gt; 역사/시대물</v>
      </c>
    </row>
    <row r="2324" spans="1:48" x14ac:dyDescent="0.4">
      <c r="A2324">
        <v>1525002864</v>
      </c>
      <c r="B2324">
        <v>1525002871</v>
      </c>
      <c r="C2324" t="str">
        <f>T("소드마스터의 환생 8화")</f>
        <v>소드마스터의 환생 8화</v>
      </c>
      <c r="D2324" t="str">
        <f>T("8")</f>
        <v>8</v>
      </c>
      <c r="E2324" t="str">
        <f>T("파란영")</f>
        <v>파란영</v>
      </c>
      <c r="H2324" t="str">
        <f>T("스토리위즈")</f>
        <v>스토리위즈</v>
      </c>
      <c r="I2324" t="str">
        <f>T("소드마스터의 환생")</f>
        <v>소드마스터의 환생</v>
      </c>
      <c r="J2324">
        <v>0</v>
      </c>
      <c r="K2324">
        <v>0</v>
      </c>
      <c r="L2324">
        <v>0</v>
      </c>
      <c r="M2324">
        <v>4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4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 s="2">
        <v>0</v>
      </c>
      <c r="AT2324" t="str">
        <f>T("9791159287527")</f>
        <v>9791159287527</v>
      </c>
      <c r="AV2324" t="str">
        <f>T("판타지 웹소설 &gt; 정통 판타지")</f>
        <v>판타지 웹소설 &gt; 정통 판타지</v>
      </c>
    </row>
    <row r="2325" spans="1:48" x14ac:dyDescent="0.4">
      <c r="A2325">
        <v>1525000158</v>
      </c>
      <c r="B2325">
        <v>1525000164</v>
      </c>
      <c r="C2325" t="str">
        <f>T("[e북]아나크레온 7권")</f>
        <v>[e북]아나크레온 7권</v>
      </c>
      <c r="D2325" t="str">
        <f>T("7")</f>
        <v>7</v>
      </c>
      <c r="E2325" t="str">
        <f>T("김정률")</f>
        <v>김정률</v>
      </c>
      <c r="H2325" t="str">
        <f>T("스토리위즈")</f>
        <v>스토리위즈</v>
      </c>
      <c r="I2325" t="str">
        <f>T("[e북]아나크레온")</f>
        <v>[e북]아나크레온</v>
      </c>
      <c r="J2325">
        <v>3200</v>
      </c>
      <c r="K2325">
        <v>0</v>
      </c>
      <c r="L2325">
        <v>0</v>
      </c>
      <c r="M2325">
        <v>0</v>
      </c>
      <c r="N2325">
        <v>2700</v>
      </c>
      <c r="O2325">
        <v>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2700</v>
      </c>
      <c r="AH2325">
        <v>3</v>
      </c>
      <c r="AI2325">
        <v>0</v>
      </c>
      <c r="AJ2325">
        <v>0</v>
      </c>
      <c r="AK2325">
        <v>1800</v>
      </c>
      <c r="AL2325">
        <v>0</v>
      </c>
      <c r="AM2325">
        <v>900</v>
      </c>
      <c r="AN2325">
        <v>0</v>
      </c>
      <c r="AO2325">
        <v>0</v>
      </c>
      <c r="AP2325" s="2">
        <v>1890</v>
      </c>
      <c r="AV2325" t="str">
        <f>T("판타지 e북 &gt; 퓨전 판타지")</f>
        <v>판타지 e북 &gt; 퓨전 판타지</v>
      </c>
    </row>
    <row r="2326" spans="1:48" x14ac:dyDescent="0.4">
      <c r="A2326">
        <v>1525000113</v>
      </c>
      <c r="B2326">
        <v>1525000124</v>
      </c>
      <c r="C2326" t="str">
        <f>T("[e북]마왕 데이몬 12권 (완결)")</f>
        <v>[e북]마왕 데이몬 12권 (완결)</v>
      </c>
      <c r="D2326" t="str">
        <f>T("12")</f>
        <v>12</v>
      </c>
      <c r="E2326" t="str">
        <f>T("김정률")</f>
        <v>김정률</v>
      </c>
      <c r="H2326" t="str">
        <f>T("스토리위즈")</f>
        <v>스토리위즈</v>
      </c>
      <c r="I2326" t="str">
        <f>T("[e북]마왕 데이몬")</f>
        <v>[e북]마왕 데이몬</v>
      </c>
      <c r="J2326">
        <v>3200</v>
      </c>
      <c r="K2326">
        <v>0</v>
      </c>
      <c r="L2326">
        <v>0</v>
      </c>
      <c r="M2326">
        <v>0</v>
      </c>
      <c r="N2326">
        <v>2700</v>
      </c>
      <c r="O2326">
        <v>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2700</v>
      </c>
      <c r="AH2326">
        <v>3</v>
      </c>
      <c r="AI2326">
        <v>0</v>
      </c>
      <c r="AJ2326">
        <v>0</v>
      </c>
      <c r="AK2326">
        <v>2700</v>
      </c>
      <c r="AL2326">
        <v>0</v>
      </c>
      <c r="AM2326">
        <v>0</v>
      </c>
      <c r="AN2326">
        <v>0</v>
      </c>
      <c r="AO2326">
        <v>0</v>
      </c>
      <c r="AP2326" s="2">
        <v>1890</v>
      </c>
      <c r="AT2326" t="str">
        <f>T("9788925731162")</f>
        <v>9788925731162</v>
      </c>
      <c r="AV2326" t="str">
        <f>T("판타지 e북 &gt; 현대 판타지")</f>
        <v>판타지 e북 &gt; 현대 판타지</v>
      </c>
    </row>
    <row r="2327" spans="1:48" x14ac:dyDescent="0.4">
      <c r="A2327">
        <v>1525012005</v>
      </c>
      <c r="B2327">
        <v>1525012005</v>
      </c>
      <c r="C2327" t="str">
        <f>T("[e북]남궁세가 건달공자 1권")</f>
        <v>[e북]남궁세가 건달공자 1권</v>
      </c>
      <c r="D2327" t="str">
        <f>T("1")</f>
        <v>1</v>
      </c>
      <c r="E2327" t="str">
        <f>T("협행마")</f>
        <v>협행마</v>
      </c>
      <c r="H2327" t="str">
        <f>T("에필로그")</f>
        <v>에필로그</v>
      </c>
      <c r="I2327" t="str">
        <f>T("[e북]남궁세가 건달공자")</f>
        <v>[e북]남궁세가 건달공자</v>
      </c>
      <c r="J2327">
        <v>0</v>
      </c>
      <c r="K2327">
        <v>0</v>
      </c>
      <c r="L2327">
        <v>0</v>
      </c>
      <c r="M2327">
        <v>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3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 s="2">
        <v>0</v>
      </c>
      <c r="AT2327" t="str">
        <f>T("9791164481552")</f>
        <v>9791164481552</v>
      </c>
      <c r="AV2327" t="str">
        <f>T("판타지 e북 &gt; 신무협")</f>
        <v>판타지 e북 &gt; 신무협</v>
      </c>
    </row>
    <row r="2328" spans="1:48" x14ac:dyDescent="0.4">
      <c r="A2328">
        <v>1525001317</v>
      </c>
      <c r="B2328">
        <v>1525001328</v>
      </c>
      <c r="C2328" t="str">
        <f>T("[e북]완전판 | 스트라이커 12권")</f>
        <v>[e북]완전판 | 스트라이커 12권</v>
      </c>
      <c r="D2328" t="str">
        <f>T("12")</f>
        <v>12</v>
      </c>
      <c r="E2328" t="str">
        <f>T("독고진")</f>
        <v>독고진</v>
      </c>
      <c r="H2328" t="str">
        <f>T("스토리위즈")</f>
        <v>스토리위즈</v>
      </c>
      <c r="I2328" t="str">
        <f>T("[e북]완전판 | 스트라이커")</f>
        <v>[e북]완전판 | 스트라이커</v>
      </c>
      <c r="J2328">
        <v>3200</v>
      </c>
      <c r="K2328">
        <v>0</v>
      </c>
      <c r="L2328">
        <v>0</v>
      </c>
      <c r="M2328">
        <v>0</v>
      </c>
      <c r="N2328">
        <v>3600</v>
      </c>
      <c r="O2328">
        <v>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3600</v>
      </c>
      <c r="AH2328">
        <v>4</v>
      </c>
      <c r="AI2328">
        <v>0</v>
      </c>
      <c r="AJ2328">
        <v>0</v>
      </c>
      <c r="AK2328">
        <v>3600</v>
      </c>
      <c r="AL2328">
        <v>0</v>
      </c>
      <c r="AM2328">
        <v>0</v>
      </c>
      <c r="AN2328">
        <v>0</v>
      </c>
      <c r="AO2328">
        <v>0</v>
      </c>
      <c r="AP2328" s="2">
        <v>2520</v>
      </c>
      <c r="AR2328" t="str">
        <f>T("9791159282942")</f>
        <v>9791159282942</v>
      </c>
      <c r="AT2328" t="str">
        <f>T("9791159282942")</f>
        <v>9791159282942</v>
      </c>
      <c r="AV2328" t="str">
        <f>T("판타지 e북 &gt; 스포츠물")</f>
        <v>판타지 e북 &gt; 스포츠물</v>
      </c>
    </row>
    <row r="2329" spans="1:48" x14ac:dyDescent="0.4">
      <c r="A2329">
        <v>1525004989</v>
      </c>
      <c r="B2329">
        <v>1525005511</v>
      </c>
      <c r="C2329" t="str">
        <f>T("신룡전설 22화")</f>
        <v>신룡전설 22화</v>
      </c>
      <c r="D2329" t="str">
        <f>T("22")</f>
        <v>22</v>
      </c>
      <c r="E2329" t="str">
        <f>T("가람검")</f>
        <v>가람검</v>
      </c>
      <c r="H2329" t="str">
        <f>T("스토리위즈")</f>
        <v>스토리위즈</v>
      </c>
      <c r="I2329" t="str">
        <f>T("신룡전설")</f>
        <v>신룡전설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 s="2">
        <v>0</v>
      </c>
      <c r="AT2329" t="str">
        <f>T("9791159283505")</f>
        <v>9791159283505</v>
      </c>
      <c r="AV2329" t="str">
        <f>T("판타지 웹소설 &gt; 무협 소설")</f>
        <v>판타지 웹소설 &gt; 무협 소설</v>
      </c>
    </row>
    <row r="2330" spans="1:48" x14ac:dyDescent="0.4">
      <c r="A2330">
        <v>1525010800</v>
      </c>
      <c r="B2330">
        <v>1525010800</v>
      </c>
      <c r="C2330" t="str">
        <f>T("[e북]무림병장 1권")</f>
        <v>[e북]무림병장 1권</v>
      </c>
      <c r="D2330" t="str">
        <f>T("1")</f>
        <v>1</v>
      </c>
      <c r="E2330" t="str">
        <f>T("협행마")</f>
        <v>협행마</v>
      </c>
      <c r="H2330" t="str">
        <f>T("에필로그")</f>
        <v>에필로그</v>
      </c>
      <c r="I2330" t="str">
        <f>T("[e북]무림병장")</f>
        <v>[e북]무림병장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2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 s="2">
        <v>0</v>
      </c>
      <c r="AT2330" t="str">
        <f>T("9791166000409")</f>
        <v>9791166000409</v>
      </c>
      <c r="AV2330" t="str">
        <f>T("판타지 e북 &gt; 신무협")</f>
        <v>판타지 e북 &gt; 신무협</v>
      </c>
    </row>
    <row r="2331" spans="1:48" x14ac:dyDescent="0.4">
      <c r="A2331">
        <v>1525001877</v>
      </c>
      <c r="B2331">
        <v>1525001877</v>
      </c>
      <c r="C2331" t="str">
        <f>T("[e북]완전판 | 게이트 헌터 1권")</f>
        <v>[e북]완전판 | 게이트 헌터 1권</v>
      </c>
      <c r="D2331" t="str">
        <f>T("1")</f>
        <v>1</v>
      </c>
      <c r="E2331" t="str">
        <f>T("권용찬")</f>
        <v>권용찬</v>
      </c>
      <c r="H2331" t="str">
        <f t="shared" ref="H2331:H2339" si="221">T("스토리위즈")</f>
        <v>스토리위즈</v>
      </c>
      <c r="I2331" t="str">
        <f>T("[e북]완전판 | 게이트 헌터")</f>
        <v>[e북]완전판 | 게이트 헌터</v>
      </c>
      <c r="J2331">
        <v>0</v>
      </c>
      <c r="K2331">
        <v>0</v>
      </c>
      <c r="L2331">
        <v>0</v>
      </c>
      <c r="M2331">
        <v>4</v>
      </c>
      <c r="N2331">
        <v>0</v>
      </c>
      <c r="O2331">
        <v>0</v>
      </c>
      <c r="P2331">
        <v>3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7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 s="2">
        <v>0</v>
      </c>
      <c r="AT2331" t="str">
        <f>T("9791159285301")</f>
        <v>9791159285301</v>
      </c>
      <c r="AV2331" t="str">
        <f>T("판타지 e북 &gt; 현대 판타지")</f>
        <v>판타지 e북 &gt; 현대 판타지</v>
      </c>
    </row>
    <row r="2332" spans="1:48" x14ac:dyDescent="0.4">
      <c r="A2332">
        <v>1525004799</v>
      </c>
      <c r="B2332">
        <v>1525004820</v>
      </c>
      <c r="C2332" t="str">
        <f>T("검산도해 22화")</f>
        <v>검산도해 22화</v>
      </c>
      <c r="D2332" t="str">
        <f>T("22")</f>
        <v>22</v>
      </c>
      <c r="E2332" t="str">
        <f>T("권용찬")</f>
        <v>권용찬</v>
      </c>
      <c r="H2332" t="str">
        <f t="shared" si="221"/>
        <v>스토리위즈</v>
      </c>
      <c r="I2332" t="str">
        <f>T("검산도해")</f>
        <v>검산도해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 s="2">
        <v>0</v>
      </c>
      <c r="AT2332" t="str">
        <f>T("9791159285936")</f>
        <v>9791159285936</v>
      </c>
      <c r="AV2332" t="str">
        <f>T("판타지 웹소설 &gt; 무협 소설")</f>
        <v>판타지 웹소설 &gt; 무협 소설</v>
      </c>
    </row>
    <row r="2333" spans="1:48" x14ac:dyDescent="0.4">
      <c r="A2333">
        <v>1525002409</v>
      </c>
      <c r="B2333">
        <v>1525002422</v>
      </c>
      <c r="C2333" t="str">
        <f>T("스포트라이트 14화")</f>
        <v>스포트라이트 14화</v>
      </c>
      <c r="D2333" t="str">
        <f>T("14")</f>
        <v>14</v>
      </c>
      <c r="E2333" t="str">
        <f>T("전혁")</f>
        <v>전혁</v>
      </c>
      <c r="H2333" t="str">
        <f t="shared" si="221"/>
        <v>스토리위즈</v>
      </c>
      <c r="I2333" t="str">
        <f>T("스포트라이트")</f>
        <v>스포트라이트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 s="2">
        <v>0</v>
      </c>
      <c r="AT2333" t="str">
        <f>T("9791159286841")</f>
        <v>9791159286841</v>
      </c>
      <c r="AV2333" t="str">
        <f>T("판타지 웹소설 &gt; 현대 판타지")</f>
        <v>판타지 웹소설 &gt; 현대 판타지</v>
      </c>
    </row>
    <row r="2334" spans="1:48" x14ac:dyDescent="0.4">
      <c r="A2334">
        <v>1525001499</v>
      </c>
      <c r="B2334">
        <v>1525001500</v>
      </c>
      <c r="C2334" t="str">
        <f>T("[e북]파계 2권")</f>
        <v>[e북]파계 2권</v>
      </c>
      <c r="D2334" t="str">
        <f>T("2")</f>
        <v>2</v>
      </c>
      <c r="E2334" t="str">
        <f>T("권용찬")</f>
        <v>권용찬</v>
      </c>
      <c r="H2334" t="str">
        <f t="shared" si="221"/>
        <v>스토리위즈</v>
      </c>
      <c r="I2334" t="str">
        <f>T("[e북]파계")</f>
        <v>[e북]파계</v>
      </c>
      <c r="J2334">
        <v>3200</v>
      </c>
      <c r="K2334">
        <v>0</v>
      </c>
      <c r="L2334">
        <v>0</v>
      </c>
      <c r="M2334">
        <v>0</v>
      </c>
      <c r="N2334">
        <v>900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900</v>
      </c>
      <c r="AH2334">
        <v>1</v>
      </c>
      <c r="AI2334">
        <v>0</v>
      </c>
      <c r="AJ2334">
        <v>0</v>
      </c>
      <c r="AK2334">
        <v>900</v>
      </c>
      <c r="AL2334">
        <v>0</v>
      </c>
      <c r="AM2334">
        <v>0</v>
      </c>
      <c r="AN2334">
        <v>0</v>
      </c>
      <c r="AO2334">
        <v>0</v>
      </c>
      <c r="AP2334" s="2">
        <v>630</v>
      </c>
      <c r="AT2334" t="str">
        <f>T("9791159282744")</f>
        <v>9791159282744</v>
      </c>
      <c r="AV2334" t="str">
        <f>T("판타지 e북 &gt; 신무협")</f>
        <v>판타지 e북 &gt; 신무협</v>
      </c>
    </row>
    <row r="2335" spans="1:48" x14ac:dyDescent="0.4">
      <c r="A2335">
        <v>1525000055</v>
      </c>
      <c r="B2335">
        <v>1525000059</v>
      </c>
      <c r="C2335" t="str">
        <f>T("[e북]21세기 대마법사 4권")</f>
        <v>[e북]21세기 대마법사 4권</v>
      </c>
      <c r="D2335" t="str">
        <f>T("4")</f>
        <v>4</v>
      </c>
      <c r="E2335" t="str">
        <f>T("김광수")</f>
        <v>김광수</v>
      </c>
      <c r="H2335" t="str">
        <f t="shared" si="221"/>
        <v>스토리위즈</v>
      </c>
      <c r="I2335" t="str">
        <f>T("[e북]21세기 대마법사")</f>
        <v>[e북]21세기 대마법사</v>
      </c>
      <c r="J2335">
        <v>3200</v>
      </c>
      <c r="K2335">
        <v>0</v>
      </c>
      <c r="L2335">
        <v>0</v>
      </c>
      <c r="M2335">
        <v>0</v>
      </c>
      <c r="N2335">
        <v>9000</v>
      </c>
      <c r="O2335">
        <v>10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9000</v>
      </c>
      <c r="AH2335">
        <v>10</v>
      </c>
      <c r="AI2335">
        <v>0</v>
      </c>
      <c r="AJ2335">
        <v>0</v>
      </c>
      <c r="AK2335">
        <v>7460</v>
      </c>
      <c r="AL2335">
        <v>0</v>
      </c>
      <c r="AM2335">
        <v>1540</v>
      </c>
      <c r="AN2335">
        <v>0</v>
      </c>
      <c r="AO2335">
        <v>0</v>
      </c>
      <c r="AP2335" s="2">
        <v>6300</v>
      </c>
      <c r="AT2335" t="str">
        <f>T("9788925116976")</f>
        <v>9788925116976</v>
      </c>
      <c r="AV2335" t="str">
        <f>T("판타지 e북 &gt; 퓨전 판타지")</f>
        <v>판타지 e북 &gt; 퓨전 판타지</v>
      </c>
    </row>
    <row r="2336" spans="1:48" x14ac:dyDescent="0.4">
      <c r="A2336">
        <v>1525000924</v>
      </c>
      <c r="B2336">
        <v>1525000926</v>
      </c>
      <c r="C2336" t="str">
        <f>T("스피릿 소드 3화")</f>
        <v>스피릿 소드 3화</v>
      </c>
      <c r="D2336" t="str">
        <f>T("3")</f>
        <v>3</v>
      </c>
      <c r="E2336" t="str">
        <f>T("김정률")</f>
        <v>김정률</v>
      </c>
      <c r="H2336" t="str">
        <f t="shared" si="221"/>
        <v>스토리위즈</v>
      </c>
      <c r="I2336" t="str">
        <f>T("스피릿 소드")</f>
        <v>스피릿 소드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s="2">
        <v>0</v>
      </c>
      <c r="AR2336" t="str">
        <f>T("9791159282713")</f>
        <v>9791159282713</v>
      </c>
      <c r="AT2336" t="str">
        <f>T("9791159282713")</f>
        <v>9791159282713</v>
      </c>
      <c r="AV2336" t="str">
        <f>T("판타지 웹소설 &gt; 정통 판타지")</f>
        <v>판타지 웹소설 &gt; 정통 판타지</v>
      </c>
    </row>
    <row r="2337" spans="1:48" x14ac:dyDescent="0.4">
      <c r="A2337">
        <v>1525004030</v>
      </c>
      <c r="B2337">
        <v>1525004039</v>
      </c>
      <c r="C2337" t="str">
        <f>T("회귀의 전설 10화")</f>
        <v>회귀의 전설 10화</v>
      </c>
      <c r="D2337" t="str">
        <f>T("10")</f>
        <v>10</v>
      </c>
      <c r="E2337" t="str">
        <f>T("김광수")</f>
        <v>김광수</v>
      </c>
      <c r="H2337" t="str">
        <f t="shared" si="221"/>
        <v>스토리위즈</v>
      </c>
      <c r="I2337" t="str">
        <f>T("회귀의 전설")</f>
        <v>회귀의 전설</v>
      </c>
      <c r="J2337">
        <v>0</v>
      </c>
      <c r="K2337">
        <v>0</v>
      </c>
      <c r="L2337">
        <v>0</v>
      </c>
      <c r="M2337">
        <v>3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3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 s="2">
        <v>0</v>
      </c>
      <c r="AT2337" t="str">
        <f>T("9788997946006")</f>
        <v>9788997946006</v>
      </c>
      <c r="AV2337" t="str">
        <f>T("판타지 웹소설 &gt; 현대 판타지")</f>
        <v>판타지 웹소설 &gt; 현대 판타지</v>
      </c>
    </row>
    <row r="2338" spans="1:48" x14ac:dyDescent="0.4">
      <c r="A2338">
        <v>1525002125</v>
      </c>
      <c r="B2338">
        <v>1525002140</v>
      </c>
      <c r="C2338" t="str">
        <f>T("신을 죽이러 갑니다 16화")</f>
        <v>신을 죽이러 갑니다 16화</v>
      </c>
      <c r="D2338" t="str">
        <f>T("16")</f>
        <v>16</v>
      </c>
      <c r="E2338" t="str">
        <f>T("독고진")</f>
        <v>독고진</v>
      </c>
      <c r="H2338" t="str">
        <f t="shared" si="221"/>
        <v>스토리위즈</v>
      </c>
      <c r="I2338" t="str">
        <f>T("신을 죽이러 갑니다")</f>
        <v>신을 죽이러 갑니다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 s="2">
        <v>0</v>
      </c>
      <c r="AT2338" t="str">
        <f>T("9791159285806")</f>
        <v>9791159285806</v>
      </c>
      <c r="AV2338" t="str">
        <f>T("판타지 웹소설 &gt; 퓨전 판타지")</f>
        <v>판타지 웹소설 &gt; 퓨전 판타지</v>
      </c>
    </row>
    <row r="2339" spans="1:48" x14ac:dyDescent="0.4">
      <c r="A2339">
        <v>1525000569</v>
      </c>
      <c r="B2339">
        <v>1525000585</v>
      </c>
      <c r="C2339" t="str">
        <f>T("스트라이커 17화")</f>
        <v>스트라이커 17화</v>
      </c>
      <c r="D2339" t="str">
        <f>T("17")</f>
        <v>17</v>
      </c>
      <c r="E2339" t="str">
        <f>T("독고진")</f>
        <v>독고진</v>
      </c>
      <c r="H2339" t="str">
        <f t="shared" si="221"/>
        <v>스토리위즈</v>
      </c>
      <c r="I2339" t="str">
        <f>T("스트라이커")</f>
        <v>스트라이커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 s="2">
        <v>0</v>
      </c>
      <c r="AT2339" t="str">
        <f>T("9791170151678")</f>
        <v>9791170151678</v>
      </c>
      <c r="AV2339" t="str">
        <f>T("판타지 웹소설 &gt; 현대 판타지")</f>
        <v>판타지 웹소설 &gt; 현대 판타지</v>
      </c>
    </row>
    <row r="2340" spans="1:48" x14ac:dyDescent="0.4">
      <c r="A2340">
        <v>1525013020</v>
      </c>
      <c r="B2340">
        <v>1525013040</v>
      </c>
      <c r="C2340" t="str">
        <f>T("악당의 리턴 21화")</f>
        <v>악당의 리턴 21화</v>
      </c>
      <c r="D2340" t="str">
        <f>T("21")</f>
        <v>21</v>
      </c>
      <c r="E2340" t="str">
        <f>T("백범(白帆)")</f>
        <v>백범(白帆)</v>
      </c>
      <c r="H2340" t="str">
        <f>T("에필로그")</f>
        <v>에필로그</v>
      </c>
      <c r="I2340" t="str">
        <f>T("악당의 리턴")</f>
        <v>악당의 리턴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 s="2">
        <v>0</v>
      </c>
      <c r="AT2340" t="str">
        <f>T("9791196538927")</f>
        <v>9791196538927</v>
      </c>
      <c r="AV2340" t="str">
        <f>T("판타지 웹소설 &gt; 현대 판타지")</f>
        <v>판타지 웹소설 &gt; 현대 판타지</v>
      </c>
    </row>
    <row r="2341" spans="1:48" x14ac:dyDescent="0.4">
      <c r="A2341">
        <v>1525000092</v>
      </c>
      <c r="B2341">
        <v>1525000092</v>
      </c>
      <c r="C2341" t="str">
        <f>T("[e북]다크 메이지 1권")</f>
        <v>[e북]다크 메이지 1권</v>
      </c>
      <c r="D2341" t="str">
        <f>T("1")</f>
        <v>1</v>
      </c>
      <c r="E2341" t="str">
        <f>T("김정률")</f>
        <v>김정률</v>
      </c>
      <c r="H2341" t="str">
        <f>T("스토리위즈")</f>
        <v>스토리위즈</v>
      </c>
      <c r="I2341" t="str">
        <f>T("[e북]다크 메이지")</f>
        <v>[e북]다크 메이지</v>
      </c>
      <c r="J2341">
        <v>0</v>
      </c>
      <c r="K2341">
        <v>0</v>
      </c>
      <c r="L2341">
        <v>0</v>
      </c>
      <c r="M2341">
        <v>21</v>
      </c>
      <c r="N2341">
        <v>0</v>
      </c>
      <c r="O2341">
        <v>0</v>
      </c>
      <c r="P2341">
        <v>45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6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72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 s="2">
        <v>0</v>
      </c>
      <c r="AR2341" t="str">
        <f>T("0000000000000")</f>
        <v>0000000000000</v>
      </c>
      <c r="AT2341" t="str">
        <f>T("9791166061851")</f>
        <v>9791166061851</v>
      </c>
      <c r="AV2341" t="str">
        <f>T("판타지 e북 &gt; 퓨전 판타지")</f>
        <v>판타지 e북 &gt; 퓨전 판타지</v>
      </c>
    </row>
    <row r="2342" spans="1:48" x14ac:dyDescent="0.4">
      <c r="A2342">
        <v>1525011523</v>
      </c>
      <c r="B2342">
        <v>1525011513</v>
      </c>
      <c r="C2342" t="str">
        <f>T("남창목가 11화")</f>
        <v>남창목가 11화</v>
      </c>
      <c r="D2342" t="str">
        <f>T("11")</f>
        <v>11</v>
      </c>
      <c r="E2342" t="str">
        <f>T("최재봉")</f>
        <v>최재봉</v>
      </c>
      <c r="H2342" t="str">
        <f>T("에필로그")</f>
        <v>에필로그</v>
      </c>
      <c r="I2342" t="str">
        <f>T("남창목가")</f>
        <v>남창목가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 s="2">
        <v>0</v>
      </c>
      <c r="AT2342" t="str">
        <f>T("9791164482849")</f>
        <v>9791164482849</v>
      </c>
      <c r="AV2342" t="str">
        <f>T("판타지 웹소설 &gt; 무협 소설")</f>
        <v>판타지 웹소설 &gt; 무협 소설</v>
      </c>
    </row>
    <row r="2343" spans="1:48" x14ac:dyDescent="0.4">
      <c r="A2343">
        <v>1525001836</v>
      </c>
      <c r="B2343">
        <v>1525001837</v>
      </c>
      <c r="C2343" t="str">
        <f>T("[e북]완전판ㅣ스피릿 소드 2권")</f>
        <v>[e북]완전판ㅣ스피릿 소드 2권</v>
      </c>
      <c r="D2343" t="str">
        <f>T("2")</f>
        <v>2</v>
      </c>
      <c r="E2343" t="str">
        <f>T("김정률")</f>
        <v>김정률</v>
      </c>
      <c r="H2343" t="str">
        <f>T("스토리위즈")</f>
        <v>스토리위즈</v>
      </c>
      <c r="I2343" t="str">
        <f>T("[e북]완전판ㅣ스피릿 소드")</f>
        <v>[e북]완전판ㅣ스피릿 소드</v>
      </c>
      <c r="J2343">
        <v>3200</v>
      </c>
      <c r="K2343">
        <v>0</v>
      </c>
      <c r="L2343">
        <v>0</v>
      </c>
      <c r="M2343">
        <v>0</v>
      </c>
      <c r="N2343">
        <v>6300</v>
      </c>
      <c r="O2343">
        <v>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6300</v>
      </c>
      <c r="AH2343">
        <v>7</v>
      </c>
      <c r="AI2343">
        <v>0</v>
      </c>
      <c r="AJ2343">
        <v>0</v>
      </c>
      <c r="AK2343">
        <v>4500</v>
      </c>
      <c r="AL2343">
        <v>0</v>
      </c>
      <c r="AM2343">
        <v>1800</v>
      </c>
      <c r="AN2343">
        <v>0</v>
      </c>
      <c r="AO2343">
        <v>0</v>
      </c>
      <c r="AP2343" s="2">
        <v>4410</v>
      </c>
      <c r="AT2343" t="str">
        <f>T("9791159285233")</f>
        <v>9791159285233</v>
      </c>
      <c r="AV2343" t="str">
        <f>T("판타지 e북 &gt; 정통 판타지")</f>
        <v>판타지 e북 &gt; 정통 판타지</v>
      </c>
    </row>
    <row r="2344" spans="1:48" x14ac:dyDescent="0.4">
      <c r="A2344">
        <v>1525013418</v>
      </c>
      <c r="B2344">
        <v>1525013421</v>
      </c>
      <c r="C2344" t="str">
        <f>T("[e북]헌터 킹 4권")</f>
        <v>[e북]헌터 킹 4권</v>
      </c>
      <c r="D2344" t="str">
        <f>T("4")</f>
        <v>4</v>
      </c>
      <c r="E2344" t="str">
        <f>T("백범(白帆)")</f>
        <v>백범(白帆)</v>
      </c>
      <c r="H2344" t="str">
        <f>T("에필로그")</f>
        <v>에필로그</v>
      </c>
      <c r="I2344" t="str">
        <f>T("[e북]헌터 킹")</f>
        <v>[e북]헌터 킹</v>
      </c>
      <c r="J2344">
        <v>2000</v>
      </c>
      <c r="K2344">
        <v>0</v>
      </c>
      <c r="L2344">
        <v>0</v>
      </c>
      <c r="M2344">
        <v>0</v>
      </c>
      <c r="N2344">
        <v>900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900</v>
      </c>
      <c r="AH2344">
        <v>1</v>
      </c>
      <c r="AI2344">
        <v>0</v>
      </c>
      <c r="AJ2344">
        <v>0</v>
      </c>
      <c r="AK2344">
        <v>850</v>
      </c>
      <c r="AL2344">
        <v>0</v>
      </c>
      <c r="AM2344">
        <v>50</v>
      </c>
      <c r="AN2344">
        <v>0</v>
      </c>
      <c r="AO2344">
        <v>0</v>
      </c>
      <c r="AP2344" s="2">
        <v>630</v>
      </c>
      <c r="AR2344" t="str">
        <f>T("0000000000000")</f>
        <v>0000000000000</v>
      </c>
      <c r="AT2344" t="str">
        <f>T("9791164480197")</f>
        <v>9791164480197</v>
      </c>
      <c r="AV2344" t="str">
        <f>T("판타지 e북 &gt; 퓨전 판타지")</f>
        <v>판타지 e북 &gt; 퓨전 판타지</v>
      </c>
    </row>
    <row r="2345" spans="1:48" x14ac:dyDescent="0.4">
      <c r="A2345">
        <v>1525000209</v>
      </c>
      <c r="B2345">
        <v>1525000214</v>
      </c>
      <c r="C2345" t="str">
        <f>T("[e북]독종무쌍 6권")</f>
        <v>[e북]독종무쌍 6권</v>
      </c>
      <c r="D2345" t="str">
        <f>T("6")</f>
        <v>6</v>
      </c>
      <c r="E2345" t="str">
        <f>T("전혁")</f>
        <v>전혁</v>
      </c>
      <c r="H2345" t="str">
        <f>T("스토리위즈")</f>
        <v>스토리위즈</v>
      </c>
      <c r="I2345" t="str">
        <f>T("[e북]독종무쌍")</f>
        <v>[e북]독종무쌍</v>
      </c>
      <c r="J2345">
        <v>3200</v>
      </c>
      <c r="K2345">
        <v>0</v>
      </c>
      <c r="L2345">
        <v>0</v>
      </c>
      <c r="M2345">
        <v>0</v>
      </c>
      <c r="N2345">
        <v>1800</v>
      </c>
      <c r="O2345">
        <v>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1800</v>
      </c>
      <c r="AH2345">
        <v>2</v>
      </c>
      <c r="AI2345">
        <v>0</v>
      </c>
      <c r="AJ2345">
        <v>0</v>
      </c>
      <c r="AK2345">
        <v>900</v>
      </c>
      <c r="AL2345">
        <v>0</v>
      </c>
      <c r="AM2345">
        <v>900</v>
      </c>
      <c r="AN2345">
        <v>0</v>
      </c>
      <c r="AO2345">
        <v>0</v>
      </c>
      <c r="AP2345" s="2">
        <v>1260</v>
      </c>
      <c r="AT2345" t="str">
        <f>T("9791195310081")</f>
        <v>9791195310081</v>
      </c>
      <c r="AV2345" t="str">
        <f>T("판타지 e북 &gt; 신무협")</f>
        <v>판타지 e북 &gt; 신무협</v>
      </c>
    </row>
    <row r="2346" spans="1:48" x14ac:dyDescent="0.4">
      <c r="A2346">
        <v>1525002409</v>
      </c>
      <c r="B2346">
        <v>1525002415</v>
      </c>
      <c r="C2346" t="str">
        <f>T("스포트라이트 7화")</f>
        <v>스포트라이트 7화</v>
      </c>
      <c r="D2346" t="str">
        <f>T("7")</f>
        <v>7</v>
      </c>
      <c r="E2346" t="str">
        <f>T("전혁")</f>
        <v>전혁</v>
      </c>
      <c r="H2346" t="str">
        <f>T("스토리위즈")</f>
        <v>스토리위즈</v>
      </c>
      <c r="I2346" t="str">
        <f>T("스포트라이트")</f>
        <v>스포트라이트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 s="2">
        <v>0</v>
      </c>
      <c r="AT2346" t="str">
        <f>T("9791159286841")</f>
        <v>9791159286841</v>
      </c>
      <c r="AV2346" t="str">
        <f>T("판타지 웹소설 &gt; 현대 판타지")</f>
        <v>판타지 웹소설 &gt; 현대 판타지</v>
      </c>
    </row>
    <row r="2347" spans="1:48" x14ac:dyDescent="0.4">
      <c r="A2347">
        <v>1525008229</v>
      </c>
      <c r="B2347">
        <v>1525008229</v>
      </c>
      <c r="C2347" t="str">
        <f>T("뉴욕 키스 스캔들 1화")</f>
        <v>뉴욕 키스 스캔들 1화</v>
      </c>
      <c r="D2347" t="str">
        <f>T("1")</f>
        <v>1</v>
      </c>
      <c r="E2347" t="str">
        <f>T("용가리맛쿠키")</f>
        <v>용가리맛쿠키</v>
      </c>
      <c r="H2347" t="str">
        <f>T("블러쉬")</f>
        <v>블러쉬</v>
      </c>
      <c r="I2347" t="str">
        <f>T("뉴욕 키스 스캔들")</f>
        <v>뉴욕 키스 스캔들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 s="2">
        <v>0</v>
      </c>
      <c r="AR2347" t="str">
        <f>T("0000000000000")</f>
        <v>0000000000000</v>
      </c>
      <c r="AT2347" t="str">
        <f>T("9791164896677")</f>
        <v>9791164896677</v>
      </c>
      <c r="AU2347" t="str">
        <f>T("B11")</f>
        <v>B11</v>
      </c>
      <c r="AV2347" t="str">
        <f>T("BL 웹소설 &gt; 현대물")</f>
        <v>BL 웹소설 &gt; 현대물</v>
      </c>
    </row>
    <row r="2348" spans="1:48" x14ac:dyDescent="0.4">
      <c r="A2348">
        <v>1525001334</v>
      </c>
      <c r="B2348">
        <v>1525001355</v>
      </c>
      <c r="C2348" t="str">
        <f>T("게이트 헌터 22화")</f>
        <v>게이트 헌터 22화</v>
      </c>
      <c r="D2348" t="str">
        <f>T("22")</f>
        <v>22</v>
      </c>
      <c r="E2348" t="str">
        <f>T("권용찬")</f>
        <v>권용찬</v>
      </c>
      <c r="H2348" t="str">
        <f>T("스토리위즈")</f>
        <v>스토리위즈</v>
      </c>
      <c r="I2348" t="str">
        <f>T("게이트 헌터")</f>
        <v>게이트 헌터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 s="2">
        <v>0</v>
      </c>
      <c r="AR2348" t="str">
        <f>T("9791159283291")</f>
        <v>9791159283291</v>
      </c>
      <c r="AT2348" t="str">
        <f>T("9791159283291")</f>
        <v>9791159283291</v>
      </c>
      <c r="AV2348" t="str">
        <f>T("판타지 웹소설 &gt; 현대 판타지")</f>
        <v>판타지 웹소설 &gt; 현대 판타지</v>
      </c>
    </row>
    <row r="2349" spans="1:48" x14ac:dyDescent="0.4">
      <c r="A2349">
        <v>1525011040</v>
      </c>
      <c r="B2349">
        <v>1525011040</v>
      </c>
      <c r="C2349" t="str">
        <f>T("[e북]이세계 최강 군바리 1권")</f>
        <v>[e북]이세계 최강 군바리 1권</v>
      </c>
      <c r="D2349" t="str">
        <f>T("1")</f>
        <v>1</v>
      </c>
      <c r="E2349" t="str">
        <f>T("협행마")</f>
        <v>협행마</v>
      </c>
      <c r="H2349" t="str">
        <f>T("에필로그")</f>
        <v>에필로그</v>
      </c>
      <c r="I2349" t="str">
        <f>T("[e북]이세계 최강 군바리")</f>
        <v>[e북]이세계 최강 군바리</v>
      </c>
      <c r="J2349">
        <v>0</v>
      </c>
      <c r="K2349">
        <v>0</v>
      </c>
      <c r="L2349">
        <v>0</v>
      </c>
      <c r="M2349">
        <v>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4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 s="2">
        <v>0</v>
      </c>
      <c r="AT2349" t="str">
        <f>T("9791164483648")</f>
        <v>9791164483648</v>
      </c>
      <c r="AV2349" t="str">
        <f>T("판타지 e북 &gt; 퓨전 판타지")</f>
        <v>판타지 e북 &gt; 퓨전 판타지</v>
      </c>
    </row>
    <row r="2350" spans="1:48" x14ac:dyDescent="0.4">
      <c r="A2350">
        <v>1525010944</v>
      </c>
      <c r="B2350">
        <v>1525010924</v>
      </c>
      <c r="C2350" t="str">
        <f>T("[e북]법보다 주먹 21권")</f>
        <v>[e북]법보다 주먹 21권</v>
      </c>
      <c r="D2350" t="str">
        <f>T("21")</f>
        <v>21</v>
      </c>
      <c r="E2350" t="str">
        <f>T("백범(白帆)")</f>
        <v>백범(白帆)</v>
      </c>
      <c r="H2350" t="str">
        <f>T("에필로그")</f>
        <v>에필로그</v>
      </c>
      <c r="I2350" t="str">
        <f>T("[e북]법보다 주먹")</f>
        <v>[e북]법보다 주먹</v>
      </c>
      <c r="J2350">
        <v>2000</v>
      </c>
      <c r="K2350">
        <v>0</v>
      </c>
      <c r="L2350">
        <v>0</v>
      </c>
      <c r="M2350">
        <v>0</v>
      </c>
      <c r="N2350">
        <v>2700</v>
      </c>
      <c r="O2350">
        <v>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2700</v>
      </c>
      <c r="AH2350">
        <v>3</v>
      </c>
      <c r="AI2350">
        <v>0</v>
      </c>
      <c r="AJ2350">
        <v>0</v>
      </c>
      <c r="AK2350">
        <v>2700</v>
      </c>
      <c r="AL2350">
        <v>0</v>
      </c>
      <c r="AM2350">
        <v>0</v>
      </c>
      <c r="AN2350">
        <v>0</v>
      </c>
      <c r="AO2350">
        <v>0</v>
      </c>
      <c r="AP2350" s="2">
        <v>1890</v>
      </c>
      <c r="AT2350" t="str">
        <f>T("9791164480142")</f>
        <v>9791164480142</v>
      </c>
      <c r="AV2350" t="str">
        <f>T("판타지 e북 &gt; 현대 판타지")</f>
        <v>판타지 e북 &gt; 현대 판타지</v>
      </c>
    </row>
    <row r="2351" spans="1:48" x14ac:dyDescent="0.4">
      <c r="A2351">
        <v>1525000906</v>
      </c>
      <c r="B2351">
        <v>1525000911</v>
      </c>
      <c r="C2351" t="str">
        <f>T("[e북]완전판 | 레이드 만물상점 6권")</f>
        <v>[e북]완전판 | 레이드 만물상점 6권</v>
      </c>
      <c r="D2351" t="str">
        <f>T("6")</f>
        <v>6</v>
      </c>
      <c r="E2351" t="str">
        <f>T("전혁")</f>
        <v>전혁</v>
      </c>
      <c r="H2351" t="str">
        <f>T("스토리위즈")</f>
        <v>스토리위즈</v>
      </c>
      <c r="I2351" t="str">
        <f>T("[e북]완전판 | 레이드 만물상점")</f>
        <v>[e북]완전판 | 레이드 만물상점</v>
      </c>
      <c r="J2351">
        <v>3200</v>
      </c>
      <c r="K2351">
        <v>0</v>
      </c>
      <c r="L2351">
        <v>0</v>
      </c>
      <c r="M2351">
        <v>0</v>
      </c>
      <c r="N2351">
        <v>6300</v>
      </c>
      <c r="O2351">
        <v>7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6300</v>
      </c>
      <c r="AH2351">
        <v>7</v>
      </c>
      <c r="AI2351">
        <v>0</v>
      </c>
      <c r="AJ2351">
        <v>0</v>
      </c>
      <c r="AK2351">
        <v>5726</v>
      </c>
      <c r="AL2351">
        <v>0</v>
      </c>
      <c r="AM2351">
        <v>574</v>
      </c>
      <c r="AN2351">
        <v>0</v>
      </c>
      <c r="AO2351">
        <v>0</v>
      </c>
      <c r="AP2351" s="2">
        <v>4410</v>
      </c>
      <c r="AT2351" t="str">
        <f>T("9791159282669")</f>
        <v>9791159282669</v>
      </c>
      <c r="AV2351" t="str">
        <f>T("판타지 e북 &gt; 현대 판타지")</f>
        <v>판타지 e북 &gt; 현대 판타지</v>
      </c>
    </row>
    <row r="2352" spans="1:48" x14ac:dyDescent="0.4">
      <c r="A2352">
        <v>1525004030</v>
      </c>
      <c r="B2352">
        <v>1525004032</v>
      </c>
      <c r="C2352" t="str">
        <f>T("회귀의 전설 3화")</f>
        <v>회귀의 전설 3화</v>
      </c>
      <c r="D2352" t="str">
        <f>T("3")</f>
        <v>3</v>
      </c>
      <c r="E2352" t="str">
        <f>T("김광수")</f>
        <v>김광수</v>
      </c>
      <c r="H2352" t="str">
        <f>T("스토리위즈")</f>
        <v>스토리위즈</v>
      </c>
      <c r="I2352" t="str">
        <f>T("회귀의 전설")</f>
        <v>회귀의 전설</v>
      </c>
      <c r="J2352">
        <v>0</v>
      </c>
      <c r="K2352">
        <v>0</v>
      </c>
      <c r="L2352">
        <v>0</v>
      </c>
      <c r="M2352">
        <v>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4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 s="2">
        <v>0</v>
      </c>
      <c r="AT2352" t="str">
        <f>T("9788997946006")</f>
        <v>9788997946006</v>
      </c>
      <c r="AV2352" t="str">
        <f>T("판타지 웹소설 &gt; 현대 판타지")</f>
        <v>판타지 웹소설 &gt; 현대 판타지</v>
      </c>
    </row>
    <row r="2353" spans="1:48" x14ac:dyDescent="0.4">
      <c r="A2353">
        <v>1525002125</v>
      </c>
      <c r="B2353">
        <v>1525002133</v>
      </c>
      <c r="C2353" t="str">
        <f>T("신을 죽이러 갑니다 9화")</f>
        <v>신을 죽이러 갑니다 9화</v>
      </c>
      <c r="D2353" t="str">
        <f>T("9")</f>
        <v>9</v>
      </c>
      <c r="E2353" t="str">
        <f>T("독고진")</f>
        <v>독고진</v>
      </c>
      <c r="H2353" t="str">
        <f>T("스토리위즈")</f>
        <v>스토리위즈</v>
      </c>
      <c r="I2353" t="str">
        <f>T("신을 죽이러 갑니다")</f>
        <v>신을 죽이러 갑니다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 s="2">
        <v>0</v>
      </c>
      <c r="AT2353" t="str">
        <f>T("9791159285806")</f>
        <v>9791159285806</v>
      </c>
      <c r="AV2353" t="str">
        <f>T("판타지 웹소설 &gt; 퓨전 판타지")</f>
        <v>판타지 웹소설 &gt; 퓨전 판타지</v>
      </c>
    </row>
    <row r="2354" spans="1:48" x14ac:dyDescent="0.4">
      <c r="A2354">
        <v>1525000569</v>
      </c>
      <c r="B2354">
        <v>1525000578</v>
      </c>
      <c r="C2354" t="str">
        <f>T("스트라이커 10화")</f>
        <v>스트라이커 10화</v>
      </c>
      <c r="D2354" t="str">
        <f>T("10")</f>
        <v>10</v>
      </c>
      <c r="E2354" t="str">
        <f>T("독고진")</f>
        <v>독고진</v>
      </c>
      <c r="H2354" t="str">
        <f>T("스토리위즈")</f>
        <v>스토리위즈</v>
      </c>
      <c r="I2354" t="str">
        <f>T("스트라이커")</f>
        <v>스트라이커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 s="2">
        <v>0</v>
      </c>
      <c r="AT2354" t="str">
        <f>T("9791170151678")</f>
        <v>9791170151678</v>
      </c>
      <c r="AV2354" t="str">
        <f>T("판타지 웹소설 &gt; 현대 판타지")</f>
        <v>판타지 웹소설 &gt; 현대 판타지</v>
      </c>
    </row>
    <row r="2355" spans="1:48" x14ac:dyDescent="0.4">
      <c r="A2355">
        <v>1525004988</v>
      </c>
      <c r="B2355">
        <v>1525005310</v>
      </c>
      <c r="C2355" t="str">
        <f>T("용무쌍 23화")</f>
        <v>용무쌍 23화</v>
      </c>
      <c r="D2355" t="str">
        <f>T("23")</f>
        <v>23</v>
      </c>
      <c r="E2355" t="str">
        <f>T("권용찬")</f>
        <v>권용찬</v>
      </c>
      <c r="H2355" t="str">
        <f>T("스토리위즈")</f>
        <v>스토리위즈</v>
      </c>
      <c r="I2355" t="str">
        <f>T("용무쌍")</f>
        <v>용무쌍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 s="2">
        <v>0</v>
      </c>
      <c r="AT2355" t="str">
        <f>T("9791159284861")</f>
        <v>9791159284861</v>
      </c>
      <c r="AV2355" t="str">
        <f>T("판타지 웹소설 &gt; 무협 소설")</f>
        <v>판타지 웹소설 &gt; 무협 소설</v>
      </c>
    </row>
    <row r="2356" spans="1:48" x14ac:dyDescent="0.4">
      <c r="A2356">
        <v>1525013020</v>
      </c>
      <c r="B2356">
        <v>1525013033</v>
      </c>
      <c r="C2356" t="str">
        <f>T("악당의 리턴 14화")</f>
        <v>악당의 리턴 14화</v>
      </c>
      <c r="D2356" t="str">
        <f>T("14")</f>
        <v>14</v>
      </c>
      <c r="E2356" t="str">
        <f>T("백범(白帆)")</f>
        <v>백범(白帆)</v>
      </c>
      <c r="H2356" t="str">
        <f>T("에필로그")</f>
        <v>에필로그</v>
      </c>
      <c r="I2356" t="str">
        <f>T("악당의 리턴")</f>
        <v>악당의 리턴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 s="2">
        <v>0</v>
      </c>
      <c r="AT2356" t="str">
        <f>T("9791196538927")</f>
        <v>9791196538927</v>
      </c>
      <c r="AV2356" t="str">
        <f>T("판타지 웹소설 &gt; 현대 판타지")</f>
        <v>판타지 웹소설 &gt; 현대 판타지</v>
      </c>
    </row>
    <row r="2357" spans="1:48" x14ac:dyDescent="0.4">
      <c r="A2357">
        <v>1525011523</v>
      </c>
      <c r="B2357">
        <v>1525011506</v>
      </c>
      <c r="C2357" t="str">
        <f>T("남창목가 18화")</f>
        <v>남창목가 18화</v>
      </c>
      <c r="D2357" t="str">
        <f>T("18")</f>
        <v>18</v>
      </c>
      <c r="E2357" t="str">
        <f>T("최재봉")</f>
        <v>최재봉</v>
      </c>
      <c r="H2357" t="str">
        <f>T("에필로그")</f>
        <v>에필로그</v>
      </c>
      <c r="I2357" t="str">
        <f>T("남창목가")</f>
        <v>남창목가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 s="2">
        <v>0</v>
      </c>
      <c r="AT2357" t="str">
        <f>T("9791164482849")</f>
        <v>9791164482849</v>
      </c>
      <c r="AV2357" t="str">
        <f>T("판타지 웹소설 &gt; 무협 소설")</f>
        <v>판타지 웹소설 &gt; 무협 소설</v>
      </c>
    </row>
    <row r="2358" spans="1:48" x14ac:dyDescent="0.4">
      <c r="A2358">
        <v>1525001116</v>
      </c>
      <c r="B2358">
        <v>1525001133</v>
      </c>
      <c r="C2358" t="str">
        <f>T("개정판 | 영웅 18화")</f>
        <v>개정판 | 영웅 18화</v>
      </c>
      <c r="D2358" t="str">
        <f>T("18")</f>
        <v>18</v>
      </c>
      <c r="E2358" t="str">
        <f>T("김광수")</f>
        <v>김광수</v>
      </c>
      <c r="H2358" t="str">
        <f>T("스토리위즈")</f>
        <v>스토리위즈</v>
      </c>
      <c r="I2358" t="str">
        <f>T("개정판 | 영웅")</f>
        <v>개정판 | 영웅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 s="2">
        <v>0</v>
      </c>
      <c r="AR2358" t="str">
        <f>T("9791159282829")</f>
        <v>9791159282829</v>
      </c>
      <c r="AT2358" t="str">
        <f>T("9791159282829")</f>
        <v>9791159282829</v>
      </c>
      <c r="AV2358" t="str">
        <f>T("판타지 웹소설 &gt; 무협 소설")</f>
        <v>판타지 웹소설 &gt; 무협 소설</v>
      </c>
    </row>
    <row r="2359" spans="1:48" x14ac:dyDescent="0.4">
      <c r="A2359">
        <v>1525002864</v>
      </c>
      <c r="B2359">
        <v>1525002864</v>
      </c>
      <c r="C2359" t="str">
        <f>T("소드마스터의 환생 1화")</f>
        <v>소드마스터의 환생 1화</v>
      </c>
      <c r="D2359" t="str">
        <f>T("1")</f>
        <v>1</v>
      </c>
      <c r="E2359" t="str">
        <f>T("파란영")</f>
        <v>파란영</v>
      </c>
      <c r="H2359" t="str">
        <f>T("스토리위즈")</f>
        <v>스토리위즈</v>
      </c>
      <c r="I2359" t="str">
        <f>T("소드마스터의 환생")</f>
        <v>소드마스터의 환생</v>
      </c>
      <c r="J2359">
        <v>0</v>
      </c>
      <c r="K2359">
        <v>0</v>
      </c>
      <c r="L2359">
        <v>0</v>
      </c>
      <c r="M2359">
        <v>6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6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 s="2">
        <v>0</v>
      </c>
      <c r="AT2359" t="str">
        <f>T("9791159287527")</f>
        <v>9791159287527</v>
      </c>
      <c r="AV2359" t="str">
        <f>T("판타지 웹소설 &gt; 정통 판타지")</f>
        <v>판타지 웹소설 &gt; 정통 판타지</v>
      </c>
    </row>
    <row r="2360" spans="1:48" x14ac:dyDescent="0.4">
      <c r="A2360">
        <v>1525000146</v>
      </c>
      <c r="B2360">
        <v>1525000157</v>
      </c>
      <c r="C2360" t="str">
        <f>T("[e북]트루베니아 연대기 12권 (완결)")</f>
        <v>[e북]트루베니아 연대기 12권 (완결)</v>
      </c>
      <c r="D2360" t="str">
        <f>T("12")</f>
        <v>12</v>
      </c>
      <c r="E2360" t="str">
        <f>T("김정률")</f>
        <v>김정률</v>
      </c>
      <c r="H2360" t="str">
        <f>T("스토리위즈")</f>
        <v>스토리위즈</v>
      </c>
      <c r="I2360" t="str">
        <f>T("[e북]트루베니아 연대기")</f>
        <v>[e북]트루베니아 연대기</v>
      </c>
      <c r="J2360">
        <v>3200</v>
      </c>
      <c r="K2360">
        <v>0</v>
      </c>
      <c r="L2360">
        <v>0</v>
      </c>
      <c r="M2360">
        <v>0</v>
      </c>
      <c r="N2360">
        <v>9000</v>
      </c>
      <c r="O2360">
        <v>10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9000</v>
      </c>
      <c r="AH2360">
        <v>10</v>
      </c>
      <c r="AI2360">
        <v>0</v>
      </c>
      <c r="AJ2360">
        <v>0</v>
      </c>
      <c r="AK2360">
        <v>7200</v>
      </c>
      <c r="AL2360">
        <v>0</v>
      </c>
      <c r="AM2360">
        <v>1800</v>
      </c>
      <c r="AN2360">
        <v>0</v>
      </c>
      <c r="AO2360">
        <v>0</v>
      </c>
      <c r="AP2360" s="2">
        <v>6300</v>
      </c>
      <c r="AV2360" t="str">
        <f>T("판타지 e북 &gt; 정통 판타지")</f>
        <v>판타지 e북 &gt; 정통 판타지</v>
      </c>
    </row>
    <row r="2361" spans="1:48" x14ac:dyDescent="0.4">
      <c r="A2361">
        <v>1525000113</v>
      </c>
      <c r="B2361">
        <v>1525000117</v>
      </c>
      <c r="C2361" t="str">
        <f>T("[e북]마왕 데이몬 5권")</f>
        <v>[e북]마왕 데이몬 5권</v>
      </c>
      <c r="D2361" t="str">
        <f>T("5")</f>
        <v>5</v>
      </c>
      <c r="E2361" t="str">
        <f>T("김정률")</f>
        <v>김정률</v>
      </c>
      <c r="H2361" t="str">
        <f>T("스토리위즈")</f>
        <v>스토리위즈</v>
      </c>
      <c r="I2361" t="str">
        <f>T("[e북]마왕 데이몬")</f>
        <v>[e북]마왕 데이몬</v>
      </c>
      <c r="J2361">
        <v>3200</v>
      </c>
      <c r="K2361">
        <v>0</v>
      </c>
      <c r="L2361">
        <v>0</v>
      </c>
      <c r="M2361">
        <v>0</v>
      </c>
      <c r="N2361">
        <v>2700</v>
      </c>
      <c r="O2361">
        <v>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2700</v>
      </c>
      <c r="AH2361">
        <v>3</v>
      </c>
      <c r="AI2361">
        <v>0</v>
      </c>
      <c r="AJ2361">
        <v>0</v>
      </c>
      <c r="AK2361">
        <v>2700</v>
      </c>
      <c r="AL2361">
        <v>0</v>
      </c>
      <c r="AM2361">
        <v>0</v>
      </c>
      <c r="AN2361">
        <v>0</v>
      </c>
      <c r="AO2361">
        <v>0</v>
      </c>
      <c r="AP2361" s="2">
        <v>1890</v>
      </c>
      <c r="AT2361" t="str">
        <f>T("9788925723860")</f>
        <v>9788925723860</v>
      </c>
      <c r="AV2361" t="str">
        <f>T("판타지 e북 &gt; 현대 판타지")</f>
        <v>판타지 e북 &gt; 현대 판타지</v>
      </c>
    </row>
    <row r="2362" spans="1:48" x14ac:dyDescent="0.4">
      <c r="A2362">
        <v>1525012005</v>
      </c>
      <c r="B2362">
        <v>1525011998</v>
      </c>
      <c r="C2362" t="str">
        <f>T("[e북]남궁세가 건달공자 8권")</f>
        <v>[e북]남궁세가 건달공자 8권</v>
      </c>
      <c r="D2362" t="str">
        <f>T("8")</f>
        <v>8</v>
      </c>
      <c r="E2362" t="str">
        <f>T("협행마")</f>
        <v>협행마</v>
      </c>
      <c r="H2362" t="str">
        <f>T("에필로그")</f>
        <v>에필로그</v>
      </c>
      <c r="I2362" t="str">
        <f>T("[e북]남궁세가 건달공자")</f>
        <v>[e북]남궁세가 건달공자</v>
      </c>
      <c r="J2362">
        <v>2500</v>
      </c>
      <c r="K2362">
        <v>0</v>
      </c>
      <c r="L2362">
        <v>0</v>
      </c>
      <c r="M2362">
        <v>0</v>
      </c>
      <c r="N2362">
        <v>900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900</v>
      </c>
      <c r="AH2362">
        <v>1</v>
      </c>
      <c r="AI2362">
        <v>0</v>
      </c>
      <c r="AJ2362">
        <v>0</v>
      </c>
      <c r="AK2362">
        <v>900</v>
      </c>
      <c r="AL2362">
        <v>0</v>
      </c>
      <c r="AM2362">
        <v>0</v>
      </c>
      <c r="AN2362">
        <v>0</v>
      </c>
      <c r="AO2362">
        <v>0</v>
      </c>
      <c r="AP2362" s="2">
        <v>630</v>
      </c>
      <c r="AT2362" t="str">
        <f>T("9791164481620")</f>
        <v>9791164481620</v>
      </c>
      <c r="AV2362" t="str">
        <f>T("판타지 e북 &gt; 신무협")</f>
        <v>판타지 e북 &gt; 신무협</v>
      </c>
    </row>
    <row r="2363" spans="1:48" x14ac:dyDescent="0.4">
      <c r="A2363">
        <v>1525004989</v>
      </c>
      <c r="B2363">
        <v>1525005504</v>
      </c>
      <c r="C2363" t="str">
        <f>T("신룡전설 15화")</f>
        <v>신룡전설 15화</v>
      </c>
      <c r="D2363" t="str">
        <f>T("15")</f>
        <v>15</v>
      </c>
      <c r="E2363" t="str">
        <f>T("가람검")</f>
        <v>가람검</v>
      </c>
      <c r="H2363" t="str">
        <f>T("스토리위즈")</f>
        <v>스토리위즈</v>
      </c>
      <c r="I2363" t="str">
        <f>T("신룡전설")</f>
        <v>신룡전설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s="2">
        <v>0</v>
      </c>
      <c r="AT2363" t="str">
        <f>T("9791159283505")</f>
        <v>9791159283505</v>
      </c>
      <c r="AV2363" t="str">
        <f>T("판타지 웹소설 &gt; 무협 소설")</f>
        <v>판타지 웹소설 &gt; 무협 소설</v>
      </c>
    </row>
    <row r="2364" spans="1:48" x14ac:dyDescent="0.4">
      <c r="A2364">
        <v>1525001116</v>
      </c>
      <c r="B2364">
        <v>1525001126</v>
      </c>
      <c r="C2364" t="str">
        <f>T("개정판 | 영웅 11화")</f>
        <v>개정판 | 영웅 11화</v>
      </c>
      <c r="D2364" t="str">
        <f>T("11")</f>
        <v>11</v>
      </c>
      <c r="E2364" t="str">
        <f>T("김광수")</f>
        <v>김광수</v>
      </c>
      <c r="H2364" t="str">
        <f>T("스토리위즈")</f>
        <v>스토리위즈</v>
      </c>
      <c r="I2364" t="str">
        <f>T("개정판 | 영웅")</f>
        <v>개정판 | 영웅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 s="2">
        <v>0</v>
      </c>
      <c r="AR2364" t="str">
        <f>T("9791159282829")</f>
        <v>9791159282829</v>
      </c>
      <c r="AT2364" t="str">
        <f>T("9791159282829")</f>
        <v>9791159282829</v>
      </c>
      <c r="AV2364" t="str">
        <f>T("판타지 웹소설 &gt; 무협 소설")</f>
        <v>판타지 웹소설 &gt; 무협 소설</v>
      </c>
    </row>
    <row r="2365" spans="1:48" x14ac:dyDescent="0.4">
      <c r="A2365">
        <v>1525002692</v>
      </c>
      <c r="B2365">
        <v>1525002708</v>
      </c>
      <c r="C2365" t="str">
        <f>T("신규무사 17화")</f>
        <v>신규무사 17화</v>
      </c>
      <c r="D2365" t="str">
        <f>T("17")</f>
        <v>17</v>
      </c>
      <c r="E2365" t="str">
        <f>T("권용찬")</f>
        <v>권용찬</v>
      </c>
      <c r="H2365" t="str">
        <f>T("스토리위즈")</f>
        <v>스토리위즈</v>
      </c>
      <c r="I2365" t="str">
        <f>T("신규무사")</f>
        <v>신규무사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 s="2">
        <v>0</v>
      </c>
      <c r="AT2365" t="str">
        <f>T("9791159287480")</f>
        <v>9791159287480</v>
      </c>
      <c r="AV2365" t="str">
        <f>T("판타지 웹소설 &gt; 무협 소설")</f>
        <v>판타지 웹소설 &gt; 무협 소설</v>
      </c>
    </row>
    <row r="2366" spans="1:48" x14ac:dyDescent="0.4">
      <c r="A2366">
        <v>1525004989</v>
      </c>
      <c r="B2366">
        <v>1525005497</v>
      </c>
      <c r="C2366" t="str">
        <f>T("신룡전설 8화")</f>
        <v>신룡전설 8화</v>
      </c>
      <c r="D2366" t="str">
        <f>T("8")</f>
        <v>8</v>
      </c>
      <c r="E2366" t="str">
        <f>T("가람검")</f>
        <v>가람검</v>
      </c>
      <c r="H2366" t="str">
        <f>T("스토리위즈")</f>
        <v>스토리위즈</v>
      </c>
      <c r="I2366" t="str">
        <f>T("신룡전설")</f>
        <v>신룡전설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 s="2">
        <v>0</v>
      </c>
      <c r="AT2366" t="str">
        <f>T("9791159283505")</f>
        <v>9791159283505</v>
      </c>
      <c r="AV2366" t="str">
        <f>T("판타지 웹소설 &gt; 무협 소설")</f>
        <v>판타지 웹소설 &gt; 무협 소설</v>
      </c>
    </row>
    <row r="2367" spans="1:48" x14ac:dyDescent="0.4">
      <c r="A2367">
        <v>1525001609</v>
      </c>
      <c r="B2367">
        <v>1525001613</v>
      </c>
      <c r="C2367" t="str">
        <f>T("[e북]절륜공자 5권")</f>
        <v>[e북]절륜공자 5권</v>
      </c>
      <c r="D2367" t="str">
        <f>T("5")</f>
        <v>5</v>
      </c>
      <c r="E2367" t="str">
        <f>T("전혁")</f>
        <v>전혁</v>
      </c>
      <c r="H2367" t="str">
        <f>T("스토리위즈")</f>
        <v>스토리위즈</v>
      </c>
      <c r="I2367" t="str">
        <f>T("[e북]절륜공자")</f>
        <v>[e북]절륜공자</v>
      </c>
      <c r="J2367">
        <v>3200</v>
      </c>
      <c r="K2367">
        <v>0</v>
      </c>
      <c r="L2367">
        <v>0</v>
      </c>
      <c r="M2367">
        <v>0</v>
      </c>
      <c r="N2367">
        <v>4500</v>
      </c>
      <c r="O2367">
        <v>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4500</v>
      </c>
      <c r="AH2367">
        <v>5</v>
      </c>
      <c r="AI2367">
        <v>0</v>
      </c>
      <c r="AJ2367">
        <v>0</v>
      </c>
      <c r="AK2367">
        <v>4500</v>
      </c>
      <c r="AL2367">
        <v>0</v>
      </c>
      <c r="AM2367">
        <v>0</v>
      </c>
      <c r="AN2367">
        <v>0</v>
      </c>
      <c r="AO2367">
        <v>0</v>
      </c>
      <c r="AP2367" s="2">
        <v>3150</v>
      </c>
      <c r="AT2367" t="str">
        <f>T("9791159284984")</f>
        <v>9791159284984</v>
      </c>
      <c r="AV2367" t="str">
        <f>T("판타지 e북 &gt; 전통 무협")</f>
        <v>판타지 e북 &gt; 전통 무협</v>
      </c>
    </row>
    <row r="2368" spans="1:48" x14ac:dyDescent="0.4">
      <c r="A2368">
        <v>1525013369</v>
      </c>
      <c r="B2368">
        <v>1525013386</v>
      </c>
      <c r="C2368" t="str">
        <f>T("[e북]티끌모아 대박 9권")</f>
        <v>[e북]티끌모아 대박 9권</v>
      </c>
      <c r="D2368" t="str">
        <f>T("9")</f>
        <v>9</v>
      </c>
      <c r="E2368" t="str">
        <f>T("백범(白帆)")</f>
        <v>백범(白帆)</v>
      </c>
      <c r="H2368" t="str">
        <f>T("에필로그")</f>
        <v>에필로그</v>
      </c>
      <c r="I2368" t="str">
        <f>T("[e북]티끌모아 대박")</f>
        <v>[e북]티끌모아 대박</v>
      </c>
      <c r="J2368">
        <v>2000</v>
      </c>
      <c r="K2368">
        <v>0</v>
      </c>
      <c r="L2368">
        <v>0</v>
      </c>
      <c r="M2368">
        <v>0</v>
      </c>
      <c r="N2368">
        <v>900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900</v>
      </c>
      <c r="AH2368">
        <v>1</v>
      </c>
      <c r="AI2368">
        <v>0</v>
      </c>
      <c r="AJ2368">
        <v>0</v>
      </c>
      <c r="AK2368">
        <v>900</v>
      </c>
      <c r="AL2368">
        <v>0</v>
      </c>
      <c r="AM2368">
        <v>0</v>
      </c>
      <c r="AN2368">
        <v>0</v>
      </c>
      <c r="AO2368">
        <v>0</v>
      </c>
      <c r="AP2368" s="2">
        <v>630</v>
      </c>
      <c r="AR2368" t="str">
        <f>T("0000000000000")</f>
        <v>0000000000000</v>
      </c>
      <c r="AT2368" t="str">
        <f>T("9791166000287")</f>
        <v>9791166000287</v>
      </c>
      <c r="AV2368" t="str">
        <f>T("판타지 e북 &gt; 퓨전 판타지")</f>
        <v>판타지 e북 &gt; 퓨전 판타지</v>
      </c>
    </row>
    <row r="2369" spans="1:48" x14ac:dyDescent="0.4">
      <c r="A2369">
        <v>1525001334</v>
      </c>
      <c r="B2369">
        <v>1525001348</v>
      </c>
      <c r="C2369" t="str">
        <f>T("게이트 헌터 15화")</f>
        <v>게이트 헌터 15화</v>
      </c>
      <c r="D2369" t="str">
        <f>T("15")</f>
        <v>15</v>
      </c>
      <c r="E2369" t="str">
        <f>T("권용찬")</f>
        <v>권용찬</v>
      </c>
      <c r="H2369" t="str">
        <f>T("스토리위즈")</f>
        <v>스토리위즈</v>
      </c>
      <c r="I2369" t="str">
        <f>T("게이트 헌터")</f>
        <v>게이트 헌터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s="2">
        <v>0</v>
      </c>
      <c r="AR2369" t="str">
        <f>T("9791159283291")</f>
        <v>9791159283291</v>
      </c>
      <c r="AT2369" t="str">
        <f>T("9791159283291")</f>
        <v>9791159283291</v>
      </c>
      <c r="AV2369" t="str">
        <f>T("판타지 웹소설 &gt; 현대 판타지")</f>
        <v>판타지 웹소설 &gt; 현대 판타지</v>
      </c>
    </row>
    <row r="2370" spans="1:48" x14ac:dyDescent="0.4">
      <c r="A2370">
        <v>1525010982</v>
      </c>
      <c r="B2370">
        <v>1525010978</v>
      </c>
      <c r="C2370" t="str">
        <f>T("[e북]이 맛에 회장한다 5권")</f>
        <v>[e북]이 맛에 회장한다 5권</v>
      </c>
      <c r="D2370" t="str">
        <f>T("5")</f>
        <v>5</v>
      </c>
      <c r="E2370" t="str">
        <f>T("협행마")</f>
        <v>협행마</v>
      </c>
      <c r="H2370" t="str">
        <f>T("에필로그")</f>
        <v>에필로그</v>
      </c>
      <c r="I2370" t="str">
        <f>T("[e북]이 맛에 회장한다")</f>
        <v>[e북]이 맛에 회장한다</v>
      </c>
      <c r="J2370">
        <v>2500</v>
      </c>
      <c r="K2370">
        <v>0</v>
      </c>
      <c r="L2370">
        <v>0</v>
      </c>
      <c r="M2370">
        <v>0</v>
      </c>
      <c r="N2370">
        <v>4140</v>
      </c>
      <c r="O2370">
        <v>5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4140</v>
      </c>
      <c r="AH2370">
        <v>5</v>
      </c>
      <c r="AI2370">
        <v>0</v>
      </c>
      <c r="AJ2370">
        <v>0</v>
      </c>
      <c r="AK2370">
        <v>4140</v>
      </c>
      <c r="AL2370">
        <v>0</v>
      </c>
      <c r="AM2370">
        <v>0</v>
      </c>
      <c r="AN2370">
        <v>0</v>
      </c>
      <c r="AO2370">
        <v>0</v>
      </c>
      <c r="AP2370" s="2">
        <v>2898</v>
      </c>
      <c r="AT2370" t="str">
        <f>T("9791164486106")</f>
        <v>9791164486106</v>
      </c>
      <c r="AV2370" t="str">
        <f>T("판타지 e북 &gt; 현대 판타지")</f>
        <v>판타지 e북 &gt; 현대 판타지</v>
      </c>
    </row>
    <row r="2371" spans="1:48" x14ac:dyDescent="0.4">
      <c r="A2371">
        <v>1525010944</v>
      </c>
      <c r="B2371">
        <v>1525010917</v>
      </c>
      <c r="C2371" t="str">
        <f>T("[e북]법보다 주먹 28권")</f>
        <v>[e북]법보다 주먹 28권</v>
      </c>
      <c r="D2371" t="str">
        <f>T("28")</f>
        <v>28</v>
      </c>
      <c r="E2371" t="str">
        <f>T("백범(白帆)")</f>
        <v>백범(白帆)</v>
      </c>
      <c r="H2371" t="str">
        <f>T("에필로그")</f>
        <v>에필로그</v>
      </c>
      <c r="I2371" t="str">
        <f>T("[e북]법보다 주먹")</f>
        <v>[e북]법보다 주먹</v>
      </c>
      <c r="J2371">
        <v>2000</v>
      </c>
      <c r="K2371">
        <v>0</v>
      </c>
      <c r="L2371">
        <v>0</v>
      </c>
      <c r="M2371">
        <v>0</v>
      </c>
      <c r="N2371">
        <v>1800</v>
      </c>
      <c r="O2371">
        <v>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1800</v>
      </c>
      <c r="AH2371">
        <v>2</v>
      </c>
      <c r="AI2371">
        <v>0</v>
      </c>
      <c r="AJ2371">
        <v>0</v>
      </c>
      <c r="AK2371">
        <v>1800</v>
      </c>
      <c r="AL2371">
        <v>0</v>
      </c>
      <c r="AM2371">
        <v>0</v>
      </c>
      <c r="AN2371">
        <v>0</v>
      </c>
      <c r="AO2371">
        <v>0</v>
      </c>
      <c r="AP2371" s="2">
        <v>1260</v>
      </c>
      <c r="AT2371" t="str">
        <f>T("9791164480142")</f>
        <v>9791164480142</v>
      </c>
      <c r="AV2371" t="str">
        <f>T("판타지 e북 &gt; 현대 판타지")</f>
        <v>판타지 e북 &gt; 현대 판타지</v>
      </c>
    </row>
    <row r="2372" spans="1:48" x14ac:dyDescent="0.4">
      <c r="A2372">
        <v>1525001917</v>
      </c>
      <c r="B2372">
        <v>1525001923</v>
      </c>
      <c r="C2372" t="str">
        <f>T("[e북]용중신권 7권 (완결)")</f>
        <v>[e북]용중신권 7권 (완결)</v>
      </c>
      <c r="D2372" t="str">
        <f>T("7")</f>
        <v>7</v>
      </c>
      <c r="E2372" t="str">
        <f>T("권용찬")</f>
        <v>권용찬</v>
      </c>
      <c r="H2372" t="str">
        <f>T("스토리위즈")</f>
        <v>스토리위즈</v>
      </c>
      <c r="I2372" t="str">
        <f>T("[e북]용중신권")</f>
        <v>[e북]용중신권</v>
      </c>
      <c r="J2372">
        <v>3200</v>
      </c>
      <c r="K2372">
        <v>0</v>
      </c>
      <c r="L2372">
        <v>0</v>
      </c>
      <c r="M2372">
        <v>0</v>
      </c>
      <c r="N2372">
        <v>900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900</v>
      </c>
      <c r="AH2372">
        <v>1</v>
      </c>
      <c r="AI2372">
        <v>0</v>
      </c>
      <c r="AJ2372">
        <v>0</v>
      </c>
      <c r="AK2372">
        <v>900</v>
      </c>
      <c r="AL2372">
        <v>0</v>
      </c>
      <c r="AM2372">
        <v>0</v>
      </c>
      <c r="AN2372">
        <v>0</v>
      </c>
      <c r="AO2372">
        <v>0</v>
      </c>
      <c r="AP2372" s="2">
        <v>630</v>
      </c>
      <c r="AT2372" t="str">
        <f>T("9791159285981")</f>
        <v>9791159285981</v>
      </c>
      <c r="AV2372" t="str">
        <f>T("판타지 e북 &gt; 신무협")</f>
        <v>판타지 e북 &gt; 신무협</v>
      </c>
    </row>
    <row r="2373" spans="1:48" x14ac:dyDescent="0.4">
      <c r="A2373">
        <v>1525000569</v>
      </c>
      <c r="B2373">
        <v>1525000571</v>
      </c>
      <c r="C2373" t="str">
        <f>T("스트라이커 3화")</f>
        <v>스트라이커 3화</v>
      </c>
      <c r="D2373" t="str">
        <f>T("3")</f>
        <v>3</v>
      </c>
      <c r="E2373" t="str">
        <f>T("독고진")</f>
        <v>독고진</v>
      </c>
      <c r="H2373" t="str">
        <f>T("스토리위즈")</f>
        <v>스토리위즈</v>
      </c>
      <c r="I2373" t="str">
        <f>T("스트라이커")</f>
        <v>스트라이커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s="2">
        <v>0</v>
      </c>
      <c r="AT2373" t="str">
        <f>T("9791170151678")</f>
        <v>9791170151678</v>
      </c>
      <c r="AV2373" t="str">
        <f>T("판타지 웹소설 &gt; 현대 판타지")</f>
        <v>판타지 웹소설 &gt; 현대 판타지</v>
      </c>
    </row>
    <row r="2374" spans="1:48" x14ac:dyDescent="0.4">
      <c r="A2374">
        <v>1525004988</v>
      </c>
      <c r="B2374">
        <v>1525005303</v>
      </c>
      <c r="C2374" t="str">
        <f>T("용무쌍 16화")</f>
        <v>용무쌍 16화</v>
      </c>
      <c r="D2374" t="str">
        <f>T("16")</f>
        <v>16</v>
      </c>
      <c r="E2374" t="str">
        <f>T("권용찬")</f>
        <v>권용찬</v>
      </c>
      <c r="H2374" t="str">
        <f>T("스토리위즈")</f>
        <v>스토리위즈</v>
      </c>
      <c r="I2374" t="str">
        <f>T("용무쌍")</f>
        <v>용무쌍</v>
      </c>
      <c r="J2374">
        <v>0</v>
      </c>
      <c r="K2374">
        <v>0</v>
      </c>
      <c r="L2374">
        <v>0</v>
      </c>
      <c r="M2374">
        <v>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2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s="2">
        <v>0</v>
      </c>
      <c r="AT2374" t="str">
        <f>T("9791159284861")</f>
        <v>9791159284861</v>
      </c>
      <c r="AV2374" t="str">
        <f>T("판타지 웹소설 &gt; 무협 소설")</f>
        <v>판타지 웹소설 &gt; 무협 소설</v>
      </c>
    </row>
    <row r="2375" spans="1:48" x14ac:dyDescent="0.4">
      <c r="A2375">
        <v>1525001540</v>
      </c>
      <c r="B2375">
        <v>1525001544</v>
      </c>
      <c r="C2375" t="str">
        <f>T("[e북]철중쟁쟁 5권")</f>
        <v>[e북]철중쟁쟁 5권</v>
      </c>
      <c r="D2375" t="str">
        <f>T("5")</f>
        <v>5</v>
      </c>
      <c r="E2375" t="str">
        <f>T("권용찬")</f>
        <v>권용찬</v>
      </c>
      <c r="H2375" t="str">
        <f>T("스토리위즈")</f>
        <v>스토리위즈</v>
      </c>
      <c r="I2375" t="str">
        <f>T("[e북]철중쟁쟁")</f>
        <v>[e북]철중쟁쟁</v>
      </c>
      <c r="J2375">
        <v>3200</v>
      </c>
      <c r="K2375">
        <v>0</v>
      </c>
      <c r="L2375">
        <v>0</v>
      </c>
      <c r="M2375">
        <v>0</v>
      </c>
      <c r="N2375">
        <v>1800</v>
      </c>
      <c r="O2375">
        <v>2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1800</v>
      </c>
      <c r="AH2375">
        <v>2</v>
      </c>
      <c r="AI2375">
        <v>0</v>
      </c>
      <c r="AJ2375">
        <v>0</v>
      </c>
      <c r="AK2375">
        <v>1800</v>
      </c>
      <c r="AL2375">
        <v>0</v>
      </c>
      <c r="AM2375">
        <v>0</v>
      </c>
      <c r="AN2375">
        <v>0</v>
      </c>
      <c r="AO2375">
        <v>0</v>
      </c>
      <c r="AP2375" s="2">
        <v>1260</v>
      </c>
      <c r="AT2375" t="str">
        <f>T("9791159282317")</f>
        <v>9791159282317</v>
      </c>
      <c r="AV2375" t="str">
        <f>T("판타지 e북 &gt; 전통 무협")</f>
        <v>판타지 e북 &gt; 전통 무협</v>
      </c>
    </row>
    <row r="2376" spans="1:48" x14ac:dyDescent="0.4">
      <c r="A2376">
        <v>1525013020</v>
      </c>
      <c r="B2376">
        <v>1525013026</v>
      </c>
      <c r="C2376" t="str">
        <f>T("악당의 리턴 7화")</f>
        <v>악당의 리턴 7화</v>
      </c>
      <c r="D2376" t="str">
        <f>T("7")</f>
        <v>7</v>
      </c>
      <c r="E2376" t="str">
        <f>T("백범(白帆)")</f>
        <v>백범(白帆)</v>
      </c>
      <c r="H2376" t="str">
        <f>T("에필로그")</f>
        <v>에필로그</v>
      </c>
      <c r="I2376" t="str">
        <f>T("악당의 리턴")</f>
        <v>악당의 리턴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s="2">
        <v>0</v>
      </c>
      <c r="AT2376" t="str">
        <f>T("9791196538927")</f>
        <v>9791196538927</v>
      </c>
      <c r="AV2376" t="str">
        <f>T("판타지 웹소설 &gt; 현대 판타지")</f>
        <v>판타지 웹소설 &gt; 현대 판타지</v>
      </c>
    </row>
    <row r="2377" spans="1:48" x14ac:dyDescent="0.4">
      <c r="A2377">
        <v>1525013369</v>
      </c>
      <c r="B2377">
        <v>1525013379</v>
      </c>
      <c r="C2377" t="str">
        <f>T("[e북]티끌모아 대박 2권")</f>
        <v>[e북]티끌모아 대박 2권</v>
      </c>
      <c r="D2377" t="str">
        <f>T("2")</f>
        <v>2</v>
      </c>
      <c r="E2377" t="str">
        <f>T("백범(白帆)")</f>
        <v>백범(白帆)</v>
      </c>
      <c r="H2377" t="str">
        <f>T("에필로그")</f>
        <v>에필로그</v>
      </c>
      <c r="I2377" t="str">
        <f>T("[e북]티끌모아 대박")</f>
        <v>[e북]티끌모아 대박</v>
      </c>
      <c r="J2377">
        <v>2000</v>
      </c>
      <c r="K2377">
        <v>0</v>
      </c>
      <c r="L2377">
        <v>0</v>
      </c>
      <c r="M2377">
        <v>0</v>
      </c>
      <c r="N2377">
        <v>900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900</v>
      </c>
      <c r="AH2377">
        <v>1</v>
      </c>
      <c r="AI2377">
        <v>0</v>
      </c>
      <c r="AJ2377">
        <v>0</v>
      </c>
      <c r="AK2377">
        <v>900</v>
      </c>
      <c r="AL2377">
        <v>0</v>
      </c>
      <c r="AM2377">
        <v>0</v>
      </c>
      <c r="AN2377">
        <v>0</v>
      </c>
      <c r="AO2377">
        <v>0</v>
      </c>
      <c r="AP2377" s="2">
        <v>630</v>
      </c>
      <c r="AR2377" t="str">
        <f>T("0000000000000")</f>
        <v>0000000000000</v>
      </c>
      <c r="AT2377" t="str">
        <f>T("9791166000218")</f>
        <v>9791166000218</v>
      </c>
      <c r="AV2377" t="str">
        <f>T("판타지 e북 &gt; 퓨전 판타지")</f>
        <v>판타지 e북 &gt; 퓨전 판타지</v>
      </c>
    </row>
    <row r="2378" spans="1:48" x14ac:dyDescent="0.4">
      <c r="A2378">
        <v>1525000199</v>
      </c>
      <c r="B2378">
        <v>1525000199</v>
      </c>
      <c r="C2378" t="str">
        <f>T("[e북]화산지애 1권")</f>
        <v>[e북]화산지애 1권</v>
      </c>
      <c r="D2378" t="str">
        <f>T("1")</f>
        <v>1</v>
      </c>
      <c r="E2378" t="str">
        <f>T("김광수")</f>
        <v>김광수</v>
      </c>
      <c r="H2378" t="str">
        <f>T("스토리위즈")</f>
        <v>스토리위즈</v>
      </c>
      <c r="I2378" t="str">
        <f>T("[e북]화산지애")</f>
        <v>[e북]화산지애</v>
      </c>
      <c r="J2378">
        <v>0</v>
      </c>
      <c r="K2378">
        <v>0</v>
      </c>
      <c r="L2378">
        <v>0</v>
      </c>
      <c r="M2378">
        <v>8</v>
      </c>
      <c r="N2378">
        <v>0</v>
      </c>
      <c r="O2378">
        <v>0</v>
      </c>
      <c r="P2378">
        <v>6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14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 s="2">
        <v>0</v>
      </c>
      <c r="AV2378" t="str">
        <f>T("판타지 e북 &gt; 신무협")</f>
        <v>판타지 e북 &gt; 신무협</v>
      </c>
    </row>
    <row r="2379" spans="1:48" x14ac:dyDescent="0.4">
      <c r="A2379">
        <v>1525000135</v>
      </c>
      <c r="B2379">
        <v>1525000135</v>
      </c>
      <c r="C2379" t="str">
        <f>T("[e북]하프 블러드 1권")</f>
        <v>[e북]하프 블러드 1권</v>
      </c>
      <c r="D2379" t="str">
        <f>T("1")</f>
        <v>1</v>
      </c>
      <c r="E2379" t="str">
        <f>T("김정률")</f>
        <v>김정률</v>
      </c>
      <c r="H2379" t="str">
        <f>T("스토리위즈")</f>
        <v>스토리위즈</v>
      </c>
      <c r="I2379" t="str">
        <f>T("[e북]하프 블러드")</f>
        <v>[e북]하프 블러드</v>
      </c>
      <c r="J2379">
        <v>0</v>
      </c>
      <c r="K2379">
        <v>0</v>
      </c>
      <c r="L2379">
        <v>0</v>
      </c>
      <c r="M2379">
        <v>3</v>
      </c>
      <c r="N2379">
        <v>0</v>
      </c>
      <c r="O2379">
        <v>0</v>
      </c>
      <c r="P2379">
        <v>5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8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 s="2">
        <v>0</v>
      </c>
      <c r="AV2379" t="str">
        <f>T("판타지 e북 &gt; 정통 판타지")</f>
        <v>판타지 e북 &gt; 정통 판타지</v>
      </c>
    </row>
    <row r="2380" spans="1:48" x14ac:dyDescent="0.4">
      <c r="A2380">
        <v>1525012539</v>
      </c>
      <c r="B2380">
        <v>1525012539</v>
      </c>
      <c r="C2380" t="str">
        <f>T("[e북]개정판 | 바보가 만드는 멋진 세상 1권")</f>
        <v>[e북]개정판 | 바보가 만드는 멋진 세상 1권</v>
      </c>
      <c r="D2380" t="str">
        <f>T("1")</f>
        <v>1</v>
      </c>
      <c r="E2380" t="str">
        <f>T("백범(白帆)")</f>
        <v>백범(白帆)</v>
      </c>
      <c r="H2380" t="str">
        <f>T("에필로그")</f>
        <v>에필로그</v>
      </c>
      <c r="I2380" t="str">
        <f>T("[e북]개정판 | 바보가 만드는 멋진 세상")</f>
        <v>[e북]개정판 | 바보가 만드는 멋진 세상</v>
      </c>
      <c r="J2380">
        <v>0</v>
      </c>
      <c r="K2380">
        <v>0</v>
      </c>
      <c r="L2380">
        <v>0</v>
      </c>
      <c r="M2380">
        <v>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2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s="2">
        <v>0</v>
      </c>
      <c r="AT2380" t="str">
        <f>T("9791166003509")</f>
        <v>9791166003509</v>
      </c>
      <c r="AV2380" t="str">
        <f>T("판타지 e북 &gt; 스포츠물")</f>
        <v>판타지 e북 &gt; 스포츠물</v>
      </c>
    </row>
    <row r="2381" spans="1:48" x14ac:dyDescent="0.4">
      <c r="A2381">
        <v>1525001334</v>
      </c>
      <c r="B2381">
        <v>1525001341</v>
      </c>
      <c r="C2381" t="str">
        <f>T("게이트 헌터 8화")</f>
        <v>게이트 헌터 8화</v>
      </c>
      <c r="D2381" t="str">
        <f>T("8")</f>
        <v>8</v>
      </c>
      <c r="E2381" t="str">
        <f>T("권용찬")</f>
        <v>권용찬</v>
      </c>
      <c r="H2381" t="str">
        <f>T("스토리위즈")</f>
        <v>스토리위즈</v>
      </c>
      <c r="I2381" t="str">
        <f>T("게이트 헌터")</f>
        <v>게이트 헌터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 s="2">
        <v>0</v>
      </c>
      <c r="AR2381" t="str">
        <f>T("9791159283291")</f>
        <v>9791159283291</v>
      </c>
      <c r="AT2381" t="str">
        <f>T("9791159283291")</f>
        <v>9791159283291</v>
      </c>
      <c r="AV2381" t="str">
        <f>T("판타지 웹소설 &gt; 현대 판타지")</f>
        <v>판타지 웹소설 &gt; 현대 판타지</v>
      </c>
    </row>
    <row r="2382" spans="1:48" x14ac:dyDescent="0.4">
      <c r="A2382">
        <v>1525010974</v>
      </c>
      <c r="B2382">
        <v>1525010971</v>
      </c>
      <c r="C2382" t="str">
        <f>T("[e북]위사무적 4권")</f>
        <v>[e북]위사무적 4권</v>
      </c>
      <c r="D2382" t="str">
        <f>T("4")</f>
        <v>4</v>
      </c>
      <c r="E2382" t="str">
        <f>T("협행마")</f>
        <v>협행마</v>
      </c>
      <c r="H2382" t="str">
        <f>T("에필로그")</f>
        <v>에필로그</v>
      </c>
      <c r="I2382" t="str">
        <f>T("[e북]위사무적")</f>
        <v>[e북]위사무적</v>
      </c>
      <c r="J2382">
        <v>2000</v>
      </c>
      <c r="K2382">
        <v>0</v>
      </c>
      <c r="L2382">
        <v>0</v>
      </c>
      <c r="M2382">
        <v>0</v>
      </c>
      <c r="N2382">
        <v>1400</v>
      </c>
      <c r="O2382">
        <v>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1400</v>
      </c>
      <c r="AH2382">
        <v>2</v>
      </c>
      <c r="AI2382">
        <v>0</v>
      </c>
      <c r="AJ2382">
        <v>0</v>
      </c>
      <c r="AK2382">
        <v>1400</v>
      </c>
      <c r="AL2382">
        <v>0</v>
      </c>
      <c r="AM2382">
        <v>0</v>
      </c>
      <c r="AN2382">
        <v>0</v>
      </c>
      <c r="AO2382">
        <v>0</v>
      </c>
      <c r="AP2382" s="2">
        <v>980</v>
      </c>
      <c r="AT2382" t="str">
        <f>T("9791164489015")</f>
        <v>9791164489015</v>
      </c>
      <c r="AV2382" t="str">
        <f>T("판타지 e북 &gt; 신무협")</f>
        <v>판타지 e북 &gt; 신무협</v>
      </c>
    </row>
    <row r="2383" spans="1:48" x14ac:dyDescent="0.4">
      <c r="A2383">
        <v>1525010900</v>
      </c>
      <c r="B2383">
        <v>1525010895</v>
      </c>
      <c r="C2383" t="str">
        <f>T("[e북]무적살수 4권")</f>
        <v>[e북]무적살수 4권</v>
      </c>
      <c r="D2383" t="str">
        <f>T("4")</f>
        <v>4</v>
      </c>
      <c r="E2383" t="str">
        <f>T("협행마")</f>
        <v>협행마</v>
      </c>
      <c r="H2383" t="str">
        <f>T("에필로그")</f>
        <v>에필로그</v>
      </c>
      <c r="I2383" t="str">
        <f>T("[e북]무적살수")</f>
        <v>[e북]무적살수</v>
      </c>
      <c r="J2383">
        <v>2500</v>
      </c>
      <c r="K2383">
        <v>0</v>
      </c>
      <c r="L2383">
        <v>0</v>
      </c>
      <c r="M2383">
        <v>0</v>
      </c>
      <c r="N2383">
        <v>900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900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1080</v>
      </c>
      <c r="AN2383">
        <v>-324</v>
      </c>
      <c r="AO2383">
        <v>0</v>
      </c>
      <c r="AP2383" s="2">
        <v>529.20000000000005</v>
      </c>
      <c r="AT2383" t="str">
        <f>T("9791166000126")</f>
        <v>9791166000126</v>
      </c>
      <c r="AV2383" t="str">
        <f>T("판타지 e북 &gt; 전통 무협")</f>
        <v>판타지 e북 &gt; 전통 무협</v>
      </c>
    </row>
    <row r="2384" spans="1:48" x14ac:dyDescent="0.4">
      <c r="A2384">
        <v>1525003477</v>
      </c>
      <c r="B2384">
        <v>1525003477</v>
      </c>
      <c r="C2384" t="str">
        <f>T("[e북]신규무사 1권")</f>
        <v>[e북]신규무사 1권</v>
      </c>
      <c r="D2384" t="str">
        <f>T("1")</f>
        <v>1</v>
      </c>
      <c r="E2384" t="str">
        <f>T("권용찬")</f>
        <v>권용찬</v>
      </c>
      <c r="H2384" t="str">
        <f t="shared" ref="H2384:H2392" si="222">T("스토리위즈")</f>
        <v>스토리위즈</v>
      </c>
      <c r="I2384" t="str">
        <f>T("[e북]신규무사")</f>
        <v>[e북]신규무사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2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3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s="2">
        <v>0</v>
      </c>
      <c r="AT2384" t="str">
        <f>T("9791159288500")</f>
        <v>9791159288500</v>
      </c>
      <c r="AV2384" t="str">
        <f>T("판타지 e북 &gt; 신무협")</f>
        <v>판타지 e북 &gt; 신무협</v>
      </c>
    </row>
    <row r="2385" spans="1:48" x14ac:dyDescent="0.4">
      <c r="A2385">
        <v>1525001908</v>
      </c>
      <c r="B2385">
        <v>1525001916</v>
      </c>
      <c r="C2385" t="str">
        <f>T("[e북]상왕 진우몽 9권 (완결)")</f>
        <v>[e북]상왕 진우몽 9권 (완결)</v>
      </c>
      <c r="D2385" t="str">
        <f>T("9")</f>
        <v>9</v>
      </c>
      <c r="E2385" t="str">
        <f>T("권용찬")</f>
        <v>권용찬</v>
      </c>
      <c r="H2385" t="str">
        <f t="shared" si="222"/>
        <v>스토리위즈</v>
      </c>
      <c r="I2385" t="str">
        <f>T("[e북]상왕 진우몽")</f>
        <v>[e북]상왕 진우몽</v>
      </c>
      <c r="J2385">
        <v>3200</v>
      </c>
      <c r="K2385">
        <v>0</v>
      </c>
      <c r="L2385">
        <v>0</v>
      </c>
      <c r="M2385">
        <v>0</v>
      </c>
      <c r="N2385">
        <v>900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900</v>
      </c>
      <c r="AH2385">
        <v>1</v>
      </c>
      <c r="AI2385">
        <v>0</v>
      </c>
      <c r="AJ2385">
        <v>0</v>
      </c>
      <c r="AK2385">
        <v>900</v>
      </c>
      <c r="AL2385">
        <v>0</v>
      </c>
      <c r="AM2385">
        <v>0</v>
      </c>
      <c r="AN2385">
        <v>0</v>
      </c>
      <c r="AO2385">
        <v>0</v>
      </c>
      <c r="AP2385" s="2">
        <v>630</v>
      </c>
      <c r="AT2385" t="str">
        <f>T("9791159285912")</f>
        <v>9791159285912</v>
      </c>
      <c r="AV2385" t="str">
        <f>T("판타지 e북 &gt; 신무협")</f>
        <v>판타지 e북 &gt; 신무협</v>
      </c>
    </row>
    <row r="2386" spans="1:48" x14ac:dyDescent="0.4">
      <c r="A2386">
        <v>1525004988</v>
      </c>
      <c r="B2386">
        <v>1525005296</v>
      </c>
      <c r="C2386" t="str">
        <f>T("용무쌍 9화")</f>
        <v>용무쌍 9화</v>
      </c>
      <c r="D2386" t="str">
        <f>T("9")</f>
        <v>9</v>
      </c>
      <c r="E2386" t="str">
        <f>T("권용찬")</f>
        <v>권용찬</v>
      </c>
      <c r="H2386" t="str">
        <f t="shared" si="222"/>
        <v>스토리위즈</v>
      </c>
      <c r="I2386" t="str">
        <f>T("용무쌍")</f>
        <v>용무쌍</v>
      </c>
      <c r="J2386">
        <v>0</v>
      </c>
      <c r="K2386">
        <v>0</v>
      </c>
      <c r="L2386">
        <v>0</v>
      </c>
      <c r="M2386">
        <v>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s="2">
        <v>0</v>
      </c>
      <c r="AT2386" t="str">
        <f>T("9791159284861")</f>
        <v>9791159284861</v>
      </c>
      <c r="AV2386" t="str">
        <f>T("판타지 웹소설 &gt; 무협 소설")</f>
        <v>판타지 웹소설 &gt; 무협 소설</v>
      </c>
    </row>
    <row r="2387" spans="1:48" x14ac:dyDescent="0.4">
      <c r="A2387">
        <v>1525002409</v>
      </c>
      <c r="B2387">
        <v>1525002433</v>
      </c>
      <c r="C2387" t="str">
        <f>T("스포트라이트 25화")</f>
        <v>스포트라이트 25화</v>
      </c>
      <c r="D2387" t="str">
        <f>T("25")</f>
        <v>25</v>
      </c>
      <c r="E2387" t="str">
        <f>T("전혁")</f>
        <v>전혁</v>
      </c>
      <c r="H2387" t="str">
        <f t="shared" si="222"/>
        <v>스토리위즈</v>
      </c>
      <c r="I2387" t="str">
        <f>T("스포트라이트")</f>
        <v>스포트라이트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 s="2">
        <v>0</v>
      </c>
      <c r="AT2387" t="str">
        <f>T("9791159286841")</f>
        <v>9791159286841</v>
      </c>
      <c r="AV2387" t="str">
        <f>T("판타지 웹소설 &gt; 현대 판타지")</f>
        <v>판타지 웹소설 &gt; 현대 판타지</v>
      </c>
    </row>
    <row r="2388" spans="1:48" x14ac:dyDescent="0.4">
      <c r="A2388">
        <v>1525001508</v>
      </c>
      <c r="B2388">
        <v>1525001512</v>
      </c>
      <c r="C2388" t="str">
        <f>T("[e북]칼 5권")</f>
        <v>[e북]칼 5권</v>
      </c>
      <c r="D2388" t="str">
        <f>T("5")</f>
        <v>5</v>
      </c>
      <c r="E2388" t="str">
        <f>T("권용찬")</f>
        <v>권용찬</v>
      </c>
      <c r="H2388" t="str">
        <f t="shared" si="222"/>
        <v>스토리위즈</v>
      </c>
      <c r="I2388" t="str">
        <f>T("[e북]칼")</f>
        <v>[e북]칼</v>
      </c>
      <c r="J2388">
        <v>3200</v>
      </c>
      <c r="K2388">
        <v>0</v>
      </c>
      <c r="L2388">
        <v>0</v>
      </c>
      <c r="M2388">
        <v>0</v>
      </c>
      <c r="N2388">
        <v>900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900</v>
      </c>
      <c r="AH2388">
        <v>1</v>
      </c>
      <c r="AI2388">
        <v>0</v>
      </c>
      <c r="AJ2388">
        <v>0</v>
      </c>
      <c r="AK2388">
        <v>0</v>
      </c>
      <c r="AL2388">
        <v>0</v>
      </c>
      <c r="AM2388">
        <v>900</v>
      </c>
      <c r="AN2388">
        <v>0</v>
      </c>
      <c r="AO2388">
        <v>0</v>
      </c>
      <c r="AP2388" s="2">
        <v>630</v>
      </c>
      <c r="AT2388" t="str">
        <f>T("9791159282393")</f>
        <v>9791159282393</v>
      </c>
      <c r="AV2388" t="str">
        <f>T("판타지 e북 &gt; 신무협")</f>
        <v>판타지 e북 &gt; 신무협</v>
      </c>
    </row>
    <row r="2389" spans="1:48" x14ac:dyDescent="0.4">
      <c r="A2389">
        <v>1525000055</v>
      </c>
      <c r="B2389">
        <v>1525000070</v>
      </c>
      <c r="C2389" t="str">
        <f>T("[e북]21세기 대마법사 15권")</f>
        <v>[e북]21세기 대마법사 15권</v>
      </c>
      <c r="D2389" t="str">
        <f>T("15")</f>
        <v>15</v>
      </c>
      <c r="E2389" t="str">
        <f>T("김광수")</f>
        <v>김광수</v>
      </c>
      <c r="H2389" t="str">
        <f t="shared" si="222"/>
        <v>스토리위즈</v>
      </c>
      <c r="I2389" t="str">
        <f>T("[e북]21세기 대마법사")</f>
        <v>[e북]21세기 대마법사</v>
      </c>
      <c r="J2389">
        <v>3200</v>
      </c>
      <c r="K2389">
        <v>0</v>
      </c>
      <c r="L2389">
        <v>0</v>
      </c>
      <c r="M2389">
        <v>0</v>
      </c>
      <c r="N2389">
        <v>6300</v>
      </c>
      <c r="O2389">
        <v>7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6300</v>
      </c>
      <c r="AH2389">
        <v>7</v>
      </c>
      <c r="AI2389">
        <v>0</v>
      </c>
      <c r="AJ2389">
        <v>0</v>
      </c>
      <c r="AK2389">
        <v>6300</v>
      </c>
      <c r="AL2389">
        <v>0</v>
      </c>
      <c r="AM2389">
        <v>0</v>
      </c>
      <c r="AN2389">
        <v>0</v>
      </c>
      <c r="AO2389">
        <v>0</v>
      </c>
      <c r="AP2389" s="2">
        <v>4410</v>
      </c>
      <c r="AT2389" t="str">
        <f>T("9788925120065")</f>
        <v>9788925120065</v>
      </c>
      <c r="AV2389" t="str">
        <f>T("판타지 e북 &gt; 퓨전 판타지")</f>
        <v>판타지 e북 &gt; 퓨전 판타지</v>
      </c>
    </row>
    <row r="2390" spans="1:48" x14ac:dyDescent="0.4">
      <c r="A2390">
        <v>1525001116</v>
      </c>
      <c r="B2390">
        <v>1525001119</v>
      </c>
      <c r="C2390" t="str">
        <f>T("개정판 | 영웅 4화")</f>
        <v>개정판 | 영웅 4화</v>
      </c>
      <c r="D2390" t="str">
        <f>T("4")</f>
        <v>4</v>
      </c>
      <c r="E2390" t="str">
        <f>T("김광수")</f>
        <v>김광수</v>
      </c>
      <c r="H2390" t="str">
        <f t="shared" si="222"/>
        <v>스토리위즈</v>
      </c>
      <c r="I2390" t="str">
        <f>T("개정판 | 영웅")</f>
        <v>개정판 | 영웅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s="2">
        <v>0</v>
      </c>
      <c r="AR2390" t="str">
        <f>T("9791159282829")</f>
        <v>9791159282829</v>
      </c>
      <c r="AT2390" t="str">
        <f>T("9791159282829")</f>
        <v>9791159282829</v>
      </c>
      <c r="AV2390" t="str">
        <f>T("판타지 웹소설 &gt; 무협 소설")</f>
        <v>판타지 웹소설 &gt; 무협 소설</v>
      </c>
    </row>
    <row r="2391" spans="1:48" x14ac:dyDescent="0.4">
      <c r="A2391">
        <v>1525004030</v>
      </c>
      <c r="B2391">
        <v>1525004050</v>
      </c>
      <c r="C2391" t="str">
        <f>T("회귀의 전설 21화")</f>
        <v>회귀의 전설 21화</v>
      </c>
      <c r="D2391" t="str">
        <f>T("21")</f>
        <v>21</v>
      </c>
      <c r="E2391" t="str">
        <f>T("김광수")</f>
        <v>김광수</v>
      </c>
      <c r="H2391" t="str">
        <f t="shared" si="222"/>
        <v>스토리위즈</v>
      </c>
      <c r="I2391" t="str">
        <f>T("회귀의 전설")</f>
        <v>회귀의 전설</v>
      </c>
      <c r="J2391">
        <v>0</v>
      </c>
      <c r="K2391">
        <v>0</v>
      </c>
      <c r="L2391">
        <v>0</v>
      </c>
      <c r="M2391">
        <v>3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3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 s="2">
        <v>0</v>
      </c>
      <c r="AT2391" t="str">
        <f>T("9788997946006")</f>
        <v>9788997946006</v>
      </c>
      <c r="AV2391" t="str">
        <f>T("판타지 웹소설 &gt; 현대 판타지")</f>
        <v>판타지 웹소설 &gt; 현대 판타지</v>
      </c>
    </row>
    <row r="2392" spans="1:48" x14ac:dyDescent="0.4">
      <c r="A2392">
        <v>1525002692</v>
      </c>
      <c r="B2392">
        <v>1525002701</v>
      </c>
      <c r="C2392" t="str">
        <f>T("신규무사 10화")</f>
        <v>신규무사 10화</v>
      </c>
      <c r="D2392" t="str">
        <f>T("10")</f>
        <v>10</v>
      </c>
      <c r="E2392" t="str">
        <f>T("권용찬")</f>
        <v>권용찬</v>
      </c>
      <c r="H2392" t="str">
        <f t="shared" si="222"/>
        <v>스토리위즈</v>
      </c>
      <c r="I2392" t="str">
        <f>T("신규무사")</f>
        <v>신규무사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 s="2">
        <v>0</v>
      </c>
      <c r="AT2392" t="str">
        <f>T("9791159287480")</f>
        <v>9791159287480</v>
      </c>
      <c r="AV2392" t="str">
        <f>T("판타지 웹소설 &gt; 무협 소설")</f>
        <v>판타지 웹소설 &gt; 무협 소설</v>
      </c>
    </row>
    <row r="2393" spans="1:48" x14ac:dyDescent="0.4">
      <c r="A2393">
        <v>1525014015</v>
      </c>
      <c r="B2393">
        <v>1525014038</v>
      </c>
      <c r="C2393" t="str">
        <f>T("사냥꾼은 마왕이 되기 싫다 24화")</f>
        <v>사냥꾼은 마왕이 되기 싫다 24화</v>
      </c>
      <c r="D2393" t="str">
        <f>T("24")</f>
        <v>24</v>
      </c>
      <c r="E2393" t="str">
        <f>T("강명운")</f>
        <v>강명운</v>
      </c>
      <c r="H2393" t="str">
        <f>T("스토리아크")</f>
        <v>스토리아크</v>
      </c>
      <c r="I2393" t="str">
        <f>T("사냥꾼은 마왕이 되기 싫다")</f>
        <v>사냥꾼은 마왕이 되기 싫다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 s="2">
        <v>0</v>
      </c>
      <c r="AR2393" t="str">
        <f>T("0000000000000")</f>
        <v>0000000000000</v>
      </c>
      <c r="AT2393" t="str">
        <f>T("9791191039269")</f>
        <v>9791191039269</v>
      </c>
      <c r="AV2393" t="str">
        <f>T("판타지 웹소설 &gt; 정통 판타지")</f>
        <v>판타지 웹소설 &gt; 정통 판타지</v>
      </c>
    </row>
    <row r="2394" spans="1:48" x14ac:dyDescent="0.4">
      <c r="A2394">
        <v>1525013320</v>
      </c>
      <c r="B2394">
        <v>1525013325</v>
      </c>
      <c r="C2394" t="str">
        <f>T("[e북]악당의 리턴 6권")</f>
        <v>[e북]악당의 리턴 6권</v>
      </c>
      <c r="D2394" t="str">
        <f>T("6")</f>
        <v>6</v>
      </c>
      <c r="E2394" t="str">
        <f>T("백범(白帆)")</f>
        <v>백범(白帆)</v>
      </c>
      <c r="H2394" t="str">
        <f>T("에필로그")</f>
        <v>에필로그</v>
      </c>
      <c r="I2394" t="str">
        <f>T("[e북]악당의 리턴")</f>
        <v>[e북]악당의 리턴</v>
      </c>
      <c r="J2394">
        <v>3200</v>
      </c>
      <c r="K2394">
        <v>0</v>
      </c>
      <c r="L2394">
        <v>0</v>
      </c>
      <c r="M2394">
        <v>0</v>
      </c>
      <c r="N2394">
        <v>900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900</v>
      </c>
      <c r="AH2394">
        <v>1</v>
      </c>
      <c r="AI2394">
        <v>0</v>
      </c>
      <c r="AJ2394">
        <v>0</v>
      </c>
      <c r="AK2394">
        <v>900</v>
      </c>
      <c r="AL2394">
        <v>0</v>
      </c>
      <c r="AM2394">
        <v>0</v>
      </c>
      <c r="AN2394">
        <v>0</v>
      </c>
      <c r="AO2394">
        <v>0</v>
      </c>
      <c r="AP2394" s="2">
        <v>630</v>
      </c>
      <c r="AT2394" t="str">
        <f>T("9791164482917")</f>
        <v>9791164482917</v>
      </c>
      <c r="AV2394" t="str">
        <f>T("판타지 e북 &gt; 현대 판타지")</f>
        <v>판타지 e북 &gt; 현대 판타지</v>
      </c>
    </row>
    <row r="2395" spans="1:48" x14ac:dyDescent="0.4">
      <c r="A2395">
        <v>1525002864</v>
      </c>
      <c r="B2395">
        <v>1525002882</v>
      </c>
      <c r="C2395" t="str">
        <f>T("소드마스터의 환생 19화")</f>
        <v>소드마스터의 환생 19화</v>
      </c>
      <c r="D2395" t="str">
        <f>T("19")</f>
        <v>19</v>
      </c>
      <c r="E2395" t="str">
        <f>T("파란영")</f>
        <v>파란영</v>
      </c>
      <c r="H2395" t="str">
        <f t="shared" ref="H2395:H2400" si="223">T("스토리위즈")</f>
        <v>스토리위즈</v>
      </c>
      <c r="I2395" t="str">
        <f>T("소드마스터의 환생")</f>
        <v>소드마스터의 환생</v>
      </c>
      <c r="J2395">
        <v>0</v>
      </c>
      <c r="K2395">
        <v>0</v>
      </c>
      <c r="L2395">
        <v>0</v>
      </c>
      <c r="M2395">
        <v>3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3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 s="2">
        <v>0</v>
      </c>
      <c r="AT2395" t="str">
        <f>T("9791159287527")</f>
        <v>9791159287527</v>
      </c>
      <c r="AV2395" t="str">
        <f>T("판타지 웹소설 &gt; 정통 판타지")</f>
        <v>판타지 웹소설 &gt; 정통 판타지</v>
      </c>
    </row>
    <row r="2396" spans="1:48" x14ac:dyDescent="0.4">
      <c r="A2396">
        <v>1525000924</v>
      </c>
      <c r="B2396">
        <v>1525000930</v>
      </c>
      <c r="C2396" t="str">
        <f>T("스피릿 소드 7화")</f>
        <v>스피릿 소드 7화</v>
      </c>
      <c r="D2396" t="str">
        <f>T("7")</f>
        <v>7</v>
      </c>
      <c r="E2396" t="str">
        <f>T("김정률")</f>
        <v>김정률</v>
      </c>
      <c r="H2396" t="str">
        <f t="shared" si="223"/>
        <v>스토리위즈</v>
      </c>
      <c r="I2396" t="str">
        <f>T("스피릿 소드")</f>
        <v>스피릿 소드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 s="2">
        <v>0</v>
      </c>
      <c r="AR2396" t="str">
        <f>T("9791159282713")</f>
        <v>9791159282713</v>
      </c>
      <c r="AT2396" t="str">
        <f>T("9791159282713")</f>
        <v>9791159282713</v>
      </c>
      <c r="AV2396" t="str">
        <f>T("판타지 웹소설 &gt; 정통 판타지")</f>
        <v>판타지 웹소설 &gt; 정통 판타지</v>
      </c>
    </row>
    <row r="2397" spans="1:48" x14ac:dyDescent="0.4">
      <c r="A2397">
        <v>1525004030</v>
      </c>
      <c r="B2397">
        <v>1525004043</v>
      </c>
      <c r="C2397" t="str">
        <f>T("회귀의 전설 14화")</f>
        <v>회귀의 전설 14화</v>
      </c>
      <c r="D2397" t="str">
        <f>T("14")</f>
        <v>14</v>
      </c>
      <c r="E2397" t="str">
        <f>T("김광수")</f>
        <v>김광수</v>
      </c>
      <c r="H2397" t="str">
        <f t="shared" si="223"/>
        <v>스토리위즈</v>
      </c>
      <c r="I2397" t="str">
        <f>T("회귀의 전설")</f>
        <v>회귀의 전설</v>
      </c>
      <c r="J2397">
        <v>0</v>
      </c>
      <c r="K2397">
        <v>0</v>
      </c>
      <c r="L2397">
        <v>0</v>
      </c>
      <c r="M2397">
        <v>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3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 s="2">
        <v>0</v>
      </c>
      <c r="AT2397" t="str">
        <f>T("9788997946006")</f>
        <v>9788997946006</v>
      </c>
      <c r="AV2397" t="str">
        <f>T("판타지 웹소설 &gt; 현대 판타지")</f>
        <v>판타지 웹소설 &gt; 현대 판타지</v>
      </c>
    </row>
    <row r="2398" spans="1:48" x14ac:dyDescent="0.4">
      <c r="A2398">
        <v>1525002692</v>
      </c>
      <c r="B2398">
        <v>1525002694</v>
      </c>
      <c r="C2398" t="str">
        <f>T("신규무사 3화")</f>
        <v>신규무사 3화</v>
      </c>
      <c r="D2398" t="str">
        <f>T("3")</f>
        <v>3</v>
      </c>
      <c r="E2398" t="str">
        <f>T("권용찬")</f>
        <v>권용찬</v>
      </c>
      <c r="H2398" t="str">
        <f t="shared" si="223"/>
        <v>스토리위즈</v>
      </c>
      <c r="I2398" t="str">
        <f>T("신규무사")</f>
        <v>신규무사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 s="2">
        <v>0</v>
      </c>
      <c r="AT2398" t="str">
        <f>T("9791159287480")</f>
        <v>9791159287480</v>
      </c>
      <c r="AV2398" t="str">
        <f>T("판타지 웹소설 &gt; 무협 소설")</f>
        <v>판타지 웹소설 &gt; 무협 소설</v>
      </c>
    </row>
    <row r="2399" spans="1:48" x14ac:dyDescent="0.4">
      <c r="A2399">
        <v>1525002125</v>
      </c>
      <c r="B2399">
        <v>1525002144</v>
      </c>
      <c r="C2399" t="str">
        <f>T("신을 죽이러 갑니다 20화")</f>
        <v>신을 죽이러 갑니다 20화</v>
      </c>
      <c r="D2399" t="str">
        <f>T("20")</f>
        <v>20</v>
      </c>
      <c r="E2399" t="str">
        <f>T("독고진")</f>
        <v>독고진</v>
      </c>
      <c r="H2399" t="str">
        <f t="shared" si="223"/>
        <v>스토리위즈</v>
      </c>
      <c r="I2399" t="str">
        <f>T("신을 죽이러 갑니다")</f>
        <v>신을 죽이러 갑니다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 s="2">
        <v>0</v>
      </c>
      <c r="AT2399" t="str">
        <f>T("9791159285806")</f>
        <v>9791159285806</v>
      </c>
      <c r="AV2399" t="str">
        <f>T("판타지 웹소설 &gt; 퓨전 판타지")</f>
        <v>판타지 웹소설 &gt; 퓨전 판타지</v>
      </c>
    </row>
    <row r="2400" spans="1:48" x14ac:dyDescent="0.4">
      <c r="A2400">
        <v>1525000569</v>
      </c>
      <c r="B2400">
        <v>1525000589</v>
      </c>
      <c r="C2400" t="str">
        <f>T("스트라이커 21화")</f>
        <v>스트라이커 21화</v>
      </c>
      <c r="D2400" t="str">
        <f>T("21")</f>
        <v>21</v>
      </c>
      <c r="E2400" t="str">
        <f>T("독고진")</f>
        <v>독고진</v>
      </c>
      <c r="H2400" t="str">
        <f t="shared" si="223"/>
        <v>스토리위즈</v>
      </c>
      <c r="I2400" t="str">
        <f>T("스트라이커")</f>
        <v>스트라이커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s="2">
        <v>0</v>
      </c>
      <c r="AT2400" t="str">
        <f>T("9791170151678")</f>
        <v>9791170151678</v>
      </c>
      <c r="AV2400" t="str">
        <f>T("판타지 웹소설 &gt; 현대 판타지")</f>
        <v>판타지 웹소설 &gt; 현대 판타지</v>
      </c>
    </row>
    <row r="2401" spans="1:48" x14ac:dyDescent="0.4">
      <c r="A2401">
        <v>1525014015</v>
      </c>
      <c r="B2401">
        <v>1525014015</v>
      </c>
      <c r="C2401" t="str">
        <f>T("사냥꾼은 마왕이 되기 싫다 1화")</f>
        <v>사냥꾼은 마왕이 되기 싫다 1화</v>
      </c>
      <c r="D2401" t="str">
        <f>T("1")</f>
        <v>1</v>
      </c>
      <c r="E2401" t="str">
        <f>T("강명운")</f>
        <v>강명운</v>
      </c>
      <c r="H2401" t="str">
        <f>T("스토리아크")</f>
        <v>스토리아크</v>
      </c>
      <c r="I2401" t="str">
        <f>T("사냥꾼은 마왕이 되기 싫다")</f>
        <v>사냥꾼은 마왕이 되기 싫다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s="2">
        <v>0</v>
      </c>
      <c r="AR2401" t="str">
        <f>T("0000000000000")</f>
        <v>0000000000000</v>
      </c>
      <c r="AT2401" t="str">
        <f>T("9791191039269")</f>
        <v>9791191039269</v>
      </c>
      <c r="AV2401" t="str">
        <f>T("판타지 웹소설 &gt; 정통 판타지")</f>
        <v>판타지 웹소설 &gt; 정통 판타지</v>
      </c>
    </row>
    <row r="2402" spans="1:48" x14ac:dyDescent="0.4">
      <c r="A2402">
        <v>1525013020</v>
      </c>
      <c r="B2402">
        <v>1525013044</v>
      </c>
      <c r="C2402" t="str">
        <f>T("악당의 리턴 25화")</f>
        <v>악당의 리턴 25화</v>
      </c>
      <c r="D2402" t="str">
        <f>T("25")</f>
        <v>25</v>
      </c>
      <c r="E2402" t="str">
        <f>T("백범(白帆)")</f>
        <v>백범(白帆)</v>
      </c>
      <c r="H2402" t="str">
        <f>T("에필로그")</f>
        <v>에필로그</v>
      </c>
      <c r="I2402" t="str">
        <f>T("악당의 리턴")</f>
        <v>악당의 리턴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s="2">
        <v>0</v>
      </c>
      <c r="AT2402" t="str">
        <f>T("9791196538927")</f>
        <v>9791196538927</v>
      </c>
      <c r="AV2402" t="str">
        <f>T("판타지 웹소설 &gt; 현대 판타지")</f>
        <v>판타지 웹소설 &gt; 현대 판타지</v>
      </c>
    </row>
    <row r="2403" spans="1:48" x14ac:dyDescent="0.4">
      <c r="A2403">
        <v>1525011523</v>
      </c>
      <c r="B2403">
        <v>1525011517</v>
      </c>
      <c r="C2403" t="str">
        <f>T("남창목가 7화")</f>
        <v>남창목가 7화</v>
      </c>
      <c r="D2403" t="str">
        <f>T("7")</f>
        <v>7</v>
      </c>
      <c r="E2403" t="str">
        <f>T("최재봉")</f>
        <v>최재봉</v>
      </c>
      <c r="H2403" t="str">
        <f>T("에필로그")</f>
        <v>에필로그</v>
      </c>
      <c r="I2403" t="str">
        <f>T("남창목가")</f>
        <v>남창목가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 s="2">
        <v>0</v>
      </c>
      <c r="AT2403" t="str">
        <f>T("9791164482849")</f>
        <v>9791164482849</v>
      </c>
      <c r="AV2403" t="str">
        <f>T("판타지 웹소설 &gt; 무협 소설")</f>
        <v>판타지 웹소설 &gt; 무협 소설</v>
      </c>
    </row>
    <row r="2404" spans="1:48" x14ac:dyDescent="0.4">
      <c r="A2404">
        <v>1525007923</v>
      </c>
      <c r="B2404">
        <v>1525007967</v>
      </c>
      <c r="C2404" t="str">
        <f>T("운상연담: 화불능귀일락 5화")</f>
        <v>운상연담: 화불능귀일락 5화</v>
      </c>
      <c r="D2404" t="str">
        <f>T("5")</f>
        <v>5</v>
      </c>
      <c r="E2404" t="str">
        <f>T("피모")</f>
        <v>피모</v>
      </c>
      <c r="H2404" t="str">
        <f>T("쉬라즈")</f>
        <v>쉬라즈</v>
      </c>
      <c r="I2404" t="str">
        <f>T("운상연담: 화불능귀일락")</f>
        <v>운상연담: 화불능귀일락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 s="2">
        <v>0</v>
      </c>
      <c r="AT2404" t="str">
        <f>T("9791164896646")</f>
        <v>9791164896646</v>
      </c>
      <c r="AV2404" t="str">
        <f>T("로맨스 웹소설 &gt; 역사/시대물")</f>
        <v>로맨스 웹소설 &gt; 역사/시대물</v>
      </c>
    </row>
    <row r="2405" spans="1:48" x14ac:dyDescent="0.4">
      <c r="A2405">
        <v>1525002864</v>
      </c>
      <c r="B2405">
        <v>1525002875</v>
      </c>
      <c r="C2405" t="str">
        <f>T("소드마스터의 환생 12화")</f>
        <v>소드마스터의 환생 12화</v>
      </c>
      <c r="D2405" t="str">
        <f>T("12")</f>
        <v>12</v>
      </c>
      <c r="E2405" t="str">
        <f>T("파란영")</f>
        <v>파란영</v>
      </c>
      <c r="H2405" t="str">
        <f>T("스토리위즈")</f>
        <v>스토리위즈</v>
      </c>
      <c r="I2405" t="str">
        <f>T("소드마스터의 환생")</f>
        <v>소드마스터의 환생</v>
      </c>
      <c r="J2405">
        <v>0</v>
      </c>
      <c r="K2405">
        <v>0</v>
      </c>
      <c r="L2405">
        <v>0</v>
      </c>
      <c r="M2405">
        <v>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3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s="2">
        <v>0</v>
      </c>
      <c r="AT2405" t="str">
        <f>T("9791159287527")</f>
        <v>9791159287527</v>
      </c>
      <c r="AV2405" t="str">
        <f>T("판타지 웹소설 &gt; 정통 판타지")</f>
        <v>판타지 웹소설 &gt; 정통 판타지</v>
      </c>
    </row>
    <row r="2406" spans="1:48" x14ac:dyDescent="0.4">
      <c r="A2406">
        <v>1525000158</v>
      </c>
      <c r="B2406">
        <v>1525000168</v>
      </c>
      <c r="C2406" t="str">
        <f>T("[e북]아나크레온 12권")</f>
        <v>[e북]아나크레온 12권</v>
      </c>
      <c r="D2406" t="str">
        <f>T("12")</f>
        <v>12</v>
      </c>
      <c r="E2406" t="str">
        <f>T("김정률")</f>
        <v>김정률</v>
      </c>
      <c r="H2406" t="str">
        <f>T("스토리위즈")</f>
        <v>스토리위즈</v>
      </c>
      <c r="I2406" t="str">
        <f>T("[e북]아나크레온")</f>
        <v>[e북]아나크레온</v>
      </c>
      <c r="J2406">
        <v>3200</v>
      </c>
      <c r="K2406">
        <v>0</v>
      </c>
      <c r="L2406">
        <v>0</v>
      </c>
      <c r="M2406">
        <v>0</v>
      </c>
      <c r="N2406">
        <v>1800</v>
      </c>
      <c r="O2406">
        <v>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1800</v>
      </c>
      <c r="AH2406">
        <v>2</v>
      </c>
      <c r="AI2406">
        <v>0</v>
      </c>
      <c r="AJ2406">
        <v>0</v>
      </c>
      <c r="AK2406">
        <v>1800</v>
      </c>
      <c r="AL2406">
        <v>0</v>
      </c>
      <c r="AM2406">
        <v>0</v>
      </c>
      <c r="AN2406">
        <v>0</v>
      </c>
      <c r="AO2406">
        <v>0</v>
      </c>
      <c r="AP2406" s="2">
        <v>1260</v>
      </c>
      <c r="AV2406" t="str">
        <f>T("판타지 e북 &gt; 퓨전 판타지")</f>
        <v>판타지 e북 &gt; 퓨전 판타지</v>
      </c>
    </row>
    <row r="2407" spans="1:48" x14ac:dyDescent="0.4">
      <c r="A2407">
        <v>1525012202</v>
      </c>
      <c r="B2407">
        <v>1525012202</v>
      </c>
      <c r="C2407" t="str">
        <f>T("이세계 최강 군바리 1화")</f>
        <v>이세계 최강 군바리 1화</v>
      </c>
      <c r="D2407" t="str">
        <f>T("1")</f>
        <v>1</v>
      </c>
      <c r="E2407" t="str">
        <f>T("협행마")</f>
        <v>협행마</v>
      </c>
      <c r="H2407" t="str">
        <f>T("에필로그")</f>
        <v>에필로그</v>
      </c>
      <c r="I2407" t="str">
        <f>T("이세계 최강 군바리")</f>
        <v>이세계 최강 군바리</v>
      </c>
      <c r="J2407">
        <v>0</v>
      </c>
      <c r="K2407">
        <v>0</v>
      </c>
      <c r="L2407">
        <v>0</v>
      </c>
      <c r="M2407">
        <v>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2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s="2">
        <v>0</v>
      </c>
      <c r="AT2407" t="str">
        <f>T("9791164480159")</f>
        <v>9791164480159</v>
      </c>
      <c r="AV2407" t="str">
        <f>T("판타지 웹소설 &gt; 퓨전 판타지")</f>
        <v>판타지 웹소설 &gt; 퓨전 판타지</v>
      </c>
    </row>
    <row r="2408" spans="1:48" x14ac:dyDescent="0.4">
      <c r="A2408">
        <v>1525001334</v>
      </c>
      <c r="B2408">
        <v>1525001334</v>
      </c>
      <c r="C2408" t="str">
        <f>T("게이트 헌터 1화")</f>
        <v>게이트 헌터 1화</v>
      </c>
      <c r="D2408" t="str">
        <f>T("1")</f>
        <v>1</v>
      </c>
      <c r="E2408" t="str">
        <f>T("권용찬")</f>
        <v>권용찬</v>
      </c>
      <c r="H2408" t="str">
        <f>T("스토리위즈")</f>
        <v>스토리위즈</v>
      </c>
      <c r="I2408" t="str">
        <f>T("게이트 헌터")</f>
        <v>게이트 헌터</v>
      </c>
      <c r="J2408">
        <v>0</v>
      </c>
      <c r="K2408">
        <v>0</v>
      </c>
      <c r="L2408">
        <v>0</v>
      </c>
      <c r="M2408">
        <v>2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2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s="2">
        <v>0</v>
      </c>
      <c r="AR2408" t="str">
        <f>T("9791159283291")</f>
        <v>9791159283291</v>
      </c>
      <c r="AT2408" t="str">
        <f>T("9791159283291")</f>
        <v>9791159283291</v>
      </c>
      <c r="AV2408" t="str">
        <f>T("판타지 웹소설 &gt; 현대 판타지")</f>
        <v>판타지 웹소설 &gt; 현대 판타지</v>
      </c>
    </row>
    <row r="2409" spans="1:48" x14ac:dyDescent="0.4">
      <c r="A2409">
        <v>1525010898</v>
      </c>
      <c r="B2409">
        <v>1525010875</v>
      </c>
      <c r="C2409" t="str">
        <f>T("[e북]용병수칙 8권")</f>
        <v>[e북]용병수칙 8권</v>
      </c>
      <c r="D2409" t="str">
        <f>T("8")</f>
        <v>8</v>
      </c>
      <c r="E2409" t="str">
        <f>T("협행마")</f>
        <v>협행마</v>
      </c>
      <c r="H2409" t="str">
        <f>T("에필로그")</f>
        <v>에필로그</v>
      </c>
      <c r="I2409" t="str">
        <f>T("[e북]용병수칙")</f>
        <v>[e북]용병수칙</v>
      </c>
      <c r="J2409">
        <v>2500</v>
      </c>
      <c r="K2409">
        <v>0</v>
      </c>
      <c r="L2409">
        <v>0</v>
      </c>
      <c r="M2409">
        <v>0</v>
      </c>
      <c r="N2409">
        <v>810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810</v>
      </c>
      <c r="AH2409">
        <v>1</v>
      </c>
      <c r="AI2409">
        <v>0</v>
      </c>
      <c r="AJ2409">
        <v>0</v>
      </c>
      <c r="AK2409">
        <v>810</v>
      </c>
      <c r="AL2409">
        <v>0</v>
      </c>
      <c r="AM2409">
        <v>0</v>
      </c>
      <c r="AN2409">
        <v>0</v>
      </c>
      <c r="AO2409">
        <v>0</v>
      </c>
      <c r="AP2409" s="2">
        <v>567</v>
      </c>
      <c r="AT2409" t="str">
        <f>T("9791166000140")</f>
        <v>9791166000140</v>
      </c>
      <c r="AV2409" t="str">
        <f>T("판타지 e북 &gt; 퓨전 판타지")</f>
        <v>판타지 e북 &gt; 퓨전 판타지</v>
      </c>
    </row>
    <row r="2410" spans="1:48" x14ac:dyDescent="0.4">
      <c r="A2410">
        <v>1525001908</v>
      </c>
      <c r="B2410">
        <v>1525001909</v>
      </c>
      <c r="C2410" t="str">
        <f>T("[e북]상왕 진우몽 2권")</f>
        <v>[e북]상왕 진우몽 2권</v>
      </c>
      <c r="D2410" t="str">
        <f>T("2")</f>
        <v>2</v>
      </c>
      <c r="E2410" t="str">
        <f>T("권용찬")</f>
        <v>권용찬</v>
      </c>
      <c r="H2410" t="str">
        <f>T("스토리위즈")</f>
        <v>스토리위즈</v>
      </c>
      <c r="I2410" t="str">
        <f>T("[e북]상왕 진우몽")</f>
        <v>[e북]상왕 진우몽</v>
      </c>
      <c r="J2410">
        <v>3200</v>
      </c>
      <c r="K2410">
        <v>0</v>
      </c>
      <c r="L2410">
        <v>0</v>
      </c>
      <c r="M2410">
        <v>0</v>
      </c>
      <c r="N2410">
        <v>900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900</v>
      </c>
      <c r="AH2410">
        <v>1</v>
      </c>
      <c r="AI2410">
        <v>0</v>
      </c>
      <c r="AJ2410">
        <v>0</v>
      </c>
      <c r="AK2410">
        <v>900</v>
      </c>
      <c r="AL2410">
        <v>0</v>
      </c>
      <c r="AM2410">
        <v>0</v>
      </c>
      <c r="AN2410">
        <v>0</v>
      </c>
      <c r="AO2410">
        <v>0</v>
      </c>
      <c r="AP2410" s="2">
        <v>630</v>
      </c>
      <c r="AT2410" t="str">
        <f>T("9791159285844")</f>
        <v>9791159285844</v>
      </c>
      <c r="AV2410" t="str">
        <f>T("판타지 e북 &gt; 신무협")</f>
        <v>판타지 e북 &gt; 신무협</v>
      </c>
    </row>
    <row r="2411" spans="1:48" x14ac:dyDescent="0.4">
      <c r="A2411">
        <v>1525004988</v>
      </c>
      <c r="B2411">
        <v>1525005289</v>
      </c>
      <c r="C2411" t="str">
        <f>T("용무쌍 2화")</f>
        <v>용무쌍 2화</v>
      </c>
      <c r="D2411" t="str">
        <f>T("2")</f>
        <v>2</v>
      </c>
      <c r="E2411" t="str">
        <f>T("권용찬")</f>
        <v>권용찬</v>
      </c>
      <c r="H2411" t="str">
        <f>T("스토리위즈")</f>
        <v>스토리위즈</v>
      </c>
      <c r="I2411" t="str">
        <f>T("용무쌍")</f>
        <v>용무쌍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 s="2">
        <v>0</v>
      </c>
      <c r="AT2411" t="str">
        <f>T("9791159284861")</f>
        <v>9791159284861</v>
      </c>
      <c r="AV2411" t="str">
        <f>T("판타지 웹소설 &gt; 무협 소설")</f>
        <v>판타지 웹소설 &gt; 무협 소설</v>
      </c>
    </row>
    <row r="2412" spans="1:48" x14ac:dyDescent="0.4">
      <c r="A2412">
        <v>1525002409</v>
      </c>
      <c r="B2412">
        <v>1525002426</v>
      </c>
      <c r="C2412" t="str">
        <f>T("스포트라이트 18화")</f>
        <v>스포트라이트 18화</v>
      </c>
      <c r="D2412" t="str">
        <f>T("18")</f>
        <v>18</v>
      </c>
      <c r="E2412" t="str">
        <f>T("전혁")</f>
        <v>전혁</v>
      </c>
      <c r="H2412" t="str">
        <f>T("스토리위즈")</f>
        <v>스토리위즈</v>
      </c>
      <c r="I2412" t="str">
        <f>T("스포트라이트")</f>
        <v>스포트라이트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s="2">
        <v>0</v>
      </c>
      <c r="AT2412" t="str">
        <f>T("9791159286841")</f>
        <v>9791159286841</v>
      </c>
      <c r="AV2412" t="str">
        <f>T("판타지 웹소설 &gt; 현대 판타지")</f>
        <v>판타지 웹소설 &gt; 현대 판타지</v>
      </c>
    </row>
    <row r="2413" spans="1:48" x14ac:dyDescent="0.4">
      <c r="A2413">
        <v>1525001499</v>
      </c>
      <c r="B2413">
        <v>1525001504</v>
      </c>
      <c r="C2413" t="str">
        <f>T("[e북]파계 6권")</f>
        <v>[e북]파계 6권</v>
      </c>
      <c r="D2413" t="str">
        <f>T("6")</f>
        <v>6</v>
      </c>
      <c r="E2413" t="str">
        <f>T("권용찬")</f>
        <v>권용찬</v>
      </c>
      <c r="H2413" t="str">
        <f>T("스토리위즈")</f>
        <v>스토리위즈</v>
      </c>
      <c r="I2413" t="str">
        <f>T("[e북]파계")</f>
        <v>[e북]파계</v>
      </c>
      <c r="J2413">
        <v>3200</v>
      </c>
      <c r="K2413">
        <v>0</v>
      </c>
      <c r="L2413">
        <v>0</v>
      </c>
      <c r="M2413">
        <v>0</v>
      </c>
      <c r="N2413">
        <v>900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900</v>
      </c>
      <c r="AH2413">
        <v>1</v>
      </c>
      <c r="AI2413">
        <v>0</v>
      </c>
      <c r="AJ2413">
        <v>0</v>
      </c>
      <c r="AK2413">
        <v>900</v>
      </c>
      <c r="AL2413">
        <v>0</v>
      </c>
      <c r="AM2413">
        <v>0</v>
      </c>
      <c r="AN2413">
        <v>0</v>
      </c>
      <c r="AO2413">
        <v>0</v>
      </c>
      <c r="AP2413" s="2">
        <v>630</v>
      </c>
      <c r="AT2413" t="str">
        <f>T("9791159282782")</f>
        <v>9791159282782</v>
      </c>
      <c r="AV2413" t="str">
        <f>T("판타지 e북 &gt; 신무협")</f>
        <v>판타지 e북 &gt; 신무협</v>
      </c>
    </row>
    <row r="2414" spans="1:48" x14ac:dyDescent="0.4">
      <c r="A2414">
        <v>1525000055</v>
      </c>
      <c r="B2414">
        <v>1525000063</v>
      </c>
      <c r="C2414" t="str">
        <f>T("[e북]21세기 대마법사 8권")</f>
        <v>[e북]21세기 대마법사 8권</v>
      </c>
      <c r="D2414" t="str">
        <f>T("8")</f>
        <v>8</v>
      </c>
      <c r="E2414" t="str">
        <f>T("김광수")</f>
        <v>김광수</v>
      </c>
      <c r="H2414" t="str">
        <f>T("스토리위즈")</f>
        <v>스토리위즈</v>
      </c>
      <c r="I2414" t="str">
        <f>T("[e북]21세기 대마법사")</f>
        <v>[e북]21세기 대마법사</v>
      </c>
      <c r="J2414">
        <v>3200</v>
      </c>
      <c r="K2414">
        <v>0</v>
      </c>
      <c r="L2414">
        <v>0</v>
      </c>
      <c r="M2414">
        <v>0</v>
      </c>
      <c r="N2414">
        <v>9900</v>
      </c>
      <c r="O2414">
        <v>11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9900</v>
      </c>
      <c r="AH2414">
        <v>11</v>
      </c>
      <c r="AI2414">
        <v>0</v>
      </c>
      <c r="AJ2414">
        <v>0</v>
      </c>
      <c r="AK2414">
        <v>9000</v>
      </c>
      <c r="AL2414">
        <v>0</v>
      </c>
      <c r="AM2414">
        <v>900</v>
      </c>
      <c r="AN2414">
        <v>0</v>
      </c>
      <c r="AO2414">
        <v>0</v>
      </c>
      <c r="AP2414" s="2">
        <v>6930</v>
      </c>
      <c r="AT2414" t="str">
        <f>T("9788925118550")</f>
        <v>9788925118550</v>
      </c>
      <c r="AV2414" t="str">
        <f>T("판타지 e북 &gt; 퓨전 판타지")</f>
        <v>판타지 e북 &gt; 퓨전 판타지</v>
      </c>
    </row>
    <row r="2415" spans="1:48" x14ac:dyDescent="0.4">
      <c r="A2415">
        <v>1525013344</v>
      </c>
      <c r="B2415">
        <v>1525013346</v>
      </c>
      <c r="C2415" t="str">
        <f>T("[e북]진짜 사나이 3권")</f>
        <v>[e북]진짜 사나이 3권</v>
      </c>
      <c r="D2415" t="str">
        <f>T("3")</f>
        <v>3</v>
      </c>
      <c r="E2415" t="str">
        <f>T("백범(白帆)")</f>
        <v>백범(白帆)</v>
      </c>
      <c r="H2415" t="str">
        <f>T("에필로그")</f>
        <v>에필로그</v>
      </c>
      <c r="I2415" t="str">
        <f>T("[e북]진짜 사나이")</f>
        <v>[e북]진짜 사나이</v>
      </c>
      <c r="J2415">
        <v>2000</v>
      </c>
      <c r="K2415">
        <v>0</v>
      </c>
      <c r="L2415">
        <v>0</v>
      </c>
      <c r="M2415">
        <v>0</v>
      </c>
      <c r="N2415">
        <v>2700</v>
      </c>
      <c r="O2415">
        <v>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2700</v>
      </c>
      <c r="AH2415">
        <v>3</v>
      </c>
      <c r="AI2415">
        <v>0</v>
      </c>
      <c r="AJ2415">
        <v>0</v>
      </c>
      <c r="AK2415">
        <v>2700</v>
      </c>
      <c r="AL2415">
        <v>0</v>
      </c>
      <c r="AM2415">
        <v>0</v>
      </c>
      <c r="AN2415">
        <v>0</v>
      </c>
      <c r="AO2415">
        <v>0</v>
      </c>
      <c r="AP2415" s="2">
        <v>1890</v>
      </c>
      <c r="AT2415" t="str">
        <f>T("9791164480548")</f>
        <v>9791164480548</v>
      </c>
      <c r="AV2415" t="str">
        <f>T("판타지 e북 &gt; 퓨전 판타지")</f>
        <v>판타지 e북 &gt; 퓨전 판타지</v>
      </c>
    </row>
    <row r="2416" spans="1:48" x14ac:dyDescent="0.4">
      <c r="A2416">
        <v>1525000113</v>
      </c>
      <c r="B2416">
        <v>1525000121</v>
      </c>
      <c r="C2416" t="str">
        <f>T("[e북]마왕 데이몬 9권")</f>
        <v>[e북]마왕 데이몬 9권</v>
      </c>
      <c r="D2416" t="str">
        <f>T("9")</f>
        <v>9</v>
      </c>
      <c r="E2416" t="str">
        <f>T("김정률")</f>
        <v>김정률</v>
      </c>
      <c r="H2416" t="str">
        <f>T("스토리위즈")</f>
        <v>스토리위즈</v>
      </c>
      <c r="I2416" t="str">
        <f>T("[e북]마왕 데이몬")</f>
        <v>[e북]마왕 데이몬</v>
      </c>
      <c r="J2416">
        <v>3200</v>
      </c>
      <c r="K2416">
        <v>0</v>
      </c>
      <c r="L2416">
        <v>0</v>
      </c>
      <c r="M2416">
        <v>0</v>
      </c>
      <c r="N2416">
        <v>1800</v>
      </c>
      <c r="O2416">
        <v>2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1800</v>
      </c>
      <c r="AH2416">
        <v>2</v>
      </c>
      <c r="AI2416">
        <v>0</v>
      </c>
      <c r="AJ2416">
        <v>0</v>
      </c>
      <c r="AK2416">
        <v>1800</v>
      </c>
      <c r="AL2416">
        <v>0</v>
      </c>
      <c r="AM2416">
        <v>0</v>
      </c>
      <c r="AN2416">
        <v>0</v>
      </c>
      <c r="AO2416">
        <v>0</v>
      </c>
      <c r="AP2416" s="2">
        <v>1260</v>
      </c>
      <c r="AT2416" t="str">
        <f>T("9788925727363")</f>
        <v>9788925727363</v>
      </c>
      <c r="AV2416" t="str">
        <f>T("판타지 e북 &gt; 현대 판타지")</f>
        <v>판타지 e북 &gt; 현대 판타지</v>
      </c>
    </row>
    <row r="2417" spans="1:48" x14ac:dyDescent="0.4">
      <c r="A2417">
        <v>1525012005</v>
      </c>
      <c r="B2417">
        <v>1525012002</v>
      </c>
      <c r="C2417" t="str">
        <f>T("[e북]남궁세가 건달공자 4권")</f>
        <v>[e북]남궁세가 건달공자 4권</v>
      </c>
      <c r="D2417" t="str">
        <f>T("4")</f>
        <v>4</v>
      </c>
      <c r="E2417" t="str">
        <f>T("협행마")</f>
        <v>협행마</v>
      </c>
      <c r="H2417" t="str">
        <f>T("에필로그")</f>
        <v>에필로그</v>
      </c>
      <c r="I2417" t="str">
        <f>T("[e북]남궁세가 건달공자")</f>
        <v>[e북]남궁세가 건달공자</v>
      </c>
      <c r="J2417">
        <v>2500</v>
      </c>
      <c r="K2417">
        <v>0</v>
      </c>
      <c r="L2417">
        <v>0</v>
      </c>
      <c r="M2417">
        <v>0</v>
      </c>
      <c r="N2417">
        <v>900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900</v>
      </c>
      <c r="AH2417">
        <v>1</v>
      </c>
      <c r="AI2417">
        <v>0</v>
      </c>
      <c r="AJ2417">
        <v>0</v>
      </c>
      <c r="AK2417">
        <v>900</v>
      </c>
      <c r="AL2417">
        <v>0</v>
      </c>
      <c r="AM2417">
        <v>0</v>
      </c>
      <c r="AN2417">
        <v>0</v>
      </c>
      <c r="AO2417">
        <v>0</v>
      </c>
      <c r="AP2417" s="2">
        <v>630</v>
      </c>
      <c r="AT2417" t="str">
        <f>T("9791164481583")</f>
        <v>9791164481583</v>
      </c>
      <c r="AV2417" t="str">
        <f>T("판타지 e북 &gt; 신무협")</f>
        <v>판타지 e북 &gt; 신무협</v>
      </c>
    </row>
    <row r="2418" spans="1:48" x14ac:dyDescent="0.4">
      <c r="A2418">
        <v>1525001317</v>
      </c>
      <c r="B2418">
        <v>1525001325</v>
      </c>
      <c r="C2418" t="str">
        <f>T("[e북]완전판 | 스트라이커 9권")</f>
        <v>[e북]완전판 | 스트라이커 9권</v>
      </c>
      <c r="D2418" t="str">
        <f>T("9")</f>
        <v>9</v>
      </c>
      <c r="E2418" t="str">
        <f>T("독고진")</f>
        <v>독고진</v>
      </c>
      <c r="H2418" t="str">
        <f>T("스토리위즈")</f>
        <v>스토리위즈</v>
      </c>
      <c r="I2418" t="str">
        <f>T("[e북]완전판 | 스트라이커")</f>
        <v>[e북]완전판 | 스트라이커</v>
      </c>
      <c r="J2418">
        <v>3200</v>
      </c>
      <c r="K2418">
        <v>0</v>
      </c>
      <c r="L2418">
        <v>0</v>
      </c>
      <c r="M2418">
        <v>0</v>
      </c>
      <c r="N2418">
        <v>4500</v>
      </c>
      <c r="O2418">
        <v>5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4500</v>
      </c>
      <c r="AH2418">
        <v>5</v>
      </c>
      <c r="AI2418">
        <v>0</v>
      </c>
      <c r="AJ2418">
        <v>0</v>
      </c>
      <c r="AK2418">
        <v>4500</v>
      </c>
      <c r="AL2418">
        <v>0</v>
      </c>
      <c r="AM2418">
        <v>0</v>
      </c>
      <c r="AN2418">
        <v>0</v>
      </c>
      <c r="AO2418">
        <v>0</v>
      </c>
      <c r="AP2418" s="2">
        <v>3150</v>
      </c>
      <c r="AR2418" t="str">
        <f>T("9791159282904")</f>
        <v>9791159282904</v>
      </c>
      <c r="AT2418" t="str">
        <f>T("9791159282911")</f>
        <v>9791159282911</v>
      </c>
      <c r="AV2418" t="str">
        <f>T("판타지 e북 &gt; 스포츠물")</f>
        <v>판타지 e북 &gt; 스포츠물</v>
      </c>
    </row>
    <row r="2419" spans="1:48" x14ac:dyDescent="0.4">
      <c r="A2419">
        <v>1525004989</v>
      </c>
      <c r="B2419">
        <v>1525005508</v>
      </c>
      <c r="C2419" t="str">
        <f>T("신룡전설 19화")</f>
        <v>신룡전설 19화</v>
      </c>
      <c r="D2419" t="str">
        <f>T("19")</f>
        <v>19</v>
      </c>
      <c r="E2419" t="str">
        <f>T("가람검")</f>
        <v>가람검</v>
      </c>
      <c r="H2419" t="str">
        <f>T("스토리위즈")</f>
        <v>스토리위즈</v>
      </c>
      <c r="I2419" t="str">
        <f>T("신룡전설")</f>
        <v>신룡전설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 s="2">
        <v>0</v>
      </c>
      <c r="AT2419" t="str">
        <f>T("9791159283505")</f>
        <v>9791159283505</v>
      </c>
      <c r="AV2419" t="str">
        <f>T("판타지 웹소설 &gt; 무협 소설")</f>
        <v>판타지 웹소설 &gt; 무협 소설</v>
      </c>
    </row>
    <row r="2420" spans="1:48" x14ac:dyDescent="0.4">
      <c r="A2420">
        <v>1525000001</v>
      </c>
      <c r="B2420">
        <v>1525000001</v>
      </c>
      <c r="C2420" t="str">
        <f>T("[e북]마스터 K 1권")</f>
        <v>[e북]마스터 K 1권</v>
      </c>
      <c r="D2420" t="str">
        <f>T("1")</f>
        <v>1</v>
      </c>
      <c r="E2420" t="str">
        <f>T("김광수")</f>
        <v>김광수</v>
      </c>
      <c r="H2420" t="str">
        <f>T("스토리위즈")</f>
        <v>스토리위즈</v>
      </c>
      <c r="I2420" t="str">
        <f>T("[e북]마스터 K")</f>
        <v>[e북]마스터 K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4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5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 s="2">
        <v>0</v>
      </c>
      <c r="AV2420" t="str">
        <f>T("판타지 e북 &gt; 스포츠물")</f>
        <v>판타지 e북 &gt; 스포츠물</v>
      </c>
    </row>
    <row r="2421" spans="1:48" x14ac:dyDescent="0.4">
      <c r="A2421">
        <v>1525008604</v>
      </c>
      <c r="B2421">
        <v>1525008604</v>
      </c>
      <c r="C2421" t="str">
        <f>T("우아한 곡선 1화")</f>
        <v>우아한 곡선 1화</v>
      </c>
      <c r="D2421" t="str">
        <f>T("1")</f>
        <v>1</v>
      </c>
      <c r="E2421" t="str">
        <f>T("용가리맛쿠키")</f>
        <v>용가리맛쿠키</v>
      </c>
      <c r="H2421" t="str">
        <f>T("블러쉬")</f>
        <v>블러쉬</v>
      </c>
      <c r="I2421" t="str">
        <f>T("우아한 곡선")</f>
        <v>우아한 곡선</v>
      </c>
      <c r="J2421">
        <v>0</v>
      </c>
      <c r="K2421">
        <v>0</v>
      </c>
      <c r="L2421">
        <v>0</v>
      </c>
      <c r="M2421">
        <v>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2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 s="2">
        <v>0</v>
      </c>
      <c r="AR2421" t="str">
        <f>T("0000000000000")</f>
        <v>0000000000000</v>
      </c>
      <c r="AT2421" t="str">
        <f>T("9791164896615")</f>
        <v>9791164896615</v>
      </c>
      <c r="AV2421" t="str">
        <f>T("BL 웹소설 &gt; 현대물")</f>
        <v>BL 웹소설 &gt; 현대물</v>
      </c>
    </row>
    <row r="2422" spans="1:48" x14ac:dyDescent="0.4">
      <c r="A2422">
        <v>1525001836</v>
      </c>
      <c r="B2422">
        <v>1525001841</v>
      </c>
      <c r="C2422" t="str">
        <f>T("[e북]완전판ㅣ스피릿 소드 6권")</f>
        <v>[e북]완전판ㅣ스피릿 소드 6권</v>
      </c>
      <c r="D2422" t="str">
        <f>T("6")</f>
        <v>6</v>
      </c>
      <c r="E2422" t="str">
        <f>T("김정률")</f>
        <v>김정률</v>
      </c>
      <c r="H2422" t="str">
        <f>T("스토리위즈")</f>
        <v>스토리위즈</v>
      </c>
      <c r="I2422" t="str">
        <f>T("[e북]완전판ㅣ스피릿 소드")</f>
        <v>[e북]완전판ㅣ스피릿 소드</v>
      </c>
      <c r="J2422">
        <v>3200</v>
      </c>
      <c r="K2422">
        <v>0</v>
      </c>
      <c r="L2422">
        <v>0</v>
      </c>
      <c r="M2422">
        <v>0</v>
      </c>
      <c r="N2422">
        <v>6300</v>
      </c>
      <c r="O2422">
        <v>7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6300</v>
      </c>
      <c r="AH2422">
        <v>7</v>
      </c>
      <c r="AI2422">
        <v>0</v>
      </c>
      <c r="AJ2422">
        <v>0</v>
      </c>
      <c r="AK2422">
        <v>4500</v>
      </c>
      <c r="AL2422">
        <v>0</v>
      </c>
      <c r="AM2422">
        <v>1800</v>
      </c>
      <c r="AN2422">
        <v>0</v>
      </c>
      <c r="AO2422">
        <v>0</v>
      </c>
      <c r="AP2422" s="2">
        <v>4410</v>
      </c>
      <c r="AT2422" t="str">
        <f>T("9791159285271")</f>
        <v>9791159285271</v>
      </c>
      <c r="AV2422" t="str">
        <f>T("판타지 e북 &gt; 정통 판타지")</f>
        <v>판타지 e북 &gt; 정통 판타지</v>
      </c>
    </row>
    <row r="2423" spans="1:48" x14ac:dyDescent="0.4">
      <c r="A2423">
        <v>1525013418</v>
      </c>
      <c r="B2423">
        <v>1525013425</v>
      </c>
      <c r="C2423" t="str">
        <f>T("[e북]헌터 킹 8권 (완결)")</f>
        <v>[e북]헌터 킹 8권 (완결)</v>
      </c>
      <c r="D2423" t="str">
        <f>T("8")</f>
        <v>8</v>
      </c>
      <c r="E2423" t="str">
        <f>T("백범(白帆)")</f>
        <v>백범(白帆)</v>
      </c>
      <c r="H2423" t="str">
        <f>T("에필로그")</f>
        <v>에필로그</v>
      </c>
      <c r="I2423" t="str">
        <f>T("[e북]헌터 킹")</f>
        <v>[e북]헌터 킹</v>
      </c>
      <c r="J2423">
        <v>2000</v>
      </c>
      <c r="K2423">
        <v>0</v>
      </c>
      <c r="L2423">
        <v>0</v>
      </c>
      <c r="M2423">
        <v>0</v>
      </c>
      <c r="N2423">
        <v>900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900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900</v>
      </c>
      <c r="AN2423">
        <v>0</v>
      </c>
      <c r="AO2423">
        <v>0</v>
      </c>
      <c r="AP2423" s="2">
        <v>630</v>
      </c>
      <c r="AR2423" t="str">
        <f>T("0000000000000")</f>
        <v>0000000000000</v>
      </c>
      <c r="AT2423" t="str">
        <f>T("9791164480234")</f>
        <v>9791164480234</v>
      </c>
      <c r="AV2423" t="str">
        <f>T("판타지 e북 &gt; 퓨전 판타지")</f>
        <v>판타지 e북 &gt; 퓨전 판타지</v>
      </c>
    </row>
    <row r="2424" spans="1:48" x14ac:dyDescent="0.4">
      <c r="A2424">
        <v>1525002409</v>
      </c>
      <c r="B2424">
        <v>1525002419</v>
      </c>
      <c r="C2424" t="str">
        <f>T("스포트라이트 11화")</f>
        <v>스포트라이트 11화</v>
      </c>
      <c r="D2424" t="str">
        <f>T("11")</f>
        <v>11</v>
      </c>
      <c r="E2424" t="str">
        <f>T("전혁")</f>
        <v>전혁</v>
      </c>
      <c r="H2424" t="str">
        <f>T("스토리위즈")</f>
        <v>스토리위즈</v>
      </c>
      <c r="I2424" t="str">
        <f>T("스포트라이트")</f>
        <v>스포트라이트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 s="2">
        <v>0</v>
      </c>
      <c r="AT2424" t="str">
        <f>T("9791159286841")</f>
        <v>9791159286841</v>
      </c>
      <c r="AV2424" t="str">
        <f>T("판타지 웹소설 &gt; 현대 판타지")</f>
        <v>판타지 웹소설 &gt; 현대 판타지</v>
      </c>
    </row>
    <row r="2425" spans="1:48" x14ac:dyDescent="0.4">
      <c r="A2425">
        <v>1525001493</v>
      </c>
      <c r="B2425">
        <v>1525001493</v>
      </c>
      <c r="C2425" t="str">
        <f>T("[e북]수적왕 1권")</f>
        <v>[e북]수적왕 1권</v>
      </c>
      <c r="D2425" t="str">
        <f>T("1")</f>
        <v>1</v>
      </c>
      <c r="E2425" t="str">
        <f>T("권용찬")</f>
        <v>권용찬</v>
      </c>
      <c r="H2425" t="str">
        <f>T("스토리위즈")</f>
        <v>스토리위즈</v>
      </c>
      <c r="I2425" t="str">
        <f>T("[e북]수적왕")</f>
        <v>[e북]수적왕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 s="2">
        <v>0</v>
      </c>
      <c r="AT2425" t="str">
        <f>T("9791159282201")</f>
        <v>9791159282201</v>
      </c>
      <c r="AV2425" t="str">
        <f>T("판타지 e북 &gt; 신무협")</f>
        <v>판타지 e북 &gt; 신무협</v>
      </c>
    </row>
    <row r="2426" spans="1:48" x14ac:dyDescent="0.4">
      <c r="A2426">
        <v>1525000055</v>
      </c>
      <c r="B2426">
        <v>1525000055</v>
      </c>
      <c r="C2426" t="str">
        <f>T("[e북]21세기 대마법사 1권")</f>
        <v>[e북]21세기 대마법사 1권</v>
      </c>
      <c r="D2426" t="str">
        <f>T("1")</f>
        <v>1</v>
      </c>
      <c r="E2426" t="str">
        <f>T("김광수")</f>
        <v>김광수</v>
      </c>
      <c r="H2426" t="str">
        <f>T("스토리위즈")</f>
        <v>스토리위즈</v>
      </c>
      <c r="I2426" t="str">
        <f>T("[e북]21세기 대마법사")</f>
        <v>[e북]21세기 대마법사</v>
      </c>
      <c r="J2426">
        <v>0</v>
      </c>
      <c r="K2426">
        <v>0</v>
      </c>
      <c r="L2426">
        <v>0</v>
      </c>
      <c r="M2426">
        <v>7</v>
      </c>
      <c r="N2426">
        <v>0</v>
      </c>
      <c r="O2426">
        <v>0</v>
      </c>
      <c r="P2426">
        <v>20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27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 s="2">
        <v>0</v>
      </c>
      <c r="AT2426" t="str">
        <f>T("9788925116105")</f>
        <v>9788925116105</v>
      </c>
      <c r="AV2426" t="str">
        <f>T("판타지 e북 &gt; 퓨전 판타지")</f>
        <v>판타지 e북 &gt; 퓨전 판타지</v>
      </c>
    </row>
    <row r="2427" spans="1:48" x14ac:dyDescent="0.4">
      <c r="A2427">
        <v>1525010944</v>
      </c>
      <c r="B2427">
        <v>1525010928</v>
      </c>
      <c r="C2427" t="str">
        <f>T("[e북]법보다 주먹 17권")</f>
        <v>[e북]법보다 주먹 17권</v>
      </c>
      <c r="D2427" t="str">
        <f>T("17")</f>
        <v>17</v>
      </c>
      <c r="E2427" t="str">
        <f>T("백범(白帆)")</f>
        <v>백범(白帆)</v>
      </c>
      <c r="H2427" t="str">
        <f>T("에필로그")</f>
        <v>에필로그</v>
      </c>
      <c r="I2427" t="str">
        <f>T("[e북]법보다 주먹")</f>
        <v>[e북]법보다 주먹</v>
      </c>
      <c r="J2427">
        <v>2000</v>
      </c>
      <c r="K2427">
        <v>0</v>
      </c>
      <c r="L2427">
        <v>0</v>
      </c>
      <c r="M2427">
        <v>0</v>
      </c>
      <c r="N2427">
        <v>3600</v>
      </c>
      <c r="O2427">
        <v>4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3600</v>
      </c>
      <c r="AH2427">
        <v>4</v>
      </c>
      <c r="AI2427">
        <v>0</v>
      </c>
      <c r="AJ2427">
        <v>0</v>
      </c>
      <c r="AK2427">
        <v>3600</v>
      </c>
      <c r="AL2427">
        <v>0</v>
      </c>
      <c r="AM2427">
        <v>0</v>
      </c>
      <c r="AN2427">
        <v>0</v>
      </c>
      <c r="AO2427">
        <v>0</v>
      </c>
      <c r="AP2427" s="2">
        <v>2520</v>
      </c>
      <c r="AT2427" t="str">
        <f>T("9791164480142")</f>
        <v>9791164480142</v>
      </c>
      <c r="AV2427" t="str">
        <f>T("판타지 e북 &gt; 현대 판타지")</f>
        <v>판타지 e북 &gt; 현대 판타지</v>
      </c>
    </row>
    <row r="2428" spans="1:48" x14ac:dyDescent="0.4">
      <c r="A2428">
        <v>1525000569</v>
      </c>
      <c r="B2428">
        <v>1525000923</v>
      </c>
      <c r="C2428" t="str">
        <f>T("스트라이커 307화 (완결)")</f>
        <v>스트라이커 307화 (완결)</v>
      </c>
      <c r="D2428" t="str">
        <f>T("307")</f>
        <v>307</v>
      </c>
      <c r="E2428" t="str">
        <f>T("독고진")</f>
        <v>독고진</v>
      </c>
      <c r="H2428" t="str">
        <f>T("스토리위즈")</f>
        <v>스토리위즈</v>
      </c>
      <c r="I2428" t="str">
        <f>T("스트라이커")</f>
        <v>스트라이커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s="2">
        <v>0</v>
      </c>
      <c r="AT2428" t="str">
        <f>T("9791170151678")</f>
        <v>9791170151678</v>
      </c>
      <c r="AV2428" t="str">
        <f>T("판타지 웹소설 &gt; 현대 판타지")</f>
        <v>판타지 웹소설 &gt; 현대 판타지</v>
      </c>
    </row>
    <row r="2429" spans="1:48" x14ac:dyDescent="0.4">
      <c r="A2429">
        <v>1525004030</v>
      </c>
      <c r="B2429">
        <v>1525004036</v>
      </c>
      <c r="C2429" t="str">
        <f>T("회귀의 전설 7화")</f>
        <v>회귀의 전설 7화</v>
      </c>
      <c r="D2429" t="str">
        <f>T("7")</f>
        <v>7</v>
      </c>
      <c r="E2429" t="str">
        <f>T("김광수")</f>
        <v>김광수</v>
      </c>
      <c r="H2429" t="str">
        <f>T("스토리위즈")</f>
        <v>스토리위즈</v>
      </c>
      <c r="I2429" t="str">
        <f>T("회귀의 전설")</f>
        <v>회귀의 전설</v>
      </c>
      <c r="J2429">
        <v>0</v>
      </c>
      <c r="K2429">
        <v>0</v>
      </c>
      <c r="L2429">
        <v>0</v>
      </c>
      <c r="M2429">
        <v>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3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 s="2">
        <v>0</v>
      </c>
      <c r="AT2429" t="str">
        <f>T("9788997946006")</f>
        <v>9788997946006</v>
      </c>
      <c r="AV2429" t="str">
        <f>T("판타지 웹소설 &gt; 현대 판타지")</f>
        <v>판타지 웹소설 &gt; 현대 판타지</v>
      </c>
    </row>
    <row r="2430" spans="1:48" x14ac:dyDescent="0.4">
      <c r="A2430">
        <v>1525002125</v>
      </c>
      <c r="B2430">
        <v>1525002137</v>
      </c>
      <c r="C2430" t="str">
        <f>T("신을 죽이러 갑니다 13화")</f>
        <v>신을 죽이러 갑니다 13화</v>
      </c>
      <c r="D2430" t="str">
        <f>T("13")</f>
        <v>13</v>
      </c>
      <c r="E2430" t="str">
        <f>T("독고진")</f>
        <v>독고진</v>
      </c>
      <c r="H2430" t="str">
        <f>T("스토리위즈")</f>
        <v>스토리위즈</v>
      </c>
      <c r="I2430" t="str">
        <f>T("신을 죽이러 갑니다")</f>
        <v>신을 죽이러 갑니다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s="2">
        <v>0</v>
      </c>
      <c r="AT2430" t="str">
        <f>T("9791159285806")</f>
        <v>9791159285806</v>
      </c>
      <c r="AV2430" t="str">
        <f>T("판타지 웹소설 &gt; 퓨전 판타지")</f>
        <v>판타지 웹소설 &gt; 퓨전 판타지</v>
      </c>
    </row>
    <row r="2431" spans="1:48" x14ac:dyDescent="0.4">
      <c r="A2431">
        <v>1525000569</v>
      </c>
      <c r="B2431">
        <v>1525000582</v>
      </c>
      <c r="C2431" t="str">
        <f>T("스트라이커 14화")</f>
        <v>스트라이커 14화</v>
      </c>
      <c r="D2431" t="str">
        <f>T("14")</f>
        <v>14</v>
      </c>
      <c r="E2431" t="str">
        <f>T("독고진")</f>
        <v>독고진</v>
      </c>
      <c r="H2431" t="str">
        <f>T("스토리위즈")</f>
        <v>스토리위즈</v>
      </c>
      <c r="I2431" t="str">
        <f>T("스트라이커")</f>
        <v>스트라이커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 s="2">
        <v>0</v>
      </c>
      <c r="AT2431" t="str">
        <f>T("9791170151678")</f>
        <v>9791170151678</v>
      </c>
      <c r="AV2431" t="str">
        <f>T("판타지 웹소설 &gt; 현대 판타지")</f>
        <v>판타지 웹소설 &gt; 현대 판타지</v>
      </c>
    </row>
    <row r="2432" spans="1:48" x14ac:dyDescent="0.4">
      <c r="A2432">
        <v>1525013020</v>
      </c>
      <c r="B2432">
        <v>1525013037</v>
      </c>
      <c r="C2432" t="str">
        <f>T("악당의 리턴 18화")</f>
        <v>악당의 리턴 18화</v>
      </c>
      <c r="D2432" t="str">
        <f>T("18")</f>
        <v>18</v>
      </c>
      <c r="E2432" t="str">
        <f>T("백범(白帆)")</f>
        <v>백범(白帆)</v>
      </c>
      <c r="H2432" t="str">
        <f>T("에필로그")</f>
        <v>에필로그</v>
      </c>
      <c r="I2432" t="str">
        <f>T("악당의 리턴")</f>
        <v>악당의 리턴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 s="2">
        <v>0</v>
      </c>
      <c r="AT2432" t="str">
        <f>T("9791196538927")</f>
        <v>9791196538927</v>
      </c>
      <c r="AV2432" t="str">
        <f>T("판타지 웹소설 &gt; 현대 판타지")</f>
        <v>판타지 웹소설 &gt; 현대 판타지</v>
      </c>
    </row>
    <row r="2433" spans="1:48" x14ac:dyDescent="0.4">
      <c r="A2433">
        <v>1525011523</v>
      </c>
      <c r="B2433">
        <v>1525011510</v>
      </c>
      <c r="C2433" t="str">
        <f>T("남창목가 14화")</f>
        <v>남창목가 14화</v>
      </c>
      <c r="D2433" t="str">
        <f>T("14")</f>
        <v>14</v>
      </c>
      <c r="E2433" t="str">
        <f>T("최재봉")</f>
        <v>최재봉</v>
      </c>
      <c r="H2433" t="str">
        <f>T("에필로그")</f>
        <v>에필로그</v>
      </c>
      <c r="I2433" t="str">
        <f>T("남창목가")</f>
        <v>남창목가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 s="2">
        <v>0</v>
      </c>
      <c r="AT2433" t="str">
        <f>T("9791164482849")</f>
        <v>9791164482849</v>
      </c>
      <c r="AV2433" t="str">
        <f>T("판타지 웹소설 &gt; 무협 소설")</f>
        <v>판타지 웹소설 &gt; 무협 소설</v>
      </c>
    </row>
    <row r="2434" spans="1:48" x14ac:dyDescent="0.4">
      <c r="A2434">
        <v>1525001317</v>
      </c>
      <c r="B2434">
        <v>1525001317</v>
      </c>
      <c r="C2434" t="str">
        <f>T("[e북]완전판 | 스트라이커 1권")</f>
        <v>[e북]완전판 | 스트라이커 1권</v>
      </c>
      <c r="D2434" t="str">
        <f>T("1")</f>
        <v>1</v>
      </c>
      <c r="E2434" t="str">
        <f>T("독고진")</f>
        <v>독고진</v>
      </c>
      <c r="H2434" t="str">
        <f t="shared" ref="H2434:H2440" si="224">T("스토리위즈")</f>
        <v>스토리위즈</v>
      </c>
      <c r="I2434" t="str">
        <f>T("[e북]완전판 | 스트라이커")</f>
        <v>[e북]완전판 | 스트라이커</v>
      </c>
      <c r="J2434">
        <v>0</v>
      </c>
      <c r="K2434">
        <v>0</v>
      </c>
      <c r="L2434">
        <v>0</v>
      </c>
      <c r="M2434">
        <v>6</v>
      </c>
      <c r="N2434">
        <v>0</v>
      </c>
      <c r="O2434">
        <v>0</v>
      </c>
      <c r="P2434">
        <v>8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14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 s="2">
        <v>0</v>
      </c>
      <c r="AR2434" t="str">
        <f>T("9791159282836")</f>
        <v>9791159282836</v>
      </c>
      <c r="AT2434" t="str">
        <f>T("9791159282836")</f>
        <v>9791159282836</v>
      </c>
      <c r="AV2434" t="str">
        <f>T("판타지 e북 &gt; 스포츠물")</f>
        <v>판타지 e북 &gt; 스포츠물</v>
      </c>
    </row>
    <row r="2435" spans="1:48" x14ac:dyDescent="0.4">
      <c r="A2435">
        <v>1525002864</v>
      </c>
      <c r="B2435">
        <v>1525002868</v>
      </c>
      <c r="C2435" t="str">
        <f>T("소드마스터의 환생 5화")</f>
        <v>소드마스터의 환생 5화</v>
      </c>
      <c r="D2435" t="str">
        <f>T("5")</f>
        <v>5</v>
      </c>
      <c r="E2435" t="str">
        <f>T("파란영")</f>
        <v>파란영</v>
      </c>
      <c r="H2435" t="str">
        <f t="shared" si="224"/>
        <v>스토리위즈</v>
      </c>
      <c r="I2435" t="str">
        <f>T("소드마스터의 환생")</f>
        <v>소드마스터의 환생</v>
      </c>
      <c r="J2435">
        <v>0</v>
      </c>
      <c r="K2435">
        <v>0</v>
      </c>
      <c r="L2435">
        <v>0</v>
      </c>
      <c r="M2435">
        <v>5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5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s="2">
        <v>0</v>
      </c>
      <c r="AT2435" t="str">
        <f>T("9791159287527")</f>
        <v>9791159287527</v>
      </c>
      <c r="AV2435" t="str">
        <f>T("판타지 웹소설 &gt; 정통 판타지")</f>
        <v>판타지 웹소설 &gt; 정통 판타지</v>
      </c>
    </row>
    <row r="2436" spans="1:48" x14ac:dyDescent="0.4">
      <c r="A2436">
        <v>1525000906</v>
      </c>
      <c r="B2436">
        <v>1525000908</v>
      </c>
      <c r="C2436" t="str">
        <f>T("[e북]완전판 | 레이드 만물상점 3권")</f>
        <v>[e북]완전판 | 레이드 만물상점 3권</v>
      </c>
      <c r="D2436" t="str">
        <f>T("3")</f>
        <v>3</v>
      </c>
      <c r="E2436" t="str">
        <f>T("전혁")</f>
        <v>전혁</v>
      </c>
      <c r="H2436" t="str">
        <f t="shared" si="224"/>
        <v>스토리위즈</v>
      </c>
      <c r="I2436" t="str">
        <f>T("[e북]완전판 | 레이드 만물상점")</f>
        <v>[e북]완전판 | 레이드 만물상점</v>
      </c>
      <c r="J2436">
        <v>3200</v>
      </c>
      <c r="K2436">
        <v>0</v>
      </c>
      <c r="L2436">
        <v>0</v>
      </c>
      <c r="M2436">
        <v>0</v>
      </c>
      <c r="N2436">
        <v>6300</v>
      </c>
      <c r="O2436">
        <v>7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6300</v>
      </c>
      <c r="AH2436">
        <v>7</v>
      </c>
      <c r="AI2436">
        <v>0</v>
      </c>
      <c r="AJ2436">
        <v>0</v>
      </c>
      <c r="AK2436">
        <v>4500</v>
      </c>
      <c r="AL2436">
        <v>0</v>
      </c>
      <c r="AM2436">
        <v>1800</v>
      </c>
      <c r="AN2436">
        <v>0</v>
      </c>
      <c r="AO2436">
        <v>0</v>
      </c>
      <c r="AP2436" s="2">
        <v>4410</v>
      </c>
      <c r="AT2436" t="str">
        <f>T("9791159282638")</f>
        <v>9791159282638</v>
      </c>
      <c r="AV2436" t="str">
        <f>T("판타지 e북 &gt; 현대 판타지")</f>
        <v>판타지 e북 &gt; 현대 판타지</v>
      </c>
    </row>
    <row r="2437" spans="1:48" x14ac:dyDescent="0.4">
      <c r="A2437">
        <v>1525002125</v>
      </c>
      <c r="B2437">
        <v>1525002130</v>
      </c>
      <c r="C2437" t="str">
        <f>T("신을 죽이러 갑니다 6화")</f>
        <v>신을 죽이러 갑니다 6화</v>
      </c>
      <c r="D2437" t="str">
        <f>T("6")</f>
        <v>6</v>
      </c>
      <c r="E2437" t="str">
        <f>T("독고진")</f>
        <v>독고진</v>
      </c>
      <c r="H2437" t="str">
        <f t="shared" si="224"/>
        <v>스토리위즈</v>
      </c>
      <c r="I2437" t="str">
        <f>T("신을 죽이러 갑니다")</f>
        <v>신을 죽이러 갑니다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 s="2">
        <v>0</v>
      </c>
      <c r="AT2437" t="str">
        <f>T("9791159285806")</f>
        <v>9791159285806</v>
      </c>
      <c r="AV2437" t="str">
        <f>T("판타지 웹소설 &gt; 퓨전 판타지")</f>
        <v>판타지 웹소설 &gt; 퓨전 판타지</v>
      </c>
    </row>
    <row r="2438" spans="1:48" x14ac:dyDescent="0.4">
      <c r="A2438">
        <v>1525000569</v>
      </c>
      <c r="B2438">
        <v>1525000575</v>
      </c>
      <c r="C2438" t="str">
        <f>T("스트라이커 7화")</f>
        <v>스트라이커 7화</v>
      </c>
      <c r="D2438" t="str">
        <f>T("7")</f>
        <v>7</v>
      </c>
      <c r="E2438" t="str">
        <f>T("독고진")</f>
        <v>독고진</v>
      </c>
      <c r="H2438" t="str">
        <f t="shared" si="224"/>
        <v>스토리위즈</v>
      </c>
      <c r="I2438" t="str">
        <f>T("스트라이커")</f>
        <v>스트라이커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 s="2">
        <v>0</v>
      </c>
      <c r="AT2438" t="str">
        <f>T("9791170151678")</f>
        <v>9791170151678</v>
      </c>
      <c r="AV2438" t="str">
        <f>T("판타지 웹소설 &gt; 현대 판타지")</f>
        <v>판타지 웹소설 &gt; 현대 판타지</v>
      </c>
    </row>
    <row r="2439" spans="1:48" x14ac:dyDescent="0.4">
      <c r="A2439">
        <v>1525004988</v>
      </c>
      <c r="B2439">
        <v>1525005307</v>
      </c>
      <c r="C2439" t="str">
        <f>T("용무쌍 20화")</f>
        <v>용무쌍 20화</v>
      </c>
      <c r="D2439" t="str">
        <f>T("20")</f>
        <v>20</v>
      </c>
      <c r="E2439" t="str">
        <f>T("권용찬")</f>
        <v>권용찬</v>
      </c>
      <c r="H2439" t="str">
        <f t="shared" si="224"/>
        <v>스토리위즈</v>
      </c>
      <c r="I2439" t="str">
        <f>T("용무쌍")</f>
        <v>용무쌍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 s="2">
        <v>0</v>
      </c>
      <c r="AT2439" t="str">
        <f>T("9791159284861")</f>
        <v>9791159284861</v>
      </c>
      <c r="AV2439" t="str">
        <f>T("판타지 웹소설 &gt; 무협 소설")</f>
        <v>판타지 웹소설 &gt; 무협 소설</v>
      </c>
    </row>
    <row r="2440" spans="1:48" x14ac:dyDescent="0.4">
      <c r="A2440">
        <v>1525006634</v>
      </c>
      <c r="B2440">
        <v>1525006634</v>
      </c>
      <c r="C2440" t="str">
        <f>T("[e북]개정판｜영웅 1권")</f>
        <v>[e북]개정판｜영웅 1권</v>
      </c>
      <c r="D2440" t="str">
        <f>T("1")</f>
        <v>1</v>
      </c>
      <c r="E2440" t="str">
        <f>T("김광수")</f>
        <v>김광수</v>
      </c>
      <c r="H2440" t="str">
        <f t="shared" si="224"/>
        <v>스토리위즈</v>
      </c>
      <c r="I2440" t="str">
        <f>T("[e북]개정판｜영웅")</f>
        <v>[e북]개정판｜영웅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 s="2">
        <v>0</v>
      </c>
      <c r="AT2440" t="str">
        <f>T("9791166300004")</f>
        <v>9791166300004</v>
      </c>
      <c r="AV2440" t="str">
        <f>T("판타지 e북 &gt; 신무협")</f>
        <v>판타지 e북 &gt; 신무협</v>
      </c>
    </row>
    <row r="2441" spans="1:48" x14ac:dyDescent="0.4">
      <c r="A2441">
        <v>1525013020</v>
      </c>
      <c r="B2441">
        <v>1525013030</v>
      </c>
      <c r="C2441" t="str">
        <f>T("악당의 리턴 11화")</f>
        <v>악당의 리턴 11화</v>
      </c>
      <c r="D2441" t="str">
        <f>T("11")</f>
        <v>11</v>
      </c>
      <c r="E2441" t="str">
        <f>T("백범(白帆)")</f>
        <v>백범(白帆)</v>
      </c>
      <c r="H2441" t="str">
        <f>T("에필로그")</f>
        <v>에필로그</v>
      </c>
      <c r="I2441" t="str">
        <f>T("악당의 리턴")</f>
        <v>악당의 리턴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 s="2">
        <v>0</v>
      </c>
      <c r="AT2441" t="str">
        <f>T("9791196538927")</f>
        <v>9791196538927</v>
      </c>
      <c r="AV2441" t="str">
        <f>T("판타지 웹소설 &gt; 현대 판타지")</f>
        <v>판타지 웹소설 &gt; 현대 판타지</v>
      </c>
    </row>
    <row r="2442" spans="1:48" x14ac:dyDescent="0.4">
      <c r="A2442">
        <v>1525001116</v>
      </c>
      <c r="B2442">
        <v>1525001130</v>
      </c>
      <c r="C2442" t="str">
        <f>T("개정판 | 영웅 15화")</f>
        <v>개정판 | 영웅 15화</v>
      </c>
      <c r="D2442" t="str">
        <f>T("15")</f>
        <v>15</v>
      </c>
      <c r="E2442" t="str">
        <f>T("김광수")</f>
        <v>김광수</v>
      </c>
      <c r="H2442" t="str">
        <f>T("스토리위즈")</f>
        <v>스토리위즈</v>
      </c>
      <c r="I2442" t="str">
        <f>T("개정판 | 영웅")</f>
        <v>개정판 | 영웅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s="2">
        <v>0</v>
      </c>
      <c r="AR2442" t="str">
        <f>T("9791159282829")</f>
        <v>9791159282829</v>
      </c>
      <c r="AT2442" t="str">
        <f>T("9791159282829")</f>
        <v>9791159282829</v>
      </c>
      <c r="AV2442" t="str">
        <f>T("판타지 웹소설 &gt; 무협 소설")</f>
        <v>판타지 웹소설 &gt; 무협 소설</v>
      </c>
    </row>
    <row r="2443" spans="1:48" x14ac:dyDescent="0.4">
      <c r="A2443">
        <v>1525002848</v>
      </c>
      <c r="B2443">
        <v>1525002848</v>
      </c>
      <c r="C2443" t="str">
        <f>T("[e북]신을 죽이러 갑니다 1권")</f>
        <v>[e북]신을 죽이러 갑니다 1권</v>
      </c>
      <c r="D2443" t="str">
        <f>T("1")</f>
        <v>1</v>
      </c>
      <c r="E2443" t="str">
        <f>T("독고진")</f>
        <v>독고진</v>
      </c>
      <c r="H2443" t="str">
        <f>T("스토리위즈")</f>
        <v>스토리위즈</v>
      </c>
      <c r="I2443" t="str">
        <f>T("[e북]신을 죽이러 갑니다")</f>
        <v>[e북]신을 죽이러 갑니다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 s="2">
        <v>0</v>
      </c>
      <c r="AT2443" t="str">
        <f>T("9791159287992")</f>
        <v>9791159287992</v>
      </c>
      <c r="AV2443" t="str">
        <f>T("판타지 e북 &gt; 퓨전 판타지")</f>
        <v>판타지 e북 &gt; 퓨전 판타지</v>
      </c>
    </row>
    <row r="2444" spans="1:48" x14ac:dyDescent="0.4">
      <c r="A2444">
        <v>1525000113</v>
      </c>
      <c r="B2444">
        <v>1525000114</v>
      </c>
      <c r="C2444" t="str">
        <f>T("[e북]마왕 데이몬 2권")</f>
        <v>[e북]마왕 데이몬 2권</v>
      </c>
      <c r="D2444" t="str">
        <f>T("2")</f>
        <v>2</v>
      </c>
      <c r="E2444" t="str">
        <f>T("김정률")</f>
        <v>김정률</v>
      </c>
      <c r="H2444" t="str">
        <f>T("스토리위즈")</f>
        <v>스토리위즈</v>
      </c>
      <c r="I2444" t="str">
        <f>T("[e북]마왕 데이몬")</f>
        <v>[e북]마왕 데이몬</v>
      </c>
      <c r="J2444">
        <v>3200</v>
      </c>
      <c r="K2444">
        <v>0</v>
      </c>
      <c r="L2444">
        <v>0</v>
      </c>
      <c r="M2444">
        <v>0</v>
      </c>
      <c r="N2444">
        <v>3600</v>
      </c>
      <c r="O2444">
        <v>4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3600</v>
      </c>
      <c r="AH2444">
        <v>4</v>
      </c>
      <c r="AI2444">
        <v>0</v>
      </c>
      <c r="AJ2444">
        <v>0</v>
      </c>
      <c r="AK2444">
        <v>3600</v>
      </c>
      <c r="AL2444">
        <v>0</v>
      </c>
      <c r="AM2444">
        <v>0</v>
      </c>
      <c r="AN2444">
        <v>0</v>
      </c>
      <c r="AO2444">
        <v>0</v>
      </c>
      <c r="AP2444" s="2">
        <v>2520</v>
      </c>
      <c r="AT2444" t="str">
        <f>T("9788925723839")</f>
        <v>9788925723839</v>
      </c>
      <c r="AV2444" t="str">
        <f>T("판타지 e북 &gt; 현대 판타지")</f>
        <v>판타지 e북 &gt; 현대 판타지</v>
      </c>
    </row>
    <row r="2445" spans="1:48" x14ac:dyDescent="0.4">
      <c r="A2445">
        <v>1525004989</v>
      </c>
      <c r="B2445">
        <v>1525005501</v>
      </c>
      <c r="C2445" t="str">
        <f>T("신룡전설 12화")</f>
        <v>신룡전설 12화</v>
      </c>
      <c r="D2445" t="str">
        <f>T("12")</f>
        <v>12</v>
      </c>
      <c r="E2445" t="str">
        <f>T("가람검")</f>
        <v>가람검</v>
      </c>
      <c r="H2445" t="str">
        <f>T("스토리위즈")</f>
        <v>스토리위즈</v>
      </c>
      <c r="I2445" t="str">
        <f>T("신룡전설")</f>
        <v>신룡전설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 s="2">
        <v>0</v>
      </c>
      <c r="AT2445" t="str">
        <f>T("9791159283505")</f>
        <v>9791159283505</v>
      </c>
      <c r="AV2445" t="str">
        <f>T("판타지 웹소설 &gt; 무협 소설")</f>
        <v>판타지 웹소설 &gt; 무협 소설</v>
      </c>
    </row>
    <row r="2446" spans="1:48" x14ac:dyDescent="0.4">
      <c r="A2446">
        <v>1525001609</v>
      </c>
      <c r="B2446">
        <v>1525001617</v>
      </c>
      <c r="C2446" t="str">
        <f>T("[e북]절륜공자 9권")</f>
        <v>[e북]절륜공자 9권</v>
      </c>
      <c r="D2446" t="str">
        <f>T("9")</f>
        <v>9</v>
      </c>
      <c r="E2446" t="str">
        <f>T("전혁")</f>
        <v>전혁</v>
      </c>
      <c r="H2446" t="str">
        <f>T("스토리위즈")</f>
        <v>스토리위즈</v>
      </c>
      <c r="I2446" t="str">
        <f>T("[e북]절륜공자")</f>
        <v>[e북]절륜공자</v>
      </c>
      <c r="J2446">
        <v>3200</v>
      </c>
      <c r="K2446">
        <v>0</v>
      </c>
      <c r="L2446">
        <v>0</v>
      </c>
      <c r="M2446">
        <v>0</v>
      </c>
      <c r="N2446">
        <v>3600</v>
      </c>
      <c r="O2446">
        <v>4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3600</v>
      </c>
      <c r="AH2446">
        <v>4</v>
      </c>
      <c r="AI2446">
        <v>0</v>
      </c>
      <c r="AJ2446">
        <v>0</v>
      </c>
      <c r="AK2446">
        <v>3600</v>
      </c>
      <c r="AL2446">
        <v>0</v>
      </c>
      <c r="AM2446">
        <v>0</v>
      </c>
      <c r="AN2446">
        <v>0</v>
      </c>
      <c r="AO2446">
        <v>0</v>
      </c>
      <c r="AP2446" s="2">
        <v>2520</v>
      </c>
      <c r="AT2446" t="str">
        <f>T("9791159285028")</f>
        <v>9791159285028</v>
      </c>
      <c r="AV2446" t="str">
        <f>T("판타지 e북 &gt; 전통 무협")</f>
        <v>판타지 e북 &gt; 전통 무협</v>
      </c>
    </row>
    <row r="2447" spans="1:48" x14ac:dyDescent="0.4">
      <c r="A2447">
        <v>1525013418</v>
      </c>
      <c r="B2447">
        <v>1525013418</v>
      </c>
      <c r="C2447" t="str">
        <f>T("[e북]헌터 킹 1권")</f>
        <v>[e북]헌터 킹 1권</v>
      </c>
      <c r="D2447" t="str">
        <f>T("1")</f>
        <v>1</v>
      </c>
      <c r="E2447" t="str">
        <f>T("백범(白帆)")</f>
        <v>백범(白帆)</v>
      </c>
      <c r="H2447" t="str">
        <f>T("에필로그")</f>
        <v>에필로그</v>
      </c>
      <c r="I2447" t="str">
        <f>T("[e북]헌터 킹")</f>
        <v>[e북]헌터 킹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2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 s="2">
        <v>0</v>
      </c>
      <c r="AR2447" t="str">
        <f>T("0000000000000")</f>
        <v>0000000000000</v>
      </c>
      <c r="AT2447" t="str">
        <f>T("9791164480166")</f>
        <v>9791164480166</v>
      </c>
      <c r="AV2447" t="str">
        <f>T("판타지 e북 &gt; 퓨전 판타지")</f>
        <v>판타지 e북 &gt; 퓨전 판타지</v>
      </c>
    </row>
    <row r="2448" spans="1:48" x14ac:dyDescent="0.4">
      <c r="A2448">
        <v>1525000209</v>
      </c>
      <c r="B2448">
        <v>1525000211</v>
      </c>
      <c r="C2448" t="str">
        <f>T("[e북]독종무쌍 3권")</f>
        <v>[e북]독종무쌍 3권</v>
      </c>
      <c r="D2448" t="str">
        <f>T("3")</f>
        <v>3</v>
      </c>
      <c r="E2448" t="str">
        <f>T("전혁")</f>
        <v>전혁</v>
      </c>
      <c r="H2448" t="str">
        <f>T("스토리위즈")</f>
        <v>스토리위즈</v>
      </c>
      <c r="I2448" t="str">
        <f>T("[e북]독종무쌍")</f>
        <v>[e북]독종무쌍</v>
      </c>
      <c r="J2448">
        <v>3200</v>
      </c>
      <c r="K2448">
        <v>0</v>
      </c>
      <c r="L2448">
        <v>0</v>
      </c>
      <c r="M2448">
        <v>0</v>
      </c>
      <c r="N2448">
        <v>2700</v>
      </c>
      <c r="O2448">
        <v>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2700</v>
      </c>
      <c r="AH2448">
        <v>3</v>
      </c>
      <c r="AI2448">
        <v>0</v>
      </c>
      <c r="AJ2448">
        <v>0</v>
      </c>
      <c r="AK2448">
        <v>1800</v>
      </c>
      <c r="AL2448">
        <v>0</v>
      </c>
      <c r="AM2448">
        <v>900</v>
      </c>
      <c r="AN2448">
        <v>0</v>
      </c>
      <c r="AO2448">
        <v>0</v>
      </c>
      <c r="AP2448" s="2">
        <v>1890</v>
      </c>
      <c r="AT2448" t="str">
        <f>T("9791195310050")</f>
        <v>9791195310050</v>
      </c>
      <c r="AV2448" t="str">
        <f>T("판타지 e북 &gt; 신무협")</f>
        <v>판타지 e북 &gt; 신무협</v>
      </c>
    </row>
    <row r="2449" spans="1:48" x14ac:dyDescent="0.4">
      <c r="A2449">
        <v>1525002409</v>
      </c>
      <c r="B2449">
        <v>1525002412</v>
      </c>
      <c r="C2449" t="str">
        <f>T("스포트라이트 4화")</f>
        <v>스포트라이트 4화</v>
      </c>
      <c r="D2449" t="str">
        <f>T("4")</f>
        <v>4</v>
      </c>
      <c r="E2449" t="str">
        <f>T("전혁")</f>
        <v>전혁</v>
      </c>
      <c r="H2449" t="str">
        <f>T("스토리위즈")</f>
        <v>스토리위즈</v>
      </c>
      <c r="I2449" t="str">
        <f>T("스포트라이트")</f>
        <v>스포트라이트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 s="2">
        <v>0</v>
      </c>
      <c r="AT2449" t="str">
        <f>T("9791159286841")</f>
        <v>9791159286841</v>
      </c>
      <c r="AV2449" t="str">
        <f>T("판타지 웹소설 &gt; 현대 판타지")</f>
        <v>판타지 웹소설 &gt; 현대 판타지</v>
      </c>
    </row>
    <row r="2450" spans="1:48" x14ac:dyDescent="0.4">
      <c r="A2450">
        <v>1525001334</v>
      </c>
      <c r="B2450">
        <v>1525001352</v>
      </c>
      <c r="C2450" t="str">
        <f>T("게이트 헌터 19화")</f>
        <v>게이트 헌터 19화</v>
      </c>
      <c r="D2450" t="str">
        <f>T("19")</f>
        <v>19</v>
      </c>
      <c r="E2450" t="str">
        <f>T("권용찬")</f>
        <v>권용찬</v>
      </c>
      <c r="H2450" t="str">
        <f>T("스토리위즈")</f>
        <v>스토리위즈</v>
      </c>
      <c r="I2450" t="str">
        <f>T("게이트 헌터")</f>
        <v>게이트 헌터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 s="2">
        <v>0</v>
      </c>
      <c r="AR2450" t="str">
        <f>T("9791159283291")</f>
        <v>9791159283291</v>
      </c>
      <c r="AT2450" t="str">
        <f>T("9791159283291")</f>
        <v>9791159283291</v>
      </c>
      <c r="AV2450" t="str">
        <f>T("판타지 웹소설 &gt; 현대 판타지")</f>
        <v>판타지 웹소설 &gt; 현대 판타지</v>
      </c>
    </row>
    <row r="2451" spans="1:48" x14ac:dyDescent="0.4">
      <c r="A2451">
        <v>1525010982</v>
      </c>
      <c r="B2451">
        <v>1525010982</v>
      </c>
      <c r="C2451" t="str">
        <f>T("[e북]이 맛에 회장한다 1권")</f>
        <v>[e북]이 맛에 회장한다 1권</v>
      </c>
      <c r="D2451" t="str">
        <f>T("1")</f>
        <v>1</v>
      </c>
      <c r="E2451" t="str">
        <f>T("협행마")</f>
        <v>협행마</v>
      </c>
      <c r="H2451" t="str">
        <f>T("에필로그")</f>
        <v>에필로그</v>
      </c>
      <c r="I2451" t="str">
        <f>T("[e북]이 맛에 회장한다")</f>
        <v>[e북]이 맛에 회장한다</v>
      </c>
      <c r="J2451">
        <v>0</v>
      </c>
      <c r="K2451">
        <v>0</v>
      </c>
      <c r="L2451">
        <v>0</v>
      </c>
      <c r="M2451">
        <v>16</v>
      </c>
      <c r="N2451">
        <v>0</v>
      </c>
      <c r="O2451">
        <v>0</v>
      </c>
      <c r="P2451">
        <v>4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 s="2">
        <v>0</v>
      </c>
      <c r="AT2451" t="str">
        <f>T("9791164486069")</f>
        <v>9791164486069</v>
      </c>
      <c r="AV2451" t="str">
        <f>T("판타지 e북 &gt; 현대 판타지")</f>
        <v>판타지 e북 &gt; 현대 판타지</v>
      </c>
    </row>
    <row r="2452" spans="1:48" x14ac:dyDescent="0.4">
      <c r="A2452">
        <v>1525010944</v>
      </c>
      <c r="B2452">
        <v>1525010921</v>
      </c>
      <c r="C2452" t="str">
        <f>T("[e북]법보다 주먹 24권")</f>
        <v>[e북]법보다 주먹 24권</v>
      </c>
      <c r="D2452" t="str">
        <f>T("24")</f>
        <v>24</v>
      </c>
      <c r="E2452" t="str">
        <f>T("백범(白帆)")</f>
        <v>백범(白帆)</v>
      </c>
      <c r="H2452" t="str">
        <f>T("에필로그")</f>
        <v>에필로그</v>
      </c>
      <c r="I2452" t="str">
        <f>T("[e북]법보다 주먹")</f>
        <v>[e북]법보다 주먹</v>
      </c>
      <c r="J2452">
        <v>2000</v>
      </c>
      <c r="K2452">
        <v>0</v>
      </c>
      <c r="L2452">
        <v>0</v>
      </c>
      <c r="M2452">
        <v>0</v>
      </c>
      <c r="N2452">
        <v>2700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2700</v>
      </c>
      <c r="AH2452">
        <v>3</v>
      </c>
      <c r="AI2452">
        <v>0</v>
      </c>
      <c r="AJ2452">
        <v>0</v>
      </c>
      <c r="AK2452">
        <v>2700</v>
      </c>
      <c r="AL2452">
        <v>0</v>
      </c>
      <c r="AM2452">
        <v>0</v>
      </c>
      <c r="AN2452">
        <v>0</v>
      </c>
      <c r="AO2452">
        <v>0</v>
      </c>
      <c r="AP2452" s="2">
        <v>1890</v>
      </c>
      <c r="AT2452" t="str">
        <f>T("9791164480142")</f>
        <v>9791164480142</v>
      </c>
      <c r="AV2452" t="str">
        <f>T("판타지 e북 &gt; 현대 판타지")</f>
        <v>판타지 e북 &gt; 현대 판타지</v>
      </c>
    </row>
    <row r="2453" spans="1:48" x14ac:dyDescent="0.4">
      <c r="A2453">
        <v>1525013320</v>
      </c>
      <c r="B2453">
        <v>1525013331</v>
      </c>
      <c r="C2453" t="str">
        <f>T("[e북]악당의 리턴 12권 (완결)")</f>
        <v>[e북]악당의 리턴 12권 (완결)</v>
      </c>
      <c r="D2453" t="str">
        <f>T("12")</f>
        <v>12</v>
      </c>
      <c r="E2453" t="str">
        <f>T("백범(白帆)")</f>
        <v>백범(白帆)</v>
      </c>
      <c r="H2453" t="str">
        <f>T("에필로그")</f>
        <v>에필로그</v>
      </c>
      <c r="I2453" t="str">
        <f>T("[e북]악당의 리턴")</f>
        <v>[e북]악당의 리턴</v>
      </c>
      <c r="J2453">
        <v>3200</v>
      </c>
      <c r="K2453">
        <v>0</v>
      </c>
      <c r="L2453">
        <v>0</v>
      </c>
      <c r="M2453">
        <v>0</v>
      </c>
      <c r="N2453">
        <v>900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900</v>
      </c>
      <c r="AH2453">
        <v>1</v>
      </c>
      <c r="AI2453">
        <v>0</v>
      </c>
      <c r="AJ2453">
        <v>0</v>
      </c>
      <c r="AK2453">
        <v>900</v>
      </c>
      <c r="AL2453">
        <v>0</v>
      </c>
      <c r="AM2453">
        <v>0</v>
      </c>
      <c r="AN2453">
        <v>0</v>
      </c>
      <c r="AO2453">
        <v>0</v>
      </c>
      <c r="AP2453" s="2">
        <v>630</v>
      </c>
      <c r="AT2453" t="str">
        <f>T("9791164482962")</f>
        <v>9791164482962</v>
      </c>
      <c r="AV2453" t="str">
        <f>T("판타지 e북 &gt; 현대 판타지")</f>
        <v>판타지 e북 &gt; 현대 판타지</v>
      </c>
    </row>
    <row r="2454" spans="1:48" x14ac:dyDescent="0.4">
      <c r="A2454">
        <v>1525000107</v>
      </c>
      <c r="B2454">
        <v>1525000107</v>
      </c>
      <c r="C2454" t="str">
        <f>T("[e북]데이몬 1권")</f>
        <v>[e북]데이몬 1권</v>
      </c>
      <c r="D2454" t="str">
        <f>T("1")</f>
        <v>1</v>
      </c>
      <c r="E2454" t="str">
        <f>T("김정률")</f>
        <v>김정률</v>
      </c>
      <c r="H2454" t="str">
        <f>T("스토리위즈")</f>
        <v>스토리위즈</v>
      </c>
      <c r="I2454" t="str">
        <f>T("[e북]데이몬")</f>
        <v>[e북]데이몬</v>
      </c>
      <c r="J2454">
        <v>0</v>
      </c>
      <c r="K2454">
        <v>0</v>
      </c>
      <c r="L2454">
        <v>0</v>
      </c>
      <c r="M2454">
        <v>3</v>
      </c>
      <c r="N2454">
        <v>0</v>
      </c>
      <c r="O2454">
        <v>0</v>
      </c>
      <c r="P2454">
        <v>6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9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s="2">
        <v>0</v>
      </c>
      <c r="AR2454" t="str">
        <f>T("0000000000000")</f>
        <v>0000000000000</v>
      </c>
      <c r="AT2454" t="str">
        <f>T("9791166062001")</f>
        <v>9791166062001</v>
      </c>
      <c r="AV2454" t="str">
        <f>T("판타지 e북 &gt; 퓨전 판타지")</f>
        <v>판타지 e북 &gt; 퓨전 판타지</v>
      </c>
    </row>
    <row r="2455" spans="1:48" x14ac:dyDescent="0.4">
      <c r="A2455">
        <v>1525004989</v>
      </c>
      <c r="B2455">
        <v>1525005494</v>
      </c>
      <c r="C2455" t="str">
        <f>T("신룡전설 5화")</f>
        <v>신룡전설 5화</v>
      </c>
      <c r="D2455" t="str">
        <f>T("5")</f>
        <v>5</v>
      </c>
      <c r="E2455" t="str">
        <f>T("가람검")</f>
        <v>가람검</v>
      </c>
      <c r="H2455" t="str">
        <f>T("스토리위즈")</f>
        <v>스토리위즈</v>
      </c>
      <c r="I2455" t="str">
        <f>T("신룡전설")</f>
        <v>신룡전설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s="2">
        <v>0</v>
      </c>
      <c r="AT2455" t="str">
        <f>T("9791159283505")</f>
        <v>9791159283505</v>
      </c>
      <c r="AV2455" t="str">
        <f>T("판타지 웹소설 &gt; 무협 소설")</f>
        <v>판타지 웹소설 &gt; 무협 소설</v>
      </c>
    </row>
    <row r="2456" spans="1:48" x14ac:dyDescent="0.4">
      <c r="A2456">
        <v>1525002864</v>
      </c>
      <c r="B2456">
        <v>1525002886</v>
      </c>
      <c r="C2456" t="str">
        <f>T("소드마스터의 환생 23화")</f>
        <v>소드마스터의 환생 23화</v>
      </c>
      <c r="D2456" t="str">
        <f>T("23")</f>
        <v>23</v>
      </c>
      <c r="E2456" t="str">
        <f>T("파란영")</f>
        <v>파란영</v>
      </c>
      <c r="H2456" t="str">
        <f>T("스토리위즈")</f>
        <v>스토리위즈</v>
      </c>
      <c r="I2456" t="str">
        <f>T("소드마스터의 환생")</f>
        <v>소드마스터의 환생</v>
      </c>
      <c r="J2456">
        <v>0</v>
      </c>
      <c r="K2456">
        <v>0</v>
      </c>
      <c r="L2456">
        <v>0</v>
      </c>
      <c r="M2456">
        <v>3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 s="2">
        <v>0</v>
      </c>
      <c r="AT2456" t="str">
        <f>T("9791159287527")</f>
        <v>9791159287527</v>
      </c>
      <c r="AV2456" t="str">
        <f>T("판타지 웹소설 &gt; 정통 판타지")</f>
        <v>판타지 웹소설 &gt; 정통 판타지</v>
      </c>
    </row>
    <row r="2457" spans="1:48" x14ac:dyDescent="0.4">
      <c r="A2457">
        <v>1525001609</v>
      </c>
      <c r="B2457">
        <v>1525001610</v>
      </c>
      <c r="C2457" t="str">
        <f>T("[e북]절륜공자 2권")</f>
        <v>[e북]절륜공자 2권</v>
      </c>
      <c r="D2457" t="str">
        <f>T("2")</f>
        <v>2</v>
      </c>
      <c r="E2457" t="str">
        <f>T("전혁")</f>
        <v>전혁</v>
      </c>
      <c r="H2457" t="str">
        <f>T("스토리위즈")</f>
        <v>스토리위즈</v>
      </c>
      <c r="I2457" t="str">
        <f>T("[e북]절륜공자")</f>
        <v>[e북]절륜공자</v>
      </c>
      <c r="J2457">
        <v>3200</v>
      </c>
      <c r="K2457">
        <v>0</v>
      </c>
      <c r="L2457">
        <v>0</v>
      </c>
      <c r="M2457">
        <v>0</v>
      </c>
      <c r="N2457">
        <v>4500</v>
      </c>
      <c r="O2457">
        <v>5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4500</v>
      </c>
      <c r="AH2457">
        <v>5</v>
      </c>
      <c r="AI2457">
        <v>0</v>
      </c>
      <c r="AJ2457">
        <v>0</v>
      </c>
      <c r="AK2457">
        <v>4500</v>
      </c>
      <c r="AL2457">
        <v>0</v>
      </c>
      <c r="AM2457">
        <v>0</v>
      </c>
      <c r="AN2457">
        <v>0</v>
      </c>
      <c r="AO2457">
        <v>0</v>
      </c>
      <c r="AP2457" s="2">
        <v>3150</v>
      </c>
      <c r="AT2457" t="str">
        <f>T("9791159284953")</f>
        <v>9791159284953</v>
      </c>
      <c r="AV2457" t="str">
        <f>T("판타지 e북 &gt; 전통 무협")</f>
        <v>판타지 e북 &gt; 전통 무협</v>
      </c>
    </row>
    <row r="2458" spans="1:48" x14ac:dyDescent="0.4">
      <c r="A2458">
        <v>1525013369</v>
      </c>
      <c r="B2458">
        <v>1525013383</v>
      </c>
      <c r="C2458" t="str">
        <f>T("[e북]티끌모아 대박 6권")</f>
        <v>[e북]티끌모아 대박 6권</v>
      </c>
      <c r="D2458" t="str">
        <f>T("6")</f>
        <v>6</v>
      </c>
      <c r="E2458" t="str">
        <f>T("백범(白帆)")</f>
        <v>백범(白帆)</v>
      </c>
      <c r="H2458" t="str">
        <f>T("에필로그")</f>
        <v>에필로그</v>
      </c>
      <c r="I2458" t="str">
        <f>T("[e북]티끌모아 대박")</f>
        <v>[e북]티끌모아 대박</v>
      </c>
      <c r="J2458">
        <v>2000</v>
      </c>
      <c r="K2458">
        <v>0</v>
      </c>
      <c r="L2458">
        <v>0</v>
      </c>
      <c r="M2458">
        <v>0</v>
      </c>
      <c r="N2458">
        <v>900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900</v>
      </c>
      <c r="AH2458">
        <v>1</v>
      </c>
      <c r="AI2458">
        <v>0</v>
      </c>
      <c r="AJ2458">
        <v>0</v>
      </c>
      <c r="AK2458">
        <v>900</v>
      </c>
      <c r="AL2458">
        <v>0</v>
      </c>
      <c r="AM2458">
        <v>0</v>
      </c>
      <c r="AN2458">
        <v>0</v>
      </c>
      <c r="AO2458">
        <v>0</v>
      </c>
      <c r="AP2458" s="2">
        <v>630</v>
      </c>
      <c r="AR2458" t="str">
        <f>T("0000000000000")</f>
        <v>0000000000000</v>
      </c>
      <c r="AT2458" t="str">
        <f>T("9791166000256")</f>
        <v>9791166000256</v>
      </c>
      <c r="AV2458" t="str">
        <f>T("판타지 e북 &gt; 퓨전 판타지")</f>
        <v>판타지 e북 &gt; 퓨전 판타지</v>
      </c>
    </row>
    <row r="2459" spans="1:48" x14ac:dyDescent="0.4">
      <c r="A2459">
        <v>1525002125</v>
      </c>
      <c r="B2459">
        <v>1525002147</v>
      </c>
      <c r="C2459" t="str">
        <f>T("신을 죽이러 갑니다 23화")</f>
        <v>신을 죽이러 갑니다 23화</v>
      </c>
      <c r="D2459" t="str">
        <f>T("23")</f>
        <v>23</v>
      </c>
      <c r="E2459" t="str">
        <f>T("독고진")</f>
        <v>독고진</v>
      </c>
      <c r="H2459" t="str">
        <f>T("스토리위즈")</f>
        <v>스토리위즈</v>
      </c>
      <c r="I2459" t="str">
        <f>T("신을 죽이러 갑니다")</f>
        <v>신을 죽이러 갑니다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 s="2">
        <v>0</v>
      </c>
      <c r="AT2459" t="str">
        <f>T("9791159285806")</f>
        <v>9791159285806</v>
      </c>
      <c r="AV2459" t="str">
        <f>T("판타지 웹소설 &gt; 퓨전 판타지")</f>
        <v>판타지 웹소설 &gt; 퓨전 판타지</v>
      </c>
    </row>
    <row r="2460" spans="1:48" x14ac:dyDescent="0.4">
      <c r="A2460">
        <v>1525001334</v>
      </c>
      <c r="B2460">
        <v>1525001345</v>
      </c>
      <c r="C2460" t="str">
        <f>T("게이트 헌터 12화")</f>
        <v>게이트 헌터 12화</v>
      </c>
      <c r="D2460" t="str">
        <f>T("12")</f>
        <v>12</v>
      </c>
      <c r="E2460" t="str">
        <f>T("권용찬")</f>
        <v>권용찬</v>
      </c>
      <c r="H2460" t="str">
        <f>T("스토리위즈")</f>
        <v>스토리위즈</v>
      </c>
      <c r="I2460" t="str">
        <f>T("게이트 헌터")</f>
        <v>게이트 헌터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 s="2">
        <v>0</v>
      </c>
      <c r="AR2460" t="str">
        <f>T("9791159283291")</f>
        <v>9791159283291</v>
      </c>
      <c r="AT2460" t="str">
        <f>T("9791159283291")</f>
        <v>9791159283291</v>
      </c>
      <c r="AV2460" t="str">
        <f>T("판타지 웹소설 &gt; 현대 판타지")</f>
        <v>판타지 웹소설 &gt; 현대 판타지</v>
      </c>
    </row>
    <row r="2461" spans="1:48" x14ac:dyDescent="0.4">
      <c r="A2461">
        <v>1525010982</v>
      </c>
      <c r="B2461">
        <v>1525010975</v>
      </c>
      <c r="C2461" t="str">
        <f>T("[e북]이 맛에 회장한다 8권 (완결)")</f>
        <v>[e북]이 맛에 회장한다 8권 (완결)</v>
      </c>
      <c r="D2461" t="str">
        <f>T("8")</f>
        <v>8</v>
      </c>
      <c r="E2461" t="str">
        <f>T("협행마")</f>
        <v>협행마</v>
      </c>
      <c r="H2461" t="str">
        <f>T("에필로그")</f>
        <v>에필로그</v>
      </c>
      <c r="I2461" t="str">
        <f>T("[e북]이 맛에 회장한다")</f>
        <v>[e북]이 맛에 회장한다</v>
      </c>
      <c r="J2461">
        <v>2500</v>
      </c>
      <c r="K2461">
        <v>0</v>
      </c>
      <c r="L2461">
        <v>0</v>
      </c>
      <c r="M2461">
        <v>0</v>
      </c>
      <c r="N2461">
        <v>4140</v>
      </c>
      <c r="O2461">
        <v>5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4140</v>
      </c>
      <c r="AH2461">
        <v>5</v>
      </c>
      <c r="AI2461">
        <v>0</v>
      </c>
      <c r="AJ2461">
        <v>0</v>
      </c>
      <c r="AK2461">
        <v>4140</v>
      </c>
      <c r="AL2461">
        <v>0</v>
      </c>
      <c r="AM2461">
        <v>0</v>
      </c>
      <c r="AN2461">
        <v>0</v>
      </c>
      <c r="AO2461">
        <v>0</v>
      </c>
      <c r="AP2461" s="2">
        <v>2898</v>
      </c>
      <c r="AT2461" t="str">
        <f>T("9791164486137")</f>
        <v>9791164486137</v>
      </c>
      <c r="AV2461" t="str">
        <f>T("판타지 e북 &gt; 현대 판타지")</f>
        <v>판타지 e북 &gt; 현대 판타지</v>
      </c>
    </row>
    <row r="2462" spans="1:48" x14ac:dyDescent="0.4">
      <c r="A2462">
        <v>1525010900</v>
      </c>
      <c r="B2462">
        <v>1525010900</v>
      </c>
      <c r="C2462" t="str">
        <f>T("[e북]무적살수 1권")</f>
        <v>[e북]무적살수 1권</v>
      </c>
      <c r="D2462" t="str">
        <f>T("1")</f>
        <v>1</v>
      </c>
      <c r="E2462" t="str">
        <f>T("협행마")</f>
        <v>협행마</v>
      </c>
      <c r="H2462" t="str">
        <f>T("에필로그")</f>
        <v>에필로그</v>
      </c>
      <c r="I2462" t="str">
        <f>T("[e북]무적살수")</f>
        <v>[e북]무적살수</v>
      </c>
      <c r="J2462">
        <v>0</v>
      </c>
      <c r="K2462">
        <v>0</v>
      </c>
      <c r="L2462">
        <v>0</v>
      </c>
      <c r="M2462">
        <v>8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9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 s="2">
        <v>0</v>
      </c>
      <c r="AT2462" t="str">
        <f>T("9791166000126")</f>
        <v>9791166000126</v>
      </c>
      <c r="AV2462" t="str">
        <f>T("판타지 e북 &gt; 전통 무협")</f>
        <v>판타지 e북 &gt; 전통 무협</v>
      </c>
    </row>
    <row r="2463" spans="1:48" x14ac:dyDescent="0.4">
      <c r="A2463">
        <v>1525001917</v>
      </c>
      <c r="B2463">
        <v>1525001920</v>
      </c>
      <c r="C2463" t="str">
        <f>T("[e북]용중신권 4권")</f>
        <v>[e북]용중신권 4권</v>
      </c>
      <c r="D2463" t="str">
        <f>T("4")</f>
        <v>4</v>
      </c>
      <c r="E2463" t="str">
        <f>T("권용찬")</f>
        <v>권용찬</v>
      </c>
      <c r="H2463" t="str">
        <f>T("스토리위즈")</f>
        <v>스토리위즈</v>
      </c>
      <c r="I2463" t="str">
        <f>T("[e북]용중신권")</f>
        <v>[e북]용중신권</v>
      </c>
      <c r="J2463">
        <v>3200</v>
      </c>
      <c r="K2463">
        <v>0</v>
      </c>
      <c r="L2463">
        <v>0</v>
      </c>
      <c r="M2463">
        <v>0</v>
      </c>
      <c r="N2463">
        <v>900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900</v>
      </c>
      <c r="AH2463">
        <v>1</v>
      </c>
      <c r="AI2463">
        <v>0</v>
      </c>
      <c r="AJ2463">
        <v>0</v>
      </c>
      <c r="AK2463">
        <v>900</v>
      </c>
      <c r="AL2463">
        <v>0</v>
      </c>
      <c r="AM2463">
        <v>0</v>
      </c>
      <c r="AN2463">
        <v>0</v>
      </c>
      <c r="AO2463">
        <v>0</v>
      </c>
      <c r="AP2463" s="2">
        <v>630</v>
      </c>
      <c r="AT2463" t="str">
        <f>T("9791159285950")</f>
        <v>9791159285950</v>
      </c>
      <c r="AV2463" t="str">
        <f>T("판타지 e북 &gt; 신무협")</f>
        <v>판타지 e북 &gt; 신무협</v>
      </c>
    </row>
    <row r="2464" spans="1:48" x14ac:dyDescent="0.4">
      <c r="A2464">
        <v>1525000411</v>
      </c>
      <c r="B2464">
        <v>1525000411</v>
      </c>
      <c r="C2464" t="str">
        <f>T("레이드 만물상점 1화")</f>
        <v>레이드 만물상점 1화</v>
      </c>
      <c r="D2464" t="str">
        <f>T("1")</f>
        <v>1</v>
      </c>
      <c r="E2464" t="str">
        <f>T("전혁")</f>
        <v>전혁</v>
      </c>
      <c r="H2464" t="str">
        <f>T("스토리위즈")</f>
        <v>스토리위즈</v>
      </c>
      <c r="I2464" t="str">
        <f>T("레이드 만물상점")</f>
        <v>레이드 만물상점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 s="2">
        <v>0</v>
      </c>
      <c r="AT2464" t="str">
        <f>T("9791170151432")</f>
        <v>9791170151432</v>
      </c>
      <c r="AV2464" t="str">
        <f>T("판타지 웹소설 &gt; 현대 판타지")</f>
        <v>판타지 웹소설 &gt; 현대 판타지</v>
      </c>
    </row>
    <row r="2465" spans="1:48" x14ac:dyDescent="0.4">
      <c r="A2465">
        <v>1525004988</v>
      </c>
      <c r="B2465">
        <v>1525005300</v>
      </c>
      <c r="C2465" t="str">
        <f>T("용무쌍 13화")</f>
        <v>용무쌍 13화</v>
      </c>
      <c r="D2465" t="str">
        <f>T("13")</f>
        <v>13</v>
      </c>
      <c r="E2465" t="str">
        <f>T("권용찬")</f>
        <v>권용찬</v>
      </c>
      <c r="H2465" t="str">
        <f>T("스토리위즈")</f>
        <v>스토리위즈</v>
      </c>
      <c r="I2465" t="str">
        <f>T("용무쌍")</f>
        <v>용무쌍</v>
      </c>
      <c r="J2465">
        <v>0</v>
      </c>
      <c r="K2465">
        <v>0</v>
      </c>
      <c r="L2465">
        <v>0</v>
      </c>
      <c r="M2465">
        <v>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 s="2">
        <v>0</v>
      </c>
      <c r="AT2465" t="str">
        <f>T("9791159284861")</f>
        <v>9791159284861</v>
      </c>
      <c r="AV2465" t="str">
        <f>T("판타지 웹소설 &gt; 무협 소설")</f>
        <v>판타지 웹소설 &gt; 무협 소설</v>
      </c>
    </row>
    <row r="2466" spans="1:48" x14ac:dyDescent="0.4">
      <c r="A2466">
        <v>1525001540</v>
      </c>
      <c r="B2466">
        <v>1525001541</v>
      </c>
      <c r="C2466" t="str">
        <f>T("[e북]철중쟁쟁 2권")</f>
        <v>[e북]철중쟁쟁 2권</v>
      </c>
      <c r="D2466" t="str">
        <f>T("2")</f>
        <v>2</v>
      </c>
      <c r="E2466" t="str">
        <f>T("권용찬")</f>
        <v>권용찬</v>
      </c>
      <c r="H2466" t="str">
        <f>T("스토리위즈")</f>
        <v>스토리위즈</v>
      </c>
      <c r="I2466" t="str">
        <f>T("[e북]철중쟁쟁")</f>
        <v>[e북]철중쟁쟁</v>
      </c>
      <c r="J2466">
        <v>3200</v>
      </c>
      <c r="K2466">
        <v>0</v>
      </c>
      <c r="L2466">
        <v>0</v>
      </c>
      <c r="M2466">
        <v>0</v>
      </c>
      <c r="N2466">
        <v>3600</v>
      </c>
      <c r="O2466">
        <v>4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3600</v>
      </c>
      <c r="AH2466">
        <v>4</v>
      </c>
      <c r="AI2466">
        <v>0</v>
      </c>
      <c r="AJ2466">
        <v>0</v>
      </c>
      <c r="AK2466">
        <v>3600</v>
      </c>
      <c r="AL2466">
        <v>0</v>
      </c>
      <c r="AM2466">
        <v>0</v>
      </c>
      <c r="AN2466">
        <v>0</v>
      </c>
      <c r="AO2466">
        <v>0</v>
      </c>
      <c r="AP2466" s="2">
        <v>2520</v>
      </c>
      <c r="AT2466" t="str">
        <f>T("9791159282287")</f>
        <v>9791159282287</v>
      </c>
      <c r="AV2466" t="str">
        <f>T("판타지 e북 &gt; 전통 무협")</f>
        <v>판타지 e북 &gt; 전통 무협</v>
      </c>
    </row>
    <row r="2467" spans="1:48" x14ac:dyDescent="0.4">
      <c r="A2467">
        <v>1525000074</v>
      </c>
      <c r="B2467">
        <v>1525000074</v>
      </c>
      <c r="C2467" t="str">
        <f>T("[e북]소드 엠페러 1권")</f>
        <v>[e북]소드 엠페러 1권</v>
      </c>
      <c r="D2467" t="str">
        <f>T("1")</f>
        <v>1</v>
      </c>
      <c r="E2467" t="str">
        <f>T("김정률")</f>
        <v>김정률</v>
      </c>
      <c r="H2467" t="str">
        <f>T("스토리위즈")</f>
        <v>스토리위즈</v>
      </c>
      <c r="I2467" t="str">
        <f>T("[e북]소드 엠페러")</f>
        <v>[e북]소드 엠페러</v>
      </c>
      <c r="J2467">
        <v>0</v>
      </c>
      <c r="K2467">
        <v>0</v>
      </c>
      <c r="L2467">
        <v>0</v>
      </c>
      <c r="M2467">
        <v>6</v>
      </c>
      <c r="N2467">
        <v>0</v>
      </c>
      <c r="O2467">
        <v>0</v>
      </c>
      <c r="P2467">
        <v>15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24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 s="2">
        <v>0</v>
      </c>
      <c r="AV2467" t="str">
        <f>T("판타지 e북 &gt; 퓨전 판타지")</f>
        <v>판타지 e북 &gt; 퓨전 판타지</v>
      </c>
    </row>
    <row r="2468" spans="1:48" x14ac:dyDescent="0.4">
      <c r="A2468">
        <v>1525013020</v>
      </c>
      <c r="B2468">
        <v>1525013023</v>
      </c>
      <c r="C2468" t="str">
        <f>T("악당의 리턴 4화")</f>
        <v>악당의 리턴 4화</v>
      </c>
      <c r="D2468" t="str">
        <f>T("4")</f>
        <v>4</v>
      </c>
      <c r="E2468" t="str">
        <f>T("백범(白帆)")</f>
        <v>백범(白帆)</v>
      </c>
      <c r="H2468" t="str">
        <f>T("에필로그")</f>
        <v>에필로그</v>
      </c>
      <c r="I2468" t="str">
        <f>T("악당의 리턴")</f>
        <v>악당의 리턴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s="2">
        <v>0</v>
      </c>
      <c r="AT2468" t="str">
        <f>T("9791196538927")</f>
        <v>9791196538927</v>
      </c>
      <c r="AV2468" t="str">
        <f>T("판타지 웹소설 &gt; 현대 판타지")</f>
        <v>판타지 웹소설 &gt; 현대 판타지</v>
      </c>
    </row>
    <row r="2469" spans="1:48" x14ac:dyDescent="0.4">
      <c r="A2469">
        <v>1525001116</v>
      </c>
      <c r="B2469">
        <v>1525001123</v>
      </c>
      <c r="C2469" t="str">
        <f>T("개정판 | 영웅 8화")</f>
        <v>개정판 | 영웅 8화</v>
      </c>
      <c r="D2469" t="str">
        <f>T("8")</f>
        <v>8</v>
      </c>
      <c r="E2469" t="str">
        <f>T("김광수")</f>
        <v>김광수</v>
      </c>
      <c r="H2469" t="str">
        <f t="shared" ref="H2469:H2480" si="225">T("스토리위즈")</f>
        <v>스토리위즈</v>
      </c>
      <c r="I2469" t="str">
        <f>T("개정판 | 영웅")</f>
        <v>개정판 | 영웅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 s="2">
        <v>0</v>
      </c>
      <c r="AR2469" t="str">
        <f>T("9791159282829")</f>
        <v>9791159282829</v>
      </c>
      <c r="AT2469" t="str">
        <f>T("9791159282829")</f>
        <v>9791159282829</v>
      </c>
      <c r="AV2469" t="str">
        <f>T("판타지 웹소설 &gt; 무협 소설")</f>
        <v>판타지 웹소설 &gt; 무협 소설</v>
      </c>
    </row>
    <row r="2470" spans="1:48" x14ac:dyDescent="0.4">
      <c r="A2470">
        <v>1525004030</v>
      </c>
      <c r="B2470">
        <v>1525004054</v>
      </c>
      <c r="C2470" t="str">
        <f>T("회귀의 전설 25화")</f>
        <v>회귀의 전설 25화</v>
      </c>
      <c r="D2470" t="str">
        <f>T("25")</f>
        <v>25</v>
      </c>
      <c r="E2470" t="str">
        <f>T("김광수")</f>
        <v>김광수</v>
      </c>
      <c r="H2470" t="str">
        <f t="shared" si="225"/>
        <v>스토리위즈</v>
      </c>
      <c r="I2470" t="str">
        <f>T("회귀의 전설")</f>
        <v>회귀의 전설</v>
      </c>
      <c r="J2470">
        <v>0</v>
      </c>
      <c r="K2470">
        <v>0</v>
      </c>
      <c r="L2470">
        <v>0</v>
      </c>
      <c r="M2470">
        <v>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8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s="2">
        <v>0</v>
      </c>
      <c r="AT2470" t="str">
        <f>T("9788997946006")</f>
        <v>9788997946006</v>
      </c>
      <c r="AV2470" t="str">
        <f>T("판타지 웹소설 &gt; 현대 판타지")</f>
        <v>판타지 웹소설 &gt; 현대 판타지</v>
      </c>
    </row>
    <row r="2471" spans="1:48" x14ac:dyDescent="0.4">
      <c r="A2471">
        <v>1525002692</v>
      </c>
      <c r="B2471">
        <v>1525002705</v>
      </c>
      <c r="C2471" t="str">
        <f>T("신규무사 14화")</f>
        <v>신규무사 14화</v>
      </c>
      <c r="D2471" t="str">
        <f>T("14")</f>
        <v>14</v>
      </c>
      <c r="E2471" t="str">
        <f>T("권용찬")</f>
        <v>권용찬</v>
      </c>
      <c r="H2471" t="str">
        <f t="shared" si="225"/>
        <v>스토리위즈</v>
      </c>
      <c r="I2471" t="str">
        <f>T("신규무사")</f>
        <v>신규무사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s="2">
        <v>0</v>
      </c>
      <c r="AT2471" t="str">
        <f>T("9791159287480")</f>
        <v>9791159287480</v>
      </c>
      <c r="AV2471" t="str">
        <f>T("판타지 웹소설 &gt; 무협 소설")</f>
        <v>판타지 웹소설 &gt; 무협 소설</v>
      </c>
    </row>
    <row r="2472" spans="1:48" x14ac:dyDescent="0.4">
      <c r="A2472">
        <v>1525001908</v>
      </c>
      <c r="B2472">
        <v>1525001913</v>
      </c>
      <c r="C2472" t="str">
        <f>T("[e북]상왕 진우몽 6권")</f>
        <v>[e북]상왕 진우몽 6권</v>
      </c>
      <c r="D2472" t="str">
        <f>T("6")</f>
        <v>6</v>
      </c>
      <c r="E2472" t="str">
        <f>T("권용찬")</f>
        <v>권용찬</v>
      </c>
      <c r="H2472" t="str">
        <f t="shared" si="225"/>
        <v>스토리위즈</v>
      </c>
      <c r="I2472" t="str">
        <f>T("[e북]상왕 진우몽")</f>
        <v>[e북]상왕 진우몽</v>
      </c>
      <c r="J2472">
        <v>3200</v>
      </c>
      <c r="K2472">
        <v>0</v>
      </c>
      <c r="L2472">
        <v>0</v>
      </c>
      <c r="M2472">
        <v>0</v>
      </c>
      <c r="N2472">
        <v>900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900</v>
      </c>
      <c r="AH2472">
        <v>1</v>
      </c>
      <c r="AI2472">
        <v>0</v>
      </c>
      <c r="AJ2472">
        <v>0</v>
      </c>
      <c r="AK2472">
        <v>900</v>
      </c>
      <c r="AL2472">
        <v>0</v>
      </c>
      <c r="AM2472">
        <v>0</v>
      </c>
      <c r="AN2472">
        <v>0</v>
      </c>
      <c r="AO2472">
        <v>0</v>
      </c>
      <c r="AP2472" s="2">
        <v>630</v>
      </c>
      <c r="AT2472" t="str">
        <f>T("9791159285882")</f>
        <v>9791159285882</v>
      </c>
      <c r="AV2472" t="str">
        <f>T("판타지 e북 &gt; 신무협")</f>
        <v>판타지 e북 &gt; 신무협</v>
      </c>
    </row>
    <row r="2473" spans="1:48" x14ac:dyDescent="0.4">
      <c r="A2473">
        <v>1525004988</v>
      </c>
      <c r="B2473">
        <v>1525005293</v>
      </c>
      <c r="C2473" t="str">
        <f>T("용무쌍 6화")</f>
        <v>용무쌍 6화</v>
      </c>
      <c r="D2473" t="str">
        <f>T("6")</f>
        <v>6</v>
      </c>
      <c r="E2473" t="str">
        <f>T("권용찬")</f>
        <v>권용찬</v>
      </c>
      <c r="H2473" t="str">
        <f t="shared" si="225"/>
        <v>스토리위즈</v>
      </c>
      <c r="I2473" t="str">
        <f>T("용무쌍")</f>
        <v>용무쌍</v>
      </c>
      <c r="J2473">
        <v>0</v>
      </c>
      <c r="K2473">
        <v>0</v>
      </c>
      <c r="L2473">
        <v>0</v>
      </c>
      <c r="M2473">
        <v>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2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 s="2">
        <v>0</v>
      </c>
      <c r="AT2473" t="str">
        <f>T("9791159284861")</f>
        <v>9791159284861</v>
      </c>
      <c r="AV2473" t="str">
        <f>T("판타지 웹소설 &gt; 무협 소설")</f>
        <v>판타지 웹소설 &gt; 무협 소설</v>
      </c>
    </row>
    <row r="2474" spans="1:48" x14ac:dyDescent="0.4">
      <c r="A2474">
        <v>1525002409</v>
      </c>
      <c r="B2474">
        <v>1525002430</v>
      </c>
      <c r="C2474" t="str">
        <f>T("스포트라이트 22화")</f>
        <v>스포트라이트 22화</v>
      </c>
      <c r="D2474" t="str">
        <f>T("22")</f>
        <v>22</v>
      </c>
      <c r="E2474" t="str">
        <f>T("전혁")</f>
        <v>전혁</v>
      </c>
      <c r="H2474" t="str">
        <f t="shared" si="225"/>
        <v>스토리위즈</v>
      </c>
      <c r="I2474" t="str">
        <f>T("스포트라이트")</f>
        <v>스포트라이트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 s="2">
        <v>0</v>
      </c>
      <c r="AT2474" t="str">
        <f>T("9791159286841")</f>
        <v>9791159286841</v>
      </c>
      <c r="AV2474" t="str">
        <f>T("판타지 웹소설 &gt; 현대 판타지")</f>
        <v>판타지 웹소설 &gt; 현대 판타지</v>
      </c>
    </row>
    <row r="2475" spans="1:48" x14ac:dyDescent="0.4">
      <c r="A2475">
        <v>1525001508</v>
      </c>
      <c r="B2475">
        <v>1525001509</v>
      </c>
      <c r="C2475" t="str">
        <f>T("[e북]칼 2권")</f>
        <v>[e북]칼 2권</v>
      </c>
      <c r="D2475" t="str">
        <f>T("2")</f>
        <v>2</v>
      </c>
      <c r="E2475" t="str">
        <f>T("권용찬")</f>
        <v>권용찬</v>
      </c>
      <c r="H2475" t="str">
        <f t="shared" si="225"/>
        <v>스토리위즈</v>
      </c>
      <c r="I2475" t="str">
        <f>T("[e북]칼")</f>
        <v>[e북]칼</v>
      </c>
      <c r="J2475">
        <v>3200</v>
      </c>
      <c r="K2475">
        <v>0</v>
      </c>
      <c r="L2475">
        <v>0</v>
      </c>
      <c r="M2475">
        <v>0</v>
      </c>
      <c r="N2475">
        <v>900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900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900</v>
      </c>
      <c r="AN2475">
        <v>0</v>
      </c>
      <c r="AO2475">
        <v>0</v>
      </c>
      <c r="AP2475" s="2">
        <v>630</v>
      </c>
      <c r="AT2475" t="str">
        <f>T("9791159282362")</f>
        <v>9791159282362</v>
      </c>
      <c r="AV2475" t="str">
        <f>T("판타지 e북 &gt; 신무협")</f>
        <v>판타지 e북 &gt; 신무협</v>
      </c>
    </row>
    <row r="2476" spans="1:48" x14ac:dyDescent="0.4">
      <c r="A2476">
        <v>1525000055</v>
      </c>
      <c r="B2476">
        <v>1525000067</v>
      </c>
      <c r="C2476" t="str">
        <f>T("[e북]21세기 대마법사 12권")</f>
        <v>[e북]21세기 대마법사 12권</v>
      </c>
      <c r="D2476" t="str">
        <f>T("12")</f>
        <v>12</v>
      </c>
      <c r="E2476" t="str">
        <f>T("김광수")</f>
        <v>김광수</v>
      </c>
      <c r="H2476" t="str">
        <f t="shared" si="225"/>
        <v>스토리위즈</v>
      </c>
      <c r="I2476" t="str">
        <f>T("[e북]21세기 대마법사")</f>
        <v>[e북]21세기 대마법사</v>
      </c>
      <c r="J2476">
        <v>3200</v>
      </c>
      <c r="K2476">
        <v>0</v>
      </c>
      <c r="L2476">
        <v>0</v>
      </c>
      <c r="M2476">
        <v>0</v>
      </c>
      <c r="N2476">
        <v>8100</v>
      </c>
      <c r="O2476">
        <v>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8100</v>
      </c>
      <c r="AH2476">
        <v>9</v>
      </c>
      <c r="AI2476">
        <v>0</v>
      </c>
      <c r="AJ2476">
        <v>0</v>
      </c>
      <c r="AK2476">
        <v>7200</v>
      </c>
      <c r="AL2476">
        <v>0</v>
      </c>
      <c r="AM2476">
        <v>900</v>
      </c>
      <c r="AN2476">
        <v>0</v>
      </c>
      <c r="AO2476">
        <v>0</v>
      </c>
      <c r="AP2476" s="2">
        <v>5670</v>
      </c>
      <c r="AT2476" t="str">
        <f>T("9788925119151")</f>
        <v>9788925119151</v>
      </c>
      <c r="AV2476" t="str">
        <f>T("판타지 e북 &gt; 퓨전 판타지")</f>
        <v>판타지 e북 &gt; 퓨전 판타지</v>
      </c>
    </row>
    <row r="2477" spans="1:48" x14ac:dyDescent="0.4">
      <c r="A2477">
        <v>1525001116</v>
      </c>
      <c r="B2477">
        <v>1525001116</v>
      </c>
      <c r="C2477" t="str">
        <f>T("개정판 | 영웅 1화")</f>
        <v>개정판 | 영웅 1화</v>
      </c>
      <c r="D2477" t="str">
        <f>T("1")</f>
        <v>1</v>
      </c>
      <c r="E2477" t="str">
        <f>T("김광수")</f>
        <v>김광수</v>
      </c>
      <c r="H2477" t="str">
        <f t="shared" si="225"/>
        <v>스토리위즈</v>
      </c>
      <c r="I2477" t="str">
        <f>T("개정판 | 영웅")</f>
        <v>개정판 | 영웅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 s="2">
        <v>0</v>
      </c>
      <c r="AR2477" t="str">
        <f>T("9791159282829")</f>
        <v>9791159282829</v>
      </c>
      <c r="AT2477" t="str">
        <f>T("9791159282829")</f>
        <v>9791159282829</v>
      </c>
      <c r="AV2477" t="str">
        <f>T("판타지 웹소설 &gt; 무협 소설")</f>
        <v>판타지 웹소설 &gt; 무협 소설</v>
      </c>
    </row>
    <row r="2478" spans="1:48" x14ac:dyDescent="0.4">
      <c r="A2478">
        <v>1525004030</v>
      </c>
      <c r="B2478">
        <v>1525004047</v>
      </c>
      <c r="C2478" t="str">
        <f>T("회귀의 전설 18화")</f>
        <v>회귀의 전설 18화</v>
      </c>
      <c r="D2478" t="str">
        <f>T("18")</f>
        <v>18</v>
      </c>
      <c r="E2478" t="str">
        <f>T("김광수")</f>
        <v>김광수</v>
      </c>
      <c r="H2478" t="str">
        <f t="shared" si="225"/>
        <v>스토리위즈</v>
      </c>
      <c r="I2478" t="str">
        <f>T("회귀의 전설")</f>
        <v>회귀의 전설</v>
      </c>
      <c r="J2478">
        <v>0</v>
      </c>
      <c r="K2478">
        <v>0</v>
      </c>
      <c r="L2478">
        <v>0</v>
      </c>
      <c r="M2478">
        <v>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s="2">
        <v>0</v>
      </c>
      <c r="AT2478" t="str">
        <f>T("9788997946006")</f>
        <v>9788997946006</v>
      </c>
      <c r="AV2478" t="str">
        <f>T("판타지 웹소설 &gt; 현대 판타지")</f>
        <v>판타지 웹소설 &gt; 현대 판타지</v>
      </c>
    </row>
    <row r="2479" spans="1:48" x14ac:dyDescent="0.4">
      <c r="A2479">
        <v>1525002692</v>
      </c>
      <c r="B2479">
        <v>1525002698</v>
      </c>
      <c r="C2479" t="str">
        <f>T("신규무사 7화")</f>
        <v>신규무사 7화</v>
      </c>
      <c r="D2479" t="str">
        <f>T("7")</f>
        <v>7</v>
      </c>
      <c r="E2479" t="str">
        <f>T("권용찬")</f>
        <v>권용찬</v>
      </c>
      <c r="H2479" t="str">
        <f t="shared" si="225"/>
        <v>스토리위즈</v>
      </c>
      <c r="I2479" t="str">
        <f>T("신규무사")</f>
        <v>신규무사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 s="2">
        <v>0</v>
      </c>
      <c r="AT2479" t="str">
        <f>T("9791159287480")</f>
        <v>9791159287480</v>
      </c>
      <c r="AV2479" t="str">
        <f>T("판타지 웹소설 &gt; 무협 소설")</f>
        <v>판타지 웹소설 &gt; 무협 소설</v>
      </c>
    </row>
    <row r="2480" spans="1:48" x14ac:dyDescent="0.4">
      <c r="A2480">
        <v>1525000569</v>
      </c>
      <c r="B2480">
        <v>1525000593</v>
      </c>
      <c r="C2480" t="str">
        <f>T("스트라이커 25화")</f>
        <v>스트라이커 25화</v>
      </c>
      <c r="D2480" t="str">
        <f>T("25")</f>
        <v>25</v>
      </c>
      <c r="E2480" t="str">
        <f>T("독고진")</f>
        <v>독고진</v>
      </c>
      <c r="H2480" t="str">
        <f t="shared" si="225"/>
        <v>스토리위즈</v>
      </c>
      <c r="I2480" t="str">
        <f>T("스트라이커")</f>
        <v>스트라이커</v>
      </c>
      <c r="J2480">
        <v>0</v>
      </c>
      <c r="K2480">
        <v>0</v>
      </c>
      <c r="L2480">
        <v>0</v>
      </c>
      <c r="M2480">
        <v>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3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s="2">
        <v>0</v>
      </c>
      <c r="AT2480" t="str">
        <f>T("9791170151678")</f>
        <v>9791170151678</v>
      </c>
      <c r="AV2480" t="str">
        <f>T("판타지 웹소설 &gt; 현대 판타지")</f>
        <v>판타지 웹소설 &gt; 현대 판타지</v>
      </c>
    </row>
    <row r="2481" spans="1:48" x14ac:dyDescent="0.4">
      <c r="A2481">
        <v>1525014015</v>
      </c>
      <c r="B2481">
        <v>1525014035</v>
      </c>
      <c r="C2481" t="str">
        <f>T("사냥꾼은 마왕이 되기 싫다 21화")</f>
        <v>사냥꾼은 마왕이 되기 싫다 21화</v>
      </c>
      <c r="D2481" t="str">
        <f>T("21")</f>
        <v>21</v>
      </c>
      <c r="E2481" t="str">
        <f>T("강명운")</f>
        <v>강명운</v>
      </c>
      <c r="H2481" t="str">
        <f>T("스토리아크")</f>
        <v>스토리아크</v>
      </c>
      <c r="I2481" t="str">
        <f>T("사냥꾼은 마왕이 되기 싫다")</f>
        <v>사냥꾼은 마왕이 되기 싫다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s="2">
        <v>0</v>
      </c>
      <c r="AR2481" t="str">
        <f>T("0000000000000")</f>
        <v>0000000000000</v>
      </c>
      <c r="AT2481" t="str">
        <f>T("9791191039269")</f>
        <v>9791191039269</v>
      </c>
      <c r="AV2481" t="str">
        <f>T("판타지 웹소설 &gt; 정통 판타지")</f>
        <v>판타지 웹소설 &gt; 정통 판타지</v>
      </c>
    </row>
    <row r="2482" spans="1:48" x14ac:dyDescent="0.4">
      <c r="A2482">
        <v>1525013320</v>
      </c>
      <c r="B2482">
        <v>1525013322</v>
      </c>
      <c r="C2482" t="str">
        <f>T("[e북]악당의 리턴 3권")</f>
        <v>[e북]악당의 리턴 3권</v>
      </c>
      <c r="D2482" t="str">
        <f>T("3")</f>
        <v>3</v>
      </c>
      <c r="E2482" t="str">
        <f>T("백범(白帆)")</f>
        <v>백범(白帆)</v>
      </c>
      <c r="H2482" t="str">
        <f>T("에필로그")</f>
        <v>에필로그</v>
      </c>
      <c r="I2482" t="str">
        <f>T("[e북]악당의 리턴")</f>
        <v>[e북]악당의 리턴</v>
      </c>
      <c r="J2482">
        <v>3200</v>
      </c>
      <c r="K2482">
        <v>0</v>
      </c>
      <c r="L2482">
        <v>0</v>
      </c>
      <c r="M2482">
        <v>0</v>
      </c>
      <c r="N2482">
        <v>900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900</v>
      </c>
      <c r="AH2482">
        <v>1</v>
      </c>
      <c r="AI2482">
        <v>0</v>
      </c>
      <c r="AJ2482">
        <v>0</v>
      </c>
      <c r="AK2482">
        <v>900</v>
      </c>
      <c r="AL2482">
        <v>0</v>
      </c>
      <c r="AM2482">
        <v>0</v>
      </c>
      <c r="AN2482">
        <v>0</v>
      </c>
      <c r="AO2482">
        <v>0</v>
      </c>
      <c r="AP2482" s="2">
        <v>630</v>
      </c>
      <c r="AT2482" t="str">
        <f>T("9791164482870")</f>
        <v>9791164482870</v>
      </c>
      <c r="AV2482" t="str">
        <f>T("판타지 e북 &gt; 현대 판타지")</f>
        <v>판타지 e북 &gt; 현대 판타지</v>
      </c>
    </row>
    <row r="2483" spans="1:48" x14ac:dyDescent="0.4">
      <c r="A2483">
        <v>1525011523</v>
      </c>
      <c r="B2483">
        <v>1525011521</v>
      </c>
      <c r="C2483" t="str">
        <f>T("남창목가 3화")</f>
        <v>남창목가 3화</v>
      </c>
      <c r="D2483" t="str">
        <f>T("3")</f>
        <v>3</v>
      </c>
      <c r="E2483" t="str">
        <f>T("최재봉")</f>
        <v>최재봉</v>
      </c>
      <c r="H2483" t="str">
        <f>T("에필로그")</f>
        <v>에필로그</v>
      </c>
      <c r="I2483" t="str">
        <f>T("남창목가")</f>
        <v>남창목가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s="2">
        <v>0</v>
      </c>
      <c r="AT2483" t="str">
        <f>T("9791164482849")</f>
        <v>9791164482849</v>
      </c>
      <c r="AV2483" t="str">
        <f>T("판타지 웹소설 &gt; 무협 소설")</f>
        <v>판타지 웹소설 &gt; 무협 소설</v>
      </c>
    </row>
    <row r="2484" spans="1:48" x14ac:dyDescent="0.4">
      <c r="A2484">
        <v>1525002864</v>
      </c>
      <c r="B2484">
        <v>1525002879</v>
      </c>
      <c r="C2484" t="str">
        <f>T("소드마스터의 환생 16화")</f>
        <v>소드마스터의 환생 16화</v>
      </c>
      <c r="D2484" t="str">
        <f>T("16")</f>
        <v>16</v>
      </c>
      <c r="E2484" t="str">
        <f>T("파란영")</f>
        <v>파란영</v>
      </c>
      <c r="H2484" t="str">
        <f>T("스토리위즈")</f>
        <v>스토리위즈</v>
      </c>
      <c r="I2484" t="str">
        <f>T("소드마스터의 환생")</f>
        <v>소드마스터의 환생</v>
      </c>
      <c r="J2484">
        <v>0</v>
      </c>
      <c r="K2484">
        <v>0</v>
      </c>
      <c r="L2484">
        <v>0</v>
      </c>
      <c r="M2484">
        <v>3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3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 s="2">
        <v>0</v>
      </c>
      <c r="AT2484" t="str">
        <f>T("9791159287527")</f>
        <v>9791159287527</v>
      </c>
      <c r="AV2484" t="str">
        <f>T("판타지 웹소설 &gt; 정통 판타지")</f>
        <v>판타지 웹소설 &gt; 정통 판타지</v>
      </c>
    </row>
    <row r="2485" spans="1:48" x14ac:dyDescent="0.4">
      <c r="A2485">
        <v>1525000158</v>
      </c>
      <c r="B2485">
        <v>1525000173</v>
      </c>
      <c r="C2485" t="str">
        <f>T("[e북]아나크레온 16권 (완결)")</f>
        <v>[e북]아나크레온 16권 (완결)</v>
      </c>
      <c r="D2485" t="str">
        <f>T("16")</f>
        <v>16</v>
      </c>
      <c r="E2485" t="str">
        <f>T("김정률")</f>
        <v>김정률</v>
      </c>
      <c r="H2485" t="str">
        <f>T("스토리위즈")</f>
        <v>스토리위즈</v>
      </c>
      <c r="I2485" t="str">
        <f>T("[e북]아나크레온")</f>
        <v>[e북]아나크레온</v>
      </c>
      <c r="J2485">
        <v>3200</v>
      </c>
      <c r="K2485">
        <v>0</v>
      </c>
      <c r="L2485">
        <v>0</v>
      </c>
      <c r="M2485">
        <v>0</v>
      </c>
      <c r="N2485">
        <v>900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900</v>
      </c>
      <c r="AH2485">
        <v>1</v>
      </c>
      <c r="AI2485">
        <v>0</v>
      </c>
      <c r="AJ2485">
        <v>0</v>
      </c>
      <c r="AK2485">
        <v>900</v>
      </c>
      <c r="AL2485">
        <v>0</v>
      </c>
      <c r="AM2485">
        <v>0</v>
      </c>
      <c r="AN2485">
        <v>0</v>
      </c>
      <c r="AO2485">
        <v>0</v>
      </c>
      <c r="AP2485" s="2">
        <v>630</v>
      </c>
      <c r="AV2485" t="str">
        <f>T("판타지 e북 &gt; 퓨전 판타지")</f>
        <v>판타지 e북 &gt; 퓨전 판타지</v>
      </c>
    </row>
    <row r="2486" spans="1:48" x14ac:dyDescent="0.4">
      <c r="A2486">
        <v>1525001334</v>
      </c>
      <c r="B2486">
        <v>1525001338</v>
      </c>
      <c r="C2486" t="str">
        <f>T("게이트 헌터 5화")</f>
        <v>게이트 헌터 5화</v>
      </c>
      <c r="D2486" t="str">
        <f>T("5")</f>
        <v>5</v>
      </c>
      <c r="E2486" t="str">
        <f>T("권용찬")</f>
        <v>권용찬</v>
      </c>
      <c r="H2486" t="str">
        <f>T("스토리위즈")</f>
        <v>스토리위즈</v>
      </c>
      <c r="I2486" t="str">
        <f>T("게이트 헌터")</f>
        <v>게이트 헌터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s="2">
        <v>0</v>
      </c>
      <c r="AR2486" t="str">
        <f>T("9791159283291")</f>
        <v>9791159283291</v>
      </c>
      <c r="AT2486" t="str">
        <f>T("9791159283291")</f>
        <v>9791159283291</v>
      </c>
      <c r="AV2486" t="str">
        <f>T("판타지 웹소설 &gt; 현대 판타지")</f>
        <v>판타지 웹소설 &gt; 현대 판타지</v>
      </c>
    </row>
    <row r="2487" spans="1:48" x14ac:dyDescent="0.4">
      <c r="A2487">
        <v>1525008816</v>
      </c>
      <c r="B2487">
        <v>1525008816</v>
      </c>
      <c r="C2487" t="str">
        <f>T("평행세계 (The Parallel World) 1화")</f>
        <v>평행세계 (The Parallel World) 1화</v>
      </c>
      <c r="D2487" t="str">
        <f>T("1")</f>
        <v>1</v>
      </c>
      <c r="E2487" t="str">
        <f>T("류마티")</f>
        <v>류마티</v>
      </c>
      <c r="H2487" t="str">
        <f>T("블러쉬")</f>
        <v>블러쉬</v>
      </c>
      <c r="I2487" t="str">
        <f>T("평행세계 (The Parallel World)")</f>
        <v>평행세계 (The Parallel World)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s="2">
        <v>0</v>
      </c>
      <c r="AT2487" t="str">
        <f>T("9791164896691")</f>
        <v>9791164896691</v>
      </c>
      <c r="AU2487" t="str">
        <f>T("B3")</f>
        <v>B3</v>
      </c>
      <c r="AV2487" t="str">
        <f>T("BL 웹소설 &gt; 판타지물")</f>
        <v>BL 웹소설 &gt; 판타지물</v>
      </c>
    </row>
    <row r="2488" spans="1:48" x14ac:dyDescent="0.4">
      <c r="A2488">
        <v>1525010974</v>
      </c>
      <c r="B2488">
        <v>1525010968</v>
      </c>
      <c r="C2488" t="str">
        <f>T("[e북]위사무적 7권")</f>
        <v>[e북]위사무적 7권</v>
      </c>
      <c r="D2488" t="str">
        <f>T("7")</f>
        <v>7</v>
      </c>
      <c r="E2488" t="str">
        <f>T("협행마")</f>
        <v>협행마</v>
      </c>
      <c r="H2488" t="str">
        <f>T("에필로그")</f>
        <v>에필로그</v>
      </c>
      <c r="I2488" t="str">
        <f>T("[e북]위사무적")</f>
        <v>[e북]위사무적</v>
      </c>
      <c r="J2488">
        <v>2000</v>
      </c>
      <c r="K2488">
        <v>0</v>
      </c>
      <c r="L2488">
        <v>0</v>
      </c>
      <c r="M2488">
        <v>0</v>
      </c>
      <c r="N2488">
        <v>1400</v>
      </c>
      <c r="O2488">
        <v>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1400</v>
      </c>
      <c r="AH2488">
        <v>2</v>
      </c>
      <c r="AI2488">
        <v>0</v>
      </c>
      <c r="AJ2488">
        <v>0</v>
      </c>
      <c r="AK2488">
        <v>1400</v>
      </c>
      <c r="AL2488">
        <v>0</v>
      </c>
      <c r="AM2488">
        <v>0</v>
      </c>
      <c r="AN2488">
        <v>0</v>
      </c>
      <c r="AO2488">
        <v>0</v>
      </c>
      <c r="AP2488" s="2">
        <v>980</v>
      </c>
      <c r="AT2488" t="str">
        <f>T("9791164489015")</f>
        <v>9791164489015</v>
      </c>
      <c r="AV2488" t="str">
        <f>T("판타지 e북 &gt; 신무협")</f>
        <v>판타지 e북 &gt; 신무협</v>
      </c>
    </row>
    <row r="2489" spans="1:48" x14ac:dyDescent="0.4">
      <c r="A2489">
        <v>1525010898</v>
      </c>
      <c r="B2489">
        <v>1525010879</v>
      </c>
      <c r="C2489" t="str">
        <f>T("[e북]용병수칙 4권")</f>
        <v>[e북]용병수칙 4권</v>
      </c>
      <c r="D2489" t="str">
        <f>T("4")</f>
        <v>4</v>
      </c>
      <c r="E2489" t="str">
        <f>T("협행마")</f>
        <v>협행마</v>
      </c>
      <c r="H2489" t="str">
        <f>T("에필로그")</f>
        <v>에필로그</v>
      </c>
      <c r="I2489" t="str">
        <f>T("[e북]용병수칙")</f>
        <v>[e북]용병수칙</v>
      </c>
      <c r="J2489">
        <v>2500</v>
      </c>
      <c r="K2489">
        <v>0</v>
      </c>
      <c r="L2489">
        <v>0</v>
      </c>
      <c r="M2489">
        <v>0</v>
      </c>
      <c r="N2489">
        <v>810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810</v>
      </c>
      <c r="AH2489">
        <v>1</v>
      </c>
      <c r="AI2489">
        <v>0</v>
      </c>
      <c r="AJ2489">
        <v>0</v>
      </c>
      <c r="AK2489">
        <v>810</v>
      </c>
      <c r="AL2489">
        <v>0</v>
      </c>
      <c r="AM2489">
        <v>0</v>
      </c>
      <c r="AN2489">
        <v>0</v>
      </c>
      <c r="AO2489">
        <v>0</v>
      </c>
      <c r="AP2489" s="2">
        <v>567</v>
      </c>
      <c r="AT2489" t="str">
        <f>T("9791166000140")</f>
        <v>9791166000140</v>
      </c>
      <c r="AV2489" t="str">
        <f>T("판타지 e북 &gt; 퓨전 판타지")</f>
        <v>판타지 e북 &gt; 퓨전 판타지</v>
      </c>
    </row>
    <row r="2490" spans="1:48" x14ac:dyDescent="0.4">
      <c r="A2490">
        <v>1525013020</v>
      </c>
      <c r="B2490">
        <v>1525013041</v>
      </c>
      <c r="C2490" t="str">
        <f>T("악당의 리턴 22화")</f>
        <v>악당의 리턴 22화</v>
      </c>
      <c r="D2490" t="str">
        <f>T("22")</f>
        <v>22</v>
      </c>
      <c r="E2490" t="str">
        <f>T("백범(白帆)")</f>
        <v>백범(白帆)</v>
      </c>
      <c r="H2490" t="str">
        <f>T("에필로그")</f>
        <v>에필로그</v>
      </c>
      <c r="I2490" t="str">
        <f>T("악당의 리턴")</f>
        <v>악당의 리턴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 s="2">
        <v>0</v>
      </c>
      <c r="AT2490" t="str">
        <f>T("9791196538927")</f>
        <v>9791196538927</v>
      </c>
      <c r="AV2490" t="str">
        <f>T("판타지 웹소설 &gt; 현대 판타지")</f>
        <v>판타지 웹소설 &gt; 현대 판타지</v>
      </c>
    </row>
    <row r="2491" spans="1:48" x14ac:dyDescent="0.4">
      <c r="A2491">
        <v>1525011523</v>
      </c>
      <c r="B2491">
        <v>1525011514</v>
      </c>
      <c r="C2491" t="str">
        <f>T("남창목가 10화")</f>
        <v>남창목가 10화</v>
      </c>
      <c r="D2491" t="str">
        <f>T("10")</f>
        <v>10</v>
      </c>
      <c r="E2491" t="str">
        <f>T("최재봉")</f>
        <v>최재봉</v>
      </c>
      <c r="H2491" t="str">
        <f>T("에필로그")</f>
        <v>에필로그</v>
      </c>
      <c r="I2491" t="str">
        <f>T("남창목가")</f>
        <v>남창목가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s="2">
        <v>0</v>
      </c>
      <c r="AT2491" t="str">
        <f>T("9791164482849")</f>
        <v>9791164482849</v>
      </c>
      <c r="AV2491" t="str">
        <f>T("판타지 웹소설 &gt; 무협 소설")</f>
        <v>판타지 웹소설 &gt; 무협 소설</v>
      </c>
    </row>
    <row r="2492" spans="1:48" x14ac:dyDescent="0.4">
      <c r="A2492">
        <v>1525001317</v>
      </c>
      <c r="B2492">
        <v>1525001321</v>
      </c>
      <c r="C2492" t="str">
        <f>T("[e북]완전판 | 스트라이커 5권")</f>
        <v>[e북]완전판 | 스트라이커 5권</v>
      </c>
      <c r="D2492" t="str">
        <f>T("5")</f>
        <v>5</v>
      </c>
      <c r="E2492" t="str">
        <f>T("독고진")</f>
        <v>독고진</v>
      </c>
      <c r="H2492" t="str">
        <f>T("스토리위즈")</f>
        <v>스토리위즈</v>
      </c>
      <c r="I2492" t="str">
        <f>T("[e북]완전판 | 스트라이커")</f>
        <v>[e북]완전판 | 스트라이커</v>
      </c>
      <c r="J2492">
        <v>3200</v>
      </c>
      <c r="K2492">
        <v>0</v>
      </c>
      <c r="L2492">
        <v>0</v>
      </c>
      <c r="M2492">
        <v>0</v>
      </c>
      <c r="N2492">
        <v>8100</v>
      </c>
      <c r="O2492">
        <v>9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8100</v>
      </c>
      <c r="AH2492">
        <v>9</v>
      </c>
      <c r="AI2492">
        <v>0</v>
      </c>
      <c r="AJ2492">
        <v>0</v>
      </c>
      <c r="AK2492">
        <v>8100</v>
      </c>
      <c r="AL2492">
        <v>0</v>
      </c>
      <c r="AM2492">
        <v>0</v>
      </c>
      <c r="AN2492">
        <v>0</v>
      </c>
      <c r="AO2492">
        <v>0</v>
      </c>
      <c r="AP2492" s="2">
        <v>5670</v>
      </c>
      <c r="AR2492" t="str">
        <f>T("9791159282874")</f>
        <v>9791159282874</v>
      </c>
      <c r="AT2492" t="str">
        <f>T("9791159282874")</f>
        <v>9791159282874</v>
      </c>
      <c r="AV2492" t="str">
        <f>T("판타지 e북 &gt; 스포츠물")</f>
        <v>판타지 e북 &gt; 스포츠물</v>
      </c>
    </row>
    <row r="2493" spans="1:48" x14ac:dyDescent="0.4">
      <c r="A2493">
        <v>1525007923</v>
      </c>
      <c r="B2493">
        <v>1525007934</v>
      </c>
      <c r="C2493" t="str">
        <f>T("운상연담: 화불능귀일락 2화")</f>
        <v>운상연담: 화불능귀일락 2화</v>
      </c>
      <c r="D2493" t="str">
        <f>T("2")</f>
        <v>2</v>
      </c>
      <c r="E2493" t="str">
        <f>T("피모")</f>
        <v>피모</v>
      </c>
      <c r="H2493" t="str">
        <f>T("쉬라즈")</f>
        <v>쉬라즈</v>
      </c>
      <c r="I2493" t="str">
        <f>T("운상연담: 화불능귀일락")</f>
        <v>운상연담: 화불능귀일락</v>
      </c>
      <c r="J2493">
        <v>0</v>
      </c>
      <c r="K2493">
        <v>0</v>
      </c>
      <c r="L2493">
        <v>0</v>
      </c>
      <c r="M2493">
        <v>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2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 s="2">
        <v>0</v>
      </c>
      <c r="AT2493" t="str">
        <f>T("9791164896646")</f>
        <v>9791164896646</v>
      </c>
      <c r="AV2493" t="str">
        <f>T("로맨스 웹소설 &gt; 역사/시대물")</f>
        <v>로맨스 웹소설 &gt; 역사/시대물</v>
      </c>
    </row>
    <row r="2494" spans="1:48" x14ac:dyDescent="0.4">
      <c r="A2494">
        <v>1525002864</v>
      </c>
      <c r="B2494">
        <v>1525002872</v>
      </c>
      <c r="C2494" t="str">
        <f>T("소드마스터의 환생 9화")</f>
        <v>소드마스터의 환생 9화</v>
      </c>
      <c r="D2494" t="str">
        <f>T("9")</f>
        <v>9</v>
      </c>
      <c r="E2494" t="str">
        <f>T("파란영")</f>
        <v>파란영</v>
      </c>
      <c r="H2494" t="str">
        <f>T("스토리위즈")</f>
        <v>스토리위즈</v>
      </c>
      <c r="I2494" t="str">
        <f>T("소드마스터의 환생")</f>
        <v>소드마스터의 환생</v>
      </c>
      <c r="J2494">
        <v>0</v>
      </c>
      <c r="K2494">
        <v>0</v>
      </c>
      <c r="L2494">
        <v>0</v>
      </c>
      <c r="M2494">
        <v>3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3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 s="2">
        <v>0</v>
      </c>
      <c r="AT2494" t="str">
        <f>T("9791159287527")</f>
        <v>9791159287527</v>
      </c>
      <c r="AV2494" t="str">
        <f>T("판타지 웹소설 &gt; 정통 판타지")</f>
        <v>판타지 웹소설 &gt; 정통 판타지</v>
      </c>
    </row>
    <row r="2495" spans="1:48" x14ac:dyDescent="0.4">
      <c r="A2495">
        <v>1525000158</v>
      </c>
      <c r="B2495">
        <v>1525000165</v>
      </c>
      <c r="C2495" t="str">
        <f>T("[e북]아나크레온 8권")</f>
        <v>[e북]아나크레온 8권</v>
      </c>
      <c r="D2495" t="str">
        <f>T("8")</f>
        <v>8</v>
      </c>
      <c r="E2495" t="str">
        <f>T("김정률")</f>
        <v>김정률</v>
      </c>
      <c r="H2495" t="str">
        <f>T("스토리위즈")</f>
        <v>스토리위즈</v>
      </c>
      <c r="I2495" t="str">
        <f>T("[e북]아나크레온")</f>
        <v>[e북]아나크레온</v>
      </c>
      <c r="J2495">
        <v>3200</v>
      </c>
      <c r="K2495">
        <v>0</v>
      </c>
      <c r="L2495">
        <v>0</v>
      </c>
      <c r="M2495">
        <v>0</v>
      </c>
      <c r="N2495">
        <v>1800</v>
      </c>
      <c r="O2495">
        <v>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1800</v>
      </c>
      <c r="AH2495">
        <v>2</v>
      </c>
      <c r="AI2495">
        <v>0</v>
      </c>
      <c r="AJ2495">
        <v>0</v>
      </c>
      <c r="AK2495">
        <v>1800</v>
      </c>
      <c r="AL2495">
        <v>0</v>
      </c>
      <c r="AM2495">
        <v>0</v>
      </c>
      <c r="AN2495">
        <v>0</v>
      </c>
      <c r="AO2495">
        <v>0</v>
      </c>
      <c r="AP2495" s="2">
        <v>1260</v>
      </c>
      <c r="AV2495" t="str">
        <f>T("판타지 e북 &gt; 퓨전 판타지")</f>
        <v>판타지 e북 &gt; 퓨전 판타지</v>
      </c>
    </row>
    <row r="2496" spans="1:48" x14ac:dyDescent="0.4">
      <c r="A2496">
        <v>1525000125</v>
      </c>
      <c r="B2496">
        <v>1525000125</v>
      </c>
      <c r="C2496" t="str">
        <f>T("[e북]블레이드 헌터 1권")</f>
        <v>[e북]블레이드 헌터 1권</v>
      </c>
      <c r="D2496" t="str">
        <f>T("1")</f>
        <v>1</v>
      </c>
      <c r="E2496" t="str">
        <f>T("김정률")</f>
        <v>김정률</v>
      </c>
      <c r="H2496" t="str">
        <f>T("스토리위즈")</f>
        <v>스토리위즈</v>
      </c>
      <c r="I2496" t="str">
        <f>T("[e북]블레이드 헌터")</f>
        <v>[e북]블레이드 헌터</v>
      </c>
      <c r="J2496">
        <v>0</v>
      </c>
      <c r="K2496">
        <v>0</v>
      </c>
      <c r="L2496">
        <v>0</v>
      </c>
      <c r="M2496">
        <v>6</v>
      </c>
      <c r="N2496">
        <v>0</v>
      </c>
      <c r="O2496">
        <v>0</v>
      </c>
      <c r="P2496">
        <v>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13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 s="2">
        <v>0</v>
      </c>
      <c r="AV2496" t="str">
        <f>T("판타지 e북 &gt; 정통 판타지")</f>
        <v>판타지 e북 &gt; 정통 판타지</v>
      </c>
    </row>
    <row r="2497" spans="1:48" x14ac:dyDescent="0.4">
      <c r="A2497">
        <v>1525012202</v>
      </c>
      <c r="B2497">
        <v>1525012199</v>
      </c>
      <c r="C2497" t="str">
        <f>T("이세계 최강 군바리 4화")</f>
        <v>이세계 최강 군바리 4화</v>
      </c>
      <c r="D2497" t="str">
        <f>T("4")</f>
        <v>4</v>
      </c>
      <c r="E2497" t="str">
        <f>T("협행마")</f>
        <v>협행마</v>
      </c>
      <c r="H2497" t="str">
        <f>T("에필로그")</f>
        <v>에필로그</v>
      </c>
      <c r="I2497" t="str">
        <f>T("이세계 최강 군바리")</f>
        <v>이세계 최강 군바리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 s="2">
        <v>0</v>
      </c>
      <c r="AT2497" t="str">
        <f>T("9791164480159")</f>
        <v>9791164480159</v>
      </c>
      <c r="AV2497" t="str">
        <f>T("판타지 웹소설 &gt; 퓨전 판타지")</f>
        <v>판타지 웹소설 &gt; 퓨전 판타지</v>
      </c>
    </row>
    <row r="2498" spans="1:48" x14ac:dyDescent="0.4">
      <c r="A2498">
        <v>1525001317</v>
      </c>
      <c r="B2498">
        <v>1525001329</v>
      </c>
      <c r="C2498" t="str">
        <f>T("[e북]완전판 | 스트라이커 13권")</f>
        <v>[e북]완전판 | 스트라이커 13권</v>
      </c>
      <c r="D2498" t="str">
        <f>T("13")</f>
        <v>13</v>
      </c>
      <c r="E2498" t="str">
        <f>T("독고진")</f>
        <v>독고진</v>
      </c>
      <c r="H2498" t="str">
        <f>T("스토리위즈")</f>
        <v>스토리위즈</v>
      </c>
      <c r="I2498" t="str">
        <f>T("[e북]완전판 | 스트라이커")</f>
        <v>[e북]완전판 | 스트라이커</v>
      </c>
      <c r="J2498">
        <v>3200</v>
      </c>
      <c r="K2498">
        <v>0</v>
      </c>
      <c r="L2498">
        <v>0</v>
      </c>
      <c r="M2498">
        <v>0</v>
      </c>
      <c r="N2498">
        <v>2700</v>
      </c>
      <c r="O2498">
        <v>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2700</v>
      </c>
      <c r="AH2498">
        <v>3</v>
      </c>
      <c r="AI2498">
        <v>0</v>
      </c>
      <c r="AJ2498">
        <v>0</v>
      </c>
      <c r="AK2498">
        <v>2700</v>
      </c>
      <c r="AL2498">
        <v>0</v>
      </c>
      <c r="AM2498">
        <v>0</v>
      </c>
      <c r="AN2498">
        <v>0</v>
      </c>
      <c r="AO2498">
        <v>0</v>
      </c>
      <c r="AP2498" s="2">
        <v>1890</v>
      </c>
      <c r="AR2498" t="str">
        <f>T("9791159282959")</f>
        <v>9791159282959</v>
      </c>
      <c r="AT2498" t="str">
        <f>T("9791159282959")</f>
        <v>9791159282959</v>
      </c>
      <c r="AV2498" t="str">
        <f>T("판타지 e북 &gt; 스포츠물")</f>
        <v>판타지 e북 &gt; 스포츠물</v>
      </c>
    </row>
    <row r="2499" spans="1:48" x14ac:dyDescent="0.4">
      <c r="A2499">
        <v>1525004989</v>
      </c>
      <c r="B2499">
        <v>1525005512</v>
      </c>
      <c r="C2499" t="str">
        <f>T("신룡전설 23화")</f>
        <v>신룡전설 23화</v>
      </c>
      <c r="D2499" t="str">
        <f>T("23")</f>
        <v>23</v>
      </c>
      <c r="E2499" t="str">
        <f>T("가람검")</f>
        <v>가람검</v>
      </c>
      <c r="H2499" t="str">
        <f>T("스토리위즈")</f>
        <v>스토리위즈</v>
      </c>
      <c r="I2499" t="str">
        <f>T("신룡전설")</f>
        <v>신룡전설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s="2">
        <v>0</v>
      </c>
      <c r="AT2499" t="str">
        <f>T("9791159283505")</f>
        <v>9791159283505</v>
      </c>
      <c r="AV2499" t="str">
        <f>T("판타지 웹소설 &gt; 무협 소설")</f>
        <v>판타지 웹소설 &gt; 무협 소설</v>
      </c>
    </row>
    <row r="2500" spans="1:48" x14ac:dyDescent="0.4">
      <c r="A2500">
        <v>1525010865</v>
      </c>
      <c r="B2500">
        <v>1525010865</v>
      </c>
      <c r="C2500" t="str">
        <f>T("[e북]잠룡진천 1권")</f>
        <v>[e북]잠룡진천 1권</v>
      </c>
      <c r="D2500" t="str">
        <f>T("1")</f>
        <v>1</v>
      </c>
      <c r="E2500" t="str">
        <f>T("협행마")</f>
        <v>협행마</v>
      </c>
      <c r="H2500" t="str">
        <f>T("에필로그")</f>
        <v>에필로그</v>
      </c>
      <c r="I2500" t="str">
        <f>T("[e북]잠룡진천")</f>
        <v>[e북]잠룡진천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 s="2">
        <v>0</v>
      </c>
      <c r="AT2500" t="str">
        <f>T("9791166000164")</f>
        <v>9791166000164</v>
      </c>
      <c r="AV2500" t="str">
        <f>T("판타지 e북 &gt; 게임 판타지")</f>
        <v>판타지 e북 &gt; 게임 판타지</v>
      </c>
    </row>
    <row r="2501" spans="1:48" x14ac:dyDescent="0.4">
      <c r="A2501">
        <v>1525001877</v>
      </c>
      <c r="B2501">
        <v>1525001879</v>
      </c>
      <c r="C2501" t="str">
        <f>T("[e북]완전판 | 게이트 헌터 3권")</f>
        <v>[e북]완전판 | 게이트 헌터 3권</v>
      </c>
      <c r="D2501" t="str">
        <f>T("3")</f>
        <v>3</v>
      </c>
      <c r="E2501" t="str">
        <f>T("권용찬")</f>
        <v>권용찬</v>
      </c>
      <c r="H2501" t="str">
        <f t="shared" ref="H2501:H2511" si="226">T("스토리위즈")</f>
        <v>스토리위즈</v>
      </c>
      <c r="I2501" t="str">
        <f>T("[e북]완전판 | 게이트 헌터")</f>
        <v>[e북]완전판 | 게이트 헌터</v>
      </c>
      <c r="J2501">
        <v>3200</v>
      </c>
      <c r="K2501">
        <v>0</v>
      </c>
      <c r="L2501">
        <v>0</v>
      </c>
      <c r="M2501">
        <v>0</v>
      </c>
      <c r="N2501">
        <v>900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900</v>
      </c>
      <c r="AH2501">
        <v>1</v>
      </c>
      <c r="AI2501">
        <v>0</v>
      </c>
      <c r="AJ2501">
        <v>0</v>
      </c>
      <c r="AK2501">
        <v>900</v>
      </c>
      <c r="AL2501">
        <v>0</v>
      </c>
      <c r="AM2501">
        <v>0</v>
      </c>
      <c r="AN2501">
        <v>0</v>
      </c>
      <c r="AO2501">
        <v>0</v>
      </c>
      <c r="AP2501" s="2">
        <v>630</v>
      </c>
      <c r="AT2501" t="str">
        <f>T("9791159285325")</f>
        <v>9791159285325</v>
      </c>
      <c r="AV2501" t="str">
        <f>T("판타지 e북 &gt; 현대 판타지")</f>
        <v>판타지 e북 &gt; 현대 판타지</v>
      </c>
    </row>
    <row r="2502" spans="1:48" x14ac:dyDescent="0.4">
      <c r="A2502">
        <v>1525004979</v>
      </c>
      <c r="B2502">
        <v>1525004979</v>
      </c>
      <c r="C2502" t="str">
        <f>T("[e북]포르트무스 1권")</f>
        <v>[e북]포르트무스 1권</v>
      </c>
      <c r="D2502" t="str">
        <f>T("1")</f>
        <v>1</v>
      </c>
      <c r="E2502" t="str">
        <f>T("김광수")</f>
        <v>김광수</v>
      </c>
      <c r="H2502" t="str">
        <f t="shared" si="226"/>
        <v>스토리위즈</v>
      </c>
      <c r="I2502" t="str">
        <f>T("[e북]포르트무스")</f>
        <v>[e북]포르트무스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 s="2">
        <v>0</v>
      </c>
      <c r="AR2502" t="str">
        <f>T("0000000000000")</f>
        <v>0000000000000</v>
      </c>
      <c r="AT2502" t="str">
        <f>T("9791166060533")</f>
        <v>9791166060533</v>
      </c>
      <c r="AV2502" t="str">
        <f>T("판타지 e북 &gt; 퓨전 판타지")</f>
        <v>판타지 e북 &gt; 퓨전 판타지</v>
      </c>
    </row>
    <row r="2503" spans="1:48" x14ac:dyDescent="0.4">
      <c r="A2503">
        <v>1525002409</v>
      </c>
      <c r="B2503">
        <v>1525002423</v>
      </c>
      <c r="C2503" t="str">
        <f>T("스포트라이트 15화")</f>
        <v>스포트라이트 15화</v>
      </c>
      <c r="D2503" t="str">
        <f>T("15")</f>
        <v>15</v>
      </c>
      <c r="E2503" t="str">
        <f>T("전혁")</f>
        <v>전혁</v>
      </c>
      <c r="H2503" t="str">
        <f t="shared" si="226"/>
        <v>스토리위즈</v>
      </c>
      <c r="I2503" t="str">
        <f>T("스포트라이트")</f>
        <v>스포트라이트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s="2">
        <v>0</v>
      </c>
      <c r="AT2503" t="str">
        <f>T("9791159286841")</f>
        <v>9791159286841</v>
      </c>
      <c r="AV2503" t="str">
        <f>T("판타지 웹소설 &gt; 현대 판타지")</f>
        <v>판타지 웹소설 &gt; 현대 판타지</v>
      </c>
    </row>
    <row r="2504" spans="1:48" x14ac:dyDescent="0.4">
      <c r="A2504">
        <v>1525001499</v>
      </c>
      <c r="B2504">
        <v>1525001501</v>
      </c>
      <c r="C2504" t="str">
        <f>T("[e북]파계 3권")</f>
        <v>[e북]파계 3권</v>
      </c>
      <c r="D2504" t="str">
        <f>T("3")</f>
        <v>3</v>
      </c>
      <c r="E2504" t="str">
        <f>T("권용찬")</f>
        <v>권용찬</v>
      </c>
      <c r="H2504" t="str">
        <f t="shared" si="226"/>
        <v>스토리위즈</v>
      </c>
      <c r="I2504" t="str">
        <f>T("[e북]파계")</f>
        <v>[e북]파계</v>
      </c>
      <c r="J2504">
        <v>3200</v>
      </c>
      <c r="K2504">
        <v>0</v>
      </c>
      <c r="L2504">
        <v>0</v>
      </c>
      <c r="M2504">
        <v>0</v>
      </c>
      <c r="N2504">
        <v>900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900</v>
      </c>
      <c r="AH2504">
        <v>1</v>
      </c>
      <c r="AI2504">
        <v>0</v>
      </c>
      <c r="AJ2504">
        <v>0</v>
      </c>
      <c r="AK2504">
        <v>900</v>
      </c>
      <c r="AL2504">
        <v>0</v>
      </c>
      <c r="AM2504">
        <v>0</v>
      </c>
      <c r="AN2504">
        <v>0</v>
      </c>
      <c r="AO2504">
        <v>0</v>
      </c>
      <c r="AP2504" s="2">
        <v>630</v>
      </c>
      <c r="AT2504" t="str">
        <f>T("9791159282751")</f>
        <v>9791159282751</v>
      </c>
      <c r="AV2504" t="str">
        <f>T("판타지 e북 &gt; 신무협")</f>
        <v>판타지 e북 &gt; 신무협</v>
      </c>
    </row>
    <row r="2505" spans="1:48" x14ac:dyDescent="0.4">
      <c r="A2505">
        <v>1525005640</v>
      </c>
      <c r="B2505">
        <v>1525005640</v>
      </c>
      <c r="C2505" t="str">
        <f>T("[e북]회귀의 전설 1부 1권")</f>
        <v>[e북]회귀의 전설 1부 1권</v>
      </c>
      <c r="D2505" t="str">
        <f>T("1")</f>
        <v>1</v>
      </c>
      <c r="E2505" t="str">
        <f>T("김광수")</f>
        <v>김광수</v>
      </c>
      <c r="H2505" t="str">
        <f t="shared" si="226"/>
        <v>스토리위즈</v>
      </c>
      <c r="I2505" t="str">
        <f>T("[e북]회귀의 전설")</f>
        <v>[e북]회귀의 전설</v>
      </c>
      <c r="J2505">
        <v>0</v>
      </c>
      <c r="K2505">
        <v>0</v>
      </c>
      <c r="L2505">
        <v>0</v>
      </c>
      <c r="M2505">
        <v>13</v>
      </c>
      <c r="N2505">
        <v>0</v>
      </c>
      <c r="O2505">
        <v>0</v>
      </c>
      <c r="P2505">
        <v>2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5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20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 s="2">
        <v>0</v>
      </c>
      <c r="AT2505" t="str">
        <f>T("9791190937764")</f>
        <v>9791190937764</v>
      </c>
      <c r="AV2505" t="str">
        <f>T("판타지 e북 &gt; 현대 판타지")</f>
        <v>판타지 e북 &gt; 현대 판타지</v>
      </c>
    </row>
    <row r="2506" spans="1:48" x14ac:dyDescent="0.4">
      <c r="A2506">
        <v>1525000055</v>
      </c>
      <c r="B2506">
        <v>1525000060</v>
      </c>
      <c r="C2506" t="str">
        <f>T("[e북]21세기 대마법사 5권")</f>
        <v>[e북]21세기 대마법사 5권</v>
      </c>
      <c r="D2506" t="str">
        <f>T("5")</f>
        <v>5</v>
      </c>
      <c r="E2506" t="str">
        <f>T("김광수")</f>
        <v>김광수</v>
      </c>
      <c r="H2506" t="str">
        <f t="shared" si="226"/>
        <v>스토리위즈</v>
      </c>
      <c r="I2506" t="str">
        <f>T("[e북]21세기 대마법사")</f>
        <v>[e북]21세기 대마법사</v>
      </c>
      <c r="J2506">
        <v>3200</v>
      </c>
      <c r="K2506">
        <v>0</v>
      </c>
      <c r="L2506">
        <v>0</v>
      </c>
      <c r="M2506">
        <v>0</v>
      </c>
      <c r="N2506">
        <v>9900</v>
      </c>
      <c r="O2506">
        <v>11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9900</v>
      </c>
      <c r="AH2506">
        <v>11</v>
      </c>
      <c r="AI2506">
        <v>0</v>
      </c>
      <c r="AJ2506">
        <v>0</v>
      </c>
      <c r="AK2506">
        <v>9000</v>
      </c>
      <c r="AL2506">
        <v>0</v>
      </c>
      <c r="AM2506">
        <v>900</v>
      </c>
      <c r="AN2506">
        <v>0</v>
      </c>
      <c r="AO2506">
        <v>0</v>
      </c>
      <c r="AP2506" s="2">
        <v>6930</v>
      </c>
      <c r="AT2506" t="str">
        <f>T("9788925117447")</f>
        <v>9788925117447</v>
      </c>
      <c r="AV2506" t="str">
        <f>T("판타지 e북 &gt; 퓨전 판타지")</f>
        <v>판타지 e북 &gt; 퓨전 판타지</v>
      </c>
    </row>
    <row r="2507" spans="1:48" x14ac:dyDescent="0.4">
      <c r="A2507">
        <v>1525000924</v>
      </c>
      <c r="B2507">
        <v>1525000927</v>
      </c>
      <c r="C2507" t="str">
        <f>T("스피릿 소드 4화")</f>
        <v>스피릿 소드 4화</v>
      </c>
      <c r="D2507" t="str">
        <f>T("4")</f>
        <v>4</v>
      </c>
      <c r="E2507" t="str">
        <f>T("김정률")</f>
        <v>김정률</v>
      </c>
      <c r="H2507" t="str">
        <f t="shared" si="226"/>
        <v>스토리위즈</v>
      </c>
      <c r="I2507" t="str">
        <f>T("스피릿 소드")</f>
        <v>스피릿 소드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 s="2">
        <v>0</v>
      </c>
      <c r="AR2507" t="str">
        <f>T("9791159282713")</f>
        <v>9791159282713</v>
      </c>
      <c r="AT2507" t="str">
        <f>T("9791159282713")</f>
        <v>9791159282713</v>
      </c>
      <c r="AV2507" t="str">
        <f>T("판타지 웹소설 &gt; 정통 판타지")</f>
        <v>판타지 웹소설 &gt; 정통 판타지</v>
      </c>
    </row>
    <row r="2508" spans="1:48" x14ac:dyDescent="0.4">
      <c r="A2508">
        <v>1525004030</v>
      </c>
      <c r="B2508">
        <v>1525004040</v>
      </c>
      <c r="C2508" t="str">
        <f>T("회귀의 전설 11화")</f>
        <v>회귀의 전설 11화</v>
      </c>
      <c r="D2508" t="str">
        <f>T("11")</f>
        <v>11</v>
      </c>
      <c r="E2508" t="str">
        <f>T("김광수")</f>
        <v>김광수</v>
      </c>
      <c r="H2508" t="str">
        <f t="shared" si="226"/>
        <v>스토리위즈</v>
      </c>
      <c r="I2508" t="str">
        <f>T("회귀의 전설")</f>
        <v>회귀의 전설</v>
      </c>
      <c r="J2508">
        <v>0</v>
      </c>
      <c r="K2508">
        <v>0</v>
      </c>
      <c r="L2508">
        <v>0</v>
      </c>
      <c r="M2508">
        <v>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3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 s="2">
        <v>0</v>
      </c>
      <c r="AT2508" t="str">
        <f>T("9788997946006")</f>
        <v>9788997946006</v>
      </c>
      <c r="AV2508" t="str">
        <f>T("판타지 웹소설 &gt; 현대 판타지")</f>
        <v>판타지 웹소설 &gt; 현대 판타지</v>
      </c>
    </row>
    <row r="2509" spans="1:48" x14ac:dyDescent="0.4">
      <c r="A2509">
        <v>1525002125</v>
      </c>
      <c r="B2509">
        <v>1525002141</v>
      </c>
      <c r="C2509" t="str">
        <f>T("신을 죽이러 갑니다 17화")</f>
        <v>신을 죽이러 갑니다 17화</v>
      </c>
      <c r="D2509" t="str">
        <f>T("17")</f>
        <v>17</v>
      </c>
      <c r="E2509" t="str">
        <f>T("독고진")</f>
        <v>독고진</v>
      </c>
      <c r="H2509" t="str">
        <f t="shared" si="226"/>
        <v>스토리위즈</v>
      </c>
      <c r="I2509" t="str">
        <f>T("신을 죽이러 갑니다")</f>
        <v>신을 죽이러 갑니다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 s="2">
        <v>0</v>
      </c>
      <c r="AT2509" t="str">
        <f>T("9791159285806")</f>
        <v>9791159285806</v>
      </c>
      <c r="AV2509" t="str">
        <f>T("판타지 웹소설 &gt; 퓨전 판타지")</f>
        <v>판타지 웹소설 &gt; 퓨전 판타지</v>
      </c>
    </row>
    <row r="2510" spans="1:48" x14ac:dyDescent="0.4">
      <c r="A2510">
        <v>1525000569</v>
      </c>
      <c r="B2510">
        <v>1525000586</v>
      </c>
      <c r="C2510" t="str">
        <f>T("스트라이커 18화")</f>
        <v>스트라이커 18화</v>
      </c>
      <c r="D2510" t="str">
        <f>T("18")</f>
        <v>18</v>
      </c>
      <c r="E2510" t="str">
        <f>T("독고진")</f>
        <v>독고진</v>
      </c>
      <c r="H2510" t="str">
        <f t="shared" si="226"/>
        <v>스토리위즈</v>
      </c>
      <c r="I2510" t="str">
        <f>T("스트라이커")</f>
        <v>스트라이커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 s="2">
        <v>0</v>
      </c>
      <c r="AT2510" t="str">
        <f>T("9791170151678")</f>
        <v>9791170151678</v>
      </c>
      <c r="AV2510" t="str">
        <f>T("판타지 웹소설 &gt; 현대 판타지")</f>
        <v>판타지 웹소설 &gt; 현대 판타지</v>
      </c>
    </row>
    <row r="2511" spans="1:48" x14ac:dyDescent="0.4">
      <c r="A2511">
        <v>1525001836</v>
      </c>
      <c r="B2511">
        <v>1525001838</v>
      </c>
      <c r="C2511" t="str">
        <f>T("[e북]완전판ㅣ스피릿 소드 3권")</f>
        <v>[e북]완전판ㅣ스피릿 소드 3권</v>
      </c>
      <c r="D2511" t="str">
        <f>T("3")</f>
        <v>3</v>
      </c>
      <c r="E2511" t="str">
        <f>T("김정률")</f>
        <v>김정률</v>
      </c>
      <c r="H2511" t="str">
        <f t="shared" si="226"/>
        <v>스토리위즈</v>
      </c>
      <c r="I2511" t="str">
        <f>T("[e북]완전판ㅣ스피릿 소드")</f>
        <v>[e북]완전판ㅣ스피릿 소드</v>
      </c>
      <c r="J2511">
        <v>3200</v>
      </c>
      <c r="K2511">
        <v>0</v>
      </c>
      <c r="L2511">
        <v>0</v>
      </c>
      <c r="M2511">
        <v>0</v>
      </c>
      <c r="N2511">
        <v>6300</v>
      </c>
      <c r="O2511">
        <v>7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6300</v>
      </c>
      <c r="AH2511">
        <v>7</v>
      </c>
      <c r="AI2511">
        <v>0</v>
      </c>
      <c r="AJ2511">
        <v>0</v>
      </c>
      <c r="AK2511">
        <v>4500</v>
      </c>
      <c r="AL2511">
        <v>0</v>
      </c>
      <c r="AM2511">
        <v>1800</v>
      </c>
      <c r="AN2511">
        <v>0</v>
      </c>
      <c r="AO2511">
        <v>0</v>
      </c>
      <c r="AP2511" s="2">
        <v>4410</v>
      </c>
      <c r="AT2511" t="str">
        <f>T("9791159285240")</f>
        <v>9791159285240</v>
      </c>
      <c r="AV2511" t="str">
        <f>T("판타지 e북 &gt; 정통 판타지")</f>
        <v>판타지 e북 &gt; 정통 판타지</v>
      </c>
    </row>
    <row r="2512" spans="1:48" x14ac:dyDescent="0.4">
      <c r="A2512">
        <v>1525013418</v>
      </c>
      <c r="B2512">
        <v>1525013422</v>
      </c>
      <c r="C2512" t="str">
        <f>T("[e북]헌터 킹 5권")</f>
        <v>[e북]헌터 킹 5권</v>
      </c>
      <c r="D2512" t="str">
        <f>T("5")</f>
        <v>5</v>
      </c>
      <c r="E2512" t="str">
        <f>T("백범(白帆)")</f>
        <v>백범(白帆)</v>
      </c>
      <c r="H2512" t="str">
        <f>T("에필로그")</f>
        <v>에필로그</v>
      </c>
      <c r="I2512" t="str">
        <f>T("[e북]헌터 킹")</f>
        <v>[e북]헌터 킹</v>
      </c>
      <c r="J2512">
        <v>2000</v>
      </c>
      <c r="K2512">
        <v>0</v>
      </c>
      <c r="L2512">
        <v>0</v>
      </c>
      <c r="M2512">
        <v>0</v>
      </c>
      <c r="N2512">
        <v>900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900</v>
      </c>
      <c r="AH2512">
        <v>1</v>
      </c>
      <c r="AI2512">
        <v>0</v>
      </c>
      <c r="AJ2512">
        <v>0</v>
      </c>
      <c r="AK2512">
        <v>0</v>
      </c>
      <c r="AL2512">
        <v>0</v>
      </c>
      <c r="AM2512">
        <v>900</v>
      </c>
      <c r="AN2512">
        <v>0</v>
      </c>
      <c r="AO2512">
        <v>0</v>
      </c>
      <c r="AP2512" s="2">
        <v>630</v>
      </c>
      <c r="AR2512" t="str">
        <f>T("0000000000000")</f>
        <v>0000000000000</v>
      </c>
      <c r="AT2512" t="str">
        <f>T("9791164480203")</f>
        <v>9791164480203</v>
      </c>
      <c r="AV2512" t="str">
        <f>T("판타지 e북 &gt; 퓨전 판타지")</f>
        <v>판타지 e북 &gt; 퓨전 판타지</v>
      </c>
    </row>
    <row r="2513" spans="1:48" x14ac:dyDescent="0.4">
      <c r="A2513">
        <v>1525000209</v>
      </c>
      <c r="B2513">
        <v>1525000215</v>
      </c>
      <c r="C2513" t="str">
        <f>T("[e북]독종무쌍 7권")</f>
        <v>[e북]독종무쌍 7권</v>
      </c>
      <c r="D2513" t="str">
        <f>T("7")</f>
        <v>7</v>
      </c>
      <c r="E2513" t="str">
        <f>T("전혁")</f>
        <v>전혁</v>
      </c>
      <c r="H2513" t="str">
        <f>T("스토리위즈")</f>
        <v>스토리위즈</v>
      </c>
      <c r="I2513" t="str">
        <f>T("[e북]독종무쌍")</f>
        <v>[e북]독종무쌍</v>
      </c>
      <c r="J2513">
        <v>3200</v>
      </c>
      <c r="K2513">
        <v>0</v>
      </c>
      <c r="L2513">
        <v>0</v>
      </c>
      <c r="M2513">
        <v>0</v>
      </c>
      <c r="N2513">
        <v>1800</v>
      </c>
      <c r="O2513">
        <v>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1800</v>
      </c>
      <c r="AH2513">
        <v>2</v>
      </c>
      <c r="AI2513">
        <v>0</v>
      </c>
      <c r="AJ2513">
        <v>0</v>
      </c>
      <c r="AK2513">
        <v>900</v>
      </c>
      <c r="AL2513">
        <v>0</v>
      </c>
      <c r="AM2513">
        <v>900</v>
      </c>
      <c r="AN2513">
        <v>0</v>
      </c>
      <c r="AO2513">
        <v>0</v>
      </c>
      <c r="AP2513" s="2">
        <v>1260</v>
      </c>
      <c r="AT2513" t="str">
        <f>T("9791195310098")</f>
        <v>9791195310098</v>
      </c>
      <c r="AV2513" t="str">
        <f>T("판타지 e북 &gt; 신무협")</f>
        <v>판타지 e북 &gt; 신무협</v>
      </c>
    </row>
    <row r="2514" spans="1:48" x14ac:dyDescent="0.4">
      <c r="A2514">
        <v>1525002409</v>
      </c>
      <c r="B2514">
        <v>1525002416</v>
      </c>
      <c r="C2514" t="str">
        <f>T("스포트라이트 8화")</f>
        <v>스포트라이트 8화</v>
      </c>
      <c r="D2514" t="str">
        <f>T("8")</f>
        <v>8</v>
      </c>
      <c r="E2514" t="str">
        <f>T("전혁")</f>
        <v>전혁</v>
      </c>
      <c r="H2514" t="str">
        <f>T("스토리위즈")</f>
        <v>스토리위즈</v>
      </c>
      <c r="I2514" t="str">
        <f>T("스포트라이트")</f>
        <v>스포트라이트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 s="2">
        <v>0</v>
      </c>
      <c r="AT2514" t="str">
        <f>T("9791159286841")</f>
        <v>9791159286841</v>
      </c>
      <c r="AV2514" t="str">
        <f>T("판타지 웹소설 &gt; 현대 판타지")</f>
        <v>판타지 웹소설 &gt; 현대 판타지</v>
      </c>
    </row>
    <row r="2515" spans="1:48" x14ac:dyDescent="0.4">
      <c r="A2515">
        <v>1525008229</v>
      </c>
      <c r="B2515">
        <v>1525008240</v>
      </c>
      <c r="C2515" t="str">
        <f>T("뉴욕 키스 스캔들 2화")</f>
        <v>뉴욕 키스 스캔들 2화</v>
      </c>
      <c r="D2515" t="str">
        <f>T("2")</f>
        <v>2</v>
      </c>
      <c r="E2515" t="str">
        <f>T("용가리맛쿠키")</f>
        <v>용가리맛쿠키</v>
      </c>
      <c r="H2515" t="str">
        <f>T("블러쉬")</f>
        <v>블러쉬</v>
      </c>
      <c r="I2515" t="str">
        <f>T("뉴욕 키스 스캔들")</f>
        <v>뉴욕 키스 스캔들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 s="2">
        <v>0</v>
      </c>
      <c r="AR2515" t="str">
        <f>T("0000000000000")</f>
        <v>0000000000000</v>
      </c>
      <c r="AT2515" t="str">
        <f>T("9791164896677")</f>
        <v>9791164896677</v>
      </c>
      <c r="AU2515" t="str">
        <f>T("B11")</f>
        <v>B11</v>
      </c>
      <c r="AV2515" t="str">
        <f>T("BL 웹소설 &gt; 현대물")</f>
        <v>BL 웹소설 &gt; 현대물</v>
      </c>
    </row>
    <row r="2516" spans="1:48" x14ac:dyDescent="0.4">
      <c r="A2516">
        <v>1525001334</v>
      </c>
      <c r="B2516">
        <v>1525001356</v>
      </c>
      <c r="C2516" t="str">
        <f>T("게이트 헌터 23화")</f>
        <v>게이트 헌터 23화</v>
      </c>
      <c r="D2516" t="str">
        <f>T("23")</f>
        <v>23</v>
      </c>
      <c r="E2516" t="str">
        <f>T("권용찬")</f>
        <v>권용찬</v>
      </c>
      <c r="H2516" t="str">
        <f>T("스토리위즈")</f>
        <v>스토리위즈</v>
      </c>
      <c r="I2516" t="str">
        <f>T("게이트 헌터")</f>
        <v>게이트 헌터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 s="2">
        <v>0</v>
      </c>
      <c r="AR2516" t="str">
        <f>T("9791159283291")</f>
        <v>9791159283291</v>
      </c>
      <c r="AT2516" t="str">
        <f>T("9791159283291")</f>
        <v>9791159283291</v>
      </c>
      <c r="AV2516" t="str">
        <f>T("판타지 웹소설 &gt; 현대 판타지")</f>
        <v>판타지 웹소설 &gt; 현대 판타지</v>
      </c>
    </row>
    <row r="2517" spans="1:48" x14ac:dyDescent="0.4">
      <c r="A2517">
        <v>1525010944</v>
      </c>
      <c r="B2517">
        <v>1525010925</v>
      </c>
      <c r="C2517" t="str">
        <f>T("[e북]법보다 주먹 20권")</f>
        <v>[e북]법보다 주먹 20권</v>
      </c>
      <c r="D2517" t="str">
        <f>T("20")</f>
        <v>20</v>
      </c>
      <c r="E2517" t="str">
        <f>T("백범(白帆)")</f>
        <v>백범(白帆)</v>
      </c>
      <c r="H2517" t="str">
        <f>T("에필로그")</f>
        <v>에필로그</v>
      </c>
      <c r="I2517" t="str">
        <f>T("[e북]법보다 주먹")</f>
        <v>[e북]법보다 주먹</v>
      </c>
      <c r="J2517">
        <v>2000</v>
      </c>
      <c r="K2517">
        <v>0</v>
      </c>
      <c r="L2517">
        <v>0</v>
      </c>
      <c r="M2517">
        <v>0</v>
      </c>
      <c r="N2517">
        <v>2700</v>
      </c>
      <c r="O2517">
        <v>3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2700</v>
      </c>
      <c r="AH2517">
        <v>3</v>
      </c>
      <c r="AI2517">
        <v>0</v>
      </c>
      <c r="AJ2517">
        <v>0</v>
      </c>
      <c r="AK2517">
        <v>2700</v>
      </c>
      <c r="AL2517">
        <v>0</v>
      </c>
      <c r="AM2517">
        <v>0</v>
      </c>
      <c r="AN2517">
        <v>0</v>
      </c>
      <c r="AO2517">
        <v>0</v>
      </c>
      <c r="AP2517" s="2">
        <v>1890</v>
      </c>
      <c r="AT2517" t="str">
        <f>T("9791164480142")</f>
        <v>9791164480142</v>
      </c>
      <c r="AV2517" t="str">
        <f>T("판타지 e북 &gt; 현대 판타지")</f>
        <v>판타지 e북 &gt; 현대 판타지</v>
      </c>
    </row>
    <row r="2518" spans="1:48" x14ac:dyDescent="0.4">
      <c r="A2518">
        <v>1525000906</v>
      </c>
      <c r="B2518">
        <v>1525000912</v>
      </c>
      <c r="C2518" t="str">
        <f>T("[e북]완전판 | 레이드 만물상점 7권")</f>
        <v>[e북]완전판 | 레이드 만물상점 7권</v>
      </c>
      <c r="D2518" t="str">
        <f>T("7")</f>
        <v>7</v>
      </c>
      <c r="E2518" t="str">
        <f>T("전혁")</f>
        <v>전혁</v>
      </c>
      <c r="H2518" t="str">
        <f>T("스토리위즈")</f>
        <v>스토리위즈</v>
      </c>
      <c r="I2518" t="str">
        <f>T("[e북]완전판 | 레이드 만물상점")</f>
        <v>[e북]완전판 | 레이드 만물상점</v>
      </c>
      <c r="J2518">
        <v>3200</v>
      </c>
      <c r="K2518">
        <v>0</v>
      </c>
      <c r="L2518">
        <v>0</v>
      </c>
      <c r="M2518">
        <v>0</v>
      </c>
      <c r="N2518">
        <v>4500</v>
      </c>
      <c r="O2518">
        <v>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4500</v>
      </c>
      <c r="AH2518">
        <v>5</v>
      </c>
      <c r="AI2518">
        <v>0</v>
      </c>
      <c r="AJ2518">
        <v>0</v>
      </c>
      <c r="AK2518">
        <v>4500</v>
      </c>
      <c r="AL2518">
        <v>0</v>
      </c>
      <c r="AM2518">
        <v>0</v>
      </c>
      <c r="AN2518">
        <v>0</v>
      </c>
      <c r="AO2518">
        <v>0</v>
      </c>
      <c r="AP2518" s="2">
        <v>3150</v>
      </c>
      <c r="AT2518" t="str">
        <f>T("9791159282676")</f>
        <v>9791159282676</v>
      </c>
      <c r="AV2518" t="str">
        <f>T("판타지 e북 &gt; 현대 판타지")</f>
        <v>판타지 e북 &gt; 현대 판타지</v>
      </c>
    </row>
    <row r="2519" spans="1:48" x14ac:dyDescent="0.4">
      <c r="A2519">
        <v>1525004030</v>
      </c>
      <c r="B2519">
        <v>1525004033</v>
      </c>
      <c r="C2519" t="str">
        <f>T("회귀의 전설 4화")</f>
        <v>회귀의 전설 4화</v>
      </c>
      <c r="D2519" t="str">
        <f>T("4")</f>
        <v>4</v>
      </c>
      <c r="E2519" t="str">
        <f>T("김광수")</f>
        <v>김광수</v>
      </c>
      <c r="H2519" t="str">
        <f>T("스토리위즈")</f>
        <v>스토리위즈</v>
      </c>
      <c r="I2519" t="str">
        <f>T("회귀의 전설")</f>
        <v>회귀의 전설</v>
      </c>
      <c r="J2519">
        <v>0</v>
      </c>
      <c r="K2519">
        <v>0</v>
      </c>
      <c r="L2519">
        <v>0</v>
      </c>
      <c r="M2519">
        <v>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4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 s="2">
        <v>0</v>
      </c>
      <c r="AT2519" t="str">
        <f>T("9788997946006")</f>
        <v>9788997946006</v>
      </c>
      <c r="AV2519" t="str">
        <f>T("판타지 웹소설 &gt; 현대 판타지")</f>
        <v>판타지 웹소설 &gt; 현대 판타지</v>
      </c>
    </row>
    <row r="2520" spans="1:48" x14ac:dyDescent="0.4">
      <c r="A2520">
        <v>1525002125</v>
      </c>
      <c r="B2520">
        <v>1525002134</v>
      </c>
      <c r="C2520" t="str">
        <f>T("신을 죽이러 갑니다 10화")</f>
        <v>신을 죽이러 갑니다 10화</v>
      </c>
      <c r="D2520" t="str">
        <f>T("10")</f>
        <v>10</v>
      </c>
      <c r="E2520" t="str">
        <f>T("독고진")</f>
        <v>독고진</v>
      </c>
      <c r="H2520" t="str">
        <f>T("스토리위즈")</f>
        <v>스토리위즈</v>
      </c>
      <c r="I2520" t="str">
        <f>T("신을 죽이러 갑니다")</f>
        <v>신을 죽이러 갑니다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 s="2">
        <v>0</v>
      </c>
      <c r="AT2520" t="str">
        <f>T("9791159285806")</f>
        <v>9791159285806</v>
      </c>
      <c r="AV2520" t="str">
        <f>T("판타지 웹소설 &gt; 퓨전 판타지")</f>
        <v>판타지 웹소설 &gt; 퓨전 판타지</v>
      </c>
    </row>
    <row r="2521" spans="1:48" x14ac:dyDescent="0.4">
      <c r="A2521">
        <v>1525000569</v>
      </c>
      <c r="B2521">
        <v>1525000579</v>
      </c>
      <c r="C2521" t="str">
        <f>T("스트라이커 11화")</f>
        <v>스트라이커 11화</v>
      </c>
      <c r="D2521" t="str">
        <f>T("11")</f>
        <v>11</v>
      </c>
      <c r="E2521" t="str">
        <f>T("독고진")</f>
        <v>독고진</v>
      </c>
      <c r="H2521" t="str">
        <f>T("스토리위즈")</f>
        <v>스토리위즈</v>
      </c>
      <c r="I2521" t="str">
        <f>T("스트라이커")</f>
        <v>스트라이커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 s="2">
        <v>0</v>
      </c>
      <c r="AT2521" t="str">
        <f>T("9791170151678")</f>
        <v>9791170151678</v>
      </c>
      <c r="AV2521" t="str">
        <f>T("판타지 웹소설 &gt; 현대 판타지")</f>
        <v>판타지 웹소설 &gt; 현대 판타지</v>
      </c>
    </row>
    <row r="2522" spans="1:48" x14ac:dyDescent="0.4">
      <c r="A2522">
        <v>1525004988</v>
      </c>
      <c r="B2522">
        <v>1525005311</v>
      </c>
      <c r="C2522" t="str">
        <f>T("용무쌍 24화")</f>
        <v>용무쌍 24화</v>
      </c>
      <c r="D2522" t="str">
        <f>T("24")</f>
        <v>24</v>
      </c>
      <c r="E2522" t="str">
        <f>T("권용찬")</f>
        <v>권용찬</v>
      </c>
      <c r="H2522" t="str">
        <f>T("스토리위즈")</f>
        <v>스토리위즈</v>
      </c>
      <c r="I2522" t="str">
        <f>T("용무쌍")</f>
        <v>용무쌍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s="2">
        <v>0</v>
      </c>
      <c r="AT2522" t="str">
        <f>T("9791159284861")</f>
        <v>9791159284861</v>
      </c>
      <c r="AV2522" t="str">
        <f>T("판타지 웹소설 &gt; 무협 소설")</f>
        <v>판타지 웹소설 &gt; 무협 소설</v>
      </c>
    </row>
    <row r="2523" spans="1:48" x14ac:dyDescent="0.4">
      <c r="A2523">
        <v>1525013020</v>
      </c>
      <c r="B2523">
        <v>1525013034</v>
      </c>
      <c r="C2523" t="str">
        <f>T("악당의 리턴 15화")</f>
        <v>악당의 리턴 15화</v>
      </c>
      <c r="D2523" t="str">
        <f>T("15")</f>
        <v>15</v>
      </c>
      <c r="E2523" t="str">
        <f>T("백범(白帆)")</f>
        <v>백범(白帆)</v>
      </c>
      <c r="H2523" t="str">
        <f>T("에필로그")</f>
        <v>에필로그</v>
      </c>
      <c r="I2523" t="str">
        <f>T("악당의 리턴")</f>
        <v>악당의 리턴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s="2">
        <v>0</v>
      </c>
      <c r="AT2523" t="str">
        <f>T("9791196538927")</f>
        <v>9791196538927</v>
      </c>
      <c r="AV2523" t="str">
        <f>T("판타지 웹소설 &gt; 현대 판타지")</f>
        <v>판타지 웹소설 &gt; 현대 판타지</v>
      </c>
    </row>
    <row r="2524" spans="1:48" x14ac:dyDescent="0.4">
      <c r="A2524">
        <v>1525011523</v>
      </c>
      <c r="B2524">
        <v>1525011507</v>
      </c>
      <c r="C2524" t="str">
        <f>T("남창목가 17화")</f>
        <v>남창목가 17화</v>
      </c>
      <c r="D2524" t="str">
        <f>T("17")</f>
        <v>17</v>
      </c>
      <c r="E2524" t="str">
        <f>T("최재봉")</f>
        <v>최재봉</v>
      </c>
      <c r="H2524" t="str">
        <f>T("에필로그")</f>
        <v>에필로그</v>
      </c>
      <c r="I2524" t="str">
        <f>T("남창목가")</f>
        <v>남창목가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 s="2">
        <v>0</v>
      </c>
      <c r="AT2524" t="str">
        <f>T("9791164482849")</f>
        <v>9791164482849</v>
      </c>
      <c r="AV2524" t="str">
        <f>T("판타지 웹소설 &gt; 무협 소설")</f>
        <v>판타지 웹소설 &gt; 무협 소설</v>
      </c>
    </row>
    <row r="2525" spans="1:48" x14ac:dyDescent="0.4">
      <c r="A2525">
        <v>1525001116</v>
      </c>
      <c r="B2525">
        <v>1525001134</v>
      </c>
      <c r="C2525" t="str">
        <f>T("개정판 | 영웅 19화")</f>
        <v>개정판 | 영웅 19화</v>
      </c>
      <c r="D2525" t="str">
        <f>T("19")</f>
        <v>19</v>
      </c>
      <c r="E2525" t="str">
        <f>T("김광수")</f>
        <v>김광수</v>
      </c>
      <c r="H2525" t="str">
        <f>T("스토리위즈")</f>
        <v>스토리위즈</v>
      </c>
      <c r="I2525" t="str">
        <f>T("개정판 | 영웅")</f>
        <v>개정판 | 영웅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 s="2">
        <v>0</v>
      </c>
      <c r="AR2525" t="str">
        <f>T("9791159282829")</f>
        <v>9791159282829</v>
      </c>
      <c r="AT2525" t="str">
        <f>T("9791159282829")</f>
        <v>9791159282829</v>
      </c>
      <c r="AV2525" t="str">
        <f>T("판타지 웹소설 &gt; 무협 소설")</f>
        <v>판타지 웹소설 &gt; 무협 소설</v>
      </c>
    </row>
    <row r="2526" spans="1:48" x14ac:dyDescent="0.4">
      <c r="A2526">
        <v>1525002864</v>
      </c>
      <c r="B2526">
        <v>1525002865</v>
      </c>
      <c r="C2526" t="str">
        <f>T("소드마스터의 환생 2화")</f>
        <v>소드마스터의 환생 2화</v>
      </c>
      <c r="D2526" t="str">
        <f>T("2")</f>
        <v>2</v>
      </c>
      <c r="E2526" t="str">
        <f>T("파란영")</f>
        <v>파란영</v>
      </c>
      <c r="H2526" t="str">
        <f>T("스토리위즈")</f>
        <v>스토리위즈</v>
      </c>
      <c r="I2526" t="str">
        <f>T("소드마스터의 환생")</f>
        <v>소드마스터의 환생</v>
      </c>
      <c r="J2526">
        <v>0</v>
      </c>
      <c r="K2526">
        <v>0</v>
      </c>
      <c r="L2526">
        <v>0</v>
      </c>
      <c r="M2526">
        <v>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4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 s="2">
        <v>0</v>
      </c>
      <c r="AT2526" t="str">
        <f>T("9791159287527")</f>
        <v>9791159287527</v>
      </c>
      <c r="AV2526" t="str">
        <f>T("판타지 웹소설 &gt; 정통 판타지")</f>
        <v>판타지 웹소설 &gt; 정통 판타지</v>
      </c>
    </row>
    <row r="2527" spans="1:48" x14ac:dyDescent="0.4">
      <c r="A2527">
        <v>1525000158</v>
      </c>
      <c r="B2527">
        <v>1525000158</v>
      </c>
      <c r="C2527" t="str">
        <f>T("[e북]아나크레온 1권")</f>
        <v>[e북]아나크레온 1권</v>
      </c>
      <c r="D2527" t="str">
        <f>T("1")</f>
        <v>1</v>
      </c>
      <c r="E2527" t="str">
        <f>T("김정률")</f>
        <v>김정률</v>
      </c>
      <c r="H2527" t="str">
        <f>T("스토리위즈")</f>
        <v>스토리위즈</v>
      </c>
      <c r="I2527" t="str">
        <f>T("[e북]아나크레온")</f>
        <v>[e북]아나크레온</v>
      </c>
      <c r="J2527">
        <v>0</v>
      </c>
      <c r="K2527">
        <v>0</v>
      </c>
      <c r="L2527">
        <v>0</v>
      </c>
      <c r="M2527">
        <v>6</v>
      </c>
      <c r="N2527">
        <v>0</v>
      </c>
      <c r="O2527">
        <v>0</v>
      </c>
      <c r="P2527">
        <v>14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 s="2">
        <v>0</v>
      </c>
      <c r="AV2527" t="str">
        <f>T("판타지 e북 &gt; 퓨전 판타지")</f>
        <v>판타지 e북 &gt; 퓨전 판타지</v>
      </c>
    </row>
    <row r="2528" spans="1:48" x14ac:dyDescent="0.4">
      <c r="A2528">
        <v>1525000113</v>
      </c>
      <c r="B2528">
        <v>1525000118</v>
      </c>
      <c r="C2528" t="str">
        <f>T("[e북]마왕 데이몬 6권")</f>
        <v>[e북]마왕 데이몬 6권</v>
      </c>
      <c r="D2528" t="str">
        <f>T("6")</f>
        <v>6</v>
      </c>
      <c r="E2528" t="str">
        <f>T("김정률")</f>
        <v>김정률</v>
      </c>
      <c r="H2528" t="str">
        <f>T("스토리위즈")</f>
        <v>스토리위즈</v>
      </c>
      <c r="I2528" t="str">
        <f>T("[e북]마왕 데이몬")</f>
        <v>[e북]마왕 데이몬</v>
      </c>
      <c r="J2528">
        <v>3200</v>
      </c>
      <c r="K2528">
        <v>0</v>
      </c>
      <c r="L2528">
        <v>0</v>
      </c>
      <c r="M2528">
        <v>0</v>
      </c>
      <c r="N2528">
        <v>2700</v>
      </c>
      <c r="O2528">
        <v>3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2700</v>
      </c>
      <c r="AH2528">
        <v>3</v>
      </c>
      <c r="AI2528">
        <v>0</v>
      </c>
      <c r="AJ2528">
        <v>0</v>
      </c>
      <c r="AK2528">
        <v>2700</v>
      </c>
      <c r="AL2528">
        <v>0</v>
      </c>
      <c r="AM2528">
        <v>0</v>
      </c>
      <c r="AN2528">
        <v>0</v>
      </c>
      <c r="AO2528">
        <v>0</v>
      </c>
      <c r="AP2528" s="2">
        <v>1890</v>
      </c>
      <c r="AT2528" t="str">
        <f>T("9788925725871")</f>
        <v>9788925725871</v>
      </c>
      <c r="AV2528" t="str">
        <f>T("판타지 e북 &gt; 현대 판타지")</f>
        <v>판타지 e북 &gt; 현대 판타지</v>
      </c>
    </row>
    <row r="2529" spans="1:48" x14ac:dyDescent="0.4">
      <c r="A2529">
        <v>1525012005</v>
      </c>
      <c r="B2529">
        <v>1525011999</v>
      </c>
      <c r="C2529" t="str">
        <f>T("[e북]남궁세가 건달공자 7권")</f>
        <v>[e북]남궁세가 건달공자 7권</v>
      </c>
      <c r="D2529" t="str">
        <f>T("7")</f>
        <v>7</v>
      </c>
      <c r="E2529" t="str">
        <f>T("협행마")</f>
        <v>협행마</v>
      </c>
      <c r="H2529" t="str">
        <f>T("에필로그")</f>
        <v>에필로그</v>
      </c>
      <c r="I2529" t="str">
        <f>T("[e북]남궁세가 건달공자")</f>
        <v>[e북]남궁세가 건달공자</v>
      </c>
      <c r="J2529">
        <v>2500</v>
      </c>
      <c r="K2529">
        <v>0</v>
      </c>
      <c r="L2529">
        <v>0</v>
      </c>
      <c r="M2529">
        <v>0</v>
      </c>
      <c r="N2529">
        <v>900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900</v>
      </c>
      <c r="AH2529">
        <v>1</v>
      </c>
      <c r="AI2529">
        <v>0</v>
      </c>
      <c r="AJ2529">
        <v>0</v>
      </c>
      <c r="AK2529">
        <v>900</v>
      </c>
      <c r="AL2529">
        <v>0</v>
      </c>
      <c r="AM2529">
        <v>0</v>
      </c>
      <c r="AN2529">
        <v>0</v>
      </c>
      <c r="AO2529">
        <v>0</v>
      </c>
      <c r="AP2529" s="2">
        <v>630</v>
      </c>
      <c r="AT2529" t="str">
        <f>T("9791164481613")</f>
        <v>9791164481613</v>
      </c>
      <c r="AV2529" t="str">
        <f>T("판타지 e북 &gt; 신무협")</f>
        <v>판타지 e북 &gt; 신무협</v>
      </c>
    </row>
    <row r="2530" spans="1:48" x14ac:dyDescent="0.4">
      <c r="A2530">
        <v>1525004989</v>
      </c>
      <c r="B2530">
        <v>1525005505</v>
      </c>
      <c r="C2530" t="str">
        <f>T("신룡전설 16화")</f>
        <v>신룡전설 16화</v>
      </c>
      <c r="D2530" t="str">
        <f>T("16")</f>
        <v>16</v>
      </c>
      <c r="E2530" t="str">
        <f>T("가람검")</f>
        <v>가람검</v>
      </c>
      <c r="H2530" t="str">
        <f>T("스토리위즈")</f>
        <v>스토리위즈</v>
      </c>
      <c r="I2530" t="str">
        <f>T("신룡전설")</f>
        <v>신룡전설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 s="2">
        <v>0</v>
      </c>
      <c r="AT2530" t="str">
        <f>T("9791159283505")</f>
        <v>9791159283505</v>
      </c>
      <c r="AV2530" t="str">
        <f>T("판타지 웹소설 &gt; 무협 소설")</f>
        <v>판타지 웹소설 &gt; 무협 소설</v>
      </c>
    </row>
    <row r="2531" spans="1:48" x14ac:dyDescent="0.4">
      <c r="A2531">
        <v>1525008545</v>
      </c>
      <c r="B2531">
        <v>1525008545</v>
      </c>
      <c r="C2531" t="str">
        <f>T("소년연애담 1화")</f>
        <v>소년연애담 1화</v>
      </c>
      <c r="D2531" t="str">
        <f>T("1")</f>
        <v>1</v>
      </c>
      <c r="E2531" t="str">
        <f>T("나나코")</f>
        <v>나나코</v>
      </c>
      <c r="H2531" t="str">
        <f>T("블러쉬")</f>
        <v>블러쉬</v>
      </c>
      <c r="I2531" t="str">
        <f>T("소년연애담")</f>
        <v>소년연애담</v>
      </c>
      <c r="J2531">
        <v>0</v>
      </c>
      <c r="K2531">
        <v>0</v>
      </c>
      <c r="L2531">
        <v>0</v>
      </c>
      <c r="M2531">
        <v>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2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s="2">
        <v>0</v>
      </c>
      <c r="AR2531" t="str">
        <f>T("0000000000000")</f>
        <v>0000000000000</v>
      </c>
      <c r="AT2531" t="str">
        <f>T("9791164890729")</f>
        <v>9791164890729</v>
      </c>
      <c r="AU2531" t="str">
        <f>T("B12")</f>
        <v>B12</v>
      </c>
      <c r="AV2531" t="str">
        <f>T("BL 웹소설 &gt; 현대물")</f>
        <v>BL 웹소설 &gt; 현대물</v>
      </c>
    </row>
    <row r="2532" spans="1:48" x14ac:dyDescent="0.4">
      <c r="A2532">
        <v>1525013020</v>
      </c>
      <c r="B2532">
        <v>1525013027</v>
      </c>
      <c r="C2532" t="str">
        <f>T("악당의 리턴 8화")</f>
        <v>악당의 리턴 8화</v>
      </c>
      <c r="D2532" t="str">
        <f>T("8")</f>
        <v>8</v>
      </c>
      <c r="E2532" t="str">
        <f>T("백범(白帆)")</f>
        <v>백범(白帆)</v>
      </c>
      <c r="H2532" t="str">
        <f>T("에필로그")</f>
        <v>에필로그</v>
      </c>
      <c r="I2532" t="str">
        <f>T("악당의 리턴")</f>
        <v>악당의 리턴</v>
      </c>
      <c r="J2532">
        <v>0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 s="2">
        <v>0</v>
      </c>
      <c r="AT2532" t="str">
        <f>T("9791196538927")</f>
        <v>9791196538927</v>
      </c>
      <c r="AV2532" t="str">
        <f>T("판타지 웹소설 &gt; 현대 판타지")</f>
        <v>판타지 웹소설 &gt; 현대 판타지</v>
      </c>
    </row>
    <row r="2533" spans="1:48" x14ac:dyDescent="0.4">
      <c r="A2533">
        <v>1525001116</v>
      </c>
      <c r="B2533">
        <v>1525001127</v>
      </c>
      <c r="C2533" t="str">
        <f>T("개정판 | 영웅 12화")</f>
        <v>개정판 | 영웅 12화</v>
      </c>
      <c r="D2533" t="str">
        <f>T("12")</f>
        <v>12</v>
      </c>
      <c r="E2533" t="str">
        <f>T("김광수")</f>
        <v>김광수</v>
      </c>
      <c r="H2533" t="str">
        <f>T("스토리위즈")</f>
        <v>스토리위즈</v>
      </c>
      <c r="I2533" t="str">
        <f>T("개정판 | 영웅")</f>
        <v>개정판 | 영웅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 s="2">
        <v>0</v>
      </c>
      <c r="AR2533" t="str">
        <f>T("9791159282829")</f>
        <v>9791159282829</v>
      </c>
      <c r="AT2533" t="str">
        <f>T("9791159282829")</f>
        <v>9791159282829</v>
      </c>
      <c r="AV2533" t="str">
        <f>T("판타지 웹소설 &gt; 무협 소설")</f>
        <v>판타지 웹소설 &gt; 무협 소설</v>
      </c>
    </row>
    <row r="2534" spans="1:48" x14ac:dyDescent="0.4">
      <c r="A2534">
        <v>1525002692</v>
      </c>
      <c r="B2534">
        <v>1525002709</v>
      </c>
      <c r="C2534" t="str">
        <f>T("신규무사 18화")</f>
        <v>신규무사 18화</v>
      </c>
      <c r="D2534" t="str">
        <f>T("18")</f>
        <v>18</v>
      </c>
      <c r="E2534" t="str">
        <f>T("권용찬")</f>
        <v>권용찬</v>
      </c>
      <c r="H2534" t="str">
        <f>T("스토리위즈")</f>
        <v>스토리위즈</v>
      </c>
      <c r="I2534" t="str">
        <f>T("신규무사")</f>
        <v>신규무사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1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s="2">
        <v>0</v>
      </c>
      <c r="AT2534" t="str">
        <f>T("9791159287480")</f>
        <v>9791159287480</v>
      </c>
      <c r="AV2534" t="str">
        <f>T("판타지 웹소설 &gt; 무협 소설")</f>
        <v>판타지 웹소설 &gt; 무협 소설</v>
      </c>
    </row>
    <row r="2535" spans="1:48" x14ac:dyDescent="0.4">
      <c r="A2535">
        <v>1525004989</v>
      </c>
      <c r="B2535">
        <v>1525005498</v>
      </c>
      <c r="C2535" t="str">
        <f>T("신룡전설 9화")</f>
        <v>신룡전설 9화</v>
      </c>
      <c r="D2535" t="str">
        <f>T("9")</f>
        <v>9</v>
      </c>
      <c r="E2535" t="str">
        <f>T("가람검")</f>
        <v>가람검</v>
      </c>
      <c r="H2535" t="str">
        <f>T("스토리위즈")</f>
        <v>스토리위즈</v>
      </c>
      <c r="I2535" t="str">
        <f>T("신룡전설")</f>
        <v>신룡전설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 s="2">
        <v>0</v>
      </c>
      <c r="AT2535" t="str">
        <f>T("9791159283505")</f>
        <v>9791159283505</v>
      </c>
      <c r="AV2535" t="str">
        <f>T("판타지 웹소설 &gt; 무협 소설")</f>
        <v>판타지 웹소설 &gt; 무협 소설</v>
      </c>
    </row>
    <row r="2536" spans="1:48" x14ac:dyDescent="0.4">
      <c r="A2536">
        <v>1525001609</v>
      </c>
      <c r="B2536">
        <v>1525001614</v>
      </c>
      <c r="C2536" t="str">
        <f>T("[e북]절륜공자 6권")</f>
        <v>[e북]절륜공자 6권</v>
      </c>
      <c r="D2536" t="str">
        <f>T("6")</f>
        <v>6</v>
      </c>
      <c r="E2536" t="str">
        <f>T("전혁")</f>
        <v>전혁</v>
      </c>
      <c r="H2536" t="str">
        <f>T("스토리위즈")</f>
        <v>스토리위즈</v>
      </c>
      <c r="I2536" t="str">
        <f>T("[e북]절륜공자")</f>
        <v>[e북]절륜공자</v>
      </c>
      <c r="J2536">
        <v>3200</v>
      </c>
      <c r="K2536">
        <v>0</v>
      </c>
      <c r="L2536">
        <v>0</v>
      </c>
      <c r="M2536">
        <v>0</v>
      </c>
      <c r="N2536">
        <v>3600</v>
      </c>
      <c r="O2536">
        <v>4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3600</v>
      </c>
      <c r="AH2536">
        <v>4</v>
      </c>
      <c r="AI2536">
        <v>0</v>
      </c>
      <c r="AJ2536">
        <v>0</v>
      </c>
      <c r="AK2536">
        <v>3600</v>
      </c>
      <c r="AL2536">
        <v>0</v>
      </c>
      <c r="AM2536">
        <v>0</v>
      </c>
      <c r="AN2536">
        <v>0</v>
      </c>
      <c r="AO2536">
        <v>0</v>
      </c>
      <c r="AP2536" s="2">
        <v>2520</v>
      </c>
      <c r="AT2536" t="str">
        <f>T("9791159284991")</f>
        <v>9791159284991</v>
      </c>
      <c r="AV2536" t="str">
        <f>T("판타지 e북 &gt; 전통 무협")</f>
        <v>판타지 e북 &gt; 전통 무협</v>
      </c>
    </row>
    <row r="2537" spans="1:48" x14ac:dyDescent="0.4">
      <c r="A2537">
        <v>1525013369</v>
      </c>
      <c r="B2537">
        <v>1525013387</v>
      </c>
      <c r="C2537" t="str">
        <f>T("[e북]티끌모아 대박 10권")</f>
        <v>[e북]티끌모아 대박 10권</v>
      </c>
      <c r="D2537" t="str">
        <f>T("10")</f>
        <v>10</v>
      </c>
      <c r="E2537" t="str">
        <f>T("백범(白帆)")</f>
        <v>백범(白帆)</v>
      </c>
      <c r="H2537" t="str">
        <f>T("에필로그")</f>
        <v>에필로그</v>
      </c>
      <c r="I2537" t="str">
        <f>T("[e북]티끌모아 대박")</f>
        <v>[e북]티끌모아 대박</v>
      </c>
      <c r="J2537">
        <v>2000</v>
      </c>
      <c r="K2537">
        <v>0</v>
      </c>
      <c r="L2537">
        <v>0</v>
      </c>
      <c r="M2537">
        <v>0</v>
      </c>
      <c r="N2537">
        <v>900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900</v>
      </c>
      <c r="AH2537">
        <v>1</v>
      </c>
      <c r="AI2537">
        <v>0</v>
      </c>
      <c r="AJ2537">
        <v>0</v>
      </c>
      <c r="AK2537">
        <v>900</v>
      </c>
      <c r="AL2537">
        <v>0</v>
      </c>
      <c r="AM2537">
        <v>0</v>
      </c>
      <c r="AN2537">
        <v>0</v>
      </c>
      <c r="AO2537">
        <v>0</v>
      </c>
      <c r="AP2537" s="2">
        <v>630</v>
      </c>
      <c r="AR2537" t="str">
        <f>T("0000000000000")</f>
        <v>0000000000000</v>
      </c>
      <c r="AT2537" t="str">
        <f>T("9791166000294")</f>
        <v>9791166000294</v>
      </c>
      <c r="AV2537" t="str">
        <f>T("판타지 e북 &gt; 퓨전 판타지")</f>
        <v>판타지 e북 &gt; 퓨전 판타지</v>
      </c>
    </row>
    <row r="2538" spans="1:48" x14ac:dyDescent="0.4">
      <c r="A2538">
        <v>1525002409</v>
      </c>
      <c r="B2538">
        <v>1525002409</v>
      </c>
      <c r="C2538" t="str">
        <f>T("스포트라이트 1화")</f>
        <v>스포트라이트 1화</v>
      </c>
      <c r="D2538" t="str">
        <f>T("1")</f>
        <v>1</v>
      </c>
      <c r="E2538" t="str">
        <f>T("전혁")</f>
        <v>전혁</v>
      </c>
      <c r="H2538" t="str">
        <f>T("스토리위즈")</f>
        <v>스토리위즈</v>
      </c>
      <c r="I2538" t="str">
        <f>T("스포트라이트")</f>
        <v>스포트라이트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 s="2">
        <v>0</v>
      </c>
      <c r="AT2538" t="str">
        <f>T("9791159286841")</f>
        <v>9791159286841</v>
      </c>
      <c r="AV2538" t="str">
        <f>T("판타지 웹소설 &gt; 현대 판타지")</f>
        <v>판타지 웹소설 &gt; 현대 판타지</v>
      </c>
    </row>
    <row r="2539" spans="1:48" x14ac:dyDescent="0.4">
      <c r="A2539">
        <v>1525001334</v>
      </c>
      <c r="B2539">
        <v>1525001349</v>
      </c>
      <c r="C2539" t="str">
        <f>T("게이트 헌터 16화")</f>
        <v>게이트 헌터 16화</v>
      </c>
      <c r="D2539" t="str">
        <f>T("16")</f>
        <v>16</v>
      </c>
      <c r="E2539" t="str">
        <f>T("권용찬")</f>
        <v>권용찬</v>
      </c>
      <c r="H2539" t="str">
        <f>T("스토리위즈")</f>
        <v>스토리위즈</v>
      </c>
      <c r="I2539" t="str">
        <f>T("게이트 헌터")</f>
        <v>게이트 헌터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 s="2">
        <v>0</v>
      </c>
      <c r="AR2539" t="str">
        <f>T("9791159283291")</f>
        <v>9791159283291</v>
      </c>
      <c r="AT2539" t="str">
        <f>T("9791159283291")</f>
        <v>9791159283291</v>
      </c>
      <c r="AV2539" t="str">
        <f>T("판타지 웹소설 &gt; 현대 판타지")</f>
        <v>판타지 웹소설 &gt; 현대 판타지</v>
      </c>
    </row>
    <row r="2540" spans="1:48" x14ac:dyDescent="0.4">
      <c r="A2540">
        <v>1525010982</v>
      </c>
      <c r="B2540">
        <v>1525010979</v>
      </c>
      <c r="C2540" t="str">
        <f>T("[e북]이 맛에 회장한다 4권")</f>
        <v>[e북]이 맛에 회장한다 4권</v>
      </c>
      <c r="D2540" t="str">
        <f>T("4")</f>
        <v>4</v>
      </c>
      <c r="E2540" t="str">
        <f>T("협행마")</f>
        <v>협행마</v>
      </c>
      <c r="H2540" t="str">
        <f>T("에필로그")</f>
        <v>에필로그</v>
      </c>
      <c r="I2540" t="str">
        <f>T("[e북]이 맛에 회장한다")</f>
        <v>[e북]이 맛에 회장한다</v>
      </c>
      <c r="J2540">
        <v>2500</v>
      </c>
      <c r="K2540">
        <v>0</v>
      </c>
      <c r="L2540">
        <v>0</v>
      </c>
      <c r="M2540">
        <v>0</v>
      </c>
      <c r="N2540">
        <v>5040</v>
      </c>
      <c r="O2540">
        <v>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5040</v>
      </c>
      <c r="AH2540">
        <v>6</v>
      </c>
      <c r="AI2540">
        <v>0</v>
      </c>
      <c r="AJ2540">
        <v>0</v>
      </c>
      <c r="AK2540">
        <v>5040</v>
      </c>
      <c r="AL2540">
        <v>0</v>
      </c>
      <c r="AM2540">
        <v>0</v>
      </c>
      <c r="AN2540">
        <v>0</v>
      </c>
      <c r="AO2540">
        <v>0</v>
      </c>
      <c r="AP2540" s="2">
        <v>3528</v>
      </c>
      <c r="AT2540" t="str">
        <f>T("9791164486090")</f>
        <v>9791164486090</v>
      </c>
      <c r="AV2540" t="str">
        <f>T("판타지 e북 &gt; 현대 판타지")</f>
        <v>판타지 e북 &gt; 현대 판타지</v>
      </c>
    </row>
    <row r="2541" spans="1:48" x14ac:dyDescent="0.4">
      <c r="A2541">
        <v>1525010944</v>
      </c>
      <c r="B2541">
        <v>1525010918</v>
      </c>
      <c r="C2541" t="str">
        <f>T("[e북]법보다 주먹 27권")</f>
        <v>[e북]법보다 주먹 27권</v>
      </c>
      <c r="D2541" t="str">
        <f>T("27")</f>
        <v>27</v>
      </c>
      <c r="E2541" t="str">
        <f>T("백범(白帆)")</f>
        <v>백범(白帆)</v>
      </c>
      <c r="H2541" t="str">
        <f>T("에필로그")</f>
        <v>에필로그</v>
      </c>
      <c r="I2541" t="str">
        <f>T("[e북]법보다 주먹")</f>
        <v>[e북]법보다 주먹</v>
      </c>
      <c r="J2541">
        <v>2000</v>
      </c>
      <c r="K2541">
        <v>0</v>
      </c>
      <c r="L2541">
        <v>0</v>
      </c>
      <c r="M2541">
        <v>0</v>
      </c>
      <c r="N2541">
        <v>1800</v>
      </c>
      <c r="O2541">
        <v>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1800</v>
      </c>
      <c r="AH2541">
        <v>2</v>
      </c>
      <c r="AI2541">
        <v>0</v>
      </c>
      <c r="AJ2541">
        <v>0</v>
      </c>
      <c r="AK2541">
        <v>1800</v>
      </c>
      <c r="AL2541">
        <v>0</v>
      </c>
      <c r="AM2541">
        <v>0</v>
      </c>
      <c r="AN2541">
        <v>0</v>
      </c>
      <c r="AO2541">
        <v>0</v>
      </c>
      <c r="AP2541" s="2">
        <v>1260</v>
      </c>
      <c r="AT2541" t="str">
        <f>T("9791164480142")</f>
        <v>9791164480142</v>
      </c>
      <c r="AV2541" t="str">
        <f>T("판타지 e북 &gt; 현대 판타지")</f>
        <v>판타지 e북 &gt; 현대 판타지</v>
      </c>
    </row>
    <row r="2542" spans="1:48" x14ac:dyDescent="0.4">
      <c r="A2542">
        <v>1525001924</v>
      </c>
      <c r="B2542">
        <v>1525001924</v>
      </c>
      <c r="C2542" t="str">
        <f>T("[e북]신마협도 1권")</f>
        <v>[e북]신마협도 1권</v>
      </c>
      <c r="D2542" t="str">
        <f>T("1")</f>
        <v>1</v>
      </c>
      <c r="E2542" t="str">
        <f>T("권용찬")</f>
        <v>권용찬</v>
      </c>
      <c r="H2542" t="str">
        <f>T("스토리위즈")</f>
        <v>스토리위즈</v>
      </c>
      <c r="I2542" t="str">
        <f>T("[e북]신마협도")</f>
        <v>[e북]신마협도</v>
      </c>
      <c r="J2542">
        <v>0</v>
      </c>
      <c r="K2542">
        <v>0</v>
      </c>
      <c r="L2542">
        <v>0</v>
      </c>
      <c r="M2542">
        <v>2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3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 s="2">
        <v>0</v>
      </c>
      <c r="AT2542" t="str">
        <f>T("9791159283079")</f>
        <v>9791159283079</v>
      </c>
      <c r="AV2542" t="str">
        <f>T("판타지 e북 &gt; 신무협")</f>
        <v>판타지 e북 &gt; 신무협</v>
      </c>
    </row>
    <row r="2543" spans="1:48" x14ac:dyDescent="0.4">
      <c r="A2543">
        <v>1525000569</v>
      </c>
      <c r="B2543">
        <v>1525000572</v>
      </c>
      <c r="C2543" t="str">
        <f>T("스트라이커 4화")</f>
        <v>스트라이커 4화</v>
      </c>
      <c r="D2543" t="str">
        <f>T("4")</f>
        <v>4</v>
      </c>
      <c r="E2543" t="str">
        <f>T("독고진")</f>
        <v>독고진</v>
      </c>
      <c r="H2543" t="str">
        <f>T("스토리위즈")</f>
        <v>스토리위즈</v>
      </c>
      <c r="I2543" t="str">
        <f>T("스트라이커")</f>
        <v>스트라이커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 s="2">
        <v>0</v>
      </c>
      <c r="AT2543" t="str">
        <f>T("9791170151678")</f>
        <v>9791170151678</v>
      </c>
      <c r="AV2543" t="str">
        <f>T("판타지 웹소설 &gt; 현대 판타지")</f>
        <v>판타지 웹소설 &gt; 현대 판타지</v>
      </c>
    </row>
    <row r="2544" spans="1:48" x14ac:dyDescent="0.4">
      <c r="A2544">
        <v>1525004988</v>
      </c>
      <c r="B2544">
        <v>1525005304</v>
      </c>
      <c r="C2544" t="str">
        <f>T("용무쌍 17화")</f>
        <v>용무쌍 17화</v>
      </c>
      <c r="D2544" t="str">
        <f>T("17")</f>
        <v>17</v>
      </c>
      <c r="E2544" t="str">
        <f>T("권용찬")</f>
        <v>권용찬</v>
      </c>
      <c r="H2544" t="str">
        <f>T("스토리위즈")</f>
        <v>스토리위즈</v>
      </c>
      <c r="I2544" t="str">
        <f>T("용무쌍")</f>
        <v>용무쌍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s="2">
        <v>0</v>
      </c>
      <c r="AT2544" t="str">
        <f>T("9791159284861")</f>
        <v>9791159284861</v>
      </c>
      <c r="AV2544" t="str">
        <f>T("판타지 웹소설 &gt; 무협 소설")</f>
        <v>판타지 웹소설 &gt; 무협 소설</v>
      </c>
    </row>
    <row r="2545" spans="1:48" x14ac:dyDescent="0.4">
      <c r="A2545">
        <v>1525001540</v>
      </c>
      <c r="B2545">
        <v>1525001545</v>
      </c>
      <c r="C2545" t="str">
        <f>T("[e북]철중쟁쟁 6권")</f>
        <v>[e북]철중쟁쟁 6권</v>
      </c>
      <c r="D2545" t="str">
        <f>T("6")</f>
        <v>6</v>
      </c>
      <c r="E2545" t="str">
        <f>T("권용찬")</f>
        <v>권용찬</v>
      </c>
      <c r="H2545" t="str">
        <f>T("스토리위즈")</f>
        <v>스토리위즈</v>
      </c>
      <c r="I2545" t="str">
        <f>T("[e북]철중쟁쟁")</f>
        <v>[e북]철중쟁쟁</v>
      </c>
      <c r="J2545">
        <v>3200</v>
      </c>
      <c r="K2545">
        <v>0</v>
      </c>
      <c r="L2545">
        <v>0</v>
      </c>
      <c r="M2545">
        <v>0</v>
      </c>
      <c r="N2545">
        <v>1800</v>
      </c>
      <c r="O2545">
        <v>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1800</v>
      </c>
      <c r="AH2545">
        <v>2</v>
      </c>
      <c r="AI2545">
        <v>0</v>
      </c>
      <c r="AJ2545">
        <v>0</v>
      </c>
      <c r="AK2545">
        <v>1800</v>
      </c>
      <c r="AL2545">
        <v>0</v>
      </c>
      <c r="AM2545">
        <v>0</v>
      </c>
      <c r="AN2545">
        <v>0</v>
      </c>
      <c r="AO2545">
        <v>0</v>
      </c>
      <c r="AP2545" s="2">
        <v>1260</v>
      </c>
      <c r="AT2545" t="str">
        <f>T("9791159282324")</f>
        <v>9791159282324</v>
      </c>
      <c r="AV2545" t="str">
        <f>T("판타지 e북 &gt; 전통 무협")</f>
        <v>판타지 e북 &gt; 전통 무협</v>
      </c>
    </row>
    <row r="2546" spans="1:48" x14ac:dyDescent="0.4">
      <c r="A2546">
        <v>1525002864</v>
      </c>
      <c r="B2546">
        <v>1525002883</v>
      </c>
      <c r="C2546" t="str">
        <f>T("소드마스터의 환생 20화")</f>
        <v>소드마스터의 환생 20화</v>
      </c>
      <c r="D2546" t="str">
        <f>T("20")</f>
        <v>20</v>
      </c>
      <c r="E2546" t="str">
        <f>T("파란영")</f>
        <v>파란영</v>
      </c>
      <c r="H2546" t="str">
        <f>T("스토리위즈")</f>
        <v>스토리위즈</v>
      </c>
      <c r="I2546" t="str">
        <f>T("소드마스터의 환생")</f>
        <v>소드마스터의 환생</v>
      </c>
      <c r="J2546">
        <v>0</v>
      </c>
      <c r="K2546">
        <v>0</v>
      </c>
      <c r="L2546">
        <v>0</v>
      </c>
      <c r="M2546">
        <v>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3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 s="2">
        <v>0</v>
      </c>
      <c r="AT2546" t="str">
        <f>T("9791159287527")</f>
        <v>9791159287527</v>
      </c>
      <c r="AV2546" t="str">
        <f>T("판타지 웹소설 &gt; 정통 판타지")</f>
        <v>판타지 웹소설 &gt; 정통 판타지</v>
      </c>
    </row>
    <row r="2547" spans="1:48" x14ac:dyDescent="0.4">
      <c r="A2547">
        <v>1525013369</v>
      </c>
      <c r="B2547">
        <v>1525013380</v>
      </c>
      <c r="C2547" t="str">
        <f>T("[e북]티끌모아 대박 3권")</f>
        <v>[e북]티끌모아 대박 3권</v>
      </c>
      <c r="D2547" t="str">
        <f>T("3")</f>
        <v>3</v>
      </c>
      <c r="E2547" t="str">
        <f>T("백범(白帆)")</f>
        <v>백범(白帆)</v>
      </c>
      <c r="H2547" t="str">
        <f>T("에필로그")</f>
        <v>에필로그</v>
      </c>
      <c r="I2547" t="str">
        <f>T("[e북]티끌모아 대박")</f>
        <v>[e북]티끌모아 대박</v>
      </c>
      <c r="J2547">
        <v>2000</v>
      </c>
      <c r="K2547">
        <v>0</v>
      </c>
      <c r="L2547">
        <v>0</v>
      </c>
      <c r="M2547">
        <v>0</v>
      </c>
      <c r="N2547">
        <v>1800</v>
      </c>
      <c r="O2547">
        <v>2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1800</v>
      </c>
      <c r="AH2547">
        <v>2</v>
      </c>
      <c r="AI2547">
        <v>0</v>
      </c>
      <c r="AJ2547">
        <v>0</v>
      </c>
      <c r="AK2547">
        <v>1800</v>
      </c>
      <c r="AL2547">
        <v>0</v>
      </c>
      <c r="AM2547">
        <v>0</v>
      </c>
      <c r="AN2547">
        <v>0</v>
      </c>
      <c r="AO2547">
        <v>0</v>
      </c>
      <c r="AP2547" s="2">
        <v>1260</v>
      </c>
      <c r="AR2547" t="str">
        <f>T("0000000000000")</f>
        <v>0000000000000</v>
      </c>
      <c r="AT2547" t="str">
        <f>T("9791166000225")</f>
        <v>9791166000225</v>
      </c>
      <c r="AV2547" t="str">
        <f>T("판타지 e북 &gt; 퓨전 판타지")</f>
        <v>판타지 e북 &gt; 퓨전 판타지</v>
      </c>
    </row>
    <row r="2548" spans="1:48" x14ac:dyDescent="0.4">
      <c r="A2548">
        <v>1525001334</v>
      </c>
      <c r="B2548">
        <v>1525001342</v>
      </c>
      <c r="C2548" t="str">
        <f>T("게이트 헌터 9화")</f>
        <v>게이트 헌터 9화</v>
      </c>
      <c r="D2548" t="str">
        <f>T("9")</f>
        <v>9</v>
      </c>
      <c r="E2548" t="str">
        <f>T("권용찬")</f>
        <v>권용찬</v>
      </c>
      <c r="H2548" t="str">
        <f>T("스토리위즈")</f>
        <v>스토리위즈</v>
      </c>
      <c r="I2548" t="str">
        <f>T("게이트 헌터")</f>
        <v>게이트 헌터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 s="2">
        <v>0</v>
      </c>
      <c r="AR2548" t="str">
        <f>T("9791159283291")</f>
        <v>9791159283291</v>
      </c>
      <c r="AT2548" t="str">
        <f>T("9791159283291")</f>
        <v>9791159283291</v>
      </c>
      <c r="AV2548" t="str">
        <f>T("판타지 웹소설 &gt; 현대 판타지")</f>
        <v>판타지 웹소설 &gt; 현대 판타지</v>
      </c>
    </row>
    <row r="2549" spans="1:48" x14ac:dyDescent="0.4">
      <c r="A2549">
        <v>1525010974</v>
      </c>
      <c r="B2549">
        <v>1525010972</v>
      </c>
      <c r="C2549" t="str">
        <f>T("[e북]위사무적 3권")</f>
        <v>[e북]위사무적 3권</v>
      </c>
      <c r="D2549" t="str">
        <f>T("3")</f>
        <v>3</v>
      </c>
      <c r="E2549" t="str">
        <f>T("협행마")</f>
        <v>협행마</v>
      </c>
      <c r="H2549" t="str">
        <f>T("에필로그")</f>
        <v>에필로그</v>
      </c>
      <c r="I2549" t="str">
        <f>T("[e북]위사무적")</f>
        <v>[e북]위사무적</v>
      </c>
      <c r="J2549">
        <v>2000</v>
      </c>
      <c r="K2549">
        <v>0</v>
      </c>
      <c r="L2549">
        <v>0</v>
      </c>
      <c r="M2549">
        <v>0</v>
      </c>
      <c r="N2549">
        <v>1400</v>
      </c>
      <c r="O2549">
        <v>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1400</v>
      </c>
      <c r="AH2549">
        <v>2</v>
      </c>
      <c r="AI2549">
        <v>0</v>
      </c>
      <c r="AJ2549">
        <v>0</v>
      </c>
      <c r="AK2549">
        <v>1400</v>
      </c>
      <c r="AL2549">
        <v>0</v>
      </c>
      <c r="AM2549">
        <v>0</v>
      </c>
      <c r="AN2549">
        <v>0</v>
      </c>
      <c r="AO2549">
        <v>0</v>
      </c>
      <c r="AP2549" s="2">
        <v>980</v>
      </c>
      <c r="AT2549" t="str">
        <f>T("9791164489015")</f>
        <v>9791164489015</v>
      </c>
      <c r="AV2549" t="str">
        <f>T("판타지 e북 &gt; 신무협")</f>
        <v>판타지 e북 &gt; 신무협</v>
      </c>
    </row>
    <row r="2550" spans="1:48" x14ac:dyDescent="0.4">
      <c r="A2550">
        <v>1525010900</v>
      </c>
      <c r="B2550">
        <v>1525010896</v>
      </c>
      <c r="C2550" t="str">
        <f>T("[e북]무적살수 3권")</f>
        <v>[e북]무적살수 3권</v>
      </c>
      <c r="D2550" t="str">
        <f>T("3")</f>
        <v>3</v>
      </c>
      <c r="E2550" t="str">
        <f>T("협행마")</f>
        <v>협행마</v>
      </c>
      <c r="H2550" t="str">
        <f>T("에필로그")</f>
        <v>에필로그</v>
      </c>
      <c r="I2550" t="str">
        <f>T("[e북]무적살수")</f>
        <v>[e북]무적살수</v>
      </c>
      <c r="J2550">
        <v>2500</v>
      </c>
      <c r="K2550">
        <v>0</v>
      </c>
      <c r="L2550">
        <v>0</v>
      </c>
      <c r="M2550">
        <v>0</v>
      </c>
      <c r="N2550">
        <v>2700</v>
      </c>
      <c r="O2550">
        <v>3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2700</v>
      </c>
      <c r="AH2550">
        <v>3</v>
      </c>
      <c r="AI2550">
        <v>0</v>
      </c>
      <c r="AJ2550">
        <v>0</v>
      </c>
      <c r="AK2550">
        <v>1800</v>
      </c>
      <c r="AL2550">
        <v>0</v>
      </c>
      <c r="AM2550">
        <v>1080</v>
      </c>
      <c r="AN2550">
        <v>-324</v>
      </c>
      <c r="AO2550">
        <v>0</v>
      </c>
      <c r="AP2550" s="2">
        <v>1789.2</v>
      </c>
      <c r="AT2550" t="str">
        <f>T("9791166000126")</f>
        <v>9791166000126</v>
      </c>
      <c r="AV2550" t="str">
        <f>T("판타지 e북 &gt; 전통 무협")</f>
        <v>판타지 e북 &gt; 전통 무협</v>
      </c>
    </row>
    <row r="2551" spans="1:48" x14ac:dyDescent="0.4">
      <c r="A2551">
        <v>1525003477</v>
      </c>
      <c r="B2551">
        <v>1525003478</v>
      </c>
      <c r="C2551" t="str">
        <f>T("[e북]신규무사 2권")</f>
        <v>[e북]신규무사 2권</v>
      </c>
      <c r="D2551" t="str">
        <f>T("2")</f>
        <v>2</v>
      </c>
      <c r="E2551" t="str">
        <f>T("권용찬")</f>
        <v>권용찬</v>
      </c>
      <c r="H2551" t="str">
        <f>T("스토리위즈")</f>
        <v>스토리위즈</v>
      </c>
      <c r="I2551" t="str">
        <f>T("[e북]신규무사")</f>
        <v>[e북]신규무사</v>
      </c>
      <c r="J2551">
        <v>3200</v>
      </c>
      <c r="K2551">
        <v>0</v>
      </c>
      <c r="L2551">
        <v>0</v>
      </c>
      <c r="M2551">
        <v>0</v>
      </c>
      <c r="N2551">
        <v>900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900</v>
      </c>
      <c r="AH2551">
        <v>1</v>
      </c>
      <c r="AI2551">
        <v>0</v>
      </c>
      <c r="AJ2551">
        <v>0</v>
      </c>
      <c r="AK2551">
        <v>900</v>
      </c>
      <c r="AL2551">
        <v>0</v>
      </c>
      <c r="AM2551">
        <v>0</v>
      </c>
      <c r="AN2551">
        <v>0</v>
      </c>
      <c r="AO2551">
        <v>0</v>
      </c>
      <c r="AP2551" s="2">
        <v>630</v>
      </c>
      <c r="AT2551" t="str">
        <f>T("9791159288517")</f>
        <v>9791159288517</v>
      </c>
      <c r="AV2551" t="str">
        <f>T("판타지 e북 &gt; 신무협")</f>
        <v>판타지 e북 &gt; 신무협</v>
      </c>
    </row>
    <row r="2552" spans="1:48" x14ac:dyDescent="0.4">
      <c r="A2552">
        <v>1525001917</v>
      </c>
      <c r="B2552">
        <v>1525001917</v>
      </c>
      <c r="C2552" t="str">
        <f>T("[e북]용중신권 1권")</f>
        <v>[e북]용중신권 1권</v>
      </c>
      <c r="D2552" t="str">
        <f>T("1")</f>
        <v>1</v>
      </c>
      <c r="E2552" t="str">
        <f>T("권용찬")</f>
        <v>권용찬</v>
      </c>
      <c r="H2552" t="str">
        <f>T("스토리위즈")</f>
        <v>스토리위즈</v>
      </c>
      <c r="I2552" t="str">
        <f>T("[e북]용중신권")</f>
        <v>[e북]용중신권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7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 s="2">
        <v>0</v>
      </c>
      <c r="AT2552" t="str">
        <f>T("9791159285929")</f>
        <v>9791159285929</v>
      </c>
      <c r="AV2552" t="str">
        <f>T("판타지 e북 &gt; 신무협")</f>
        <v>판타지 e북 &gt; 신무협</v>
      </c>
    </row>
    <row r="2553" spans="1:48" x14ac:dyDescent="0.4">
      <c r="A2553">
        <v>1525004988</v>
      </c>
      <c r="B2553">
        <v>1525005297</v>
      </c>
      <c r="C2553" t="str">
        <f>T("용무쌍 10화")</f>
        <v>용무쌍 10화</v>
      </c>
      <c r="D2553" t="str">
        <f>T("10")</f>
        <v>10</v>
      </c>
      <c r="E2553" t="str">
        <f>T("권용찬")</f>
        <v>권용찬</v>
      </c>
      <c r="H2553" t="str">
        <f>T("스토리위즈")</f>
        <v>스토리위즈</v>
      </c>
      <c r="I2553" t="str">
        <f>T("용무쌍")</f>
        <v>용무쌍</v>
      </c>
      <c r="J2553">
        <v>0</v>
      </c>
      <c r="K2553">
        <v>0</v>
      </c>
      <c r="L2553">
        <v>0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2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 s="2">
        <v>0</v>
      </c>
      <c r="AT2553" t="str">
        <f>T("9791159284861")</f>
        <v>9791159284861</v>
      </c>
      <c r="AV2553" t="str">
        <f>T("판타지 웹소설 &gt; 무협 소설")</f>
        <v>판타지 웹소설 &gt; 무협 소설</v>
      </c>
    </row>
    <row r="2554" spans="1:48" x14ac:dyDescent="0.4">
      <c r="A2554">
        <v>1525001508</v>
      </c>
      <c r="B2554">
        <v>1525001513</v>
      </c>
      <c r="C2554" t="str">
        <f>T("[e북]칼 6권")</f>
        <v>[e북]칼 6권</v>
      </c>
      <c r="D2554" t="str">
        <f>T("6")</f>
        <v>6</v>
      </c>
      <c r="E2554" t="str">
        <f>T("권용찬")</f>
        <v>권용찬</v>
      </c>
      <c r="H2554" t="str">
        <f>T("스토리위즈")</f>
        <v>스토리위즈</v>
      </c>
      <c r="I2554" t="str">
        <f>T("[e북]칼")</f>
        <v>[e북]칼</v>
      </c>
      <c r="J2554">
        <v>3200</v>
      </c>
      <c r="K2554">
        <v>0</v>
      </c>
      <c r="L2554">
        <v>0</v>
      </c>
      <c r="M2554">
        <v>0</v>
      </c>
      <c r="N2554">
        <v>900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900</v>
      </c>
      <c r="AH2554">
        <v>1</v>
      </c>
      <c r="AI2554">
        <v>0</v>
      </c>
      <c r="AJ2554">
        <v>0</v>
      </c>
      <c r="AK2554">
        <v>0</v>
      </c>
      <c r="AL2554">
        <v>0</v>
      </c>
      <c r="AM2554">
        <v>900</v>
      </c>
      <c r="AN2554">
        <v>0</v>
      </c>
      <c r="AO2554">
        <v>0</v>
      </c>
      <c r="AP2554" s="2">
        <v>630</v>
      </c>
      <c r="AT2554" t="str">
        <f>T("9791159282409")</f>
        <v>9791159282409</v>
      </c>
      <c r="AV2554" t="str">
        <f>T("판타지 e북 &gt; 신무협")</f>
        <v>판타지 e북 &gt; 신무협</v>
      </c>
    </row>
    <row r="2555" spans="1:48" x14ac:dyDescent="0.4">
      <c r="A2555">
        <v>1525000055</v>
      </c>
      <c r="B2555">
        <v>1525000071</v>
      </c>
      <c r="C2555" t="str">
        <f>T("[e북]21세기 대마법사 16권")</f>
        <v>[e북]21세기 대마법사 16권</v>
      </c>
      <c r="D2555" t="str">
        <f>T("16")</f>
        <v>16</v>
      </c>
      <c r="E2555" t="str">
        <f>T("김광수")</f>
        <v>김광수</v>
      </c>
      <c r="H2555" t="str">
        <f>T("스토리위즈")</f>
        <v>스토리위즈</v>
      </c>
      <c r="I2555" t="str">
        <f>T("[e북]21세기 대마법사")</f>
        <v>[e북]21세기 대마법사</v>
      </c>
      <c r="J2555">
        <v>3200</v>
      </c>
      <c r="K2555">
        <v>0</v>
      </c>
      <c r="L2555">
        <v>0</v>
      </c>
      <c r="M2555">
        <v>0</v>
      </c>
      <c r="N2555">
        <v>5400</v>
      </c>
      <c r="O2555">
        <v>6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5400</v>
      </c>
      <c r="AH2555">
        <v>6</v>
      </c>
      <c r="AI2555">
        <v>0</v>
      </c>
      <c r="AJ2555">
        <v>0</v>
      </c>
      <c r="AK2555">
        <v>5400</v>
      </c>
      <c r="AL2555">
        <v>0</v>
      </c>
      <c r="AM2555">
        <v>0</v>
      </c>
      <c r="AN2555">
        <v>0</v>
      </c>
      <c r="AO2555">
        <v>0</v>
      </c>
      <c r="AP2555" s="2">
        <v>3780</v>
      </c>
      <c r="AT2555" t="str">
        <f>T("9788925120379")</f>
        <v>9788925120379</v>
      </c>
      <c r="AV2555" t="str">
        <f>T("판타지 e북 &gt; 퓨전 판타지")</f>
        <v>판타지 e북 &gt; 퓨전 판타지</v>
      </c>
    </row>
    <row r="2556" spans="1:48" x14ac:dyDescent="0.4">
      <c r="A2556">
        <v>1525013020</v>
      </c>
      <c r="B2556">
        <v>1525013020</v>
      </c>
      <c r="C2556" t="str">
        <f>T("악당의 리턴 1화")</f>
        <v>악당의 리턴 1화</v>
      </c>
      <c r="D2556" t="str">
        <f>T("1")</f>
        <v>1</v>
      </c>
      <c r="E2556" t="str">
        <f>T("백범(白帆)")</f>
        <v>백범(白帆)</v>
      </c>
      <c r="H2556" t="str">
        <f>T("에필로그")</f>
        <v>에필로그</v>
      </c>
      <c r="I2556" t="str">
        <f>T("악당의 리턴")</f>
        <v>악당의 리턴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 s="2">
        <v>0</v>
      </c>
      <c r="AT2556" t="str">
        <f>T("9791196538927")</f>
        <v>9791196538927</v>
      </c>
      <c r="AV2556" t="str">
        <f>T("판타지 웹소설 &gt; 현대 판타지")</f>
        <v>판타지 웹소설 &gt; 현대 판타지</v>
      </c>
    </row>
    <row r="2557" spans="1:48" x14ac:dyDescent="0.4">
      <c r="A2557">
        <v>1525001116</v>
      </c>
      <c r="B2557">
        <v>1525001120</v>
      </c>
      <c r="C2557" t="str">
        <f>T("개정판 | 영웅 5화")</f>
        <v>개정판 | 영웅 5화</v>
      </c>
      <c r="D2557" t="str">
        <f>T("5")</f>
        <v>5</v>
      </c>
      <c r="E2557" t="str">
        <f>T("김광수")</f>
        <v>김광수</v>
      </c>
      <c r="H2557" t="str">
        <f>T("스토리위즈")</f>
        <v>스토리위즈</v>
      </c>
      <c r="I2557" t="str">
        <f>T("개정판 | 영웅")</f>
        <v>개정판 | 영웅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 s="2">
        <v>0</v>
      </c>
      <c r="AR2557" t="str">
        <f>T("9791159282829")</f>
        <v>9791159282829</v>
      </c>
      <c r="AT2557" t="str">
        <f>T("9791159282829")</f>
        <v>9791159282829</v>
      </c>
      <c r="AV2557" t="str">
        <f>T("판타지 웹소설 &gt; 무협 소설")</f>
        <v>판타지 웹소설 &gt; 무협 소설</v>
      </c>
    </row>
    <row r="2558" spans="1:48" x14ac:dyDescent="0.4">
      <c r="A2558">
        <v>1525004030</v>
      </c>
      <c r="B2558">
        <v>1525004051</v>
      </c>
      <c r="C2558" t="str">
        <f>T("회귀의 전설 22화")</f>
        <v>회귀의 전설 22화</v>
      </c>
      <c r="D2558" t="str">
        <f>T("22")</f>
        <v>22</v>
      </c>
      <c r="E2558" t="str">
        <f>T("김광수")</f>
        <v>김광수</v>
      </c>
      <c r="H2558" t="str">
        <f>T("스토리위즈")</f>
        <v>스토리위즈</v>
      </c>
      <c r="I2558" t="str">
        <f>T("회귀의 전설")</f>
        <v>회귀의 전설</v>
      </c>
      <c r="J2558">
        <v>0</v>
      </c>
      <c r="K2558">
        <v>0</v>
      </c>
      <c r="L2558">
        <v>0</v>
      </c>
      <c r="M2558">
        <v>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3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 s="2">
        <v>0</v>
      </c>
      <c r="AT2558" t="str">
        <f>T("9788997946006")</f>
        <v>9788997946006</v>
      </c>
      <c r="AV2558" t="str">
        <f>T("판타지 웹소설 &gt; 현대 판타지")</f>
        <v>판타지 웹소설 &gt; 현대 판타지</v>
      </c>
    </row>
    <row r="2559" spans="1:48" x14ac:dyDescent="0.4">
      <c r="A2559">
        <v>1525002692</v>
      </c>
      <c r="B2559">
        <v>1525002702</v>
      </c>
      <c r="C2559" t="str">
        <f>T("신규무사 11화")</f>
        <v>신규무사 11화</v>
      </c>
      <c r="D2559" t="str">
        <f>T("11")</f>
        <v>11</v>
      </c>
      <c r="E2559" t="str">
        <f>T("권용찬")</f>
        <v>권용찬</v>
      </c>
      <c r="H2559" t="str">
        <f>T("스토리위즈")</f>
        <v>스토리위즈</v>
      </c>
      <c r="I2559" t="str">
        <f>T("신규무사")</f>
        <v>신규무사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 s="2">
        <v>0</v>
      </c>
      <c r="AT2559" t="str">
        <f>T("9791159287480")</f>
        <v>9791159287480</v>
      </c>
      <c r="AV2559" t="str">
        <f>T("판타지 웹소설 &gt; 무협 소설")</f>
        <v>판타지 웹소설 &gt; 무협 소설</v>
      </c>
    </row>
    <row r="2560" spans="1:48" x14ac:dyDescent="0.4">
      <c r="A2560">
        <v>1525014200</v>
      </c>
      <c r="B2560">
        <v>1525014200</v>
      </c>
      <c r="C2560" t="str">
        <f>T("소울 슈터 1화")</f>
        <v>소울 슈터 1화</v>
      </c>
      <c r="D2560" t="str">
        <f>T("1")</f>
        <v>1</v>
      </c>
      <c r="E2560" t="str">
        <f>T("라이큐")</f>
        <v>라이큐</v>
      </c>
      <c r="H2560" t="str">
        <f>T("스토리아크")</f>
        <v>스토리아크</v>
      </c>
      <c r="I2560" t="str">
        <f>T("소울 슈터")</f>
        <v>소울 슈터</v>
      </c>
      <c r="J2560">
        <v>0</v>
      </c>
      <c r="K2560">
        <v>0</v>
      </c>
      <c r="L2560">
        <v>0</v>
      </c>
      <c r="M2560">
        <v>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 s="2">
        <v>0</v>
      </c>
      <c r="AR2560" t="str">
        <f>T("0000000000000")</f>
        <v>0000000000000</v>
      </c>
      <c r="AT2560" t="str">
        <f>T("9791191039078")</f>
        <v>9791191039078</v>
      </c>
      <c r="AV2560" t="str">
        <f>T("판타지 웹소설 &gt; 정통 판타지")</f>
        <v>판타지 웹소설 &gt; 정통 판타지</v>
      </c>
    </row>
    <row r="2561" spans="1:48" x14ac:dyDescent="0.4">
      <c r="A2561">
        <v>1525013320</v>
      </c>
      <c r="B2561">
        <v>1525013326</v>
      </c>
      <c r="C2561" t="str">
        <f>T("[e북]악당의 리턴 7권")</f>
        <v>[e북]악당의 리턴 7권</v>
      </c>
      <c r="D2561" t="str">
        <f>T("7")</f>
        <v>7</v>
      </c>
      <c r="E2561" t="str">
        <f>T("백범(白帆)")</f>
        <v>백범(白帆)</v>
      </c>
      <c r="H2561" t="str">
        <f>T("에필로그")</f>
        <v>에필로그</v>
      </c>
      <c r="I2561" t="str">
        <f>T("[e북]악당의 리턴")</f>
        <v>[e북]악당의 리턴</v>
      </c>
      <c r="J2561">
        <v>3200</v>
      </c>
      <c r="K2561">
        <v>0</v>
      </c>
      <c r="L2561">
        <v>0</v>
      </c>
      <c r="M2561">
        <v>0</v>
      </c>
      <c r="N2561">
        <v>900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900</v>
      </c>
      <c r="AH2561">
        <v>1</v>
      </c>
      <c r="AI2561">
        <v>0</v>
      </c>
      <c r="AJ2561">
        <v>0</v>
      </c>
      <c r="AK2561">
        <v>900</v>
      </c>
      <c r="AL2561">
        <v>0</v>
      </c>
      <c r="AM2561">
        <v>0</v>
      </c>
      <c r="AN2561">
        <v>0</v>
      </c>
      <c r="AO2561">
        <v>0</v>
      </c>
      <c r="AP2561" s="2">
        <v>630</v>
      </c>
      <c r="AT2561" t="str">
        <f>T("9791164482924")</f>
        <v>9791164482924</v>
      </c>
      <c r="AV2561" t="str">
        <f>T("판타지 e북 &gt; 현대 판타지")</f>
        <v>판타지 e북 &gt; 현대 판타지</v>
      </c>
    </row>
    <row r="2562" spans="1:48" x14ac:dyDescent="0.4">
      <c r="A2562">
        <v>1525004989</v>
      </c>
      <c r="B2562">
        <v>1525005491</v>
      </c>
      <c r="C2562" t="str">
        <f>T("신룡전설 2화")</f>
        <v>신룡전설 2화</v>
      </c>
      <c r="D2562" t="str">
        <f>T("2")</f>
        <v>2</v>
      </c>
      <c r="E2562" t="str">
        <f>T("가람검")</f>
        <v>가람검</v>
      </c>
      <c r="H2562" t="str">
        <f>T("스토리위즈")</f>
        <v>스토리위즈</v>
      </c>
      <c r="I2562" t="str">
        <f>T("신룡전설")</f>
        <v>신룡전설</v>
      </c>
      <c r="J2562">
        <v>0</v>
      </c>
      <c r="K2562">
        <v>0</v>
      </c>
      <c r="L2562">
        <v>0</v>
      </c>
      <c r="M2562">
        <v>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2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 s="2">
        <v>0</v>
      </c>
      <c r="AT2562" t="str">
        <f>T("9791159283505")</f>
        <v>9791159283505</v>
      </c>
      <c r="AV2562" t="str">
        <f>T("판타지 웹소설 &gt; 무협 소설")</f>
        <v>판타지 웹소설 &gt; 무협 소설</v>
      </c>
    </row>
    <row r="2563" spans="1:48" x14ac:dyDescent="0.4">
      <c r="A2563">
        <v>1525000924</v>
      </c>
      <c r="B2563">
        <v>1525000931</v>
      </c>
      <c r="C2563" t="str">
        <f>T("스피릿 소드 8화")</f>
        <v>스피릿 소드 8화</v>
      </c>
      <c r="D2563" t="str">
        <f>T("8")</f>
        <v>8</v>
      </c>
      <c r="E2563" t="str">
        <f>T("김정률")</f>
        <v>김정률</v>
      </c>
      <c r="H2563" t="str">
        <f>T("스토리위즈")</f>
        <v>스토리위즈</v>
      </c>
      <c r="I2563" t="str">
        <f>T("스피릿 소드")</f>
        <v>스피릿 소드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 s="2">
        <v>0</v>
      </c>
      <c r="AR2563" t="str">
        <f>T("9791159282713")</f>
        <v>9791159282713</v>
      </c>
      <c r="AT2563" t="str">
        <f>T("9791159282713")</f>
        <v>9791159282713</v>
      </c>
      <c r="AV2563" t="str">
        <f>T("판타지 웹소설 &gt; 정통 판타지")</f>
        <v>판타지 웹소설 &gt; 정통 판타지</v>
      </c>
    </row>
    <row r="2564" spans="1:48" x14ac:dyDescent="0.4">
      <c r="A2564">
        <v>1525004030</v>
      </c>
      <c r="B2564">
        <v>1525004044</v>
      </c>
      <c r="C2564" t="str">
        <f>T("회귀의 전설 15화")</f>
        <v>회귀의 전설 15화</v>
      </c>
      <c r="D2564" t="str">
        <f>T("15")</f>
        <v>15</v>
      </c>
      <c r="E2564" t="str">
        <f>T("김광수")</f>
        <v>김광수</v>
      </c>
      <c r="H2564" t="str">
        <f>T("스토리위즈")</f>
        <v>스토리위즈</v>
      </c>
      <c r="I2564" t="str">
        <f>T("회귀의 전설")</f>
        <v>회귀의 전설</v>
      </c>
      <c r="J2564">
        <v>0</v>
      </c>
      <c r="K2564">
        <v>0</v>
      </c>
      <c r="L2564">
        <v>0</v>
      </c>
      <c r="M2564">
        <v>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3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 s="2">
        <v>0</v>
      </c>
      <c r="AT2564" t="str">
        <f>T("9788997946006")</f>
        <v>9788997946006</v>
      </c>
      <c r="AV2564" t="str">
        <f>T("판타지 웹소설 &gt; 현대 판타지")</f>
        <v>판타지 웹소설 &gt; 현대 판타지</v>
      </c>
    </row>
    <row r="2565" spans="1:48" x14ac:dyDescent="0.4">
      <c r="A2565">
        <v>1525002692</v>
      </c>
      <c r="B2565">
        <v>1525002695</v>
      </c>
      <c r="C2565" t="str">
        <f>T("신규무사 4화")</f>
        <v>신규무사 4화</v>
      </c>
      <c r="D2565" t="str">
        <f>T("4")</f>
        <v>4</v>
      </c>
      <c r="E2565" t="str">
        <f>T("권용찬")</f>
        <v>권용찬</v>
      </c>
      <c r="H2565" t="str">
        <f>T("스토리위즈")</f>
        <v>스토리위즈</v>
      </c>
      <c r="I2565" t="str">
        <f>T("신규무사")</f>
        <v>신규무사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 s="2">
        <v>0</v>
      </c>
      <c r="AT2565" t="str">
        <f>T("9791159287480")</f>
        <v>9791159287480</v>
      </c>
      <c r="AV2565" t="str">
        <f>T("판타지 웹소설 &gt; 무협 소설")</f>
        <v>판타지 웹소설 &gt; 무협 소설</v>
      </c>
    </row>
    <row r="2566" spans="1:48" x14ac:dyDescent="0.4">
      <c r="A2566">
        <v>1525000569</v>
      </c>
      <c r="B2566">
        <v>1525000590</v>
      </c>
      <c r="C2566" t="str">
        <f>T("스트라이커 22화")</f>
        <v>스트라이커 22화</v>
      </c>
      <c r="D2566" t="str">
        <f>T("22")</f>
        <v>22</v>
      </c>
      <c r="E2566" t="str">
        <f>T("독고진")</f>
        <v>독고진</v>
      </c>
      <c r="H2566" t="str">
        <f>T("스토리위즈")</f>
        <v>스토리위즈</v>
      </c>
      <c r="I2566" t="str">
        <f>T("스트라이커")</f>
        <v>스트라이커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 s="2">
        <v>0</v>
      </c>
      <c r="AT2566" t="str">
        <f>T("9791170151678")</f>
        <v>9791170151678</v>
      </c>
      <c r="AV2566" t="str">
        <f>T("판타지 웹소설 &gt; 현대 판타지")</f>
        <v>판타지 웹소설 &gt; 현대 판타지</v>
      </c>
    </row>
    <row r="2567" spans="1:48" x14ac:dyDescent="0.4">
      <c r="A2567">
        <v>1525014015</v>
      </c>
      <c r="B2567">
        <v>1525014016</v>
      </c>
      <c r="C2567" t="str">
        <f>T("사냥꾼은 마왕이 되기 싫다 2화")</f>
        <v>사냥꾼은 마왕이 되기 싫다 2화</v>
      </c>
      <c r="D2567" t="str">
        <f>T("2")</f>
        <v>2</v>
      </c>
      <c r="E2567" t="str">
        <f>T("강명운")</f>
        <v>강명운</v>
      </c>
      <c r="H2567" t="str">
        <f>T("스토리아크")</f>
        <v>스토리아크</v>
      </c>
      <c r="I2567" t="str">
        <f>T("사냥꾼은 마왕이 되기 싫다")</f>
        <v>사냥꾼은 마왕이 되기 싫다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 s="2">
        <v>0</v>
      </c>
      <c r="AR2567" t="str">
        <f>T("0000000000000")</f>
        <v>0000000000000</v>
      </c>
      <c r="AT2567" t="str">
        <f>T("9791191039269")</f>
        <v>9791191039269</v>
      </c>
      <c r="AV2567" t="str">
        <f>T("판타지 웹소설 &gt; 정통 판타지")</f>
        <v>판타지 웹소설 &gt; 정통 판타지</v>
      </c>
    </row>
    <row r="2568" spans="1:48" x14ac:dyDescent="0.4">
      <c r="A2568">
        <v>1525011523</v>
      </c>
      <c r="B2568">
        <v>1525011518</v>
      </c>
      <c r="C2568" t="str">
        <f>T("남창목가 6화")</f>
        <v>남창목가 6화</v>
      </c>
      <c r="D2568" t="str">
        <f>T("6")</f>
        <v>6</v>
      </c>
      <c r="E2568" t="str">
        <f>T("최재봉")</f>
        <v>최재봉</v>
      </c>
      <c r="H2568" t="str">
        <f>T("에필로그")</f>
        <v>에필로그</v>
      </c>
      <c r="I2568" t="str">
        <f>T("남창목가")</f>
        <v>남창목가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 s="2">
        <v>0</v>
      </c>
      <c r="AT2568" t="str">
        <f>T("9791164482849")</f>
        <v>9791164482849</v>
      </c>
      <c r="AV2568" t="str">
        <f>T("판타지 웹소설 &gt; 무협 소설")</f>
        <v>판타지 웹소설 &gt; 무협 소설</v>
      </c>
    </row>
    <row r="2569" spans="1:48" x14ac:dyDescent="0.4">
      <c r="A2569">
        <v>1525002864</v>
      </c>
      <c r="B2569">
        <v>1525002876</v>
      </c>
      <c r="C2569" t="str">
        <f>T("소드마스터의 환생 13화")</f>
        <v>소드마스터의 환생 13화</v>
      </c>
      <c r="D2569" t="str">
        <f>T("13")</f>
        <v>13</v>
      </c>
      <c r="E2569" t="str">
        <f>T("파란영")</f>
        <v>파란영</v>
      </c>
      <c r="H2569" t="str">
        <f>T("스토리위즈")</f>
        <v>스토리위즈</v>
      </c>
      <c r="I2569" t="str">
        <f>T("소드마스터의 환생")</f>
        <v>소드마스터의 환생</v>
      </c>
      <c r="J2569">
        <v>0</v>
      </c>
      <c r="K2569">
        <v>0</v>
      </c>
      <c r="L2569">
        <v>0</v>
      </c>
      <c r="M2569">
        <v>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3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 s="2">
        <v>0</v>
      </c>
      <c r="AT2569" t="str">
        <f>T("9791159287527")</f>
        <v>9791159287527</v>
      </c>
      <c r="AV2569" t="str">
        <f>T("판타지 웹소설 &gt; 정통 판타지")</f>
        <v>판타지 웹소설 &gt; 정통 판타지</v>
      </c>
    </row>
    <row r="2570" spans="1:48" x14ac:dyDescent="0.4">
      <c r="A2570">
        <v>1525000158</v>
      </c>
      <c r="B2570">
        <v>1525000169</v>
      </c>
      <c r="C2570" t="str">
        <f>T("[e북]아나크레온 10권")</f>
        <v>[e북]아나크레온 10권</v>
      </c>
      <c r="D2570" t="str">
        <f>T("10")</f>
        <v>10</v>
      </c>
      <c r="E2570" t="str">
        <f>T("김정률")</f>
        <v>김정률</v>
      </c>
      <c r="H2570" t="str">
        <f>T("스토리위즈")</f>
        <v>스토리위즈</v>
      </c>
      <c r="I2570" t="str">
        <f>T("[e북]아나크레온")</f>
        <v>[e북]아나크레온</v>
      </c>
      <c r="J2570">
        <v>3200</v>
      </c>
      <c r="K2570">
        <v>0</v>
      </c>
      <c r="L2570">
        <v>0</v>
      </c>
      <c r="M2570">
        <v>0</v>
      </c>
      <c r="N2570">
        <v>1800</v>
      </c>
      <c r="O2570">
        <v>2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1800</v>
      </c>
      <c r="AH2570">
        <v>2</v>
      </c>
      <c r="AI2570">
        <v>0</v>
      </c>
      <c r="AJ2570">
        <v>0</v>
      </c>
      <c r="AK2570">
        <v>1800</v>
      </c>
      <c r="AL2570">
        <v>0</v>
      </c>
      <c r="AM2570">
        <v>0</v>
      </c>
      <c r="AN2570">
        <v>0</v>
      </c>
      <c r="AO2570">
        <v>0</v>
      </c>
      <c r="AP2570" s="2">
        <v>1260</v>
      </c>
      <c r="AV2570" t="str">
        <f>T("판타지 e북 &gt; 퓨전 판타지")</f>
        <v>판타지 e북 &gt; 퓨전 판타지</v>
      </c>
    </row>
    <row r="2571" spans="1:48" x14ac:dyDescent="0.4">
      <c r="A2571">
        <v>1525001334</v>
      </c>
      <c r="B2571">
        <v>1525001335</v>
      </c>
      <c r="C2571" t="str">
        <f>T("게이트 헌터 2화")</f>
        <v>게이트 헌터 2화</v>
      </c>
      <c r="D2571" t="str">
        <f>T("2")</f>
        <v>2</v>
      </c>
      <c r="E2571" t="str">
        <f>T("권용찬")</f>
        <v>권용찬</v>
      </c>
      <c r="H2571" t="str">
        <f>T("스토리위즈")</f>
        <v>스토리위즈</v>
      </c>
      <c r="I2571" t="str">
        <f>T("게이트 헌터")</f>
        <v>게이트 헌터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 s="2">
        <v>0</v>
      </c>
      <c r="AR2571" t="str">
        <f>T("9791159283291")</f>
        <v>9791159283291</v>
      </c>
      <c r="AT2571" t="str">
        <f>T("9791159283291")</f>
        <v>9791159283291</v>
      </c>
      <c r="AV2571" t="str">
        <f>T("판타지 웹소설 &gt; 현대 판타지")</f>
        <v>판타지 웹소설 &gt; 현대 판타지</v>
      </c>
    </row>
    <row r="2572" spans="1:48" x14ac:dyDescent="0.4">
      <c r="A2572">
        <v>1525008545</v>
      </c>
      <c r="B2572">
        <v>1525008556</v>
      </c>
      <c r="C2572" t="str">
        <f>T("소년연애담 2화")</f>
        <v>소년연애담 2화</v>
      </c>
      <c r="D2572" t="str">
        <f>T("2")</f>
        <v>2</v>
      </c>
      <c r="E2572" t="str">
        <f>T("나나코")</f>
        <v>나나코</v>
      </c>
      <c r="H2572" t="str">
        <f>T("블러쉬")</f>
        <v>블러쉬</v>
      </c>
      <c r="I2572" t="str">
        <f>T("소년연애담")</f>
        <v>소년연애담</v>
      </c>
      <c r="J2572">
        <v>0</v>
      </c>
      <c r="K2572">
        <v>0</v>
      </c>
      <c r="L2572">
        <v>0</v>
      </c>
      <c r="M2572">
        <v>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2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 s="2">
        <v>0</v>
      </c>
      <c r="AR2572" t="str">
        <f>T("0000000000000")</f>
        <v>0000000000000</v>
      </c>
      <c r="AT2572" t="str">
        <f>T("9791164890729")</f>
        <v>9791164890729</v>
      </c>
      <c r="AU2572" t="str">
        <f>T("B12")</f>
        <v>B12</v>
      </c>
      <c r="AV2572" t="str">
        <f>T("BL 웹소설 &gt; 현대물")</f>
        <v>BL 웹소설 &gt; 현대물</v>
      </c>
    </row>
    <row r="2573" spans="1:48" x14ac:dyDescent="0.4">
      <c r="A2573">
        <v>1525010944</v>
      </c>
      <c r="B2573">
        <v>1525010944</v>
      </c>
      <c r="C2573" t="str">
        <f>T("[e북]법보다 주먹 1권")</f>
        <v>[e북]법보다 주먹 1권</v>
      </c>
      <c r="D2573" t="str">
        <f>T("1")</f>
        <v>1</v>
      </c>
      <c r="E2573" t="str">
        <f>T("백범(白帆)")</f>
        <v>백범(白帆)</v>
      </c>
      <c r="H2573" t="str">
        <f>T("에필로그")</f>
        <v>에필로그</v>
      </c>
      <c r="I2573" t="str">
        <f>T("[e북]법보다 주먹")</f>
        <v>[e북]법보다 주먹</v>
      </c>
      <c r="J2573">
        <v>0</v>
      </c>
      <c r="K2573">
        <v>0</v>
      </c>
      <c r="L2573">
        <v>0</v>
      </c>
      <c r="M2573">
        <v>6</v>
      </c>
      <c r="N2573">
        <v>0</v>
      </c>
      <c r="O2573">
        <v>0</v>
      </c>
      <c r="P2573">
        <v>2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8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 s="2">
        <v>0</v>
      </c>
      <c r="AT2573" t="str">
        <f>T("9791164480142")</f>
        <v>9791164480142</v>
      </c>
      <c r="AV2573" t="str">
        <f>T("판타지 e북 &gt; 현대 판타지")</f>
        <v>판타지 e북 &gt; 현대 판타지</v>
      </c>
    </row>
    <row r="2574" spans="1:48" x14ac:dyDescent="0.4">
      <c r="A2574">
        <v>1525010898</v>
      </c>
      <c r="B2574">
        <v>1525010876</v>
      </c>
      <c r="C2574" t="str">
        <f>T("[e북]용병수칙 7권")</f>
        <v>[e북]용병수칙 7권</v>
      </c>
      <c r="D2574" t="str">
        <f>T("7")</f>
        <v>7</v>
      </c>
      <c r="E2574" t="str">
        <f>T("협행마")</f>
        <v>협행마</v>
      </c>
      <c r="H2574" t="str">
        <f>T("에필로그")</f>
        <v>에필로그</v>
      </c>
      <c r="I2574" t="str">
        <f>T("[e북]용병수칙")</f>
        <v>[e북]용병수칙</v>
      </c>
      <c r="J2574">
        <v>2500</v>
      </c>
      <c r="K2574">
        <v>0</v>
      </c>
      <c r="L2574">
        <v>0</v>
      </c>
      <c r="M2574">
        <v>0</v>
      </c>
      <c r="N2574">
        <v>810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810</v>
      </c>
      <c r="AH2574">
        <v>1</v>
      </c>
      <c r="AI2574">
        <v>0</v>
      </c>
      <c r="AJ2574">
        <v>0</v>
      </c>
      <c r="AK2574">
        <v>810</v>
      </c>
      <c r="AL2574">
        <v>0</v>
      </c>
      <c r="AM2574">
        <v>0</v>
      </c>
      <c r="AN2574">
        <v>0</v>
      </c>
      <c r="AO2574">
        <v>0</v>
      </c>
      <c r="AP2574" s="2">
        <v>567</v>
      </c>
      <c r="AT2574" t="str">
        <f>T("9791166000140")</f>
        <v>9791166000140</v>
      </c>
      <c r="AV2574" t="str">
        <f>T("판타지 e북 &gt; 퓨전 판타지")</f>
        <v>판타지 e북 &gt; 퓨전 판타지</v>
      </c>
    </row>
    <row r="2575" spans="1:48" x14ac:dyDescent="0.4">
      <c r="A2575">
        <v>1525001908</v>
      </c>
      <c r="B2575">
        <v>1525001910</v>
      </c>
      <c r="C2575" t="str">
        <f>T("[e북]상왕 진우몽 3권")</f>
        <v>[e북]상왕 진우몽 3권</v>
      </c>
      <c r="D2575" t="str">
        <f>T("3")</f>
        <v>3</v>
      </c>
      <c r="E2575" t="str">
        <f>T("권용찬")</f>
        <v>권용찬</v>
      </c>
      <c r="H2575" t="str">
        <f t="shared" ref="H2575:H2580" si="227">T("스토리위즈")</f>
        <v>스토리위즈</v>
      </c>
      <c r="I2575" t="str">
        <f>T("[e북]상왕 진우몽")</f>
        <v>[e북]상왕 진우몽</v>
      </c>
      <c r="J2575">
        <v>3200</v>
      </c>
      <c r="K2575">
        <v>0</v>
      </c>
      <c r="L2575">
        <v>0</v>
      </c>
      <c r="M2575">
        <v>0</v>
      </c>
      <c r="N2575">
        <v>900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900</v>
      </c>
      <c r="AH2575">
        <v>1</v>
      </c>
      <c r="AI2575">
        <v>0</v>
      </c>
      <c r="AJ2575">
        <v>0</v>
      </c>
      <c r="AK2575">
        <v>900</v>
      </c>
      <c r="AL2575">
        <v>0</v>
      </c>
      <c r="AM2575">
        <v>0</v>
      </c>
      <c r="AN2575">
        <v>0</v>
      </c>
      <c r="AO2575">
        <v>0</v>
      </c>
      <c r="AP2575" s="2">
        <v>630</v>
      </c>
      <c r="AT2575" t="str">
        <f>T("9791159285851")</f>
        <v>9791159285851</v>
      </c>
      <c r="AV2575" t="str">
        <f>T("판타지 e북 &gt; 신무협")</f>
        <v>판타지 e북 &gt; 신무협</v>
      </c>
    </row>
    <row r="2576" spans="1:48" x14ac:dyDescent="0.4">
      <c r="A2576">
        <v>1525004988</v>
      </c>
      <c r="B2576">
        <v>1525005290</v>
      </c>
      <c r="C2576" t="str">
        <f>T("용무쌍 3화")</f>
        <v>용무쌍 3화</v>
      </c>
      <c r="D2576" t="str">
        <f>T("3")</f>
        <v>3</v>
      </c>
      <c r="E2576" t="str">
        <f>T("권용찬")</f>
        <v>권용찬</v>
      </c>
      <c r="H2576" t="str">
        <f t="shared" si="227"/>
        <v>스토리위즈</v>
      </c>
      <c r="I2576" t="str">
        <f>T("용무쌍")</f>
        <v>용무쌍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s="2">
        <v>0</v>
      </c>
      <c r="AT2576" t="str">
        <f>T("9791159284861")</f>
        <v>9791159284861</v>
      </c>
      <c r="AV2576" t="str">
        <f>T("판타지 웹소설 &gt; 무협 소설")</f>
        <v>판타지 웹소설 &gt; 무협 소설</v>
      </c>
    </row>
    <row r="2577" spans="1:49" x14ac:dyDescent="0.4">
      <c r="A2577">
        <v>1525002409</v>
      </c>
      <c r="B2577">
        <v>1525002427</v>
      </c>
      <c r="C2577" t="str">
        <f>T("스포트라이트 19화")</f>
        <v>스포트라이트 19화</v>
      </c>
      <c r="D2577" t="str">
        <f>T("19")</f>
        <v>19</v>
      </c>
      <c r="E2577" t="str">
        <f>T("전혁")</f>
        <v>전혁</v>
      </c>
      <c r="H2577" t="str">
        <f t="shared" si="227"/>
        <v>스토리위즈</v>
      </c>
      <c r="I2577" t="str">
        <f>T("스포트라이트")</f>
        <v>스포트라이트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s="2">
        <v>0</v>
      </c>
      <c r="AT2577" t="str">
        <f>T("9791159286841")</f>
        <v>9791159286841</v>
      </c>
      <c r="AV2577" t="str">
        <f>T("판타지 웹소설 &gt; 현대 판타지")</f>
        <v>판타지 웹소설 &gt; 현대 판타지</v>
      </c>
    </row>
    <row r="2578" spans="1:49" x14ac:dyDescent="0.4">
      <c r="A2578">
        <v>1525001499</v>
      </c>
      <c r="B2578">
        <v>1525001505</v>
      </c>
      <c r="C2578" t="str">
        <f>T("[e북]파계 7권")</f>
        <v>[e북]파계 7권</v>
      </c>
      <c r="D2578" t="str">
        <f>T("7")</f>
        <v>7</v>
      </c>
      <c r="E2578" t="str">
        <f>T("권용찬")</f>
        <v>권용찬</v>
      </c>
      <c r="H2578" t="str">
        <f t="shared" si="227"/>
        <v>스토리위즈</v>
      </c>
      <c r="I2578" t="str">
        <f>T("[e북]파계")</f>
        <v>[e북]파계</v>
      </c>
      <c r="J2578">
        <v>3200</v>
      </c>
      <c r="K2578">
        <v>0</v>
      </c>
      <c r="L2578">
        <v>0</v>
      </c>
      <c r="M2578">
        <v>0</v>
      </c>
      <c r="N2578">
        <v>900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900</v>
      </c>
      <c r="AH2578">
        <v>1</v>
      </c>
      <c r="AI2578">
        <v>0</v>
      </c>
      <c r="AJ2578">
        <v>0</v>
      </c>
      <c r="AK2578">
        <v>900</v>
      </c>
      <c r="AL2578">
        <v>0</v>
      </c>
      <c r="AM2578">
        <v>0</v>
      </c>
      <c r="AN2578">
        <v>0</v>
      </c>
      <c r="AO2578">
        <v>0</v>
      </c>
      <c r="AP2578" s="2">
        <v>630</v>
      </c>
      <c r="AT2578" t="str">
        <f>T("9791159282799")</f>
        <v>9791159282799</v>
      </c>
      <c r="AV2578" t="str">
        <f>T("판타지 e북 &gt; 신무협")</f>
        <v>판타지 e북 &gt; 신무협</v>
      </c>
    </row>
    <row r="2579" spans="1:49" x14ac:dyDescent="0.4">
      <c r="A2579">
        <v>1525000055</v>
      </c>
      <c r="B2579">
        <v>1525000064</v>
      </c>
      <c r="C2579" t="str">
        <f>T("[e북]21세기 대마법사 9권")</f>
        <v>[e북]21세기 대마법사 9권</v>
      </c>
      <c r="D2579" t="str">
        <f>T("9")</f>
        <v>9</v>
      </c>
      <c r="E2579" t="str">
        <f>T("김광수")</f>
        <v>김광수</v>
      </c>
      <c r="H2579" t="str">
        <f t="shared" si="227"/>
        <v>스토리위즈</v>
      </c>
      <c r="I2579" t="str">
        <f>T("[e북]21세기 대마법사")</f>
        <v>[e북]21세기 대마법사</v>
      </c>
      <c r="J2579">
        <v>3200</v>
      </c>
      <c r="K2579">
        <v>0</v>
      </c>
      <c r="L2579">
        <v>0</v>
      </c>
      <c r="M2579">
        <v>0</v>
      </c>
      <c r="N2579">
        <v>9900</v>
      </c>
      <c r="O2579">
        <v>11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9900</v>
      </c>
      <c r="AH2579">
        <v>11</v>
      </c>
      <c r="AI2579">
        <v>0</v>
      </c>
      <c r="AJ2579">
        <v>0</v>
      </c>
      <c r="AK2579">
        <v>9000</v>
      </c>
      <c r="AL2579">
        <v>0</v>
      </c>
      <c r="AM2579">
        <v>900</v>
      </c>
      <c r="AN2579">
        <v>0</v>
      </c>
      <c r="AO2579">
        <v>0</v>
      </c>
      <c r="AP2579" s="2">
        <v>6930</v>
      </c>
      <c r="AT2579" t="str">
        <f>T("9788925118567")</f>
        <v>9788925118567</v>
      </c>
      <c r="AV2579" t="str">
        <f>T("판타지 e북 &gt; 퓨전 판타지")</f>
        <v>판타지 e북 &gt; 퓨전 판타지</v>
      </c>
    </row>
    <row r="2580" spans="1:49" x14ac:dyDescent="0.4">
      <c r="A2580">
        <v>1525002864</v>
      </c>
      <c r="B2580">
        <v>1525002869</v>
      </c>
      <c r="C2580" t="str">
        <f>T("소드마스터의 환생 6화")</f>
        <v>소드마스터의 환생 6화</v>
      </c>
      <c r="D2580" t="str">
        <f>T("6")</f>
        <v>6</v>
      </c>
      <c r="E2580" t="str">
        <f>T("파란영")</f>
        <v>파란영</v>
      </c>
      <c r="H2580" t="str">
        <f t="shared" si="227"/>
        <v>스토리위즈</v>
      </c>
      <c r="I2580" t="str">
        <f>T("소드마스터의 환생")</f>
        <v>소드마스터의 환생</v>
      </c>
      <c r="J2580">
        <v>0</v>
      </c>
      <c r="K2580">
        <v>0</v>
      </c>
      <c r="L2580">
        <v>0</v>
      </c>
      <c r="M2580">
        <v>5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5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 s="2">
        <v>0</v>
      </c>
      <c r="AT2580" t="str">
        <f>T("9791159287527")</f>
        <v>9791159287527</v>
      </c>
      <c r="AV2580" t="str">
        <f>T("판타지 웹소설 &gt; 정통 판타지")</f>
        <v>판타지 웹소설 &gt; 정통 판타지</v>
      </c>
    </row>
    <row r="2581" spans="1:49" x14ac:dyDescent="0.4">
      <c r="A2581">
        <v>1525013344</v>
      </c>
      <c r="B2581">
        <v>1525013347</v>
      </c>
      <c r="C2581" t="str">
        <f>T("[e북]진짜 사나이 4권")</f>
        <v>[e북]진짜 사나이 4권</v>
      </c>
      <c r="D2581" t="str">
        <f>T("4")</f>
        <v>4</v>
      </c>
      <c r="E2581" t="str">
        <f>T("백범(白帆)")</f>
        <v>백범(白帆)</v>
      </c>
      <c r="H2581" t="str">
        <f>T("에필로그")</f>
        <v>에필로그</v>
      </c>
      <c r="I2581" t="str">
        <f>T("[e북]진짜 사나이")</f>
        <v>[e북]진짜 사나이</v>
      </c>
      <c r="J2581">
        <v>2000</v>
      </c>
      <c r="K2581">
        <v>0</v>
      </c>
      <c r="L2581">
        <v>0</v>
      </c>
      <c r="M2581">
        <v>0</v>
      </c>
      <c r="N2581">
        <v>2700</v>
      </c>
      <c r="O2581">
        <v>3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2700</v>
      </c>
      <c r="AH2581">
        <v>3</v>
      </c>
      <c r="AI2581">
        <v>0</v>
      </c>
      <c r="AJ2581">
        <v>0</v>
      </c>
      <c r="AK2581">
        <v>2700</v>
      </c>
      <c r="AL2581">
        <v>0</v>
      </c>
      <c r="AM2581">
        <v>0</v>
      </c>
      <c r="AN2581">
        <v>0</v>
      </c>
      <c r="AO2581">
        <v>0</v>
      </c>
      <c r="AP2581" s="2">
        <v>1890</v>
      </c>
      <c r="AT2581" t="str">
        <f>T("9791164480555")</f>
        <v>9791164480555</v>
      </c>
      <c r="AV2581" t="str">
        <f>T("판타지 e북 &gt; 퓨전 판타지")</f>
        <v>판타지 e북 &gt; 퓨전 판타지</v>
      </c>
    </row>
    <row r="2582" spans="1:49" x14ac:dyDescent="0.4">
      <c r="A2582">
        <v>1525000113</v>
      </c>
      <c r="B2582">
        <v>1525000122</v>
      </c>
      <c r="C2582" t="str">
        <f>T("[e북]마왕 데이몬 10권")</f>
        <v>[e북]마왕 데이몬 10권</v>
      </c>
      <c r="D2582" t="str">
        <f>T("10")</f>
        <v>10</v>
      </c>
      <c r="E2582" t="str">
        <f>T("김정률")</f>
        <v>김정률</v>
      </c>
      <c r="H2582" t="str">
        <f>T("스토리위즈")</f>
        <v>스토리위즈</v>
      </c>
      <c r="I2582" t="str">
        <f>T("[e북]마왕 데이몬")</f>
        <v>[e북]마왕 데이몬</v>
      </c>
      <c r="J2582">
        <v>3200</v>
      </c>
      <c r="K2582">
        <v>0</v>
      </c>
      <c r="L2582">
        <v>0</v>
      </c>
      <c r="M2582">
        <v>0</v>
      </c>
      <c r="N2582">
        <v>2700</v>
      </c>
      <c r="O2582">
        <v>3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2700</v>
      </c>
      <c r="AH2582">
        <v>3</v>
      </c>
      <c r="AI2582">
        <v>0</v>
      </c>
      <c r="AJ2582">
        <v>0</v>
      </c>
      <c r="AK2582">
        <v>2700</v>
      </c>
      <c r="AL2582">
        <v>0</v>
      </c>
      <c r="AM2582">
        <v>0</v>
      </c>
      <c r="AN2582">
        <v>0</v>
      </c>
      <c r="AO2582">
        <v>0</v>
      </c>
      <c r="AP2582" s="2">
        <v>1890</v>
      </c>
      <c r="AT2582" t="str">
        <f>T("9788925727370")</f>
        <v>9788925727370</v>
      </c>
      <c r="AV2582" t="str">
        <f>T("판타지 e북 &gt; 현대 판타지")</f>
        <v>판타지 e북 &gt; 현대 판타지</v>
      </c>
    </row>
    <row r="2583" spans="1:49" x14ac:dyDescent="0.4">
      <c r="A2583">
        <v>1525012005</v>
      </c>
      <c r="B2583">
        <v>1525012003</v>
      </c>
      <c r="C2583" t="str">
        <f>T("[e북]남궁세가 건달공자 3권")</f>
        <v>[e북]남궁세가 건달공자 3권</v>
      </c>
      <c r="D2583" t="str">
        <f>T("3")</f>
        <v>3</v>
      </c>
      <c r="E2583" t="str">
        <f>T("협행마")</f>
        <v>협행마</v>
      </c>
      <c r="H2583" t="str">
        <f>T("에필로그")</f>
        <v>에필로그</v>
      </c>
      <c r="I2583" t="str">
        <f>T("[e북]남궁세가 건달공자")</f>
        <v>[e북]남궁세가 건달공자</v>
      </c>
      <c r="J2583">
        <v>2500</v>
      </c>
      <c r="K2583">
        <v>0</v>
      </c>
      <c r="L2583">
        <v>0</v>
      </c>
      <c r="M2583">
        <v>0</v>
      </c>
      <c r="N2583">
        <v>900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900</v>
      </c>
      <c r="AH2583">
        <v>1</v>
      </c>
      <c r="AI2583">
        <v>0</v>
      </c>
      <c r="AJ2583">
        <v>0</v>
      </c>
      <c r="AK2583">
        <v>900</v>
      </c>
      <c r="AL2583">
        <v>0</v>
      </c>
      <c r="AM2583">
        <v>0</v>
      </c>
      <c r="AN2583">
        <v>0</v>
      </c>
      <c r="AO2583">
        <v>0</v>
      </c>
      <c r="AP2583" s="2">
        <v>630</v>
      </c>
      <c r="AR2583" t="str">
        <f>T("9791164481576")</f>
        <v>9791164481576</v>
      </c>
      <c r="AT2583" t="str">
        <f>T("9791164481576")</f>
        <v>9791164481576</v>
      </c>
      <c r="AV2583" t="str">
        <f>T("판타지 e북 &gt; 신무협")</f>
        <v>판타지 e북 &gt; 신무협</v>
      </c>
    </row>
    <row r="2584" spans="1:49" x14ac:dyDescent="0.4">
      <c r="A2584">
        <v>1525001317</v>
      </c>
      <c r="B2584">
        <v>1525001326</v>
      </c>
      <c r="C2584" t="str">
        <f>T("[e북]완전판 | 스트라이커 10권")</f>
        <v>[e북]완전판 | 스트라이커 10권</v>
      </c>
      <c r="D2584" t="str">
        <f>T("10")</f>
        <v>10</v>
      </c>
      <c r="E2584" t="str">
        <f>T("독고진")</f>
        <v>독고진</v>
      </c>
      <c r="H2584" t="str">
        <f>T("스토리위즈")</f>
        <v>스토리위즈</v>
      </c>
      <c r="I2584" t="str">
        <f>T("[e북]완전판 | 스트라이커")</f>
        <v>[e북]완전판 | 스트라이커</v>
      </c>
      <c r="J2584">
        <v>3200</v>
      </c>
      <c r="K2584">
        <v>0</v>
      </c>
      <c r="L2584">
        <v>0</v>
      </c>
      <c r="M2584">
        <v>0</v>
      </c>
      <c r="N2584">
        <v>5400</v>
      </c>
      <c r="O2584">
        <v>6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5400</v>
      </c>
      <c r="AH2584">
        <v>6</v>
      </c>
      <c r="AI2584">
        <v>0</v>
      </c>
      <c r="AJ2584">
        <v>0</v>
      </c>
      <c r="AK2584">
        <v>4500</v>
      </c>
      <c r="AL2584">
        <v>0</v>
      </c>
      <c r="AM2584">
        <v>1080</v>
      </c>
      <c r="AN2584">
        <v>-324</v>
      </c>
      <c r="AO2584">
        <v>0</v>
      </c>
      <c r="AP2584" s="2">
        <v>3679.2</v>
      </c>
      <c r="AR2584" t="str">
        <f>T("9791159282928")</f>
        <v>9791159282928</v>
      </c>
      <c r="AT2584" t="str">
        <f>T("9791159282928")</f>
        <v>9791159282928</v>
      </c>
      <c r="AV2584" t="str">
        <f>T("판타지 e북 &gt; 스포츠물")</f>
        <v>판타지 e북 &gt; 스포츠물</v>
      </c>
    </row>
    <row r="2585" spans="1:49" x14ac:dyDescent="0.4">
      <c r="A2585">
        <v>1525004989</v>
      </c>
      <c r="B2585">
        <v>1525005509</v>
      </c>
      <c r="C2585" t="str">
        <f>T("신룡전설 20화")</f>
        <v>신룡전설 20화</v>
      </c>
      <c r="D2585" t="str">
        <f>T("20")</f>
        <v>20</v>
      </c>
      <c r="E2585" t="str">
        <f>T("가람검")</f>
        <v>가람검</v>
      </c>
      <c r="H2585" t="str">
        <f>T("스토리위즈")</f>
        <v>스토리위즈</v>
      </c>
      <c r="I2585" t="str">
        <f>T("신룡전설")</f>
        <v>신룡전설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 s="2">
        <v>0</v>
      </c>
      <c r="AT2585" t="str">
        <f>T("9791159283505")</f>
        <v>9791159283505</v>
      </c>
      <c r="AV2585" t="str">
        <f>T("판타지 웹소설 &gt; 무협 소설")</f>
        <v>판타지 웹소설 &gt; 무협 소설</v>
      </c>
    </row>
    <row r="2586" spans="1:49" x14ac:dyDescent="0.4">
      <c r="A2586">
        <v>1525000001</v>
      </c>
      <c r="B2586">
        <v>1525000002</v>
      </c>
      <c r="C2586" t="str">
        <f>T("[e북]마스터 K 2권")</f>
        <v>[e북]마스터 K 2권</v>
      </c>
      <c r="D2586" t="str">
        <f>T("2")</f>
        <v>2</v>
      </c>
      <c r="E2586" t="str">
        <f>T("김광수")</f>
        <v>김광수</v>
      </c>
      <c r="H2586" t="str">
        <f>T("스토리위즈")</f>
        <v>스토리위즈</v>
      </c>
      <c r="I2586" t="str">
        <f>T("[e북]마스터 K")</f>
        <v>[e북]마스터 K</v>
      </c>
      <c r="J2586">
        <v>3200</v>
      </c>
      <c r="K2586">
        <v>0</v>
      </c>
      <c r="L2586">
        <v>0</v>
      </c>
      <c r="M2586">
        <v>0</v>
      </c>
      <c r="N2586">
        <v>900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900</v>
      </c>
      <c r="AH2586">
        <v>1</v>
      </c>
      <c r="AI2586">
        <v>0</v>
      </c>
      <c r="AJ2586">
        <v>0</v>
      </c>
      <c r="AK2586">
        <v>900</v>
      </c>
      <c r="AL2586">
        <v>0</v>
      </c>
      <c r="AM2586">
        <v>0</v>
      </c>
      <c r="AN2586">
        <v>0</v>
      </c>
      <c r="AO2586">
        <v>0</v>
      </c>
      <c r="AP2586" s="2">
        <v>630</v>
      </c>
      <c r="AV2586" t="str">
        <f>T("판타지 e북 &gt; 스포츠물")</f>
        <v>판타지 e북 &gt; 스포츠물</v>
      </c>
    </row>
    <row r="2587" spans="1:49" x14ac:dyDescent="0.4">
      <c r="A2587">
        <v>1525008604</v>
      </c>
      <c r="B2587">
        <v>1525008615</v>
      </c>
      <c r="C2587" t="str">
        <f>T("우아한 곡선 2화")</f>
        <v>우아한 곡선 2화</v>
      </c>
      <c r="D2587" t="str">
        <f>T("2")</f>
        <v>2</v>
      </c>
      <c r="E2587" t="str">
        <f>T("용가리맛쿠키")</f>
        <v>용가리맛쿠키</v>
      </c>
      <c r="H2587" t="str">
        <f>T("블러쉬")</f>
        <v>블러쉬</v>
      </c>
      <c r="I2587" t="str">
        <f>T("우아한 곡선")</f>
        <v>우아한 곡선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 s="2">
        <v>0</v>
      </c>
      <c r="AR2587" t="str">
        <f>T("0000000000000")</f>
        <v>0000000000000</v>
      </c>
      <c r="AT2587" t="str">
        <f>T("9791164896615")</f>
        <v>9791164896615</v>
      </c>
      <c r="AV2587" t="str">
        <f>T("BL 웹소설 &gt; 현대물")</f>
        <v>BL 웹소설 &gt; 현대물</v>
      </c>
    </row>
    <row r="2588" spans="1:49" x14ac:dyDescent="0.4">
      <c r="A2588">
        <v>1525010579</v>
      </c>
      <c r="B2588">
        <v>1525010576</v>
      </c>
      <c r="C2588" t="str">
        <f>T("법보다 주먹 2화")</f>
        <v>법보다 주먹 2화</v>
      </c>
      <c r="D2588" t="str">
        <f>T("2")</f>
        <v>2</v>
      </c>
      <c r="E2588" t="str">
        <f>T("백범(白帆)")</f>
        <v>백범(白帆)</v>
      </c>
      <c r="H2588" t="str">
        <f>T("에필로그")</f>
        <v>에필로그</v>
      </c>
      <c r="I2588" t="str">
        <f>T("법보다 주먹")</f>
        <v>법보다 주먹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 s="2">
        <v>0</v>
      </c>
      <c r="AT2588" t="str">
        <f>T("9791164489367")</f>
        <v>9791164489367</v>
      </c>
      <c r="AV2588" t="str">
        <f>T("판타지 웹소설 &gt; 현대 판타지")</f>
        <v>판타지 웹소설 &gt; 현대 판타지</v>
      </c>
    </row>
    <row r="2589" spans="1:49" x14ac:dyDescent="0.4">
      <c r="A2589">
        <v>1525001836</v>
      </c>
      <c r="B2589">
        <v>1525001842</v>
      </c>
      <c r="C2589" t="str">
        <f>T("[e북]완전판ㅣ스피릿 소드 7권")</f>
        <v>[e북]완전판ㅣ스피릿 소드 7권</v>
      </c>
      <c r="D2589" t="str">
        <f>T("7")</f>
        <v>7</v>
      </c>
      <c r="E2589" t="str">
        <f>T("김정률")</f>
        <v>김정률</v>
      </c>
      <c r="H2589" t="str">
        <f>T("스토리위즈")</f>
        <v>스토리위즈</v>
      </c>
      <c r="I2589" t="str">
        <f>T("[e북]완전판ㅣ스피릿 소드")</f>
        <v>[e북]완전판ㅣ스피릿 소드</v>
      </c>
      <c r="J2589">
        <v>3200</v>
      </c>
      <c r="K2589">
        <v>0</v>
      </c>
      <c r="L2589">
        <v>0</v>
      </c>
      <c r="M2589">
        <v>0</v>
      </c>
      <c r="N2589">
        <v>6300</v>
      </c>
      <c r="O2589">
        <v>7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6300</v>
      </c>
      <c r="AH2589">
        <v>7</v>
      </c>
      <c r="AI2589">
        <v>0</v>
      </c>
      <c r="AJ2589">
        <v>0</v>
      </c>
      <c r="AK2589">
        <v>5000</v>
      </c>
      <c r="AL2589">
        <v>0</v>
      </c>
      <c r="AM2589">
        <v>1300</v>
      </c>
      <c r="AN2589">
        <v>0</v>
      </c>
      <c r="AO2589">
        <v>0</v>
      </c>
      <c r="AP2589" s="2">
        <v>4410</v>
      </c>
      <c r="AT2589" t="str">
        <f>T("9791159285288")</f>
        <v>9791159285288</v>
      </c>
      <c r="AV2589" t="str">
        <f>T("판타지 e북 &gt; 정통 판타지")</f>
        <v>판타지 e북 &gt; 정통 판타지</v>
      </c>
    </row>
    <row r="2590" spans="1:49" x14ac:dyDescent="0.4">
      <c r="A2590">
        <v>1525007798</v>
      </c>
      <c r="B2590">
        <v>1525007799</v>
      </c>
      <c r="C2590" t="str">
        <f>T("[e북]벗어 주세요 (외전)")</f>
        <v>[e북]벗어 주세요 (외전)</v>
      </c>
      <c r="D2590" t="str">
        <f>T("2")</f>
        <v>2</v>
      </c>
      <c r="E2590" t="str">
        <f>T("주해나")</f>
        <v>주해나</v>
      </c>
      <c r="H2590" t="str">
        <f>T("쉬라즈")</f>
        <v>쉬라즈</v>
      </c>
      <c r="I2590" t="str">
        <f>T("[e북]벗어 주세요")</f>
        <v>[e북]벗어 주세요</v>
      </c>
      <c r="J2590">
        <v>0</v>
      </c>
      <c r="K2590">
        <v>0</v>
      </c>
      <c r="L2590">
        <v>0</v>
      </c>
      <c r="M2590">
        <v>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5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 s="2">
        <v>0</v>
      </c>
      <c r="AR2590" t="str">
        <f>T("0000000000000")</f>
        <v>0000000000000</v>
      </c>
      <c r="AT2590" t="str">
        <f>T("9791164897353")</f>
        <v>9791164897353</v>
      </c>
      <c r="AV2590" t="str">
        <f>T("로맨스 e북 &gt; 현대물")</f>
        <v>로맨스 e북 &gt; 현대물</v>
      </c>
      <c r="AW2590" t="str">
        <f>T("로맨스 e북 &gt; 19+")</f>
        <v>로맨스 e북 &gt; 19+</v>
      </c>
    </row>
    <row r="2591" spans="1:49" x14ac:dyDescent="0.4">
      <c r="A2591">
        <v>1525004799</v>
      </c>
      <c r="B2591">
        <v>1525004799</v>
      </c>
      <c r="C2591" t="str">
        <f>T("검산도해 1화")</f>
        <v>검산도해 1화</v>
      </c>
      <c r="D2591" t="str">
        <f>T("1")</f>
        <v>1</v>
      </c>
      <c r="E2591" t="str">
        <f>T("권용찬")</f>
        <v>권용찬</v>
      </c>
      <c r="H2591" t="str">
        <f>T("스토리위즈")</f>
        <v>스토리위즈</v>
      </c>
      <c r="I2591" t="str">
        <f>T("검산도해")</f>
        <v>검산도해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 s="2">
        <v>0</v>
      </c>
      <c r="AT2591" t="str">
        <f>T("9791159285936")</f>
        <v>9791159285936</v>
      </c>
      <c r="AV2591" t="str">
        <f>T("판타지 웹소설 &gt; 무협 소설")</f>
        <v>판타지 웹소설 &gt; 무협 소설</v>
      </c>
    </row>
    <row r="2592" spans="1:49" x14ac:dyDescent="0.4">
      <c r="A2592">
        <v>1525002409</v>
      </c>
      <c r="B2592">
        <v>1525002420</v>
      </c>
      <c r="C2592" t="str">
        <f>T("스포트라이트 12화")</f>
        <v>스포트라이트 12화</v>
      </c>
      <c r="D2592" t="str">
        <f>T("12")</f>
        <v>12</v>
      </c>
      <c r="E2592" t="str">
        <f>T("전혁")</f>
        <v>전혁</v>
      </c>
      <c r="H2592" t="str">
        <f>T("스토리위즈")</f>
        <v>스토리위즈</v>
      </c>
      <c r="I2592" t="str">
        <f>T("스포트라이트")</f>
        <v>스포트라이트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 s="2">
        <v>0</v>
      </c>
      <c r="AT2592" t="str">
        <f>T("9791159286841")</f>
        <v>9791159286841</v>
      </c>
      <c r="AV2592" t="str">
        <f>T("판타지 웹소설 &gt; 현대 판타지")</f>
        <v>판타지 웹소설 &gt; 현대 판타지</v>
      </c>
    </row>
    <row r="2593" spans="1:48" x14ac:dyDescent="0.4">
      <c r="A2593">
        <v>1525001493</v>
      </c>
      <c r="B2593">
        <v>1525001494</v>
      </c>
      <c r="C2593" t="str">
        <f>T("[e북]수적왕 2권")</f>
        <v>[e북]수적왕 2권</v>
      </c>
      <c r="D2593" t="str">
        <f>T("2")</f>
        <v>2</v>
      </c>
      <c r="E2593" t="str">
        <f>T("권용찬")</f>
        <v>권용찬</v>
      </c>
      <c r="H2593" t="str">
        <f>T("스토리위즈")</f>
        <v>스토리위즈</v>
      </c>
      <c r="I2593" t="str">
        <f>T("[e북]수적왕")</f>
        <v>[e북]수적왕</v>
      </c>
      <c r="J2593">
        <v>3200</v>
      </c>
      <c r="K2593">
        <v>0</v>
      </c>
      <c r="L2593">
        <v>0</v>
      </c>
      <c r="M2593">
        <v>0</v>
      </c>
      <c r="N2593">
        <v>900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900</v>
      </c>
      <c r="AH2593">
        <v>1</v>
      </c>
      <c r="AI2593">
        <v>0</v>
      </c>
      <c r="AJ2593">
        <v>0</v>
      </c>
      <c r="AK2593">
        <v>900</v>
      </c>
      <c r="AL2593">
        <v>0</v>
      </c>
      <c r="AM2593">
        <v>0</v>
      </c>
      <c r="AN2593">
        <v>0</v>
      </c>
      <c r="AO2593">
        <v>0</v>
      </c>
      <c r="AP2593" s="2">
        <v>630</v>
      </c>
      <c r="AT2593" t="str">
        <f>T("9791159282218")</f>
        <v>9791159282218</v>
      </c>
      <c r="AV2593" t="str">
        <f>T("판타지 e북 &gt; 신무협")</f>
        <v>판타지 e북 &gt; 신무협</v>
      </c>
    </row>
    <row r="2594" spans="1:48" x14ac:dyDescent="0.4">
      <c r="A2594">
        <v>1525010944</v>
      </c>
      <c r="B2594">
        <v>1525010929</v>
      </c>
      <c r="C2594" t="str">
        <f>T("[e북]법보다 주먹 16권")</f>
        <v>[e북]법보다 주먹 16권</v>
      </c>
      <c r="D2594" t="str">
        <f>T("16")</f>
        <v>16</v>
      </c>
      <c r="E2594" t="str">
        <f>T("백범(白帆)")</f>
        <v>백범(白帆)</v>
      </c>
      <c r="H2594" t="str">
        <f>T("에필로그")</f>
        <v>에필로그</v>
      </c>
      <c r="I2594" t="str">
        <f>T("[e북]법보다 주먹")</f>
        <v>[e북]법보다 주먹</v>
      </c>
      <c r="J2594">
        <v>2000</v>
      </c>
      <c r="K2594">
        <v>0</v>
      </c>
      <c r="L2594">
        <v>0</v>
      </c>
      <c r="M2594">
        <v>0</v>
      </c>
      <c r="N2594">
        <v>3600</v>
      </c>
      <c r="O2594">
        <v>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3600</v>
      </c>
      <c r="AH2594">
        <v>4</v>
      </c>
      <c r="AI2594">
        <v>0</v>
      </c>
      <c r="AJ2594">
        <v>0</v>
      </c>
      <c r="AK2594">
        <v>3600</v>
      </c>
      <c r="AL2594">
        <v>0</v>
      </c>
      <c r="AM2594">
        <v>0</v>
      </c>
      <c r="AN2594">
        <v>0</v>
      </c>
      <c r="AO2594">
        <v>0</v>
      </c>
      <c r="AP2594" s="2">
        <v>2520</v>
      </c>
      <c r="AT2594" t="str">
        <f>T("9791164480142")</f>
        <v>9791164480142</v>
      </c>
      <c r="AV2594" t="str">
        <f>T("판타지 e북 &gt; 현대 판타지")</f>
        <v>판타지 e북 &gt; 현대 판타지</v>
      </c>
    </row>
    <row r="2595" spans="1:48" x14ac:dyDescent="0.4">
      <c r="A2595">
        <v>1525000924</v>
      </c>
      <c r="B2595">
        <v>1525000924</v>
      </c>
      <c r="C2595" t="str">
        <f>T("스피릿 소드 1화")</f>
        <v>스피릿 소드 1화</v>
      </c>
      <c r="D2595" t="str">
        <f>T("1")</f>
        <v>1</v>
      </c>
      <c r="E2595" t="str">
        <f>T("김정률")</f>
        <v>김정률</v>
      </c>
      <c r="H2595" t="str">
        <f>T("스토리위즈")</f>
        <v>스토리위즈</v>
      </c>
      <c r="I2595" t="str">
        <f>T("스피릿 소드")</f>
        <v>스피릿 소드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 s="2">
        <v>0</v>
      </c>
      <c r="AR2595" t="str">
        <f>T("9791159282713")</f>
        <v>9791159282713</v>
      </c>
      <c r="AT2595" t="str">
        <f>T("9791159282713")</f>
        <v>9791159282713</v>
      </c>
      <c r="AV2595" t="str">
        <f>T("판타지 웹소설 &gt; 정통 판타지")</f>
        <v>판타지 웹소설 &gt; 정통 판타지</v>
      </c>
    </row>
    <row r="2596" spans="1:48" x14ac:dyDescent="0.4">
      <c r="A2596">
        <v>1525004030</v>
      </c>
      <c r="B2596">
        <v>1525004037</v>
      </c>
      <c r="C2596" t="str">
        <f>T("회귀의 전설 8화")</f>
        <v>회귀의 전설 8화</v>
      </c>
      <c r="D2596" t="str">
        <f>T("8")</f>
        <v>8</v>
      </c>
      <c r="E2596" t="str">
        <f>T("김광수")</f>
        <v>김광수</v>
      </c>
      <c r="H2596" t="str">
        <f>T("스토리위즈")</f>
        <v>스토리위즈</v>
      </c>
      <c r="I2596" t="str">
        <f>T("회귀의 전설")</f>
        <v>회귀의 전설</v>
      </c>
      <c r="J2596">
        <v>0</v>
      </c>
      <c r="K2596">
        <v>0</v>
      </c>
      <c r="L2596">
        <v>0</v>
      </c>
      <c r="M2596">
        <v>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 s="2">
        <v>0</v>
      </c>
      <c r="AT2596" t="str">
        <f>T("9788997946006")</f>
        <v>9788997946006</v>
      </c>
      <c r="AV2596" t="str">
        <f>T("판타지 웹소설 &gt; 현대 판타지")</f>
        <v>판타지 웹소설 &gt; 현대 판타지</v>
      </c>
    </row>
    <row r="2597" spans="1:48" x14ac:dyDescent="0.4">
      <c r="A2597">
        <v>1525002125</v>
      </c>
      <c r="B2597">
        <v>1525002138</v>
      </c>
      <c r="C2597" t="str">
        <f>T("신을 죽이러 갑니다 14화")</f>
        <v>신을 죽이러 갑니다 14화</v>
      </c>
      <c r="D2597" t="str">
        <f>T("14")</f>
        <v>14</v>
      </c>
      <c r="E2597" t="str">
        <f>T("독고진")</f>
        <v>독고진</v>
      </c>
      <c r="H2597" t="str">
        <f>T("스토리위즈")</f>
        <v>스토리위즈</v>
      </c>
      <c r="I2597" t="str">
        <f>T("신을 죽이러 갑니다")</f>
        <v>신을 죽이러 갑니다</v>
      </c>
      <c r="J2597">
        <v>0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 s="2">
        <v>0</v>
      </c>
      <c r="AT2597" t="str">
        <f>T("9791159285806")</f>
        <v>9791159285806</v>
      </c>
      <c r="AV2597" t="str">
        <f>T("판타지 웹소설 &gt; 퓨전 판타지")</f>
        <v>판타지 웹소설 &gt; 퓨전 판타지</v>
      </c>
    </row>
    <row r="2598" spans="1:48" x14ac:dyDescent="0.4">
      <c r="A2598">
        <v>1525000569</v>
      </c>
      <c r="B2598">
        <v>1525000583</v>
      </c>
      <c r="C2598" t="str">
        <f>T("스트라이커 15화")</f>
        <v>스트라이커 15화</v>
      </c>
      <c r="D2598" t="str">
        <f>T("15")</f>
        <v>15</v>
      </c>
      <c r="E2598" t="str">
        <f>T("독고진")</f>
        <v>독고진</v>
      </c>
      <c r="H2598" t="str">
        <f>T("스토리위즈")</f>
        <v>스토리위즈</v>
      </c>
      <c r="I2598" t="str">
        <f>T("스트라이커")</f>
        <v>스트라이커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 s="2">
        <v>0</v>
      </c>
      <c r="AT2598" t="str">
        <f>T("9791170151678")</f>
        <v>9791170151678</v>
      </c>
      <c r="AV2598" t="str">
        <f>T("판타지 웹소설 &gt; 현대 판타지")</f>
        <v>판타지 웹소설 &gt; 현대 판타지</v>
      </c>
    </row>
    <row r="2599" spans="1:48" x14ac:dyDescent="0.4">
      <c r="A2599">
        <v>1525013020</v>
      </c>
      <c r="B2599">
        <v>1525013038</v>
      </c>
      <c r="C2599" t="str">
        <f>T("악당의 리턴 19화")</f>
        <v>악당의 리턴 19화</v>
      </c>
      <c r="D2599" t="str">
        <f>T("19")</f>
        <v>19</v>
      </c>
      <c r="E2599" t="str">
        <f>T("백범(白帆)")</f>
        <v>백범(白帆)</v>
      </c>
      <c r="H2599" t="str">
        <f>T("에필로그")</f>
        <v>에필로그</v>
      </c>
      <c r="I2599" t="str">
        <f>T("악당의 리턴")</f>
        <v>악당의 리턴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 s="2">
        <v>0</v>
      </c>
      <c r="AT2599" t="str">
        <f>T("9791196538927")</f>
        <v>9791196538927</v>
      </c>
      <c r="AV2599" t="str">
        <f>T("판타지 웹소설 &gt; 현대 판타지")</f>
        <v>판타지 웹소설 &gt; 현대 판타지</v>
      </c>
    </row>
    <row r="2600" spans="1:48" x14ac:dyDescent="0.4">
      <c r="A2600">
        <v>1525011523</v>
      </c>
      <c r="B2600">
        <v>1525011511</v>
      </c>
      <c r="C2600" t="str">
        <f>T("남창목가 13화")</f>
        <v>남창목가 13화</v>
      </c>
      <c r="D2600" t="str">
        <f>T("13")</f>
        <v>13</v>
      </c>
      <c r="E2600" t="str">
        <f>T("최재봉")</f>
        <v>최재봉</v>
      </c>
      <c r="H2600" t="str">
        <f>T("에필로그")</f>
        <v>에필로그</v>
      </c>
      <c r="I2600" t="str">
        <f>T("남창목가")</f>
        <v>남창목가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 s="2">
        <v>0</v>
      </c>
      <c r="AT2600" t="str">
        <f>T("9791164482849")</f>
        <v>9791164482849</v>
      </c>
      <c r="AV2600" t="str">
        <f>T("판타지 웹소설 &gt; 무협 소설")</f>
        <v>판타지 웹소설 &gt; 무협 소설</v>
      </c>
    </row>
    <row r="2601" spans="1:48" x14ac:dyDescent="0.4">
      <c r="A2601">
        <v>1525001317</v>
      </c>
      <c r="B2601">
        <v>1525001318</v>
      </c>
      <c r="C2601" t="str">
        <f>T("[e북]완전판 | 스트라이커 2권")</f>
        <v>[e북]완전판 | 스트라이커 2권</v>
      </c>
      <c r="D2601" t="str">
        <f>T("2")</f>
        <v>2</v>
      </c>
      <c r="E2601" t="str">
        <f>T("독고진")</f>
        <v>독고진</v>
      </c>
      <c r="H2601" t="str">
        <f>T("스토리위즈")</f>
        <v>스토리위즈</v>
      </c>
      <c r="I2601" t="str">
        <f>T("[e북]완전판 | 스트라이커")</f>
        <v>[e북]완전판 | 스트라이커</v>
      </c>
      <c r="J2601">
        <v>3200</v>
      </c>
      <c r="K2601">
        <v>0</v>
      </c>
      <c r="L2601">
        <v>0</v>
      </c>
      <c r="M2601">
        <v>0</v>
      </c>
      <c r="N2601">
        <v>10800</v>
      </c>
      <c r="O2601">
        <v>12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10800</v>
      </c>
      <c r="AH2601">
        <v>12</v>
      </c>
      <c r="AI2601">
        <v>0</v>
      </c>
      <c r="AJ2601">
        <v>0</v>
      </c>
      <c r="AK2601">
        <v>10800</v>
      </c>
      <c r="AL2601">
        <v>0</v>
      </c>
      <c r="AM2601">
        <v>0</v>
      </c>
      <c r="AN2601">
        <v>0</v>
      </c>
      <c r="AO2601">
        <v>0</v>
      </c>
      <c r="AP2601" s="2">
        <v>7560</v>
      </c>
      <c r="AR2601" t="str">
        <f>T("9791159282843")</f>
        <v>9791159282843</v>
      </c>
      <c r="AT2601" t="str">
        <f>T("9791159282843")</f>
        <v>9791159282843</v>
      </c>
      <c r="AV2601" t="str">
        <f>T("판타지 e북 &gt; 스포츠물")</f>
        <v>판타지 e북 &gt; 스포츠물</v>
      </c>
    </row>
    <row r="2602" spans="1:48" x14ac:dyDescent="0.4">
      <c r="A2602">
        <v>1525010944</v>
      </c>
      <c r="B2602">
        <v>1525010922</v>
      </c>
      <c r="C2602" t="str">
        <f>T("[e북]법보다 주먹 23권")</f>
        <v>[e북]법보다 주먹 23권</v>
      </c>
      <c r="D2602" t="str">
        <f>T("23")</f>
        <v>23</v>
      </c>
      <c r="E2602" t="str">
        <f>T("백범(白帆)")</f>
        <v>백범(白帆)</v>
      </c>
      <c r="H2602" t="str">
        <f>T("에필로그")</f>
        <v>에필로그</v>
      </c>
      <c r="I2602" t="str">
        <f>T("[e북]법보다 주먹")</f>
        <v>[e북]법보다 주먹</v>
      </c>
      <c r="J2602">
        <v>2000</v>
      </c>
      <c r="K2602">
        <v>0</v>
      </c>
      <c r="L2602">
        <v>0</v>
      </c>
      <c r="M2602">
        <v>0</v>
      </c>
      <c r="N2602">
        <v>2700</v>
      </c>
      <c r="O2602">
        <v>3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2700</v>
      </c>
      <c r="AH2602">
        <v>3</v>
      </c>
      <c r="AI2602">
        <v>0</v>
      </c>
      <c r="AJ2602">
        <v>0</v>
      </c>
      <c r="AK2602">
        <v>2700</v>
      </c>
      <c r="AL2602">
        <v>0</v>
      </c>
      <c r="AM2602">
        <v>0</v>
      </c>
      <c r="AN2602">
        <v>0</v>
      </c>
      <c r="AO2602">
        <v>0</v>
      </c>
      <c r="AP2602" s="2">
        <v>1890</v>
      </c>
      <c r="AT2602" t="str">
        <f>T("9791164480142")</f>
        <v>9791164480142</v>
      </c>
      <c r="AV2602" t="str">
        <f>T("판타지 e북 &gt; 현대 판타지")</f>
        <v>판타지 e북 &gt; 현대 판타지</v>
      </c>
    </row>
    <row r="2603" spans="1:48" x14ac:dyDescent="0.4">
      <c r="A2603">
        <v>1525000906</v>
      </c>
      <c r="B2603">
        <v>1525000909</v>
      </c>
      <c r="C2603" t="str">
        <f>T("[e북]완전판 | 레이드 만물상점 4권")</f>
        <v>[e북]완전판 | 레이드 만물상점 4권</v>
      </c>
      <c r="D2603" t="str">
        <f>T("4")</f>
        <v>4</v>
      </c>
      <c r="E2603" t="str">
        <f>T("전혁")</f>
        <v>전혁</v>
      </c>
      <c r="H2603" t="str">
        <f>T("스토리위즈")</f>
        <v>스토리위즈</v>
      </c>
      <c r="I2603" t="str">
        <f>T("[e북]완전판 | 레이드 만물상점")</f>
        <v>[e북]완전판 | 레이드 만물상점</v>
      </c>
      <c r="J2603">
        <v>3200</v>
      </c>
      <c r="K2603">
        <v>0</v>
      </c>
      <c r="L2603">
        <v>0</v>
      </c>
      <c r="M2603">
        <v>0</v>
      </c>
      <c r="N2603">
        <v>6300</v>
      </c>
      <c r="O2603">
        <v>7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6300</v>
      </c>
      <c r="AH2603">
        <v>7</v>
      </c>
      <c r="AI2603">
        <v>0</v>
      </c>
      <c r="AJ2603">
        <v>0</v>
      </c>
      <c r="AK2603">
        <v>4500</v>
      </c>
      <c r="AL2603">
        <v>0</v>
      </c>
      <c r="AM2603">
        <v>1800</v>
      </c>
      <c r="AN2603">
        <v>0</v>
      </c>
      <c r="AO2603">
        <v>0</v>
      </c>
      <c r="AP2603" s="2">
        <v>4410</v>
      </c>
      <c r="AT2603" t="str">
        <f>T("9791159282645")</f>
        <v>9791159282645</v>
      </c>
      <c r="AV2603" t="str">
        <f>T("판타지 e북 &gt; 현대 판타지")</f>
        <v>판타지 e북 &gt; 현대 판타지</v>
      </c>
    </row>
    <row r="2604" spans="1:48" x14ac:dyDescent="0.4">
      <c r="A2604">
        <v>1525004030</v>
      </c>
      <c r="B2604">
        <v>1525004030</v>
      </c>
      <c r="C2604" t="str">
        <f>T("회귀의 전설 1화")</f>
        <v>회귀의 전설 1화</v>
      </c>
      <c r="D2604" t="str">
        <f>T("1")</f>
        <v>1</v>
      </c>
      <c r="E2604" t="str">
        <f>T("김광수")</f>
        <v>김광수</v>
      </c>
      <c r="H2604" t="str">
        <f>T("스토리위즈")</f>
        <v>스토리위즈</v>
      </c>
      <c r="I2604" t="str">
        <f>T("회귀의 전설")</f>
        <v>회귀의 전설</v>
      </c>
      <c r="J2604">
        <v>0</v>
      </c>
      <c r="K2604">
        <v>0</v>
      </c>
      <c r="L2604">
        <v>0</v>
      </c>
      <c r="M2604">
        <v>6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6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 s="2">
        <v>0</v>
      </c>
      <c r="AT2604" t="str">
        <f>T("9788997946006")</f>
        <v>9788997946006</v>
      </c>
      <c r="AV2604" t="str">
        <f>T("판타지 웹소설 &gt; 현대 판타지")</f>
        <v>판타지 웹소설 &gt; 현대 판타지</v>
      </c>
    </row>
    <row r="2605" spans="1:48" x14ac:dyDescent="0.4">
      <c r="A2605">
        <v>1525002125</v>
      </c>
      <c r="B2605">
        <v>1525002131</v>
      </c>
      <c r="C2605" t="str">
        <f>T("신을 죽이러 갑니다 7화")</f>
        <v>신을 죽이러 갑니다 7화</v>
      </c>
      <c r="D2605" t="str">
        <f>T("7")</f>
        <v>7</v>
      </c>
      <c r="E2605" t="str">
        <f>T("독고진")</f>
        <v>독고진</v>
      </c>
      <c r="H2605" t="str">
        <f>T("스토리위즈")</f>
        <v>스토리위즈</v>
      </c>
      <c r="I2605" t="str">
        <f>T("신을 죽이러 갑니다")</f>
        <v>신을 죽이러 갑니다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 s="2">
        <v>0</v>
      </c>
      <c r="AT2605" t="str">
        <f>T("9791159285806")</f>
        <v>9791159285806</v>
      </c>
      <c r="AV2605" t="str">
        <f>T("판타지 웹소설 &gt; 퓨전 판타지")</f>
        <v>판타지 웹소설 &gt; 퓨전 판타지</v>
      </c>
    </row>
    <row r="2606" spans="1:48" x14ac:dyDescent="0.4">
      <c r="A2606">
        <v>1525000569</v>
      </c>
      <c r="B2606">
        <v>1525000576</v>
      </c>
      <c r="C2606" t="str">
        <f>T("스트라이커 8화")</f>
        <v>스트라이커 8화</v>
      </c>
      <c r="D2606" t="str">
        <f>T("8")</f>
        <v>8</v>
      </c>
      <c r="E2606" t="str">
        <f>T("독고진")</f>
        <v>독고진</v>
      </c>
      <c r="H2606" t="str">
        <f>T("스토리위즈")</f>
        <v>스토리위즈</v>
      </c>
      <c r="I2606" t="str">
        <f>T("스트라이커")</f>
        <v>스트라이커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 s="2">
        <v>0</v>
      </c>
      <c r="AT2606" t="str">
        <f>T("9791170151678")</f>
        <v>9791170151678</v>
      </c>
      <c r="AV2606" t="str">
        <f>T("판타지 웹소설 &gt; 현대 판타지")</f>
        <v>판타지 웹소설 &gt; 현대 판타지</v>
      </c>
    </row>
    <row r="2607" spans="1:48" x14ac:dyDescent="0.4">
      <c r="A2607">
        <v>1525004988</v>
      </c>
      <c r="B2607">
        <v>1525005308</v>
      </c>
      <c r="C2607" t="str">
        <f>T("용무쌍 21화")</f>
        <v>용무쌍 21화</v>
      </c>
      <c r="D2607" t="str">
        <f>T("21")</f>
        <v>21</v>
      </c>
      <c r="E2607" t="str">
        <f>T("권용찬")</f>
        <v>권용찬</v>
      </c>
      <c r="H2607" t="str">
        <f>T("스토리위즈")</f>
        <v>스토리위즈</v>
      </c>
      <c r="I2607" t="str">
        <f>T("용무쌍")</f>
        <v>용무쌍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 s="2">
        <v>0</v>
      </c>
      <c r="AT2607" t="str">
        <f>T("9791159284861")</f>
        <v>9791159284861</v>
      </c>
      <c r="AV2607" t="str">
        <f>T("판타지 웹소설 &gt; 무협 소설")</f>
        <v>판타지 웹소설 &gt; 무협 소설</v>
      </c>
    </row>
    <row r="2608" spans="1:48" x14ac:dyDescent="0.4">
      <c r="A2608">
        <v>1525013020</v>
      </c>
      <c r="B2608">
        <v>1525013031</v>
      </c>
      <c r="C2608" t="str">
        <f>T("악당의 리턴 12화")</f>
        <v>악당의 리턴 12화</v>
      </c>
      <c r="D2608" t="str">
        <f>T("12")</f>
        <v>12</v>
      </c>
      <c r="E2608" t="str">
        <f>T("백범(白帆)")</f>
        <v>백범(白帆)</v>
      </c>
      <c r="H2608" t="str">
        <f>T("에필로그")</f>
        <v>에필로그</v>
      </c>
      <c r="I2608" t="str">
        <f>T("악당의 리턴")</f>
        <v>악당의 리턴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 s="2">
        <v>0</v>
      </c>
      <c r="AT2608" t="str">
        <f>T("9791196538927")</f>
        <v>9791196538927</v>
      </c>
      <c r="AV2608" t="str">
        <f>T("판타지 웹소설 &gt; 현대 판타지")</f>
        <v>판타지 웹소설 &gt; 현대 판타지</v>
      </c>
    </row>
    <row r="2609" spans="1:48" x14ac:dyDescent="0.4">
      <c r="A2609">
        <v>1525001116</v>
      </c>
      <c r="B2609">
        <v>1525001131</v>
      </c>
      <c r="C2609" t="str">
        <f>T("개정판 | 영웅 16화")</f>
        <v>개정판 | 영웅 16화</v>
      </c>
      <c r="D2609" t="str">
        <f>T("16")</f>
        <v>16</v>
      </c>
      <c r="E2609" t="str">
        <f>T("김광수")</f>
        <v>김광수</v>
      </c>
      <c r="H2609" t="str">
        <f>T("스토리위즈")</f>
        <v>스토리위즈</v>
      </c>
      <c r="I2609" t="str">
        <f>T("개정판 | 영웅")</f>
        <v>개정판 | 영웅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 s="2">
        <v>0</v>
      </c>
      <c r="AR2609" t="str">
        <f>T("9791159282829")</f>
        <v>9791159282829</v>
      </c>
      <c r="AT2609" t="str">
        <f>T("9791159282829")</f>
        <v>9791159282829</v>
      </c>
      <c r="AV2609" t="str">
        <f>T("판타지 웹소설 &gt; 무협 소설")</f>
        <v>판타지 웹소설 &gt; 무협 소설</v>
      </c>
    </row>
    <row r="2610" spans="1:48" x14ac:dyDescent="0.4">
      <c r="A2610">
        <v>1525000113</v>
      </c>
      <c r="B2610">
        <v>1525000115</v>
      </c>
      <c r="C2610" t="str">
        <f>T("[e북]마왕 데이몬 3권")</f>
        <v>[e북]마왕 데이몬 3권</v>
      </c>
      <c r="D2610" t="str">
        <f>T("3")</f>
        <v>3</v>
      </c>
      <c r="E2610" t="str">
        <f>T("김정률")</f>
        <v>김정률</v>
      </c>
      <c r="H2610" t="str">
        <f>T("스토리위즈")</f>
        <v>스토리위즈</v>
      </c>
      <c r="I2610" t="str">
        <f>T("[e북]마왕 데이몬")</f>
        <v>[e북]마왕 데이몬</v>
      </c>
      <c r="J2610">
        <v>3200</v>
      </c>
      <c r="K2610">
        <v>0</v>
      </c>
      <c r="L2610">
        <v>0</v>
      </c>
      <c r="M2610">
        <v>0</v>
      </c>
      <c r="N2610">
        <v>1800</v>
      </c>
      <c r="O2610">
        <v>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1800</v>
      </c>
      <c r="AH2610">
        <v>2</v>
      </c>
      <c r="AI2610">
        <v>0</v>
      </c>
      <c r="AJ2610">
        <v>0</v>
      </c>
      <c r="AK2610">
        <v>1800</v>
      </c>
      <c r="AL2610">
        <v>0</v>
      </c>
      <c r="AM2610">
        <v>0</v>
      </c>
      <c r="AN2610">
        <v>0</v>
      </c>
      <c r="AO2610">
        <v>0</v>
      </c>
      <c r="AP2610" s="2">
        <v>1260</v>
      </c>
      <c r="AT2610" t="str">
        <f>T("9788925723846")</f>
        <v>9788925723846</v>
      </c>
      <c r="AV2610" t="str">
        <f>T("판타지 e북 &gt; 현대 판타지")</f>
        <v>판타지 e북 &gt; 현대 판타지</v>
      </c>
    </row>
    <row r="2611" spans="1:48" x14ac:dyDescent="0.4">
      <c r="A2611">
        <v>1525012005</v>
      </c>
      <c r="B2611">
        <v>1525011996</v>
      </c>
      <c r="C2611" t="str">
        <f>T("[e북]남궁세가 건달공자 10권 (완결)")</f>
        <v>[e북]남궁세가 건달공자 10권 (완결)</v>
      </c>
      <c r="D2611" t="str">
        <f>T("10")</f>
        <v>10</v>
      </c>
      <c r="E2611" t="str">
        <f>T("협행마")</f>
        <v>협행마</v>
      </c>
      <c r="H2611" t="str">
        <f>T("에필로그")</f>
        <v>에필로그</v>
      </c>
      <c r="I2611" t="str">
        <f>T("[e북]남궁세가 건달공자")</f>
        <v>[e북]남궁세가 건달공자</v>
      </c>
      <c r="J2611">
        <v>2500</v>
      </c>
      <c r="K2611">
        <v>0</v>
      </c>
      <c r="L2611">
        <v>0</v>
      </c>
      <c r="M2611">
        <v>0</v>
      </c>
      <c r="N2611">
        <v>900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900</v>
      </c>
      <c r="AH2611">
        <v>1</v>
      </c>
      <c r="AI2611">
        <v>0</v>
      </c>
      <c r="AJ2611">
        <v>0</v>
      </c>
      <c r="AK2611">
        <v>900</v>
      </c>
      <c r="AL2611">
        <v>0</v>
      </c>
      <c r="AM2611">
        <v>0</v>
      </c>
      <c r="AN2611">
        <v>0</v>
      </c>
      <c r="AO2611">
        <v>0</v>
      </c>
      <c r="AP2611" s="2">
        <v>630</v>
      </c>
      <c r="AT2611" t="str">
        <f>T("9791164481644")</f>
        <v>9791164481644</v>
      </c>
      <c r="AV2611" t="str">
        <f>T("판타지 e북 &gt; 신무협")</f>
        <v>판타지 e북 &gt; 신무협</v>
      </c>
    </row>
    <row r="2612" spans="1:48" x14ac:dyDescent="0.4">
      <c r="A2612">
        <v>1525004989</v>
      </c>
      <c r="B2612">
        <v>1525005502</v>
      </c>
      <c r="C2612" t="str">
        <f>T("신룡전설 13화")</f>
        <v>신룡전설 13화</v>
      </c>
      <c r="D2612" t="str">
        <f>T("13")</f>
        <v>13</v>
      </c>
      <c r="E2612" t="str">
        <f>T("가람검")</f>
        <v>가람검</v>
      </c>
      <c r="H2612" t="str">
        <f>T("스토리위즈")</f>
        <v>스토리위즈</v>
      </c>
      <c r="I2612" t="str">
        <f>T("신룡전설")</f>
        <v>신룡전설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 s="2">
        <v>0</v>
      </c>
      <c r="AT2612" t="str">
        <f>T("9791159283505")</f>
        <v>9791159283505</v>
      </c>
      <c r="AV2612" t="str">
        <f>T("판타지 웹소설 &gt; 무협 소설")</f>
        <v>판타지 웹소설 &gt; 무협 소설</v>
      </c>
    </row>
    <row r="2613" spans="1:48" x14ac:dyDescent="0.4">
      <c r="A2613">
        <v>1525001609</v>
      </c>
      <c r="B2613">
        <v>1525001618</v>
      </c>
      <c r="C2613" t="str">
        <f>T("[e북]절륜공자 10권 (완결)")</f>
        <v>[e북]절륜공자 10권 (완결)</v>
      </c>
      <c r="D2613" t="str">
        <f>T("10")</f>
        <v>10</v>
      </c>
      <c r="E2613" t="str">
        <f>T("전혁")</f>
        <v>전혁</v>
      </c>
      <c r="H2613" t="str">
        <f>T("스토리위즈")</f>
        <v>스토리위즈</v>
      </c>
      <c r="I2613" t="str">
        <f>T("[e북]절륜공자")</f>
        <v>[e북]절륜공자</v>
      </c>
      <c r="J2613">
        <v>3200</v>
      </c>
      <c r="K2613">
        <v>0</v>
      </c>
      <c r="L2613">
        <v>0</v>
      </c>
      <c r="M2613">
        <v>0</v>
      </c>
      <c r="N2613">
        <v>3600</v>
      </c>
      <c r="O2613">
        <v>4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3600</v>
      </c>
      <c r="AH2613">
        <v>4</v>
      </c>
      <c r="AI2613">
        <v>0</v>
      </c>
      <c r="AJ2613">
        <v>0</v>
      </c>
      <c r="AK2613">
        <v>3600</v>
      </c>
      <c r="AL2613">
        <v>0</v>
      </c>
      <c r="AM2613">
        <v>0</v>
      </c>
      <c r="AN2613">
        <v>0</v>
      </c>
      <c r="AO2613">
        <v>0</v>
      </c>
      <c r="AP2613" s="2">
        <v>2520</v>
      </c>
      <c r="AT2613" t="str">
        <f>T("9791159285035")</f>
        <v>9791159285035</v>
      </c>
      <c r="AV2613" t="str">
        <f>T("판타지 e북 &gt; 전통 무협")</f>
        <v>판타지 e북 &gt; 전통 무협</v>
      </c>
    </row>
    <row r="2614" spans="1:48" x14ac:dyDescent="0.4">
      <c r="A2614">
        <v>1525013418</v>
      </c>
      <c r="B2614">
        <v>1525013419</v>
      </c>
      <c r="C2614" t="str">
        <f>T("[e북]헌터 킹 2권")</f>
        <v>[e북]헌터 킹 2권</v>
      </c>
      <c r="D2614" t="str">
        <f>T("2")</f>
        <v>2</v>
      </c>
      <c r="E2614" t="str">
        <f>T("백범(白帆)")</f>
        <v>백범(白帆)</v>
      </c>
      <c r="H2614" t="str">
        <f>T("에필로그")</f>
        <v>에필로그</v>
      </c>
      <c r="I2614" t="str">
        <f>T("[e북]헌터 킹")</f>
        <v>[e북]헌터 킹</v>
      </c>
      <c r="J2614">
        <v>2000</v>
      </c>
      <c r="K2614">
        <v>0</v>
      </c>
      <c r="L2614">
        <v>0</v>
      </c>
      <c r="M2614">
        <v>0</v>
      </c>
      <c r="N2614">
        <v>900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900</v>
      </c>
      <c r="AH2614">
        <v>1</v>
      </c>
      <c r="AI2614">
        <v>0</v>
      </c>
      <c r="AJ2614">
        <v>0</v>
      </c>
      <c r="AK2614">
        <v>900</v>
      </c>
      <c r="AL2614">
        <v>0</v>
      </c>
      <c r="AM2614">
        <v>0</v>
      </c>
      <c r="AN2614">
        <v>0</v>
      </c>
      <c r="AO2614">
        <v>0</v>
      </c>
      <c r="AP2614" s="2">
        <v>630</v>
      </c>
      <c r="AR2614" t="str">
        <f>T("0000000000000")</f>
        <v>0000000000000</v>
      </c>
      <c r="AT2614" t="str">
        <f>T("9791164480173")</f>
        <v>9791164480173</v>
      </c>
      <c r="AV2614" t="str">
        <f>T("판타지 e북 &gt; 퓨전 판타지")</f>
        <v>판타지 e북 &gt; 퓨전 판타지</v>
      </c>
    </row>
    <row r="2615" spans="1:48" x14ac:dyDescent="0.4">
      <c r="A2615">
        <v>1525000209</v>
      </c>
      <c r="B2615">
        <v>1525000212</v>
      </c>
      <c r="C2615" t="str">
        <f>T("[e북]독종무쌍 4권")</f>
        <v>[e북]독종무쌍 4권</v>
      </c>
      <c r="D2615" t="str">
        <f>T("4")</f>
        <v>4</v>
      </c>
      <c r="E2615" t="str">
        <f>T("전혁")</f>
        <v>전혁</v>
      </c>
      <c r="H2615" t="str">
        <f>T("스토리위즈")</f>
        <v>스토리위즈</v>
      </c>
      <c r="I2615" t="str">
        <f>T("[e북]독종무쌍")</f>
        <v>[e북]독종무쌍</v>
      </c>
      <c r="J2615">
        <v>3200</v>
      </c>
      <c r="K2615">
        <v>0</v>
      </c>
      <c r="L2615">
        <v>0</v>
      </c>
      <c r="M2615">
        <v>0</v>
      </c>
      <c r="N2615">
        <v>1800</v>
      </c>
      <c r="O2615">
        <v>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1800</v>
      </c>
      <c r="AH2615">
        <v>2</v>
      </c>
      <c r="AI2615">
        <v>0</v>
      </c>
      <c r="AJ2615">
        <v>0</v>
      </c>
      <c r="AK2615">
        <v>900</v>
      </c>
      <c r="AL2615">
        <v>0</v>
      </c>
      <c r="AM2615">
        <v>900</v>
      </c>
      <c r="AN2615">
        <v>0</v>
      </c>
      <c r="AO2615">
        <v>0</v>
      </c>
      <c r="AP2615" s="2">
        <v>1260</v>
      </c>
      <c r="AT2615" t="str">
        <f>T("9791195310067")</f>
        <v>9791195310067</v>
      </c>
      <c r="AV2615" t="str">
        <f>T("판타지 e북 &gt; 신무협")</f>
        <v>판타지 e북 &gt; 신무협</v>
      </c>
    </row>
    <row r="2616" spans="1:48" x14ac:dyDescent="0.4">
      <c r="A2616">
        <v>1525002409</v>
      </c>
      <c r="B2616">
        <v>1525002413</v>
      </c>
      <c r="C2616" t="str">
        <f>T("스포트라이트 5화")</f>
        <v>스포트라이트 5화</v>
      </c>
      <c r="D2616" t="str">
        <f>T("5")</f>
        <v>5</v>
      </c>
      <c r="E2616" t="str">
        <f>T("전혁")</f>
        <v>전혁</v>
      </c>
      <c r="H2616" t="str">
        <f>T("스토리위즈")</f>
        <v>스토리위즈</v>
      </c>
      <c r="I2616" t="str">
        <f>T("스포트라이트")</f>
        <v>스포트라이트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 s="2">
        <v>0</v>
      </c>
      <c r="AT2616" t="str">
        <f>T("9791159286841")</f>
        <v>9791159286841</v>
      </c>
      <c r="AV2616" t="str">
        <f>T("판타지 웹소설 &gt; 현대 판타지")</f>
        <v>판타지 웹소설 &gt; 현대 판타지</v>
      </c>
    </row>
    <row r="2617" spans="1:48" x14ac:dyDescent="0.4">
      <c r="A2617">
        <v>1525001334</v>
      </c>
      <c r="B2617">
        <v>1525001353</v>
      </c>
      <c r="C2617" t="str">
        <f>T("게이트 헌터 20화")</f>
        <v>게이트 헌터 20화</v>
      </c>
      <c r="D2617" t="str">
        <f>T("20")</f>
        <v>20</v>
      </c>
      <c r="E2617" t="str">
        <f>T("권용찬")</f>
        <v>권용찬</v>
      </c>
      <c r="H2617" t="str">
        <f>T("스토리위즈")</f>
        <v>스토리위즈</v>
      </c>
      <c r="I2617" t="str">
        <f>T("게이트 헌터")</f>
        <v>게이트 헌터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 s="2">
        <v>0</v>
      </c>
      <c r="AR2617" t="str">
        <f>T("9791159283291")</f>
        <v>9791159283291</v>
      </c>
      <c r="AT2617" t="str">
        <f>T("9791159283291")</f>
        <v>9791159283291</v>
      </c>
      <c r="AV2617" t="str">
        <f>T("판타지 웹소설 &gt; 현대 판타지")</f>
        <v>판타지 웹소설 &gt; 현대 판타지</v>
      </c>
    </row>
    <row r="2618" spans="1:48" x14ac:dyDescent="0.4">
      <c r="A2618">
        <v>1525004989</v>
      </c>
      <c r="B2618">
        <v>1525005495</v>
      </c>
      <c r="C2618" t="str">
        <f>T("신룡전설 6화")</f>
        <v>신룡전설 6화</v>
      </c>
      <c r="D2618" t="str">
        <f>T("6")</f>
        <v>6</v>
      </c>
      <c r="E2618" t="str">
        <f>T("가람검")</f>
        <v>가람검</v>
      </c>
      <c r="H2618" t="str">
        <f>T("스토리위즈")</f>
        <v>스토리위즈</v>
      </c>
      <c r="I2618" t="str">
        <f>T("신룡전설")</f>
        <v>신룡전설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 s="2">
        <v>0</v>
      </c>
      <c r="AT2618" t="str">
        <f>T("9791159283505")</f>
        <v>9791159283505</v>
      </c>
      <c r="AV2618" t="str">
        <f>T("판타지 웹소설 &gt; 무협 소설")</f>
        <v>판타지 웹소설 &gt; 무협 소설</v>
      </c>
    </row>
    <row r="2619" spans="1:48" x14ac:dyDescent="0.4">
      <c r="A2619">
        <v>1525007764</v>
      </c>
      <c r="B2619">
        <v>1525007736</v>
      </c>
      <c r="C2619" t="str">
        <f>T("[e북][체험판] 대공의 아내 1권")</f>
        <v>[e북][체험판] 대공의 아내 1권</v>
      </c>
      <c r="D2619" t="str">
        <f>T("1")</f>
        <v>1</v>
      </c>
      <c r="E2619" t="str">
        <f>T("문시티")</f>
        <v>문시티</v>
      </c>
      <c r="H2619" t="str">
        <f>T("쉬라즈")</f>
        <v>쉬라즈</v>
      </c>
      <c r="I2619" t="str">
        <f>T("[e북]대공의 아내")</f>
        <v>[e북]대공의 아내</v>
      </c>
      <c r="J2619">
        <v>0</v>
      </c>
      <c r="K2619">
        <v>0</v>
      </c>
      <c r="L2619">
        <v>0</v>
      </c>
      <c r="M2619">
        <v>61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61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 s="2">
        <v>0</v>
      </c>
      <c r="AR2619" t="str">
        <f>T("0000000000000")</f>
        <v>0000000000000</v>
      </c>
      <c r="AT2619" t="str">
        <f>T("9791164896776")</f>
        <v>9791164896776</v>
      </c>
      <c r="AV2619" t="str">
        <f>T("로판 e북 &gt; 서양풍 로판")</f>
        <v>로판 e북 &gt; 서양풍 로판</v>
      </c>
    </row>
    <row r="2620" spans="1:48" x14ac:dyDescent="0.4">
      <c r="A2620">
        <v>1525002864</v>
      </c>
      <c r="B2620">
        <v>1525002887</v>
      </c>
      <c r="C2620" t="str">
        <f>T("소드마스터의 환생 24화")</f>
        <v>소드마스터의 환생 24화</v>
      </c>
      <c r="D2620" t="str">
        <f>T("24")</f>
        <v>24</v>
      </c>
      <c r="E2620" t="str">
        <f>T("파란영")</f>
        <v>파란영</v>
      </c>
      <c r="H2620" t="str">
        <f>T("스토리위즈")</f>
        <v>스토리위즈</v>
      </c>
      <c r="I2620" t="str">
        <f>T("소드마스터의 환생")</f>
        <v>소드마스터의 환생</v>
      </c>
      <c r="J2620">
        <v>0</v>
      </c>
      <c r="K2620">
        <v>0</v>
      </c>
      <c r="L2620">
        <v>0</v>
      </c>
      <c r="M2620">
        <v>3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 s="2">
        <v>0</v>
      </c>
      <c r="AT2620" t="str">
        <f>T("9791159287527")</f>
        <v>9791159287527</v>
      </c>
      <c r="AV2620" t="str">
        <f>T("판타지 웹소설 &gt; 정통 판타지")</f>
        <v>판타지 웹소설 &gt; 정통 판타지</v>
      </c>
    </row>
    <row r="2621" spans="1:48" x14ac:dyDescent="0.4">
      <c r="A2621">
        <v>1525013369</v>
      </c>
      <c r="B2621">
        <v>1525013384</v>
      </c>
      <c r="C2621" t="str">
        <f>T("[e북]티끌모아 대박 7권")</f>
        <v>[e북]티끌모아 대박 7권</v>
      </c>
      <c r="D2621" t="str">
        <f>T("7")</f>
        <v>7</v>
      </c>
      <c r="E2621" t="str">
        <f>T("백범(白帆)")</f>
        <v>백범(白帆)</v>
      </c>
      <c r="H2621" t="str">
        <f>T("에필로그")</f>
        <v>에필로그</v>
      </c>
      <c r="I2621" t="str">
        <f>T("[e북]티끌모아 대박")</f>
        <v>[e북]티끌모아 대박</v>
      </c>
      <c r="J2621">
        <v>2000</v>
      </c>
      <c r="K2621">
        <v>0</v>
      </c>
      <c r="L2621">
        <v>0</v>
      </c>
      <c r="M2621">
        <v>0</v>
      </c>
      <c r="N2621">
        <v>900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900</v>
      </c>
      <c r="AH2621">
        <v>1</v>
      </c>
      <c r="AI2621">
        <v>0</v>
      </c>
      <c r="AJ2621">
        <v>0</v>
      </c>
      <c r="AK2621">
        <v>900</v>
      </c>
      <c r="AL2621">
        <v>0</v>
      </c>
      <c r="AM2621">
        <v>0</v>
      </c>
      <c r="AN2621">
        <v>0</v>
      </c>
      <c r="AO2621">
        <v>0</v>
      </c>
      <c r="AP2621" s="2">
        <v>630</v>
      </c>
      <c r="AR2621" t="str">
        <f>T("0000000000000")</f>
        <v>0000000000000</v>
      </c>
      <c r="AT2621" t="str">
        <f>T("9791166000263")</f>
        <v>9791166000263</v>
      </c>
      <c r="AV2621" t="str">
        <f>T("판타지 e북 &gt; 퓨전 판타지")</f>
        <v>판타지 e북 &gt; 퓨전 판타지</v>
      </c>
    </row>
    <row r="2622" spans="1:48" x14ac:dyDescent="0.4">
      <c r="A2622">
        <v>1525002125</v>
      </c>
      <c r="B2622">
        <v>1525002148</v>
      </c>
      <c r="C2622" t="str">
        <f>T("신을 죽이러 갑니다 24화")</f>
        <v>신을 죽이러 갑니다 24화</v>
      </c>
      <c r="D2622" t="str">
        <f>T("24")</f>
        <v>24</v>
      </c>
      <c r="E2622" t="str">
        <f>T("독고진")</f>
        <v>독고진</v>
      </c>
      <c r="H2622" t="str">
        <f>T("스토리위즈")</f>
        <v>스토리위즈</v>
      </c>
      <c r="I2622" t="str">
        <f>T("신을 죽이러 갑니다")</f>
        <v>신을 죽이러 갑니다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 s="2">
        <v>0</v>
      </c>
      <c r="AT2622" t="str">
        <f>T("9791159285806")</f>
        <v>9791159285806</v>
      </c>
      <c r="AV2622" t="str">
        <f>T("판타지 웹소설 &gt; 퓨전 판타지")</f>
        <v>판타지 웹소설 &gt; 퓨전 판타지</v>
      </c>
    </row>
    <row r="2623" spans="1:48" x14ac:dyDescent="0.4">
      <c r="A2623">
        <v>1525001334</v>
      </c>
      <c r="B2623">
        <v>1525001346</v>
      </c>
      <c r="C2623" t="str">
        <f>T("게이트 헌터 13화")</f>
        <v>게이트 헌터 13화</v>
      </c>
      <c r="D2623" t="str">
        <f>T("13")</f>
        <v>13</v>
      </c>
      <c r="E2623" t="str">
        <f>T("권용찬")</f>
        <v>권용찬</v>
      </c>
      <c r="H2623" t="str">
        <f>T("스토리위즈")</f>
        <v>스토리위즈</v>
      </c>
      <c r="I2623" t="str">
        <f>T("게이트 헌터")</f>
        <v>게이트 헌터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 s="2">
        <v>0</v>
      </c>
      <c r="AR2623" t="str">
        <f>T("9791159283291")</f>
        <v>9791159283291</v>
      </c>
      <c r="AT2623" t="str">
        <f>T("9791159283291")</f>
        <v>9791159283291</v>
      </c>
      <c r="AV2623" t="str">
        <f>T("판타지 웹소설 &gt; 현대 판타지")</f>
        <v>판타지 웹소설 &gt; 현대 판타지</v>
      </c>
    </row>
    <row r="2624" spans="1:48" x14ac:dyDescent="0.4">
      <c r="A2624">
        <v>1525008545</v>
      </c>
      <c r="B2624">
        <v>1525008567</v>
      </c>
      <c r="C2624" t="str">
        <f>T("소년연애담 3화")</f>
        <v>소년연애담 3화</v>
      </c>
      <c r="D2624" t="str">
        <f>T("3")</f>
        <v>3</v>
      </c>
      <c r="E2624" t="str">
        <f>T("나나코")</f>
        <v>나나코</v>
      </c>
      <c r="H2624" t="str">
        <f>T("블러쉬")</f>
        <v>블러쉬</v>
      </c>
      <c r="I2624" t="str">
        <f>T("소년연애담")</f>
        <v>소년연애담</v>
      </c>
      <c r="J2624">
        <v>0</v>
      </c>
      <c r="K2624">
        <v>0</v>
      </c>
      <c r="L2624">
        <v>0</v>
      </c>
      <c r="M2624">
        <v>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2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 s="2">
        <v>0</v>
      </c>
      <c r="AR2624" t="str">
        <f>T("0000000000000")</f>
        <v>0000000000000</v>
      </c>
      <c r="AT2624" t="str">
        <f>T("9791164890729")</f>
        <v>9791164890729</v>
      </c>
      <c r="AU2624" t="str">
        <f>T("B12")</f>
        <v>B12</v>
      </c>
      <c r="AV2624" t="str">
        <f>T("BL 웹소설 &gt; 현대물")</f>
        <v>BL 웹소설 &gt; 현대물</v>
      </c>
    </row>
    <row r="2625" spans="1:48" x14ac:dyDescent="0.4">
      <c r="A2625">
        <v>1525010982</v>
      </c>
      <c r="B2625">
        <v>1525010976</v>
      </c>
      <c r="C2625" t="str">
        <f>T("[e북]이 맛에 회장한다 7권")</f>
        <v>[e북]이 맛에 회장한다 7권</v>
      </c>
      <c r="D2625" t="str">
        <f>T("7")</f>
        <v>7</v>
      </c>
      <c r="E2625" t="str">
        <f>T("협행마")</f>
        <v>협행마</v>
      </c>
      <c r="H2625" t="str">
        <f>T("에필로그")</f>
        <v>에필로그</v>
      </c>
      <c r="I2625" t="str">
        <f>T("[e북]이 맛에 회장한다")</f>
        <v>[e북]이 맛에 회장한다</v>
      </c>
      <c r="J2625">
        <v>2500</v>
      </c>
      <c r="K2625">
        <v>0</v>
      </c>
      <c r="L2625">
        <v>0</v>
      </c>
      <c r="M2625">
        <v>0</v>
      </c>
      <c r="N2625">
        <v>4140</v>
      </c>
      <c r="O2625">
        <v>5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4140</v>
      </c>
      <c r="AH2625">
        <v>5</v>
      </c>
      <c r="AI2625">
        <v>0</v>
      </c>
      <c r="AJ2625">
        <v>0</v>
      </c>
      <c r="AK2625">
        <v>4140</v>
      </c>
      <c r="AL2625">
        <v>0</v>
      </c>
      <c r="AM2625">
        <v>0</v>
      </c>
      <c r="AN2625">
        <v>0</v>
      </c>
      <c r="AO2625">
        <v>0</v>
      </c>
      <c r="AP2625" s="2">
        <v>2898</v>
      </c>
      <c r="AT2625" t="str">
        <f>T("9791164486120")</f>
        <v>9791164486120</v>
      </c>
      <c r="AV2625" t="str">
        <f>T("판타지 e북 &gt; 현대 판타지")</f>
        <v>판타지 e북 &gt; 현대 판타지</v>
      </c>
    </row>
    <row r="2626" spans="1:48" x14ac:dyDescent="0.4">
      <c r="A2626">
        <v>1525010944</v>
      </c>
      <c r="B2626">
        <v>1525010915</v>
      </c>
      <c r="C2626" t="str">
        <f>T("[e북]법보다 주먹 30권 (완결)")</f>
        <v>[e북]법보다 주먹 30권 (완결)</v>
      </c>
      <c r="D2626" t="str">
        <f>T("30")</f>
        <v>30</v>
      </c>
      <c r="E2626" t="str">
        <f>T("백범(白帆)")</f>
        <v>백범(白帆)</v>
      </c>
      <c r="H2626" t="str">
        <f>T("에필로그")</f>
        <v>에필로그</v>
      </c>
      <c r="I2626" t="str">
        <f>T("[e북]법보다 주먹")</f>
        <v>[e북]법보다 주먹</v>
      </c>
      <c r="J2626">
        <v>2000</v>
      </c>
      <c r="K2626">
        <v>0</v>
      </c>
      <c r="L2626">
        <v>0</v>
      </c>
      <c r="M2626">
        <v>0</v>
      </c>
      <c r="N2626">
        <v>1800</v>
      </c>
      <c r="O2626">
        <v>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1800</v>
      </c>
      <c r="AH2626">
        <v>2</v>
      </c>
      <c r="AI2626">
        <v>0</v>
      </c>
      <c r="AJ2626">
        <v>0</v>
      </c>
      <c r="AK2626">
        <v>1800</v>
      </c>
      <c r="AL2626">
        <v>0</v>
      </c>
      <c r="AM2626">
        <v>0</v>
      </c>
      <c r="AN2626">
        <v>0</v>
      </c>
      <c r="AO2626">
        <v>0</v>
      </c>
      <c r="AP2626" s="2">
        <v>1260</v>
      </c>
      <c r="AT2626" t="str">
        <f>T("9791164480142")</f>
        <v>9791164480142</v>
      </c>
      <c r="AV2626" t="str">
        <f>T("판타지 e북 &gt; 현대 판타지")</f>
        <v>판타지 e북 &gt; 현대 판타지</v>
      </c>
    </row>
    <row r="2627" spans="1:48" x14ac:dyDescent="0.4">
      <c r="A2627">
        <v>1525001917</v>
      </c>
      <c r="B2627">
        <v>1525001921</v>
      </c>
      <c r="C2627" t="str">
        <f>T("[e북]용중신권 5권")</f>
        <v>[e북]용중신권 5권</v>
      </c>
      <c r="D2627" t="str">
        <f>T("5")</f>
        <v>5</v>
      </c>
      <c r="E2627" t="str">
        <f>T("권용찬")</f>
        <v>권용찬</v>
      </c>
      <c r="H2627" t="str">
        <f>T("스토리위즈")</f>
        <v>스토리위즈</v>
      </c>
      <c r="I2627" t="str">
        <f>T("[e북]용중신권")</f>
        <v>[e북]용중신권</v>
      </c>
      <c r="J2627">
        <v>3200</v>
      </c>
      <c r="K2627">
        <v>0</v>
      </c>
      <c r="L2627">
        <v>0</v>
      </c>
      <c r="M2627">
        <v>0</v>
      </c>
      <c r="N2627">
        <v>900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900</v>
      </c>
      <c r="AH2627">
        <v>1</v>
      </c>
      <c r="AI2627">
        <v>0</v>
      </c>
      <c r="AJ2627">
        <v>0</v>
      </c>
      <c r="AK2627">
        <v>900</v>
      </c>
      <c r="AL2627">
        <v>0</v>
      </c>
      <c r="AM2627">
        <v>0</v>
      </c>
      <c r="AN2627">
        <v>0</v>
      </c>
      <c r="AO2627">
        <v>0</v>
      </c>
      <c r="AP2627" s="2">
        <v>630</v>
      </c>
      <c r="AT2627" t="str">
        <f>T("9791159285967")</f>
        <v>9791159285967</v>
      </c>
      <c r="AV2627" t="str">
        <f>T("판타지 e북 &gt; 신무협")</f>
        <v>판타지 e북 &gt; 신무협</v>
      </c>
    </row>
    <row r="2628" spans="1:48" x14ac:dyDescent="0.4">
      <c r="A2628">
        <v>1525000569</v>
      </c>
      <c r="B2628">
        <v>1525000569</v>
      </c>
      <c r="C2628" t="str">
        <f>T("스트라이커 1화")</f>
        <v>스트라이커 1화</v>
      </c>
      <c r="D2628" t="str">
        <f>T("1")</f>
        <v>1</v>
      </c>
      <c r="E2628" t="str">
        <f>T("독고진")</f>
        <v>독고진</v>
      </c>
      <c r="H2628" t="str">
        <f>T("스토리위즈")</f>
        <v>스토리위즈</v>
      </c>
      <c r="I2628" t="str">
        <f>T("스트라이커")</f>
        <v>스트라이커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 s="2">
        <v>0</v>
      </c>
      <c r="AT2628" t="str">
        <f>T("9791170151678")</f>
        <v>9791170151678</v>
      </c>
      <c r="AV2628" t="str">
        <f>T("판타지 웹소설 &gt; 현대 판타지")</f>
        <v>판타지 웹소설 &gt; 현대 판타지</v>
      </c>
    </row>
    <row r="2629" spans="1:48" x14ac:dyDescent="0.4">
      <c r="A2629">
        <v>1525004988</v>
      </c>
      <c r="B2629">
        <v>1525005301</v>
      </c>
      <c r="C2629" t="str">
        <f>T("용무쌍 14화")</f>
        <v>용무쌍 14화</v>
      </c>
      <c r="D2629" t="str">
        <f>T("14")</f>
        <v>14</v>
      </c>
      <c r="E2629" t="str">
        <f>T("권용찬")</f>
        <v>권용찬</v>
      </c>
      <c r="H2629" t="str">
        <f>T("스토리위즈")</f>
        <v>스토리위즈</v>
      </c>
      <c r="I2629" t="str">
        <f>T("용무쌍")</f>
        <v>용무쌍</v>
      </c>
      <c r="J2629">
        <v>0</v>
      </c>
      <c r="K2629">
        <v>0</v>
      </c>
      <c r="L2629">
        <v>0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2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 s="2">
        <v>0</v>
      </c>
      <c r="AT2629" t="str">
        <f>T("9791159284861")</f>
        <v>9791159284861</v>
      </c>
      <c r="AV2629" t="str">
        <f>T("판타지 웹소설 &gt; 무협 소설")</f>
        <v>판타지 웹소설 &gt; 무협 소설</v>
      </c>
    </row>
    <row r="2630" spans="1:48" x14ac:dyDescent="0.4">
      <c r="A2630">
        <v>1525001540</v>
      </c>
      <c r="B2630">
        <v>1525001542</v>
      </c>
      <c r="C2630" t="str">
        <f>T("[e북]철중쟁쟁 3권")</f>
        <v>[e북]철중쟁쟁 3권</v>
      </c>
      <c r="D2630" t="str">
        <f>T("3")</f>
        <v>3</v>
      </c>
      <c r="E2630" t="str">
        <f>T("권용찬")</f>
        <v>권용찬</v>
      </c>
      <c r="H2630" t="str">
        <f>T("스토리위즈")</f>
        <v>스토리위즈</v>
      </c>
      <c r="I2630" t="str">
        <f>T("[e북]철중쟁쟁")</f>
        <v>[e북]철중쟁쟁</v>
      </c>
      <c r="J2630">
        <v>3200</v>
      </c>
      <c r="K2630">
        <v>0</v>
      </c>
      <c r="L2630">
        <v>0</v>
      </c>
      <c r="M2630">
        <v>0</v>
      </c>
      <c r="N2630">
        <v>3600</v>
      </c>
      <c r="O2630">
        <v>4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3600</v>
      </c>
      <c r="AH2630">
        <v>4</v>
      </c>
      <c r="AI2630">
        <v>0</v>
      </c>
      <c r="AJ2630">
        <v>0</v>
      </c>
      <c r="AK2630">
        <v>3600</v>
      </c>
      <c r="AL2630">
        <v>0</v>
      </c>
      <c r="AM2630">
        <v>0</v>
      </c>
      <c r="AN2630">
        <v>0</v>
      </c>
      <c r="AO2630">
        <v>0</v>
      </c>
      <c r="AP2630" s="2">
        <v>2520</v>
      </c>
      <c r="AT2630" t="str">
        <f>T("9791159282294")</f>
        <v>9791159282294</v>
      </c>
      <c r="AV2630" t="str">
        <f>T("판타지 e북 &gt; 전통 무협")</f>
        <v>판타지 e북 &gt; 전통 무협</v>
      </c>
    </row>
    <row r="2631" spans="1:48" x14ac:dyDescent="0.4">
      <c r="A2631">
        <v>1525013020</v>
      </c>
      <c r="B2631">
        <v>1525013024</v>
      </c>
      <c r="C2631" t="str">
        <f>T("악당의 리턴 5화")</f>
        <v>악당의 리턴 5화</v>
      </c>
      <c r="D2631" t="str">
        <f>T("5")</f>
        <v>5</v>
      </c>
      <c r="E2631" t="str">
        <f>T("백범(白帆)")</f>
        <v>백범(白帆)</v>
      </c>
      <c r="H2631" t="str">
        <f>T("에필로그")</f>
        <v>에필로그</v>
      </c>
      <c r="I2631" t="str">
        <f>T("악당의 리턴")</f>
        <v>악당의 리턴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 s="2">
        <v>0</v>
      </c>
      <c r="AT2631" t="str">
        <f>T("9791196538927")</f>
        <v>9791196538927</v>
      </c>
      <c r="AV2631" t="str">
        <f>T("판타지 웹소설 &gt; 현대 판타지")</f>
        <v>판타지 웹소설 &gt; 현대 판타지</v>
      </c>
    </row>
    <row r="2632" spans="1:48" x14ac:dyDescent="0.4">
      <c r="A2632">
        <v>1525001116</v>
      </c>
      <c r="B2632">
        <v>1525001124</v>
      </c>
      <c r="C2632" t="str">
        <f>T("개정판 | 영웅 9화")</f>
        <v>개정판 | 영웅 9화</v>
      </c>
      <c r="D2632" t="str">
        <f>T("9")</f>
        <v>9</v>
      </c>
      <c r="E2632" t="str">
        <f>T("김광수")</f>
        <v>김광수</v>
      </c>
      <c r="H2632" t="str">
        <f>T("스토리위즈")</f>
        <v>스토리위즈</v>
      </c>
      <c r="I2632" t="str">
        <f>T("개정판 | 영웅")</f>
        <v>개정판 | 영웅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 s="2">
        <v>0</v>
      </c>
      <c r="AR2632" t="str">
        <f>T("9791159282829")</f>
        <v>9791159282829</v>
      </c>
      <c r="AT2632" t="str">
        <f>T("9791159282829")</f>
        <v>9791159282829</v>
      </c>
      <c r="AV2632" t="str">
        <f>T("판타지 웹소설 &gt; 무협 소설")</f>
        <v>판타지 웹소설 &gt; 무협 소설</v>
      </c>
    </row>
    <row r="2633" spans="1:48" x14ac:dyDescent="0.4">
      <c r="A2633">
        <v>1525002692</v>
      </c>
      <c r="B2633">
        <v>1525002706</v>
      </c>
      <c r="C2633" t="str">
        <f>T("신규무사 15화")</f>
        <v>신규무사 15화</v>
      </c>
      <c r="D2633" t="str">
        <f>T("15")</f>
        <v>15</v>
      </c>
      <c r="E2633" t="str">
        <f>T("권용찬")</f>
        <v>권용찬</v>
      </c>
      <c r="H2633" t="str">
        <f>T("스토리위즈")</f>
        <v>스토리위즈</v>
      </c>
      <c r="I2633" t="str">
        <f>T("신규무사")</f>
        <v>신규무사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 s="2">
        <v>0</v>
      </c>
      <c r="AT2633" t="str">
        <f>T("9791159287480")</f>
        <v>9791159287480</v>
      </c>
      <c r="AV2633" t="str">
        <f>T("판타지 웹소설 &gt; 무협 소설")</f>
        <v>판타지 웹소설 &gt; 무협 소설</v>
      </c>
    </row>
    <row r="2634" spans="1:48" x14ac:dyDescent="0.4">
      <c r="A2634">
        <v>1525010974</v>
      </c>
      <c r="B2634">
        <v>1525010969</v>
      </c>
      <c r="C2634" t="str">
        <f>T("[e북]위사무적 6권")</f>
        <v>[e북]위사무적 6권</v>
      </c>
      <c r="D2634" t="str">
        <f>T("6")</f>
        <v>6</v>
      </c>
      <c r="E2634" t="str">
        <f>T("협행마")</f>
        <v>협행마</v>
      </c>
      <c r="H2634" t="str">
        <f>T("에필로그")</f>
        <v>에필로그</v>
      </c>
      <c r="I2634" t="str">
        <f>T("[e북]위사무적")</f>
        <v>[e북]위사무적</v>
      </c>
      <c r="J2634">
        <v>2000</v>
      </c>
      <c r="K2634">
        <v>0</v>
      </c>
      <c r="L2634">
        <v>0</v>
      </c>
      <c r="M2634">
        <v>0</v>
      </c>
      <c r="N2634">
        <v>1400</v>
      </c>
      <c r="O2634">
        <v>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1400</v>
      </c>
      <c r="AH2634">
        <v>2</v>
      </c>
      <c r="AI2634">
        <v>0</v>
      </c>
      <c r="AJ2634">
        <v>0</v>
      </c>
      <c r="AK2634">
        <v>1400</v>
      </c>
      <c r="AL2634">
        <v>0</v>
      </c>
      <c r="AM2634">
        <v>0</v>
      </c>
      <c r="AN2634">
        <v>0</v>
      </c>
      <c r="AO2634">
        <v>0</v>
      </c>
      <c r="AP2634" s="2">
        <v>980</v>
      </c>
      <c r="AT2634" t="str">
        <f>T("9791164489015")</f>
        <v>9791164489015</v>
      </c>
      <c r="AV2634" t="str">
        <f>T("판타지 e북 &gt; 신무협")</f>
        <v>판타지 e북 &gt; 신무협</v>
      </c>
    </row>
    <row r="2635" spans="1:48" x14ac:dyDescent="0.4">
      <c r="A2635">
        <v>1525010898</v>
      </c>
      <c r="B2635">
        <v>1525010880</v>
      </c>
      <c r="C2635" t="str">
        <f>T("[e북]용병수칙 3권")</f>
        <v>[e북]용병수칙 3권</v>
      </c>
      <c r="D2635" t="str">
        <f>T("3")</f>
        <v>3</v>
      </c>
      <c r="E2635" t="str">
        <f>T("협행마")</f>
        <v>협행마</v>
      </c>
      <c r="H2635" t="str">
        <f>T("에필로그")</f>
        <v>에필로그</v>
      </c>
      <c r="I2635" t="str">
        <f>T("[e북]용병수칙")</f>
        <v>[e북]용병수칙</v>
      </c>
      <c r="J2635">
        <v>2500</v>
      </c>
      <c r="K2635">
        <v>0</v>
      </c>
      <c r="L2635">
        <v>0</v>
      </c>
      <c r="M2635">
        <v>0</v>
      </c>
      <c r="N2635">
        <v>810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810</v>
      </c>
      <c r="AH2635">
        <v>1</v>
      </c>
      <c r="AI2635">
        <v>0</v>
      </c>
      <c r="AJ2635">
        <v>0</v>
      </c>
      <c r="AK2635">
        <v>810</v>
      </c>
      <c r="AL2635">
        <v>0</v>
      </c>
      <c r="AM2635">
        <v>0</v>
      </c>
      <c r="AN2635">
        <v>0</v>
      </c>
      <c r="AO2635">
        <v>0</v>
      </c>
      <c r="AP2635" s="2">
        <v>567</v>
      </c>
      <c r="AT2635" t="str">
        <f>T("9791166000140")</f>
        <v>9791166000140</v>
      </c>
      <c r="AV2635" t="str">
        <f>T("판타지 e북 &gt; 퓨전 판타지")</f>
        <v>판타지 e북 &gt; 퓨전 판타지</v>
      </c>
    </row>
    <row r="2636" spans="1:48" x14ac:dyDescent="0.4">
      <c r="A2636">
        <v>1525001908</v>
      </c>
      <c r="B2636">
        <v>1525001914</v>
      </c>
      <c r="C2636" t="str">
        <f>T("[e북]상왕 진우몽 7권")</f>
        <v>[e북]상왕 진우몽 7권</v>
      </c>
      <c r="D2636" t="str">
        <f>T("7")</f>
        <v>7</v>
      </c>
      <c r="E2636" t="str">
        <f>T("권용찬")</f>
        <v>권용찬</v>
      </c>
      <c r="H2636" t="str">
        <f t="shared" ref="H2636:H2643" si="228">T("스토리위즈")</f>
        <v>스토리위즈</v>
      </c>
      <c r="I2636" t="str">
        <f>T("[e북]상왕 진우몽")</f>
        <v>[e북]상왕 진우몽</v>
      </c>
      <c r="J2636">
        <v>3200</v>
      </c>
      <c r="K2636">
        <v>0</v>
      </c>
      <c r="L2636">
        <v>0</v>
      </c>
      <c r="M2636">
        <v>0</v>
      </c>
      <c r="N2636">
        <v>900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900</v>
      </c>
      <c r="AH2636">
        <v>1</v>
      </c>
      <c r="AI2636">
        <v>0</v>
      </c>
      <c r="AJ2636">
        <v>0</v>
      </c>
      <c r="AK2636">
        <v>900</v>
      </c>
      <c r="AL2636">
        <v>0</v>
      </c>
      <c r="AM2636">
        <v>0</v>
      </c>
      <c r="AN2636">
        <v>0</v>
      </c>
      <c r="AO2636">
        <v>0</v>
      </c>
      <c r="AP2636" s="2">
        <v>630</v>
      </c>
      <c r="AT2636" t="str">
        <f>T("9791159285899")</f>
        <v>9791159285899</v>
      </c>
      <c r="AV2636" t="str">
        <f>T("판타지 e북 &gt; 신무협")</f>
        <v>판타지 e북 &gt; 신무협</v>
      </c>
    </row>
    <row r="2637" spans="1:48" x14ac:dyDescent="0.4">
      <c r="A2637">
        <v>1525004988</v>
      </c>
      <c r="B2637">
        <v>1525005294</v>
      </c>
      <c r="C2637" t="str">
        <f>T("용무쌍 7화")</f>
        <v>용무쌍 7화</v>
      </c>
      <c r="D2637" t="str">
        <f>T("7")</f>
        <v>7</v>
      </c>
      <c r="E2637" t="str">
        <f>T("권용찬")</f>
        <v>권용찬</v>
      </c>
      <c r="H2637" t="str">
        <f t="shared" si="228"/>
        <v>스토리위즈</v>
      </c>
      <c r="I2637" t="str">
        <f>T("용무쌍")</f>
        <v>용무쌍</v>
      </c>
      <c r="J2637">
        <v>0</v>
      </c>
      <c r="K2637">
        <v>0</v>
      </c>
      <c r="L2637">
        <v>0</v>
      </c>
      <c r="M2637">
        <v>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2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 s="2">
        <v>0</v>
      </c>
      <c r="AT2637" t="str">
        <f>T("9791159284861")</f>
        <v>9791159284861</v>
      </c>
      <c r="AV2637" t="str">
        <f>T("판타지 웹소설 &gt; 무협 소설")</f>
        <v>판타지 웹소설 &gt; 무협 소설</v>
      </c>
    </row>
    <row r="2638" spans="1:48" x14ac:dyDescent="0.4">
      <c r="A2638">
        <v>1525002409</v>
      </c>
      <c r="B2638">
        <v>1525002431</v>
      </c>
      <c r="C2638" t="str">
        <f>T("스포트라이트 23화")</f>
        <v>스포트라이트 23화</v>
      </c>
      <c r="D2638" t="str">
        <f>T("23")</f>
        <v>23</v>
      </c>
      <c r="E2638" t="str">
        <f>T("전혁")</f>
        <v>전혁</v>
      </c>
      <c r="H2638" t="str">
        <f t="shared" si="228"/>
        <v>스토리위즈</v>
      </c>
      <c r="I2638" t="str">
        <f>T("스포트라이트")</f>
        <v>스포트라이트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 s="2">
        <v>0</v>
      </c>
      <c r="AT2638" t="str">
        <f>T("9791159286841")</f>
        <v>9791159286841</v>
      </c>
      <c r="AV2638" t="str">
        <f>T("판타지 웹소설 &gt; 현대 판타지")</f>
        <v>판타지 웹소설 &gt; 현대 판타지</v>
      </c>
    </row>
    <row r="2639" spans="1:48" x14ac:dyDescent="0.4">
      <c r="A2639">
        <v>1525001508</v>
      </c>
      <c r="B2639">
        <v>1525001510</v>
      </c>
      <c r="C2639" t="str">
        <f>T("[e북]칼 3권")</f>
        <v>[e북]칼 3권</v>
      </c>
      <c r="D2639" t="str">
        <f>T("3")</f>
        <v>3</v>
      </c>
      <c r="E2639" t="str">
        <f>T("권용찬")</f>
        <v>권용찬</v>
      </c>
      <c r="H2639" t="str">
        <f t="shared" si="228"/>
        <v>스토리위즈</v>
      </c>
      <c r="I2639" t="str">
        <f>T("[e북]칼")</f>
        <v>[e북]칼</v>
      </c>
      <c r="J2639">
        <v>3200</v>
      </c>
      <c r="K2639">
        <v>0</v>
      </c>
      <c r="L2639">
        <v>0</v>
      </c>
      <c r="M2639">
        <v>0</v>
      </c>
      <c r="N2639">
        <v>900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900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900</v>
      </c>
      <c r="AN2639">
        <v>0</v>
      </c>
      <c r="AO2639">
        <v>0</v>
      </c>
      <c r="AP2639" s="2">
        <v>630</v>
      </c>
      <c r="AT2639" t="str">
        <f>T("9791159282379")</f>
        <v>9791159282379</v>
      </c>
      <c r="AV2639" t="str">
        <f>T("판타지 e북 &gt; 신무협")</f>
        <v>판타지 e북 &gt; 신무협</v>
      </c>
    </row>
    <row r="2640" spans="1:48" x14ac:dyDescent="0.4">
      <c r="A2640">
        <v>1525000055</v>
      </c>
      <c r="B2640">
        <v>1525000068</v>
      </c>
      <c r="C2640" t="str">
        <f>T("[e북]21세기 대마법사 13권")</f>
        <v>[e북]21세기 대마법사 13권</v>
      </c>
      <c r="D2640" t="str">
        <f>T("13")</f>
        <v>13</v>
      </c>
      <c r="E2640" t="str">
        <f>T("김광수")</f>
        <v>김광수</v>
      </c>
      <c r="H2640" t="str">
        <f t="shared" si="228"/>
        <v>스토리위즈</v>
      </c>
      <c r="I2640" t="str">
        <f>T("[e북]21세기 대마법사")</f>
        <v>[e북]21세기 대마법사</v>
      </c>
      <c r="J2640">
        <v>3200</v>
      </c>
      <c r="K2640">
        <v>0</v>
      </c>
      <c r="L2640">
        <v>0</v>
      </c>
      <c r="M2640">
        <v>0</v>
      </c>
      <c r="N2640">
        <v>6300</v>
      </c>
      <c r="O2640">
        <v>7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6300</v>
      </c>
      <c r="AH2640">
        <v>7</v>
      </c>
      <c r="AI2640">
        <v>0</v>
      </c>
      <c r="AJ2640">
        <v>0</v>
      </c>
      <c r="AK2640">
        <v>6300</v>
      </c>
      <c r="AL2640">
        <v>0</v>
      </c>
      <c r="AM2640">
        <v>0</v>
      </c>
      <c r="AN2640">
        <v>0</v>
      </c>
      <c r="AO2640">
        <v>0</v>
      </c>
      <c r="AP2640" s="2">
        <v>4410</v>
      </c>
      <c r="AT2640" t="str">
        <f>T("9788925119434")</f>
        <v>9788925119434</v>
      </c>
      <c r="AV2640" t="str">
        <f>T("판타지 e북 &gt; 퓨전 판타지")</f>
        <v>판타지 e북 &gt; 퓨전 판타지</v>
      </c>
    </row>
    <row r="2641" spans="1:48" x14ac:dyDescent="0.4">
      <c r="A2641">
        <v>1525001116</v>
      </c>
      <c r="B2641">
        <v>1525001117</v>
      </c>
      <c r="C2641" t="str">
        <f>T("개정판 | 영웅 2화")</f>
        <v>개정판 | 영웅 2화</v>
      </c>
      <c r="D2641" t="str">
        <f>T("2")</f>
        <v>2</v>
      </c>
      <c r="E2641" t="str">
        <f>T("김광수")</f>
        <v>김광수</v>
      </c>
      <c r="H2641" t="str">
        <f t="shared" si="228"/>
        <v>스토리위즈</v>
      </c>
      <c r="I2641" t="str">
        <f>T("개정판 | 영웅")</f>
        <v>개정판 | 영웅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 s="2">
        <v>0</v>
      </c>
      <c r="AR2641" t="str">
        <f>T("9791159282829")</f>
        <v>9791159282829</v>
      </c>
      <c r="AT2641" t="str">
        <f>T("9791159282829")</f>
        <v>9791159282829</v>
      </c>
      <c r="AV2641" t="str">
        <f>T("판타지 웹소설 &gt; 무협 소설")</f>
        <v>판타지 웹소설 &gt; 무협 소설</v>
      </c>
    </row>
    <row r="2642" spans="1:48" x14ac:dyDescent="0.4">
      <c r="A2642">
        <v>1525004030</v>
      </c>
      <c r="B2642">
        <v>1525004048</v>
      </c>
      <c r="C2642" t="str">
        <f>T("회귀의 전설 19화")</f>
        <v>회귀의 전설 19화</v>
      </c>
      <c r="D2642" t="str">
        <f>T("19")</f>
        <v>19</v>
      </c>
      <c r="E2642" t="str">
        <f>T("김광수")</f>
        <v>김광수</v>
      </c>
      <c r="H2642" t="str">
        <f t="shared" si="228"/>
        <v>스토리위즈</v>
      </c>
      <c r="I2642" t="str">
        <f>T("회귀의 전설")</f>
        <v>회귀의 전설</v>
      </c>
      <c r="J2642">
        <v>0</v>
      </c>
      <c r="K2642">
        <v>0</v>
      </c>
      <c r="L2642">
        <v>0</v>
      </c>
      <c r="M2642">
        <v>3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3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 s="2">
        <v>0</v>
      </c>
      <c r="AT2642" t="str">
        <f>T("9788997946006")</f>
        <v>9788997946006</v>
      </c>
      <c r="AV2642" t="str">
        <f>T("판타지 웹소설 &gt; 현대 판타지")</f>
        <v>판타지 웹소설 &gt; 현대 판타지</v>
      </c>
    </row>
    <row r="2643" spans="1:48" x14ac:dyDescent="0.4">
      <c r="A2643">
        <v>1525002692</v>
      </c>
      <c r="B2643">
        <v>1525002699</v>
      </c>
      <c r="C2643" t="str">
        <f>T("신규무사 8화")</f>
        <v>신규무사 8화</v>
      </c>
      <c r="D2643" t="str">
        <f>T("8")</f>
        <v>8</v>
      </c>
      <c r="E2643" t="str">
        <f>T("권용찬")</f>
        <v>권용찬</v>
      </c>
      <c r="H2643" t="str">
        <f t="shared" si="228"/>
        <v>스토리위즈</v>
      </c>
      <c r="I2643" t="str">
        <f>T("신규무사")</f>
        <v>신규무사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 s="2">
        <v>0</v>
      </c>
      <c r="AT2643" t="str">
        <f>T("9791159287480")</f>
        <v>9791159287480</v>
      </c>
      <c r="AV2643" t="str">
        <f>T("판타지 웹소설 &gt; 무협 소설")</f>
        <v>판타지 웹소설 &gt; 무협 소설</v>
      </c>
    </row>
    <row r="2644" spans="1:48" x14ac:dyDescent="0.4">
      <c r="A2644">
        <v>1525014015</v>
      </c>
      <c r="B2644">
        <v>1525014036</v>
      </c>
      <c r="C2644" t="str">
        <f>T("사냥꾼은 마왕이 되기 싫다 22화")</f>
        <v>사냥꾼은 마왕이 되기 싫다 22화</v>
      </c>
      <c r="D2644" t="str">
        <f>T("22")</f>
        <v>22</v>
      </c>
      <c r="E2644" t="str">
        <f>T("강명운")</f>
        <v>강명운</v>
      </c>
      <c r="H2644" t="str">
        <f>T("스토리아크")</f>
        <v>스토리아크</v>
      </c>
      <c r="I2644" t="str">
        <f>T("사냥꾼은 마왕이 되기 싫다")</f>
        <v>사냥꾼은 마왕이 되기 싫다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 s="2">
        <v>0</v>
      </c>
      <c r="AR2644" t="str">
        <f>T("0000000000000")</f>
        <v>0000000000000</v>
      </c>
      <c r="AT2644" t="str">
        <f>T("9791191039269")</f>
        <v>9791191039269</v>
      </c>
      <c r="AV2644" t="str">
        <f>T("판타지 웹소설 &gt; 정통 판타지")</f>
        <v>판타지 웹소설 &gt; 정통 판타지</v>
      </c>
    </row>
    <row r="2645" spans="1:48" x14ac:dyDescent="0.4">
      <c r="A2645">
        <v>1525013320</v>
      </c>
      <c r="B2645">
        <v>1525013323</v>
      </c>
      <c r="C2645" t="str">
        <f>T("[e북]악당의 리턴 4권")</f>
        <v>[e북]악당의 리턴 4권</v>
      </c>
      <c r="D2645" t="str">
        <f>T("4")</f>
        <v>4</v>
      </c>
      <c r="E2645" t="str">
        <f>T("백범(白帆)")</f>
        <v>백범(白帆)</v>
      </c>
      <c r="H2645" t="str">
        <f>T("에필로그")</f>
        <v>에필로그</v>
      </c>
      <c r="I2645" t="str">
        <f>T("[e북]악당의 리턴")</f>
        <v>[e북]악당의 리턴</v>
      </c>
      <c r="J2645">
        <v>3200</v>
      </c>
      <c r="K2645">
        <v>0</v>
      </c>
      <c r="L2645">
        <v>0</v>
      </c>
      <c r="M2645">
        <v>0</v>
      </c>
      <c r="N2645">
        <v>900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900</v>
      </c>
      <c r="AH2645">
        <v>1</v>
      </c>
      <c r="AI2645">
        <v>0</v>
      </c>
      <c r="AJ2645">
        <v>0</v>
      </c>
      <c r="AK2645">
        <v>900</v>
      </c>
      <c r="AL2645">
        <v>0</v>
      </c>
      <c r="AM2645">
        <v>0</v>
      </c>
      <c r="AN2645">
        <v>0</v>
      </c>
      <c r="AO2645">
        <v>0</v>
      </c>
      <c r="AP2645" s="2">
        <v>630</v>
      </c>
      <c r="AT2645" t="str">
        <f>T("9791164482894")</f>
        <v>9791164482894</v>
      </c>
      <c r="AV2645" t="str">
        <f>T("판타지 e북 &gt; 현대 판타지")</f>
        <v>판타지 e북 &gt; 현대 판타지</v>
      </c>
    </row>
    <row r="2646" spans="1:48" x14ac:dyDescent="0.4">
      <c r="A2646">
        <v>1525011523</v>
      </c>
      <c r="B2646">
        <v>1525011522</v>
      </c>
      <c r="C2646" t="str">
        <f>T("남창목가 2화")</f>
        <v>남창목가 2화</v>
      </c>
      <c r="D2646" t="str">
        <f>T("2")</f>
        <v>2</v>
      </c>
      <c r="E2646" t="str">
        <f>T("최재봉")</f>
        <v>최재봉</v>
      </c>
      <c r="H2646" t="str">
        <f>T("에필로그")</f>
        <v>에필로그</v>
      </c>
      <c r="I2646" t="str">
        <f>T("남창목가")</f>
        <v>남창목가</v>
      </c>
      <c r="J2646">
        <v>0</v>
      </c>
      <c r="K2646">
        <v>0</v>
      </c>
      <c r="L2646">
        <v>0</v>
      </c>
      <c r="M2646">
        <v>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2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 s="2">
        <v>0</v>
      </c>
      <c r="AT2646" t="str">
        <f>T("9791164482849")</f>
        <v>9791164482849</v>
      </c>
      <c r="AV2646" t="str">
        <f>T("판타지 웹소설 &gt; 무협 소설")</f>
        <v>판타지 웹소설 &gt; 무협 소설</v>
      </c>
    </row>
    <row r="2647" spans="1:48" x14ac:dyDescent="0.4">
      <c r="A2647">
        <v>1525002864</v>
      </c>
      <c r="B2647">
        <v>1525002880</v>
      </c>
      <c r="C2647" t="str">
        <f>T("소드마스터의 환생 17화")</f>
        <v>소드마스터의 환생 17화</v>
      </c>
      <c r="D2647" t="str">
        <f>T("17")</f>
        <v>17</v>
      </c>
      <c r="E2647" t="str">
        <f>T("파란영")</f>
        <v>파란영</v>
      </c>
      <c r="H2647" t="str">
        <f>T("스토리위즈")</f>
        <v>스토리위즈</v>
      </c>
      <c r="I2647" t="str">
        <f>T("소드마스터의 환생")</f>
        <v>소드마스터의 환생</v>
      </c>
      <c r="J2647">
        <v>0</v>
      </c>
      <c r="K2647">
        <v>0</v>
      </c>
      <c r="L2647">
        <v>0</v>
      </c>
      <c r="M2647">
        <v>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3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 s="2">
        <v>0</v>
      </c>
      <c r="AT2647" t="str">
        <f>T("9791159287527")</f>
        <v>9791159287527</v>
      </c>
      <c r="AV2647" t="str">
        <f>T("판타지 웹소설 &gt; 정통 판타지")</f>
        <v>판타지 웹소설 &gt; 정통 판타지</v>
      </c>
    </row>
    <row r="2648" spans="1:48" x14ac:dyDescent="0.4">
      <c r="A2648">
        <v>1525000174</v>
      </c>
      <c r="B2648">
        <v>1525000174</v>
      </c>
      <c r="C2648" t="str">
        <f>T("[e북]바람의 기사 아르테온 1권")</f>
        <v>[e북]바람의 기사 아르테온 1권</v>
      </c>
      <c r="D2648" t="str">
        <f>T("1")</f>
        <v>1</v>
      </c>
      <c r="E2648" t="str">
        <f>T("김광수")</f>
        <v>김광수</v>
      </c>
      <c r="H2648" t="str">
        <f>T("스토리위즈")</f>
        <v>스토리위즈</v>
      </c>
      <c r="I2648" t="str">
        <f>T("[e북]바람의 기사 아르테온")</f>
        <v>[e북]바람의 기사 아르테온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2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 s="2">
        <v>0</v>
      </c>
      <c r="AV2648" t="str">
        <f>T("판타지 e북 &gt; 정통 판타지")</f>
        <v>판타지 e북 &gt; 정통 판타지</v>
      </c>
    </row>
    <row r="2649" spans="1:48" x14ac:dyDescent="0.4">
      <c r="A2649">
        <v>1525001334</v>
      </c>
      <c r="B2649">
        <v>1525001339</v>
      </c>
      <c r="C2649" t="str">
        <f>T("게이트 헌터 6화")</f>
        <v>게이트 헌터 6화</v>
      </c>
      <c r="D2649" t="str">
        <f>T("6")</f>
        <v>6</v>
      </c>
      <c r="E2649" t="str">
        <f>T("권용찬")</f>
        <v>권용찬</v>
      </c>
      <c r="H2649" t="str">
        <f>T("스토리위즈")</f>
        <v>스토리위즈</v>
      </c>
      <c r="I2649" t="str">
        <f>T("게이트 헌터")</f>
        <v>게이트 헌터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 s="2">
        <v>0</v>
      </c>
      <c r="AR2649" t="str">
        <f>T("9791159283291")</f>
        <v>9791159283291</v>
      </c>
      <c r="AT2649" t="str">
        <f>T("9791159283291")</f>
        <v>9791159283291</v>
      </c>
      <c r="AV2649" t="str">
        <f>T("판타지 웹소설 &gt; 현대 판타지")</f>
        <v>판타지 웹소설 &gt; 현대 판타지</v>
      </c>
    </row>
    <row r="2650" spans="1:48" x14ac:dyDescent="0.4">
      <c r="A2650">
        <v>1525013020</v>
      </c>
      <c r="B2650">
        <v>1525013042</v>
      </c>
      <c r="C2650" t="str">
        <f>T("악당의 리턴 23화")</f>
        <v>악당의 리턴 23화</v>
      </c>
      <c r="D2650" t="str">
        <f>T("23")</f>
        <v>23</v>
      </c>
      <c r="E2650" t="str">
        <f>T("백범(白帆)")</f>
        <v>백범(白帆)</v>
      </c>
      <c r="H2650" t="str">
        <f>T("에필로그")</f>
        <v>에필로그</v>
      </c>
      <c r="I2650" t="str">
        <f>T("악당의 리턴")</f>
        <v>악당의 리턴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 s="2">
        <v>0</v>
      </c>
      <c r="AT2650" t="str">
        <f>T("9791196538927")</f>
        <v>9791196538927</v>
      </c>
      <c r="AV2650" t="str">
        <f>T("판타지 웹소설 &gt; 현대 판타지")</f>
        <v>판타지 웹소설 &gt; 현대 판타지</v>
      </c>
    </row>
    <row r="2651" spans="1:48" x14ac:dyDescent="0.4">
      <c r="A2651">
        <v>1525011523</v>
      </c>
      <c r="B2651">
        <v>1525011515</v>
      </c>
      <c r="C2651" t="str">
        <f>T("남창목가 9화")</f>
        <v>남창목가 9화</v>
      </c>
      <c r="D2651" t="str">
        <f>T("9")</f>
        <v>9</v>
      </c>
      <c r="E2651" t="str">
        <f>T("최재봉")</f>
        <v>최재봉</v>
      </c>
      <c r="H2651" t="str">
        <f>T("에필로그")</f>
        <v>에필로그</v>
      </c>
      <c r="I2651" t="str">
        <f>T("남창목가")</f>
        <v>남창목가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 s="2">
        <v>0</v>
      </c>
      <c r="AT2651" t="str">
        <f>T("9791164482849")</f>
        <v>9791164482849</v>
      </c>
      <c r="AV2651" t="str">
        <f>T("판타지 웹소설 &gt; 무협 소설")</f>
        <v>판타지 웹소설 &gt; 무협 소설</v>
      </c>
    </row>
    <row r="2652" spans="1:48" x14ac:dyDescent="0.4">
      <c r="A2652">
        <v>1525001317</v>
      </c>
      <c r="B2652">
        <v>1525001322</v>
      </c>
      <c r="C2652" t="str">
        <f>T("[e북]완전판 | 스트라이커 6권")</f>
        <v>[e북]완전판 | 스트라이커 6권</v>
      </c>
      <c r="D2652" t="str">
        <f>T("6")</f>
        <v>6</v>
      </c>
      <c r="E2652" t="str">
        <f>T("독고진")</f>
        <v>독고진</v>
      </c>
      <c r="H2652" t="str">
        <f>T("스토리위즈")</f>
        <v>스토리위즈</v>
      </c>
      <c r="I2652" t="str">
        <f>T("[e북]완전판 | 스트라이커")</f>
        <v>[e북]완전판 | 스트라이커</v>
      </c>
      <c r="J2652">
        <v>3200</v>
      </c>
      <c r="K2652">
        <v>0</v>
      </c>
      <c r="L2652">
        <v>0</v>
      </c>
      <c r="M2652">
        <v>0</v>
      </c>
      <c r="N2652">
        <v>7200</v>
      </c>
      <c r="O2652">
        <v>8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7200</v>
      </c>
      <c r="AH2652">
        <v>8</v>
      </c>
      <c r="AI2652">
        <v>0</v>
      </c>
      <c r="AJ2652">
        <v>0</v>
      </c>
      <c r="AK2652">
        <v>7200</v>
      </c>
      <c r="AL2652">
        <v>0</v>
      </c>
      <c r="AM2652">
        <v>0</v>
      </c>
      <c r="AN2652">
        <v>0</v>
      </c>
      <c r="AO2652">
        <v>0</v>
      </c>
      <c r="AP2652" s="2">
        <v>5040</v>
      </c>
      <c r="AR2652" t="str">
        <f>T("9791159282881")</f>
        <v>9791159282881</v>
      </c>
      <c r="AT2652" t="str">
        <f>T("9791159282881")</f>
        <v>9791159282881</v>
      </c>
      <c r="AV2652" t="str">
        <f>T("판타지 e북 &gt; 스포츠물")</f>
        <v>판타지 e북 &gt; 스포츠물</v>
      </c>
    </row>
    <row r="2653" spans="1:48" x14ac:dyDescent="0.4">
      <c r="A2653">
        <v>1525007923</v>
      </c>
      <c r="B2653">
        <v>1525007945</v>
      </c>
      <c r="C2653" t="str">
        <f>T("운상연담: 화불능귀일락 3화")</f>
        <v>운상연담: 화불능귀일락 3화</v>
      </c>
      <c r="D2653" t="str">
        <f>T("3")</f>
        <v>3</v>
      </c>
      <c r="E2653" t="str">
        <f>T("피모")</f>
        <v>피모</v>
      </c>
      <c r="H2653" t="str">
        <f>T("쉬라즈")</f>
        <v>쉬라즈</v>
      </c>
      <c r="I2653" t="str">
        <f>T("운상연담: 화불능귀일락")</f>
        <v>운상연담: 화불능귀일락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 s="2">
        <v>0</v>
      </c>
      <c r="AT2653" t="str">
        <f>T("9791164896646")</f>
        <v>9791164896646</v>
      </c>
      <c r="AV2653" t="str">
        <f>T("로맨스 웹소설 &gt; 역사/시대물")</f>
        <v>로맨스 웹소설 &gt; 역사/시대물</v>
      </c>
    </row>
    <row r="2654" spans="1:48" x14ac:dyDescent="0.4">
      <c r="A2654">
        <v>1525002864</v>
      </c>
      <c r="B2654">
        <v>1525002873</v>
      </c>
      <c r="C2654" t="str">
        <f>T("소드마스터의 환생 10화")</f>
        <v>소드마스터의 환생 10화</v>
      </c>
      <c r="D2654" t="str">
        <f>T("10")</f>
        <v>10</v>
      </c>
      <c r="E2654" t="str">
        <f>T("파란영")</f>
        <v>파란영</v>
      </c>
      <c r="H2654" t="str">
        <f>T("스토리위즈")</f>
        <v>스토리위즈</v>
      </c>
      <c r="I2654" t="str">
        <f>T("소드마스터의 환생")</f>
        <v>소드마스터의 환생</v>
      </c>
      <c r="J2654">
        <v>0</v>
      </c>
      <c r="K2654">
        <v>0</v>
      </c>
      <c r="L2654">
        <v>0</v>
      </c>
      <c r="M2654">
        <v>3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3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 s="2">
        <v>0</v>
      </c>
      <c r="AT2654" t="str">
        <f>T("9791159287527")</f>
        <v>9791159287527</v>
      </c>
      <c r="AV2654" t="str">
        <f>T("판타지 웹소설 &gt; 정통 판타지")</f>
        <v>판타지 웹소설 &gt; 정통 판타지</v>
      </c>
    </row>
    <row r="2655" spans="1:48" x14ac:dyDescent="0.4">
      <c r="A2655">
        <v>1525000158</v>
      </c>
      <c r="B2655">
        <v>1525000166</v>
      </c>
      <c r="C2655" t="str">
        <f>T("[e북]아나크레온 9권")</f>
        <v>[e북]아나크레온 9권</v>
      </c>
      <c r="D2655" t="str">
        <f>T("9")</f>
        <v>9</v>
      </c>
      <c r="E2655" t="str">
        <f>T("김정률")</f>
        <v>김정률</v>
      </c>
      <c r="H2655" t="str">
        <f>T("스토리위즈")</f>
        <v>스토리위즈</v>
      </c>
      <c r="I2655" t="str">
        <f>T("[e북]아나크레온")</f>
        <v>[e북]아나크레온</v>
      </c>
      <c r="J2655">
        <v>3200</v>
      </c>
      <c r="K2655">
        <v>0</v>
      </c>
      <c r="L2655">
        <v>0</v>
      </c>
      <c r="M2655">
        <v>0</v>
      </c>
      <c r="N2655">
        <v>1800</v>
      </c>
      <c r="O2655">
        <v>2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1800</v>
      </c>
      <c r="AH2655">
        <v>2</v>
      </c>
      <c r="AI2655">
        <v>0</v>
      </c>
      <c r="AJ2655">
        <v>0</v>
      </c>
      <c r="AK2655">
        <v>1800</v>
      </c>
      <c r="AL2655">
        <v>0</v>
      </c>
      <c r="AM2655">
        <v>0</v>
      </c>
      <c r="AN2655">
        <v>0</v>
      </c>
      <c r="AO2655">
        <v>0</v>
      </c>
      <c r="AP2655" s="2">
        <v>1260</v>
      </c>
      <c r="AV2655" t="str">
        <f>T("판타지 e북 &gt; 퓨전 판타지")</f>
        <v>판타지 e북 &gt; 퓨전 판타지</v>
      </c>
    </row>
    <row r="2656" spans="1:48" x14ac:dyDescent="0.4">
      <c r="A2656">
        <v>1525012202</v>
      </c>
      <c r="B2656">
        <v>1525012200</v>
      </c>
      <c r="C2656" t="str">
        <f>T("이세계 최강 군바리 3화")</f>
        <v>이세계 최강 군바리 3화</v>
      </c>
      <c r="D2656" t="str">
        <f>T("3")</f>
        <v>3</v>
      </c>
      <c r="E2656" t="str">
        <f>T("협행마")</f>
        <v>협행마</v>
      </c>
      <c r="H2656" t="str">
        <f>T("에필로그")</f>
        <v>에필로그</v>
      </c>
      <c r="I2656" t="str">
        <f>T("이세계 최강 군바리")</f>
        <v>이세계 최강 군바리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 s="2">
        <v>0</v>
      </c>
      <c r="AT2656" t="str">
        <f>T("9791164480159")</f>
        <v>9791164480159</v>
      </c>
      <c r="AV2656" t="str">
        <f>T("판타지 웹소설 &gt; 퓨전 판타지")</f>
        <v>판타지 웹소설 &gt; 퓨전 판타지</v>
      </c>
    </row>
    <row r="2657" spans="1:48" x14ac:dyDescent="0.4">
      <c r="A2657">
        <v>1525001317</v>
      </c>
      <c r="B2657">
        <v>1525001330</v>
      </c>
      <c r="C2657" t="str">
        <f>T("[e북]완전판 | 스트라이커 14권")</f>
        <v>[e북]완전판 | 스트라이커 14권</v>
      </c>
      <c r="D2657" t="str">
        <f>T("14")</f>
        <v>14</v>
      </c>
      <c r="E2657" t="str">
        <f>T("독고진")</f>
        <v>독고진</v>
      </c>
      <c r="H2657" t="str">
        <f>T("스토리위즈")</f>
        <v>스토리위즈</v>
      </c>
      <c r="I2657" t="str">
        <f>T("[e북]완전판 | 스트라이커")</f>
        <v>[e북]완전판 | 스트라이커</v>
      </c>
      <c r="J2657">
        <v>3200</v>
      </c>
      <c r="K2657">
        <v>0</v>
      </c>
      <c r="L2657">
        <v>0</v>
      </c>
      <c r="M2657">
        <v>0</v>
      </c>
      <c r="N2657">
        <v>2700</v>
      </c>
      <c r="O2657">
        <v>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2700</v>
      </c>
      <c r="AH2657">
        <v>3</v>
      </c>
      <c r="AI2657">
        <v>0</v>
      </c>
      <c r="AJ2657">
        <v>0</v>
      </c>
      <c r="AK2657">
        <v>2700</v>
      </c>
      <c r="AL2657">
        <v>0</v>
      </c>
      <c r="AM2657">
        <v>0</v>
      </c>
      <c r="AN2657">
        <v>0</v>
      </c>
      <c r="AO2657">
        <v>0</v>
      </c>
      <c r="AP2657" s="2">
        <v>1890</v>
      </c>
      <c r="AR2657" t="str">
        <f>T("9791159282966")</f>
        <v>9791159282966</v>
      </c>
      <c r="AT2657" t="str">
        <f>T("9791159282966")</f>
        <v>9791159282966</v>
      </c>
      <c r="AV2657" t="str">
        <f>T("판타지 e북 &gt; 스포츠물")</f>
        <v>판타지 e북 &gt; 스포츠물</v>
      </c>
    </row>
    <row r="2658" spans="1:48" x14ac:dyDescent="0.4">
      <c r="A2658">
        <v>1525004989</v>
      </c>
      <c r="B2658">
        <v>1525005513</v>
      </c>
      <c r="C2658" t="str">
        <f>T("신룡전설 24화")</f>
        <v>신룡전설 24화</v>
      </c>
      <c r="D2658" t="str">
        <f>T("24")</f>
        <v>24</v>
      </c>
      <c r="E2658" t="str">
        <f>T("가람검")</f>
        <v>가람검</v>
      </c>
      <c r="H2658" t="str">
        <f>T("스토리위즈")</f>
        <v>스토리위즈</v>
      </c>
      <c r="I2658" t="str">
        <f>T("신룡전설")</f>
        <v>신룡전설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 s="2">
        <v>0</v>
      </c>
      <c r="AT2658" t="str">
        <f>T("9791159283505")</f>
        <v>9791159283505</v>
      </c>
      <c r="AV2658" t="str">
        <f>T("판타지 웹소설 &gt; 무협 소설")</f>
        <v>판타지 웹소설 &gt; 무협 소설</v>
      </c>
    </row>
    <row r="2659" spans="1:48" x14ac:dyDescent="0.4">
      <c r="A2659">
        <v>1525010873</v>
      </c>
      <c r="B2659">
        <v>1525010873</v>
      </c>
      <c r="C2659" t="str">
        <f>T("[e북]혈천 온라인 1권")</f>
        <v>[e북]혈천 온라인 1권</v>
      </c>
      <c r="D2659" t="str">
        <f>T("1")</f>
        <v>1</v>
      </c>
      <c r="E2659" t="str">
        <f>T("협행마")</f>
        <v>협행마</v>
      </c>
      <c r="H2659" t="str">
        <f>T("에필로그")</f>
        <v>에필로그</v>
      </c>
      <c r="I2659" t="str">
        <f>T("[e북]혈천 온라인")</f>
        <v>[e북]혈천 온라인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 s="2">
        <v>0</v>
      </c>
      <c r="AT2659" t="str">
        <f>T("9791166000157")</f>
        <v>9791166000157</v>
      </c>
      <c r="AV2659" t="str">
        <f>T("판타지 e북 &gt; 게임 판타지")</f>
        <v>판타지 e북 &gt; 게임 판타지</v>
      </c>
    </row>
    <row r="2660" spans="1:48" x14ac:dyDescent="0.4">
      <c r="A2660">
        <v>1525001877</v>
      </c>
      <c r="B2660">
        <v>1525001880</v>
      </c>
      <c r="C2660" t="str">
        <f>T("[e북]완전판 | 게이트 헌터 4권")</f>
        <v>[e북]완전판 | 게이트 헌터 4권</v>
      </c>
      <c r="D2660" t="str">
        <f>T("4")</f>
        <v>4</v>
      </c>
      <c r="E2660" t="str">
        <f>T("권용찬")</f>
        <v>권용찬</v>
      </c>
      <c r="H2660" t="str">
        <f t="shared" ref="H2660:H2669" si="229">T("스토리위즈")</f>
        <v>스토리위즈</v>
      </c>
      <c r="I2660" t="str">
        <f>T("[e북]완전판 | 게이트 헌터")</f>
        <v>[e북]완전판 | 게이트 헌터</v>
      </c>
      <c r="J2660">
        <v>3200</v>
      </c>
      <c r="K2660">
        <v>0</v>
      </c>
      <c r="L2660">
        <v>0</v>
      </c>
      <c r="M2660">
        <v>0</v>
      </c>
      <c r="N2660">
        <v>900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900</v>
      </c>
      <c r="AH2660">
        <v>1</v>
      </c>
      <c r="AI2660">
        <v>0</v>
      </c>
      <c r="AJ2660">
        <v>0</v>
      </c>
      <c r="AK2660">
        <v>900</v>
      </c>
      <c r="AL2660">
        <v>0</v>
      </c>
      <c r="AM2660">
        <v>0</v>
      </c>
      <c r="AN2660">
        <v>0</v>
      </c>
      <c r="AO2660">
        <v>0</v>
      </c>
      <c r="AP2660" s="2">
        <v>630</v>
      </c>
      <c r="AT2660" t="str">
        <f>T("9791159285332")</f>
        <v>9791159285332</v>
      </c>
      <c r="AV2660" t="str">
        <f>T("판타지 e북 &gt; 현대 판타지")</f>
        <v>판타지 e북 &gt; 현대 판타지</v>
      </c>
    </row>
    <row r="2661" spans="1:48" x14ac:dyDescent="0.4">
      <c r="A2661">
        <v>1525004988</v>
      </c>
      <c r="B2661">
        <v>1525004988</v>
      </c>
      <c r="C2661" t="str">
        <f>T("용무쌍 1화")</f>
        <v>용무쌍 1화</v>
      </c>
      <c r="D2661" t="str">
        <f>T("1")</f>
        <v>1</v>
      </c>
      <c r="E2661" t="str">
        <f>T("권용찬")</f>
        <v>권용찬</v>
      </c>
      <c r="H2661" t="str">
        <f t="shared" si="229"/>
        <v>스토리위즈</v>
      </c>
      <c r="I2661" t="str">
        <f>T("용무쌍")</f>
        <v>용무쌍</v>
      </c>
      <c r="J2661">
        <v>0</v>
      </c>
      <c r="K2661">
        <v>0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 s="2">
        <v>0</v>
      </c>
      <c r="AT2661" t="str">
        <f>T("9791159284861")</f>
        <v>9791159284861</v>
      </c>
      <c r="AV2661" t="str">
        <f>T("판타지 웹소설 &gt; 무협 소설")</f>
        <v>판타지 웹소설 &gt; 무협 소설</v>
      </c>
    </row>
    <row r="2662" spans="1:48" x14ac:dyDescent="0.4">
      <c r="A2662">
        <v>1525002409</v>
      </c>
      <c r="B2662">
        <v>1525002424</v>
      </c>
      <c r="C2662" t="str">
        <f>T("스포트라이트 16화")</f>
        <v>스포트라이트 16화</v>
      </c>
      <c r="D2662" t="str">
        <f>T("16")</f>
        <v>16</v>
      </c>
      <c r="E2662" t="str">
        <f>T("전혁")</f>
        <v>전혁</v>
      </c>
      <c r="H2662" t="str">
        <f t="shared" si="229"/>
        <v>스토리위즈</v>
      </c>
      <c r="I2662" t="str">
        <f>T("스포트라이트")</f>
        <v>스포트라이트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 s="2">
        <v>0</v>
      </c>
      <c r="AT2662" t="str">
        <f>T("9791159286841")</f>
        <v>9791159286841</v>
      </c>
      <c r="AV2662" t="str">
        <f>T("판타지 웹소설 &gt; 현대 판타지")</f>
        <v>판타지 웹소설 &gt; 현대 판타지</v>
      </c>
    </row>
    <row r="2663" spans="1:48" x14ac:dyDescent="0.4">
      <c r="A2663">
        <v>1525001499</v>
      </c>
      <c r="B2663">
        <v>1525001502</v>
      </c>
      <c r="C2663" t="str">
        <f>T("[e북]파계 4권")</f>
        <v>[e북]파계 4권</v>
      </c>
      <c r="D2663" t="str">
        <f>T("4")</f>
        <v>4</v>
      </c>
      <c r="E2663" t="str">
        <f>T("권용찬")</f>
        <v>권용찬</v>
      </c>
      <c r="H2663" t="str">
        <f t="shared" si="229"/>
        <v>스토리위즈</v>
      </c>
      <c r="I2663" t="str">
        <f>T("[e북]파계")</f>
        <v>[e북]파계</v>
      </c>
      <c r="J2663">
        <v>3200</v>
      </c>
      <c r="K2663">
        <v>0</v>
      </c>
      <c r="L2663">
        <v>0</v>
      </c>
      <c r="M2663">
        <v>0</v>
      </c>
      <c r="N2663">
        <v>900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900</v>
      </c>
      <c r="AH2663">
        <v>1</v>
      </c>
      <c r="AI2663">
        <v>0</v>
      </c>
      <c r="AJ2663">
        <v>0</v>
      </c>
      <c r="AK2663">
        <v>900</v>
      </c>
      <c r="AL2663">
        <v>0</v>
      </c>
      <c r="AM2663">
        <v>0</v>
      </c>
      <c r="AN2663">
        <v>0</v>
      </c>
      <c r="AO2663">
        <v>0</v>
      </c>
      <c r="AP2663" s="2">
        <v>630</v>
      </c>
      <c r="AT2663" t="str">
        <f>T("9791159282768")</f>
        <v>9791159282768</v>
      </c>
      <c r="AV2663" t="str">
        <f>T("판타지 e북 &gt; 신무협")</f>
        <v>판타지 e북 &gt; 신무협</v>
      </c>
    </row>
    <row r="2664" spans="1:48" x14ac:dyDescent="0.4">
      <c r="A2664">
        <v>1525000055</v>
      </c>
      <c r="B2664">
        <v>1525000061</v>
      </c>
      <c r="C2664" t="str">
        <f>T("[e북]21세기 대마법사 6권")</f>
        <v>[e북]21세기 대마법사 6권</v>
      </c>
      <c r="D2664" t="str">
        <f>T("6")</f>
        <v>6</v>
      </c>
      <c r="E2664" t="str">
        <f>T("김광수")</f>
        <v>김광수</v>
      </c>
      <c r="H2664" t="str">
        <f t="shared" si="229"/>
        <v>스토리위즈</v>
      </c>
      <c r="I2664" t="str">
        <f>T("[e북]21세기 대마법사")</f>
        <v>[e북]21세기 대마법사</v>
      </c>
      <c r="J2664">
        <v>3200</v>
      </c>
      <c r="K2664">
        <v>0</v>
      </c>
      <c r="L2664">
        <v>0</v>
      </c>
      <c r="M2664">
        <v>0</v>
      </c>
      <c r="N2664">
        <v>10800</v>
      </c>
      <c r="O2664">
        <v>12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10800</v>
      </c>
      <c r="AH2664">
        <v>12</v>
      </c>
      <c r="AI2664">
        <v>0</v>
      </c>
      <c r="AJ2664">
        <v>0</v>
      </c>
      <c r="AK2664">
        <v>9900</v>
      </c>
      <c r="AL2664">
        <v>0</v>
      </c>
      <c r="AM2664">
        <v>900</v>
      </c>
      <c r="AN2664">
        <v>0</v>
      </c>
      <c r="AO2664">
        <v>0</v>
      </c>
      <c r="AP2664" s="2">
        <v>7560</v>
      </c>
      <c r="AT2664" t="str">
        <f>T("9788925117843")</f>
        <v>9788925117843</v>
      </c>
      <c r="AV2664" t="str">
        <f>T("판타지 e북 &gt; 퓨전 판타지")</f>
        <v>판타지 e북 &gt; 퓨전 판타지</v>
      </c>
    </row>
    <row r="2665" spans="1:48" x14ac:dyDescent="0.4">
      <c r="A2665">
        <v>1525000924</v>
      </c>
      <c r="B2665">
        <v>1525000928</v>
      </c>
      <c r="C2665" t="str">
        <f>T("스피릿 소드 5화")</f>
        <v>스피릿 소드 5화</v>
      </c>
      <c r="D2665" t="str">
        <f>T("5")</f>
        <v>5</v>
      </c>
      <c r="E2665" t="str">
        <f>T("김정률")</f>
        <v>김정률</v>
      </c>
      <c r="H2665" t="str">
        <f t="shared" si="229"/>
        <v>스토리위즈</v>
      </c>
      <c r="I2665" t="str">
        <f>T("스피릿 소드")</f>
        <v>스피릿 소드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 s="2">
        <v>0</v>
      </c>
      <c r="AR2665" t="str">
        <f>T("9791159282713")</f>
        <v>9791159282713</v>
      </c>
      <c r="AT2665" t="str">
        <f>T("9791159282713")</f>
        <v>9791159282713</v>
      </c>
      <c r="AV2665" t="str">
        <f>T("판타지 웹소설 &gt; 정통 판타지")</f>
        <v>판타지 웹소설 &gt; 정통 판타지</v>
      </c>
    </row>
    <row r="2666" spans="1:48" x14ac:dyDescent="0.4">
      <c r="A2666">
        <v>1525004030</v>
      </c>
      <c r="B2666">
        <v>1525004041</v>
      </c>
      <c r="C2666" t="str">
        <f>T("회귀의 전설 12화")</f>
        <v>회귀의 전설 12화</v>
      </c>
      <c r="D2666" t="str">
        <f>T("12")</f>
        <v>12</v>
      </c>
      <c r="E2666" t="str">
        <f>T("김광수")</f>
        <v>김광수</v>
      </c>
      <c r="H2666" t="str">
        <f t="shared" si="229"/>
        <v>스토리위즈</v>
      </c>
      <c r="I2666" t="str">
        <f>T("회귀의 전설")</f>
        <v>회귀의 전설</v>
      </c>
      <c r="J2666">
        <v>0</v>
      </c>
      <c r="K2666">
        <v>0</v>
      </c>
      <c r="L2666">
        <v>0</v>
      </c>
      <c r="M2666">
        <v>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3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 s="2">
        <v>0</v>
      </c>
      <c r="AT2666" t="str">
        <f>T("9788997946006")</f>
        <v>9788997946006</v>
      </c>
      <c r="AV2666" t="str">
        <f>T("판타지 웹소설 &gt; 현대 판타지")</f>
        <v>판타지 웹소설 &gt; 현대 판타지</v>
      </c>
    </row>
    <row r="2667" spans="1:48" x14ac:dyDescent="0.4">
      <c r="A2667">
        <v>1525002692</v>
      </c>
      <c r="B2667">
        <v>1525002692</v>
      </c>
      <c r="C2667" t="str">
        <f>T("신규무사 1화")</f>
        <v>신규무사 1화</v>
      </c>
      <c r="D2667" t="str">
        <f>T("1")</f>
        <v>1</v>
      </c>
      <c r="E2667" t="str">
        <f>T("권용찬")</f>
        <v>권용찬</v>
      </c>
      <c r="H2667" t="str">
        <f t="shared" si="229"/>
        <v>스토리위즈</v>
      </c>
      <c r="I2667" t="str">
        <f>T("신규무사")</f>
        <v>신규무사</v>
      </c>
      <c r="J2667">
        <v>0</v>
      </c>
      <c r="K2667">
        <v>0</v>
      </c>
      <c r="L2667">
        <v>0</v>
      </c>
      <c r="M2667">
        <v>3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3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 s="2">
        <v>0</v>
      </c>
      <c r="AT2667" t="str">
        <f>T("9791159287480")</f>
        <v>9791159287480</v>
      </c>
      <c r="AV2667" t="str">
        <f>T("판타지 웹소설 &gt; 무협 소설")</f>
        <v>판타지 웹소설 &gt; 무협 소설</v>
      </c>
    </row>
    <row r="2668" spans="1:48" x14ac:dyDescent="0.4">
      <c r="A2668">
        <v>1525002125</v>
      </c>
      <c r="B2668">
        <v>1525002142</v>
      </c>
      <c r="C2668" t="str">
        <f>T("신을 죽이러 갑니다 18화")</f>
        <v>신을 죽이러 갑니다 18화</v>
      </c>
      <c r="D2668" t="str">
        <f>T("18")</f>
        <v>18</v>
      </c>
      <c r="E2668" t="str">
        <f>T("독고진")</f>
        <v>독고진</v>
      </c>
      <c r="H2668" t="str">
        <f t="shared" si="229"/>
        <v>스토리위즈</v>
      </c>
      <c r="I2668" t="str">
        <f>T("신을 죽이러 갑니다")</f>
        <v>신을 죽이러 갑니다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 s="2">
        <v>0</v>
      </c>
      <c r="AT2668" t="str">
        <f>T("9791159285806")</f>
        <v>9791159285806</v>
      </c>
      <c r="AV2668" t="str">
        <f>T("판타지 웹소설 &gt; 퓨전 판타지")</f>
        <v>판타지 웹소설 &gt; 퓨전 판타지</v>
      </c>
    </row>
    <row r="2669" spans="1:48" x14ac:dyDescent="0.4">
      <c r="A2669">
        <v>1525000569</v>
      </c>
      <c r="B2669">
        <v>1525000587</v>
      </c>
      <c r="C2669" t="str">
        <f>T("스트라이커 19화")</f>
        <v>스트라이커 19화</v>
      </c>
      <c r="D2669" t="str">
        <f>T("19")</f>
        <v>19</v>
      </c>
      <c r="E2669" t="str">
        <f>T("독고진")</f>
        <v>독고진</v>
      </c>
      <c r="H2669" t="str">
        <f t="shared" si="229"/>
        <v>스토리위즈</v>
      </c>
      <c r="I2669" t="str">
        <f>T("스트라이커")</f>
        <v>스트라이커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 s="2">
        <v>0</v>
      </c>
      <c r="AT2669" t="str">
        <f>T("9791170151678")</f>
        <v>9791170151678</v>
      </c>
      <c r="AV2669" t="str">
        <f>T("판타지 웹소설 &gt; 현대 판타지")</f>
        <v>판타지 웹소설 &gt; 현대 판타지</v>
      </c>
    </row>
    <row r="2670" spans="1:48" x14ac:dyDescent="0.4">
      <c r="A2670">
        <v>1525007872</v>
      </c>
      <c r="B2670">
        <v>1525007883</v>
      </c>
      <c r="C2670" t="str">
        <f>T("아침이 오지 않아도 2화")</f>
        <v>아침이 오지 않아도 2화</v>
      </c>
      <c r="D2670" t="str">
        <f>T("2")</f>
        <v>2</v>
      </c>
      <c r="E2670" t="str">
        <f>T("홍영")</f>
        <v>홍영</v>
      </c>
      <c r="H2670" t="str">
        <f>T("러브스토리")</f>
        <v>러브스토리</v>
      </c>
      <c r="I2670" t="str">
        <f>T("아침이 오지 않아도")</f>
        <v>아침이 오지 않아도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 s="2">
        <v>0</v>
      </c>
      <c r="AR2670" t="str">
        <f>T("0000000000000")</f>
        <v>0000000000000</v>
      </c>
      <c r="AT2670" t="str">
        <f>T("9791164899708")</f>
        <v>9791164899708</v>
      </c>
      <c r="AV2670" t="str">
        <f>T("로맨스 웹소설 &gt; 현대물")</f>
        <v>로맨스 웹소설 &gt; 현대물</v>
      </c>
    </row>
    <row r="2671" spans="1:48" x14ac:dyDescent="0.4">
      <c r="A2671">
        <v>1525001836</v>
      </c>
      <c r="B2671">
        <v>1525001839</v>
      </c>
      <c r="C2671" t="str">
        <f>T("[e북]완전판ㅣ스피릿 소드 4권")</f>
        <v>[e북]완전판ㅣ스피릿 소드 4권</v>
      </c>
      <c r="D2671" t="str">
        <f>T("4")</f>
        <v>4</v>
      </c>
      <c r="E2671" t="str">
        <f>T("김정률")</f>
        <v>김정률</v>
      </c>
      <c r="H2671" t="str">
        <f>T("스토리위즈")</f>
        <v>스토리위즈</v>
      </c>
      <c r="I2671" t="str">
        <f>T("[e북]완전판ㅣ스피릿 소드")</f>
        <v>[e북]완전판ㅣ스피릿 소드</v>
      </c>
      <c r="J2671">
        <v>3200</v>
      </c>
      <c r="K2671">
        <v>0</v>
      </c>
      <c r="L2671">
        <v>0</v>
      </c>
      <c r="M2671">
        <v>0</v>
      </c>
      <c r="N2671">
        <v>6300</v>
      </c>
      <c r="O2671">
        <v>7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6300</v>
      </c>
      <c r="AH2671">
        <v>7</v>
      </c>
      <c r="AI2671">
        <v>0</v>
      </c>
      <c r="AJ2671">
        <v>0</v>
      </c>
      <c r="AK2671">
        <v>4500</v>
      </c>
      <c r="AL2671">
        <v>0</v>
      </c>
      <c r="AM2671">
        <v>1800</v>
      </c>
      <c r="AN2671">
        <v>0</v>
      </c>
      <c r="AO2671">
        <v>0</v>
      </c>
      <c r="AP2671" s="2">
        <v>4410</v>
      </c>
      <c r="AT2671" t="str">
        <f>T("9791159285257")</f>
        <v>9791159285257</v>
      </c>
      <c r="AV2671" t="str">
        <f>T("판타지 e북 &gt; 정통 판타지")</f>
        <v>판타지 e북 &gt; 정통 판타지</v>
      </c>
    </row>
    <row r="2672" spans="1:48" x14ac:dyDescent="0.4">
      <c r="A2672">
        <v>1525013418</v>
      </c>
      <c r="B2672">
        <v>1525013423</v>
      </c>
      <c r="C2672" t="str">
        <f>T("[e북]헌터 킹 6권")</f>
        <v>[e북]헌터 킹 6권</v>
      </c>
      <c r="D2672" t="str">
        <f>T("6")</f>
        <v>6</v>
      </c>
      <c r="E2672" t="str">
        <f>T("백범(白帆)")</f>
        <v>백범(白帆)</v>
      </c>
      <c r="H2672" t="str">
        <f>T("에필로그")</f>
        <v>에필로그</v>
      </c>
      <c r="I2672" t="str">
        <f>T("[e북]헌터 킹")</f>
        <v>[e북]헌터 킹</v>
      </c>
      <c r="J2672">
        <v>2000</v>
      </c>
      <c r="K2672">
        <v>0</v>
      </c>
      <c r="L2672">
        <v>0</v>
      </c>
      <c r="M2672">
        <v>0</v>
      </c>
      <c r="N2672">
        <v>900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900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900</v>
      </c>
      <c r="AN2672">
        <v>0</v>
      </c>
      <c r="AO2672">
        <v>0</v>
      </c>
      <c r="AP2672" s="2">
        <v>630</v>
      </c>
      <c r="AR2672" t="str">
        <f>T("0000000000000")</f>
        <v>0000000000000</v>
      </c>
      <c r="AT2672" t="str">
        <f>T("9791164480210")</f>
        <v>9791164480210</v>
      </c>
      <c r="AV2672" t="str">
        <f>T("판타지 e북 &gt; 퓨전 판타지")</f>
        <v>판타지 e북 &gt; 퓨전 판타지</v>
      </c>
    </row>
    <row r="2673" spans="1:48" x14ac:dyDescent="0.4">
      <c r="A2673">
        <v>1525000209</v>
      </c>
      <c r="B2673">
        <v>1525000216</v>
      </c>
      <c r="C2673" t="str">
        <f>T("[e북]독종무쌍 8권")</f>
        <v>[e북]독종무쌍 8권</v>
      </c>
      <c r="D2673" t="str">
        <f>T("8")</f>
        <v>8</v>
      </c>
      <c r="E2673" t="str">
        <f>T("전혁")</f>
        <v>전혁</v>
      </c>
      <c r="H2673" t="str">
        <f>T("스토리위즈")</f>
        <v>스토리위즈</v>
      </c>
      <c r="I2673" t="str">
        <f>T("[e북]독종무쌍")</f>
        <v>[e북]독종무쌍</v>
      </c>
      <c r="J2673">
        <v>3200</v>
      </c>
      <c r="K2673">
        <v>0</v>
      </c>
      <c r="L2673">
        <v>0</v>
      </c>
      <c r="M2673">
        <v>0</v>
      </c>
      <c r="N2673">
        <v>1800</v>
      </c>
      <c r="O2673">
        <v>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1800</v>
      </c>
      <c r="AH2673">
        <v>2</v>
      </c>
      <c r="AI2673">
        <v>0</v>
      </c>
      <c r="AJ2673">
        <v>0</v>
      </c>
      <c r="AK2673">
        <v>900</v>
      </c>
      <c r="AL2673">
        <v>0</v>
      </c>
      <c r="AM2673">
        <v>900</v>
      </c>
      <c r="AN2673">
        <v>0</v>
      </c>
      <c r="AO2673">
        <v>0</v>
      </c>
      <c r="AP2673" s="2">
        <v>1260</v>
      </c>
      <c r="AT2673" t="str">
        <f>T("9791186520000")</f>
        <v>9791186520000</v>
      </c>
      <c r="AV2673" t="str">
        <f>T("판타지 e북 &gt; 신무협")</f>
        <v>판타지 e북 &gt; 신무협</v>
      </c>
    </row>
    <row r="2674" spans="1:48" x14ac:dyDescent="0.4">
      <c r="A2674">
        <v>1525002409</v>
      </c>
      <c r="B2674">
        <v>1525002417</v>
      </c>
      <c r="C2674" t="str">
        <f>T("스포트라이트 9화")</f>
        <v>스포트라이트 9화</v>
      </c>
      <c r="D2674" t="str">
        <f>T("9")</f>
        <v>9</v>
      </c>
      <c r="E2674" t="str">
        <f>T("전혁")</f>
        <v>전혁</v>
      </c>
      <c r="H2674" t="str">
        <f>T("스토리위즈")</f>
        <v>스토리위즈</v>
      </c>
      <c r="I2674" t="str">
        <f>T("스포트라이트")</f>
        <v>스포트라이트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 s="2">
        <v>0</v>
      </c>
      <c r="AT2674" t="str">
        <f>T("9791159286841")</f>
        <v>9791159286841</v>
      </c>
      <c r="AV2674" t="str">
        <f>T("판타지 웹소설 &gt; 현대 판타지")</f>
        <v>판타지 웹소설 &gt; 현대 판타지</v>
      </c>
    </row>
    <row r="2675" spans="1:48" x14ac:dyDescent="0.4">
      <c r="A2675">
        <v>1525008229</v>
      </c>
      <c r="B2675">
        <v>1525008251</v>
      </c>
      <c r="C2675" t="str">
        <f>T("뉴욕 키스 스캔들 3화")</f>
        <v>뉴욕 키스 스캔들 3화</v>
      </c>
      <c r="D2675" t="str">
        <f>T("3")</f>
        <v>3</v>
      </c>
      <c r="E2675" t="str">
        <f>T("용가리맛쿠키")</f>
        <v>용가리맛쿠키</v>
      </c>
      <c r="H2675" t="str">
        <f>T("블러쉬")</f>
        <v>블러쉬</v>
      </c>
      <c r="I2675" t="str">
        <f>T("뉴욕 키스 스캔들")</f>
        <v>뉴욕 키스 스캔들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 s="2">
        <v>0</v>
      </c>
      <c r="AR2675" t="str">
        <f>T("0000000000000")</f>
        <v>0000000000000</v>
      </c>
      <c r="AT2675" t="str">
        <f>T("9791164896677")</f>
        <v>9791164896677</v>
      </c>
      <c r="AU2675" t="str">
        <f>T("B11")</f>
        <v>B11</v>
      </c>
      <c r="AV2675" t="str">
        <f>T("BL 웹소설 &gt; 현대물")</f>
        <v>BL 웹소설 &gt; 현대물</v>
      </c>
    </row>
    <row r="2676" spans="1:48" x14ac:dyDescent="0.4">
      <c r="A2676">
        <v>1525001334</v>
      </c>
      <c r="B2676">
        <v>1525001357</v>
      </c>
      <c r="C2676" t="str">
        <f>T("게이트 헌터 24화")</f>
        <v>게이트 헌터 24화</v>
      </c>
      <c r="D2676" t="str">
        <f>T("24")</f>
        <v>24</v>
      </c>
      <c r="E2676" t="str">
        <f>T("권용찬")</f>
        <v>권용찬</v>
      </c>
      <c r="H2676" t="str">
        <f>T("스토리위즈")</f>
        <v>스토리위즈</v>
      </c>
      <c r="I2676" t="str">
        <f>T("게이트 헌터")</f>
        <v>게이트 헌터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 s="2">
        <v>0</v>
      </c>
      <c r="AR2676" t="str">
        <f>T("9791159283291")</f>
        <v>9791159283291</v>
      </c>
      <c r="AT2676" t="str">
        <f>T("9791159283291")</f>
        <v>9791159283291</v>
      </c>
      <c r="AV2676" t="str">
        <f>T("판타지 웹소설 &gt; 현대 판타지")</f>
        <v>판타지 웹소설 &gt; 현대 판타지</v>
      </c>
    </row>
    <row r="2677" spans="1:48" x14ac:dyDescent="0.4">
      <c r="A2677">
        <v>1525010944</v>
      </c>
      <c r="B2677">
        <v>1525010926</v>
      </c>
      <c r="C2677" t="str">
        <f>T("[e북]법보다 주먹 19권")</f>
        <v>[e북]법보다 주먹 19권</v>
      </c>
      <c r="D2677" t="str">
        <f>T("19")</f>
        <v>19</v>
      </c>
      <c r="E2677" t="str">
        <f>T("백범(白帆)")</f>
        <v>백범(白帆)</v>
      </c>
      <c r="H2677" t="str">
        <f>T("에필로그")</f>
        <v>에필로그</v>
      </c>
      <c r="I2677" t="str">
        <f>T("[e북]법보다 주먹")</f>
        <v>[e북]법보다 주먹</v>
      </c>
      <c r="J2677">
        <v>2000</v>
      </c>
      <c r="K2677">
        <v>0</v>
      </c>
      <c r="L2677">
        <v>0</v>
      </c>
      <c r="M2677">
        <v>0</v>
      </c>
      <c r="N2677">
        <v>3600</v>
      </c>
      <c r="O2677">
        <v>4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3600</v>
      </c>
      <c r="AH2677">
        <v>4</v>
      </c>
      <c r="AI2677">
        <v>0</v>
      </c>
      <c r="AJ2677">
        <v>0</v>
      </c>
      <c r="AK2677">
        <v>3600</v>
      </c>
      <c r="AL2677">
        <v>0</v>
      </c>
      <c r="AM2677">
        <v>0</v>
      </c>
      <c r="AN2677">
        <v>0</v>
      </c>
      <c r="AO2677">
        <v>0</v>
      </c>
      <c r="AP2677" s="2">
        <v>2520</v>
      </c>
      <c r="AT2677" t="str">
        <f>T("9791164480142")</f>
        <v>9791164480142</v>
      </c>
      <c r="AV2677" t="str">
        <f>T("판타지 e북 &gt; 현대 판타지")</f>
        <v>판타지 e북 &gt; 현대 판타지</v>
      </c>
    </row>
    <row r="2678" spans="1:48" x14ac:dyDescent="0.4">
      <c r="A2678">
        <v>1525000906</v>
      </c>
      <c r="B2678">
        <v>1525000913</v>
      </c>
      <c r="C2678" t="str">
        <f>T("[e북]완전판 | 레이드 만물상점 8권")</f>
        <v>[e북]완전판 | 레이드 만물상점 8권</v>
      </c>
      <c r="D2678" t="str">
        <f>T("8")</f>
        <v>8</v>
      </c>
      <c r="E2678" t="str">
        <f>T("전혁")</f>
        <v>전혁</v>
      </c>
      <c r="H2678" t="str">
        <f>T("스토리위즈")</f>
        <v>스토리위즈</v>
      </c>
      <c r="I2678" t="str">
        <f>T("[e북]완전판 | 레이드 만물상점")</f>
        <v>[e북]완전판 | 레이드 만물상점</v>
      </c>
      <c r="J2678">
        <v>3200</v>
      </c>
      <c r="K2678">
        <v>0</v>
      </c>
      <c r="L2678">
        <v>0</v>
      </c>
      <c r="M2678">
        <v>0</v>
      </c>
      <c r="N2678">
        <v>4500</v>
      </c>
      <c r="O2678">
        <v>5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4500</v>
      </c>
      <c r="AH2678">
        <v>5</v>
      </c>
      <c r="AI2678">
        <v>0</v>
      </c>
      <c r="AJ2678">
        <v>0</v>
      </c>
      <c r="AK2678">
        <v>4500</v>
      </c>
      <c r="AL2678">
        <v>0</v>
      </c>
      <c r="AM2678">
        <v>0</v>
      </c>
      <c r="AN2678">
        <v>0</v>
      </c>
      <c r="AO2678">
        <v>0</v>
      </c>
      <c r="AP2678" s="2">
        <v>3150</v>
      </c>
      <c r="AR2678" t="str">
        <f>T("9791159282683")</f>
        <v>9791159282683</v>
      </c>
      <c r="AT2678" t="str">
        <f>T("9791159282683")</f>
        <v>9791159282683</v>
      </c>
      <c r="AV2678" t="str">
        <f>T("판타지 e북 &gt; 현대 판타지")</f>
        <v>판타지 e북 &gt; 현대 판타지</v>
      </c>
    </row>
    <row r="2679" spans="1:48" x14ac:dyDescent="0.4">
      <c r="A2679">
        <v>1525004030</v>
      </c>
      <c r="B2679">
        <v>1525004034</v>
      </c>
      <c r="C2679" t="str">
        <f>T("회귀의 전설 5화")</f>
        <v>회귀의 전설 5화</v>
      </c>
      <c r="D2679" t="str">
        <f>T("5")</f>
        <v>5</v>
      </c>
      <c r="E2679" t="str">
        <f>T("김광수")</f>
        <v>김광수</v>
      </c>
      <c r="H2679" t="str">
        <f>T("스토리위즈")</f>
        <v>스토리위즈</v>
      </c>
      <c r="I2679" t="str">
        <f>T("회귀의 전설")</f>
        <v>회귀의 전설</v>
      </c>
      <c r="J2679">
        <v>0</v>
      </c>
      <c r="K2679">
        <v>0</v>
      </c>
      <c r="L2679">
        <v>0</v>
      </c>
      <c r="M2679">
        <v>4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4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 s="2">
        <v>0</v>
      </c>
      <c r="AT2679" t="str">
        <f>T("9788997946006")</f>
        <v>9788997946006</v>
      </c>
      <c r="AV2679" t="str">
        <f>T("판타지 웹소설 &gt; 현대 판타지")</f>
        <v>판타지 웹소설 &gt; 현대 판타지</v>
      </c>
    </row>
    <row r="2680" spans="1:48" x14ac:dyDescent="0.4">
      <c r="A2680">
        <v>1525002125</v>
      </c>
      <c r="B2680">
        <v>1525002135</v>
      </c>
      <c r="C2680" t="str">
        <f>T("신을 죽이러 갑니다 11화")</f>
        <v>신을 죽이러 갑니다 11화</v>
      </c>
      <c r="D2680" t="str">
        <f>T("11")</f>
        <v>11</v>
      </c>
      <c r="E2680" t="str">
        <f>T("독고진")</f>
        <v>독고진</v>
      </c>
      <c r="H2680" t="str">
        <f>T("스토리위즈")</f>
        <v>스토리위즈</v>
      </c>
      <c r="I2680" t="str">
        <f>T("신을 죽이러 갑니다")</f>
        <v>신을 죽이러 갑니다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 s="2">
        <v>0</v>
      </c>
      <c r="AT2680" t="str">
        <f>T("9791159285806")</f>
        <v>9791159285806</v>
      </c>
      <c r="AV2680" t="str">
        <f>T("판타지 웹소설 &gt; 퓨전 판타지")</f>
        <v>판타지 웹소설 &gt; 퓨전 판타지</v>
      </c>
    </row>
    <row r="2681" spans="1:48" x14ac:dyDescent="0.4">
      <c r="A2681">
        <v>1525000569</v>
      </c>
      <c r="B2681">
        <v>1525000580</v>
      </c>
      <c r="C2681" t="str">
        <f>T("스트라이커 12화")</f>
        <v>스트라이커 12화</v>
      </c>
      <c r="D2681" t="str">
        <f>T("12")</f>
        <v>12</v>
      </c>
      <c r="E2681" t="str">
        <f>T("독고진")</f>
        <v>독고진</v>
      </c>
      <c r="H2681" t="str">
        <f>T("스토리위즈")</f>
        <v>스토리위즈</v>
      </c>
      <c r="I2681" t="str">
        <f>T("스트라이커")</f>
        <v>스트라이커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 s="2">
        <v>0</v>
      </c>
      <c r="AT2681" t="str">
        <f>T("9791170151678")</f>
        <v>9791170151678</v>
      </c>
      <c r="AV2681" t="str">
        <f>T("판타지 웹소설 &gt; 현대 판타지")</f>
        <v>판타지 웹소설 &gt; 현대 판타지</v>
      </c>
    </row>
    <row r="2682" spans="1:48" x14ac:dyDescent="0.4">
      <c r="A2682">
        <v>1525004988</v>
      </c>
      <c r="B2682">
        <v>1525005312</v>
      </c>
      <c r="C2682" t="str">
        <f>T("용무쌍 25화")</f>
        <v>용무쌍 25화</v>
      </c>
      <c r="D2682" t="str">
        <f>T("25")</f>
        <v>25</v>
      </c>
      <c r="E2682" t="str">
        <f>T("권용찬")</f>
        <v>권용찬</v>
      </c>
      <c r="H2682" t="str">
        <f>T("스토리위즈")</f>
        <v>스토리위즈</v>
      </c>
      <c r="I2682" t="str">
        <f>T("용무쌍")</f>
        <v>용무쌍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 s="2">
        <v>0</v>
      </c>
      <c r="AT2682" t="str">
        <f>T("9791159284861")</f>
        <v>9791159284861</v>
      </c>
      <c r="AV2682" t="str">
        <f>T("판타지 웹소설 &gt; 무협 소설")</f>
        <v>판타지 웹소설 &gt; 무협 소설</v>
      </c>
    </row>
    <row r="2683" spans="1:48" x14ac:dyDescent="0.4">
      <c r="A2683">
        <v>1525013020</v>
      </c>
      <c r="B2683">
        <v>1525013035</v>
      </c>
      <c r="C2683" t="str">
        <f>T("악당의 리턴 16화")</f>
        <v>악당의 리턴 16화</v>
      </c>
      <c r="D2683" t="str">
        <f>T("16")</f>
        <v>16</v>
      </c>
      <c r="E2683" t="str">
        <f>T("백범(白帆)")</f>
        <v>백범(白帆)</v>
      </c>
      <c r="H2683" t="str">
        <f>T("에필로그")</f>
        <v>에필로그</v>
      </c>
      <c r="I2683" t="str">
        <f>T("악당의 리턴")</f>
        <v>악당의 리턴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 s="2">
        <v>0</v>
      </c>
      <c r="AT2683" t="str">
        <f>T("9791196538927")</f>
        <v>9791196538927</v>
      </c>
      <c r="AV2683" t="str">
        <f>T("판타지 웹소설 &gt; 현대 판타지")</f>
        <v>판타지 웹소설 &gt; 현대 판타지</v>
      </c>
    </row>
    <row r="2684" spans="1:48" x14ac:dyDescent="0.4">
      <c r="A2684">
        <v>1525011523</v>
      </c>
      <c r="B2684">
        <v>1525011508</v>
      </c>
      <c r="C2684" t="str">
        <f>T("남창목가 16화")</f>
        <v>남창목가 16화</v>
      </c>
      <c r="D2684" t="str">
        <f>T("16")</f>
        <v>16</v>
      </c>
      <c r="E2684" t="str">
        <f>T("최재봉")</f>
        <v>최재봉</v>
      </c>
      <c r="H2684" t="str">
        <f>T("에필로그")</f>
        <v>에필로그</v>
      </c>
      <c r="I2684" t="str">
        <f>T("남창목가")</f>
        <v>남창목가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 s="2">
        <v>0</v>
      </c>
      <c r="AT2684" t="str">
        <f>T("9791164482849")</f>
        <v>9791164482849</v>
      </c>
      <c r="AV2684" t="str">
        <f>T("판타지 웹소설 &gt; 무협 소설")</f>
        <v>판타지 웹소설 &gt; 무협 소설</v>
      </c>
    </row>
    <row r="2685" spans="1:48" x14ac:dyDescent="0.4">
      <c r="A2685">
        <v>1525001116</v>
      </c>
      <c r="B2685">
        <v>1525001135</v>
      </c>
      <c r="C2685" t="str">
        <f>T("개정판 | 영웅 20화")</f>
        <v>개정판 | 영웅 20화</v>
      </c>
      <c r="D2685" t="str">
        <f>T("20")</f>
        <v>20</v>
      </c>
      <c r="E2685" t="str">
        <f>T("김광수")</f>
        <v>김광수</v>
      </c>
      <c r="H2685" t="str">
        <f>T("스토리위즈")</f>
        <v>스토리위즈</v>
      </c>
      <c r="I2685" t="str">
        <f>T("개정판 | 영웅")</f>
        <v>개정판 | 영웅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 s="2">
        <v>0</v>
      </c>
      <c r="AR2685" t="str">
        <f>T("9791159282829")</f>
        <v>9791159282829</v>
      </c>
      <c r="AT2685" t="str">
        <f>T("9791159282829")</f>
        <v>9791159282829</v>
      </c>
      <c r="AV2685" t="str">
        <f>T("판타지 웹소설 &gt; 무협 소설")</f>
        <v>판타지 웹소설 &gt; 무협 소설</v>
      </c>
    </row>
    <row r="2686" spans="1:48" x14ac:dyDescent="0.4">
      <c r="A2686">
        <v>1525002864</v>
      </c>
      <c r="B2686">
        <v>1525002866</v>
      </c>
      <c r="C2686" t="str">
        <f>T("소드마스터의 환생 3화")</f>
        <v>소드마스터의 환생 3화</v>
      </c>
      <c r="D2686" t="str">
        <f>T("3")</f>
        <v>3</v>
      </c>
      <c r="E2686" t="str">
        <f>T("파란영")</f>
        <v>파란영</v>
      </c>
      <c r="H2686" t="str">
        <f>T("스토리위즈")</f>
        <v>스토리위즈</v>
      </c>
      <c r="I2686" t="str">
        <f>T("소드마스터의 환생")</f>
        <v>소드마스터의 환생</v>
      </c>
      <c r="J2686">
        <v>0</v>
      </c>
      <c r="K2686">
        <v>0</v>
      </c>
      <c r="L2686">
        <v>0</v>
      </c>
      <c r="M2686">
        <v>4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4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 s="2">
        <v>0</v>
      </c>
      <c r="AT2686" t="str">
        <f>T("9791159287527")</f>
        <v>9791159287527</v>
      </c>
      <c r="AV2686" t="str">
        <f>T("판타지 웹소설 &gt; 정통 판타지")</f>
        <v>판타지 웹소설 &gt; 정통 판타지</v>
      </c>
    </row>
    <row r="2687" spans="1:48" x14ac:dyDescent="0.4">
      <c r="A2687">
        <v>1525013344</v>
      </c>
      <c r="B2687">
        <v>1525013344</v>
      </c>
      <c r="C2687" t="str">
        <f>T("[e북]진짜 사나이 1권")</f>
        <v>[e북]진짜 사나이 1권</v>
      </c>
      <c r="D2687" t="str">
        <f>T("1")</f>
        <v>1</v>
      </c>
      <c r="E2687" t="str">
        <f>T("백범(白帆)")</f>
        <v>백범(白帆)</v>
      </c>
      <c r="H2687" t="str">
        <f>T("에필로그")</f>
        <v>에필로그</v>
      </c>
      <c r="I2687" t="str">
        <f>T("[e북]진짜 사나이")</f>
        <v>[e북]진짜 사나이</v>
      </c>
      <c r="J2687">
        <v>0</v>
      </c>
      <c r="K2687">
        <v>0</v>
      </c>
      <c r="L2687">
        <v>0</v>
      </c>
      <c r="M2687">
        <v>2</v>
      </c>
      <c r="N2687">
        <v>0</v>
      </c>
      <c r="O2687">
        <v>0</v>
      </c>
      <c r="P2687">
        <v>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 s="2">
        <v>0</v>
      </c>
      <c r="AT2687" t="str">
        <f>T("9791164480524")</f>
        <v>9791164480524</v>
      </c>
      <c r="AV2687" t="str">
        <f>T("판타지 e북 &gt; 퓨전 판타지")</f>
        <v>판타지 e북 &gt; 퓨전 판타지</v>
      </c>
    </row>
    <row r="2688" spans="1:48" x14ac:dyDescent="0.4">
      <c r="A2688">
        <v>1525000158</v>
      </c>
      <c r="B2688">
        <v>1525000159</v>
      </c>
      <c r="C2688" t="str">
        <f>T("[e북]아나크레온 2권")</f>
        <v>[e북]아나크레온 2권</v>
      </c>
      <c r="D2688" t="str">
        <f>T("2")</f>
        <v>2</v>
      </c>
      <c r="E2688" t="str">
        <f>T("김정률")</f>
        <v>김정률</v>
      </c>
      <c r="H2688" t="str">
        <f>T("스토리위즈")</f>
        <v>스토리위즈</v>
      </c>
      <c r="I2688" t="str">
        <f>T("[e북]아나크레온")</f>
        <v>[e북]아나크레온</v>
      </c>
      <c r="J2688">
        <v>3200</v>
      </c>
      <c r="K2688">
        <v>0</v>
      </c>
      <c r="L2688">
        <v>0</v>
      </c>
      <c r="M2688">
        <v>0</v>
      </c>
      <c r="N2688">
        <v>4500</v>
      </c>
      <c r="O2688">
        <v>5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4500</v>
      </c>
      <c r="AH2688">
        <v>5</v>
      </c>
      <c r="AI2688">
        <v>0</v>
      </c>
      <c r="AJ2688">
        <v>0</v>
      </c>
      <c r="AK2688">
        <v>3600</v>
      </c>
      <c r="AL2688">
        <v>0</v>
      </c>
      <c r="AM2688">
        <v>900</v>
      </c>
      <c r="AN2688">
        <v>0</v>
      </c>
      <c r="AO2688">
        <v>0</v>
      </c>
      <c r="AP2688" s="2">
        <v>3150</v>
      </c>
      <c r="AV2688" t="str">
        <f>T("판타지 e북 &gt; 퓨전 판타지")</f>
        <v>판타지 e북 &gt; 퓨전 판타지</v>
      </c>
    </row>
    <row r="2689" spans="1:48" x14ac:dyDescent="0.4">
      <c r="A2689">
        <v>1525000113</v>
      </c>
      <c r="B2689">
        <v>1525000119</v>
      </c>
      <c r="C2689" t="str">
        <f>T("[e북]마왕 데이몬 7권")</f>
        <v>[e북]마왕 데이몬 7권</v>
      </c>
      <c r="D2689" t="str">
        <f>T("7")</f>
        <v>7</v>
      </c>
      <c r="E2689" t="str">
        <f>T("김정률")</f>
        <v>김정률</v>
      </c>
      <c r="H2689" t="str">
        <f>T("스토리위즈")</f>
        <v>스토리위즈</v>
      </c>
      <c r="I2689" t="str">
        <f>T("[e북]마왕 데이몬")</f>
        <v>[e북]마왕 데이몬</v>
      </c>
      <c r="J2689">
        <v>3200</v>
      </c>
      <c r="K2689">
        <v>0</v>
      </c>
      <c r="L2689">
        <v>0</v>
      </c>
      <c r="M2689">
        <v>0</v>
      </c>
      <c r="N2689">
        <v>2700</v>
      </c>
      <c r="O2689">
        <v>3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2700</v>
      </c>
      <c r="AH2689">
        <v>3</v>
      </c>
      <c r="AI2689">
        <v>0</v>
      </c>
      <c r="AJ2689">
        <v>0</v>
      </c>
      <c r="AK2689">
        <v>2700</v>
      </c>
      <c r="AL2689">
        <v>0</v>
      </c>
      <c r="AM2689">
        <v>0</v>
      </c>
      <c r="AN2689">
        <v>0</v>
      </c>
      <c r="AO2689">
        <v>0</v>
      </c>
      <c r="AP2689" s="2">
        <v>1890</v>
      </c>
      <c r="AT2689" t="str">
        <f>T("9788925725888")</f>
        <v>9788925725888</v>
      </c>
      <c r="AV2689" t="str">
        <f>T("판타지 e북 &gt; 현대 판타지")</f>
        <v>판타지 e북 &gt; 현대 판타지</v>
      </c>
    </row>
    <row r="2690" spans="1:48" x14ac:dyDescent="0.4">
      <c r="A2690">
        <v>1525012005</v>
      </c>
      <c r="B2690">
        <v>1525012000</v>
      </c>
      <c r="C2690" t="str">
        <f>T("[e북]남궁세가 건달공자 6권")</f>
        <v>[e북]남궁세가 건달공자 6권</v>
      </c>
      <c r="D2690" t="str">
        <f>T("6")</f>
        <v>6</v>
      </c>
      <c r="E2690" t="str">
        <f>T("협행마")</f>
        <v>협행마</v>
      </c>
      <c r="H2690" t="str">
        <f>T("에필로그")</f>
        <v>에필로그</v>
      </c>
      <c r="I2690" t="str">
        <f>T("[e북]남궁세가 건달공자")</f>
        <v>[e북]남궁세가 건달공자</v>
      </c>
      <c r="J2690">
        <v>2500</v>
      </c>
      <c r="K2690">
        <v>0</v>
      </c>
      <c r="L2690">
        <v>0</v>
      </c>
      <c r="M2690">
        <v>0</v>
      </c>
      <c r="N2690">
        <v>900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900</v>
      </c>
      <c r="AH2690">
        <v>1</v>
      </c>
      <c r="AI2690">
        <v>0</v>
      </c>
      <c r="AJ2690">
        <v>0</v>
      </c>
      <c r="AK2690">
        <v>900</v>
      </c>
      <c r="AL2690">
        <v>0</v>
      </c>
      <c r="AM2690">
        <v>0</v>
      </c>
      <c r="AN2690">
        <v>0</v>
      </c>
      <c r="AO2690">
        <v>0</v>
      </c>
      <c r="AP2690" s="2">
        <v>630</v>
      </c>
      <c r="AT2690" t="str">
        <f>T("9791164481606")</f>
        <v>9791164481606</v>
      </c>
      <c r="AV2690" t="str">
        <f>T("판타지 e북 &gt; 신무협")</f>
        <v>판타지 e북 &gt; 신무협</v>
      </c>
    </row>
    <row r="2691" spans="1:48" x14ac:dyDescent="0.4">
      <c r="A2691">
        <v>1525004989</v>
      </c>
      <c r="B2691">
        <v>1525005506</v>
      </c>
      <c r="C2691" t="str">
        <f>T("신룡전설 17화")</f>
        <v>신룡전설 17화</v>
      </c>
      <c r="D2691" t="str">
        <f>T("17")</f>
        <v>17</v>
      </c>
      <c r="E2691" t="str">
        <f>T("가람검")</f>
        <v>가람검</v>
      </c>
      <c r="H2691" t="str">
        <f>T("스토리위즈")</f>
        <v>스토리위즈</v>
      </c>
      <c r="I2691" t="str">
        <f>T("신룡전설")</f>
        <v>신룡전설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 s="2">
        <v>0</v>
      </c>
      <c r="AT2691" t="str">
        <f>T("9791159283505")</f>
        <v>9791159283505</v>
      </c>
      <c r="AV2691" t="str">
        <f>T("판타지 웹소설 &gt; 무협 소설")</f>
        <v>판타지 웹소설 &gt; 무협 소설</v>
      </c>
    </row>
    <row r="2692" spans="1:48" x14ac:dyDescent="0.4">
      <c r="AP2692" s="3">
        <f>SUM(AP2:AP2691)</f>
        <v>20988961.349999998</v>
      </c>
    </row>
  </sheetData>
  <autoFilter ref="A1:AY1"/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2022-07-22T08:09:39Z</dcterms:modified>
</cp:coreProperties>
</file>