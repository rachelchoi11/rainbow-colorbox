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ywiz\Desktop\7월마감\"/>
    </mc:Choice>
  </mc:AlternateContent>
  <bookViews>
    <workbookView xWindow="7416" yWindow="0" windowWidth="18000" windowHeight="15120" tabRatio="752" activeTab="6"/>
  </bookViews>
  <sheets>
    <sheet name="22년 4월(국내)" sheetId="38" r:id="rId1"/>
    <sheet name="22년 4월(해외)" sheetId="40" r:id="rId2"/>
    <sheet name="22년 4월 세부내역" sheetId="39" r:id="rId3"/>
    <sheet name="22년 5월(국내)" sheetId="41" r:id="rId4"/>
    <sheet name="22년 5월(해외)" sheetId="44" r:id="rId5"/>
    <sheet name="22년 5월 세부내역" sheetId="43" r:id="rId6"/>
    <sheet name="22년 6월(국내)" sheetId="45" r:id="rId7"/>
    <sheet name="22년 6월 세부내역" sheetId="4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45" l="1"/>
  <c r="D17" i="45"/>
  <c r="J17" i="45" s="1"/>
  <c r="J14" i="45"/>
  <c r="H14" i="45"/>
  <c r="H17" i="43"/>
  <c r="I17" i="43" s="1"/>
  <c r="G17" i="43"/>
  <c r="F17" i="43"/>
  <c r="E17" i="43"/>
  <c r="D17" i="43"/>
  <c r="C17" i="43"/>
  <c r="I16" i="43"/>
  <c r="J16" i="43" s="1"/>
  <c r="J17" i="43" s="1"/>
  <c r="C13" i="43" s="1"/>
  <c r="H17" i="45" l="1"/>
  <c r="D17" i="44"/>
  <c r="H17" i="44" s="1"/>
  <c r="J14" i="44"/>
  <c r="H14" i="44"/>
  <c r="D17" i="41"/>
  <c r="J17" i="41" s="1"/>
  <c r="J14" i="41"/>
  <c r="H14" i="41"/>
  <c r="J20" i="40"/>
  <c r="H20" i="40"/>
  <c r="D20" i="40"/>
  <c r="J18" i="40"/>
  <c r="H18" i="40"/>
  <c r="D18" i="40"/>
  <c r="D17" i="38"/>
  <c r="J14" i="40"/>
  <c r="H14" i="40"/>
  <c r="J17" i="38"/>
  <c r="J17" i="44" l="1"/>
  <c r="D19" i="44" s="1"/>
  <c r="H17" i="41"/>
  <c r="H17" i="38"/>
  <c r="J14" i="38"/>
  <c r="H14" i="38"/>
  <c r="H19" i="44" l="1"/>
  <c r="J19" i="44" s="1"/>
</calcChain>
</file>

<file path=xl/sharedStrings.xml><?xml version="1.0" encoding="utf-8"?>
<sst xmlns="http://schemas.openxmlformats.org/spreadsheetml/2006/main" count="259" uniqueCount="122">
  <si>
    <t>* 정산 담당자 E-mail : hometax@marucomics.com</t>
  </si>
  <si>
    <t>정산월</t>
  </si>
  <si>
    <t>작가명</t>
  </si>
  <si>
    <t>야쿠자가 사랑을 한다면</t>
  </si>
  <si>
    <t>정산대상기간</t>
  </si>
  <si>
    <t>봄툰 총 매출</t>
  </si>
  <si>
    <t>출판사 정산</t>
  </si>
  <si>
    <t>정산내역</t>
  </si>
  <si>
    <t>모리미&amp;두팔</t>
  </si>
  <si>
    <t>웹정산율</t>
  </si>
  <si>
    <t>MG 잔액</t>
  </si>
  <si>
    <t>CP회사명</t>
  </si>
  <si>
    <t>RS 지급</t>
  </si>
  <si>
    <t>마루코믹스</t>
  </si>
  <si>
    <t>2.면세</t>
  </si>
  <si>
    <t>앱코인합계</t>
  </si>
  <si>
    <t>35.0%</t>
  </si>
  <si>
    <t>웹코인합계</t>
  </si>
  <si>
    <t>앱정산율</t>
  </si>
  <si>
    <t>45.0%</t>
  </si>
  <si>
    <t>만화명</t>
  </si>
  <si>
    <t>: 야쿠자가 사랑을 한다면</t>
  </si>
  <si>
    <t>마루코믹스 정산서</t>
  </si>
  <si>
    <t>작   품   명</t>
  </si>
  <si>
    <t>주식회사 마루코믹스</t>
  </si>
  <si>
    <t>업   체   명</t>
  </si>
  <si>
    <t>마루코믹스 정산</t>
  </si>
  <si>
    <t>국내 - 봄툰(수익)</t>
  </si>
  <si>
    <r>
      <t>지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급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예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정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일</t>
    </r>
  </si>
  <si>
    <t>CP(정산처)</t>
    <phoneticPr fontId="35" type="noConversion"/>
  </si>
  <si>
    <t>구분</t>
    <phoneticPr fontId="36" type="noConversion"/>
  </si>
  <si>
    <t>비고</t>
    <phoneticPr fontId="36" type="noConversion"/>
  </si>
  <si>
    <t>이월 차감잔액</t>
    <phoneticPr fontId="36" type="noConversion"/>
  </si>
  <si>
    <t>콘텐츠 MG</t>
    <phoneticPr fontId="36" type="noConversion"/>
  </si>
  <si>
    <t>실지급 MG</t>
    <phoneticPr fontId="36" type="noConversion"/>
  </si>
  <si>
    <t>웹매출액</t>
    <phoneticPr fontId="36" type="noConversion"/>
  </si>
  <si>
    <t>웹정산액</t>
    <phoneticPr fontId="36" type="noConversion"/>
  </si>
  <si>
    <t>앱매출액</t>
    <phoneticPr fontId="36" type="noConversion"/>
  </si>
  <si>
    <t>앱정산액</t>
    <phoneticPr fontId="36" type="noConversion"/>
  </si>
  <si>
    <t>정산액(웹+앱)</t>
    <phoneticPr fontId="36" type="noConversion"/>
  </si>
  <si>
    <t>총매출액</t>
    <phoneticPr fontId="36" type="noConversion"/>
  </si>
  <si>
    <t>글/그림</t>
    <phoneticPr fontId="36" type="noConversion"/>
  </si>
  <si>
    <t>RS정산액</t>
    <phoneticPr fontId="36" type="noConversion"/>
  </si>
  <si>
    <t>RS-MG</t>
    <phoneticPr fontId="36" type="noConversion"/>
  </si>
  <si>
    <t>RS지급액(MG-RS)</t>
    <phoneticPr fontId="36" type="noConversion"/>
  </si>
  <si>
    <t>정산월</t>
    <phoneticPr fontId="32" type="noConversion"/>
  </si>
  <si>
    <t>봄툰(MG,RS)</t>
    <phoneticPr fontId="32" type="noConversion"/>
  </si>
  <si>
    <t>MCP</t>
  </si>
  <si>
    <t>국가</t>
    <phoneticPr fontId="32" type="noConversion"/>
  </si>
  <si>
    <t>프랑스</t>
    <phoneticPr fontId="32" type="noConversion"/>
  </si>
  <si>
    <t>독일</t>
    <phoneticPr fontId="32" type="noConversion"/>
  </si>
  <si>
    <t>RS</t>
    <phoneticPr fontId="32" type="noConversion"/>
  </si>
  <si>
    <t>해외 - 델리툰(프랑스/독일)</t>
    <phoneticPr fontId="32" type="noConversion"/>
  </si>
  <si>
    <t>델리툰</t>
    <phoneticPr fontId="32" type="noConversion"/>
  </si>
  <si>
    <t>title</t>
  </si>
  <si>
    <t>CP RS (€)</t>
  </si>
  <si>
    <t>CP RS (￦)</t>
  </si>
  <si>
    <t>Unit</t>
  </si>
  <si>
    <t>Un amour de yakuza</t>
  </si>
  <si>
    <t>KRW</t>
  </si>
  <si>
    <t>발행일: 2022-05-20</t>
    <phoneticPr fontId="32" type="noConversion"/>
  </si>
  <si>
    <t>: 스토리위즈</t>
    <phoneticPr fontId="32" type="noConversion"/>
  </si>
  <si>
    <t>: 2022-04</t>
    <phoneticPr fontId="32" type="noConversion"/>
  </si>
  <si>
    <t>4월</t>
    <phoneticPr fontId="32" type="noConversion"/>
  </si>
  <si>
    <t>: 2022-05-31</t>
    <phoneticPr fontId="32" type="noConversion"/>
  </si>
  <si>
    <t>매출합계 (국내+해외)</t>
  </si>
  <si>
    <t>* 정산서 확인 후 이상 없는 경우 계산서 발행 부탁드립니다.</t>
    <phoneticPr fontId="32" type="noConversion"/>
  </si>
  <si>
    <t>* 정산서 확인 후 이상 없는 경우 세금계산서 발행 부탁드립니다.</t>
    <phoneticPr fontId="32" type="noConversion"/>
  </si>
  <si>
    <t>매출합계</t>
  </si>
  <si>
    <t>마루코믹스 합계</t>
  </si>
  <si>
    <t>출판사 합계</t>
  </si>
  <si>
    <t>4월</t>
  </si>
  <si>
    <t>공급가액</t>
  </si>
  <si>
    <t>세액</t>
  </si>
  <si>
    <t>합계금액</t>
  </si>
  <si>
    <t>Title</t>
  </si>
  <si>
    <t>Site</t>
  </si>
  <si>
    <t>Platform</t>
  </si>
  <si>
    <t>Coins</t>
  </si>
  <si>
    <t>Coin price</t>
  </si>
  <si>
    <t>Total sales(€)</t>
  </si>
  <si>
    <t>Un amour de yakuza (intro)</t>
  </si>
  <si>
    <t>bontoon</t>
  </si>
  <si>
    <t>Paybox</t>
  </si>
  <si>
    <t>GooglePlay</t>
  </si>
  <si>
    <t>AppStore</t>
  </si>
  <si>
    <t>subtotal</t>
  </si>
  <si>
    <t>Grand Total</t>
  </si>
  <si>
    <t>Date</t>
  </si>
  <si>
    <t>Total Page View</t>
  </si>
  <si>
    <t>Total Free View</t>
  </si>
  <si>
    <t>Paid coins</t>
  </si>
  <si>
    <t>발행일: 2022-06-20</t>
    <phoneticPr fontId="32" type="noConversion"/>
  </si>
  <si>
    <t>: 2022-05</t>
    <phoneticPr fontId="32" type="noConversion"/>
  </si>
  <si>
    <t>: 2022-06-30</t>
    <phoneticPr fontId="32" type="noConversion"/>
  </si>
  <si>
    <t>5월</t>
    <phoneticPr fontId="32" type="noConversion"/>
  </si>
  <si>
    <t>매출합계 (국내)</t>
    <phoneticPr fontId="32" type="noConversion"/>
  </si>
  <si>
    <t>국내_봄툰</t>
    <phoneticPr fontId="32" type="noConversion"/>
  </si>
  <si>
    <t>해외 - 코미코(태국)</t>
    <phoneticPr fontId="32" type="noConversion"/>
  </si>
  <si>
    <t>Marucomics</t>
  </si>
  <si>
    <t>2022.04.01~2022.04.30</t>
  </si>
  <si>
    <t>총정산금액 (THB)</t>
    <phoneticPr fontId="36" type="noConversion"/>
  </si>
  <si>
    <t>Row Labels</t>
  </si>
  <si>
    <t>MG (THB)</t>
    <phoneticPr fontId="36" type="noConversion"/>
  </si>
  <si>
    <t>잔여 MG (THB)</t>
    <phoneticPr fontId="36" type="noConversion"/>
  </si>
  <si>
    <t>Gross (THB)</t>
    <phoneticPr fontId="36" type="noConversion"/>
  </si>
  <si>
    <t>Fee (THB)</t>
    <phoneticPr fontId="36" type="noConversion"/>
  </si>
  <si>
    <t>Deducted (THB)</t>
    <phoneticPr fontId="36" type="noConversion"/>
  </si>
  <si>
    <t>Net Rev (THB)</t>
    <phoneticPr fontId="36" type="noConversion"/>
  </si>
  <si>
    <t>Rev-MG (THB)</t>
    <phoneticPr fontId="36" type="noConversion"/>
  </si>
  <si>
    <t>정산액 (THB)</t>
    <phoneticPr fontId="36" type="noConversion"/>
  </si>
  <si>
    <t>Total</t>
  </si>
  <si>
    <t>코미코(태국)</t>
    <phoneticPr fontId="32" type="noConversion"/>
  </si>
  <si>
    <t>6월</t>
    <phoneticPr fontId="32" type="noConversion"/>
  </si>
  <si>
    <t>업   체   명    :</t>
    <phoneticPr fontId="32" type="noConversion"/>
  </si>
  <si>
    <r>
      <t>지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급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예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정</t>
    </r>
    <r>
      <rPr>
        <b/>
        <sz val="6"/>
        <color rgb="FF000000"/>
        <rFont val="나눔고딕"/>
        <family val="3"/>
        <charset val="129"/>
      </rPr>
      <t xml:space="preserve"> </t>
    </r>
    <r>
      <rPr>
        <b/>
        <sz val="10"/>
        <color rgb="FF000000"/>
        <rFont val="나눔고딕"/>
        <family val="3"/>
        <charset val="129"/>
      </rPr>
      <t>일   :</t>
    </r>
    <phoneticPr fontId="32" type="noConversion"/>
  </si>
  <si>
    <t>작   품   명    :</t>
    <phoneticPr fontId="32" type="noConversion"/>
  </si>
  <si>
    <t>정산대상기간  :</t>
    <phoneticPr fontId="32" type="noConversion"/>
  </si>
  <si>
    <t xml:space="preserve"> 야쿠자가 사랑을 한다면</t>
    <phoneticPr fontId="32" type="noConversion"/>
  </si>
  <si>
    <t xml:space="preserve"> 스토리위즈</t>
    <phoneticPr fontId="32" type="noConversion"/>
  </si>
  <si>
    <t>발행일 : 2022-07-20</t>
    <phoneticPr fontId="32" type="noConversion"/>
  </si>
  <si>
    <t xml:space="preserve"> 2022-06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</si>
</sst>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_(* #,##0_);_(* \(#,##0\);_(* &quot;-&quot;_);_(@_)"/>
    <numFmt numFmtId="178" formatCode="_(* #,##0.00_);_(* \(#,##0.00\);_(* &quot;-&quot;??_);_(@_)"/>
    <numFmt numFmtId="179" formatCode="_ * #,##0.00_ ;_ * \-#,##0.00_ ;_ * &quot;-&quot;??_ ;_ @_ "/>
    <numFmt numFmtId="180" formatCode="#,##0_ "/>
    <numFmt numFmtId="181" formatCode="_-* #,##0_-;\-* #,##0_-;_-* &quot;-&quot;??_-;_-@_-"/>
    <numFmt numFmtId="182" formatCode="_(* #,##0_);_(* \(#,##0\);_(* &quot;-&quot;??_);_(@_)"/>
    <numFmt numFmtId="183" formatCode="0_);[Red]\(0\)"/>
  </numFmts>
  <fonts count="106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rgb="FF0563C1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나눔고딕"/>
      <family val="3"/>
      <charset val="129"/>
    </font>
    <font>
      <sz val="10"/>
      <color rgb="FF000000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9"/>
      <color rgb="FF000000"/>
      <name val="나눔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006100"/>
      <name val="다키 L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8"/>
      <color rgb="FF000000"/>
      <name val="나눔고딕"/>
      <family val="3"/>
      <charset val="129"/>
    </font>
    <font>
      <sz val="9"/>
      <color rgb="FF000000"/>
      <name val="맑은 고딕"/>
      <family val="3"/>
      <charset val="129"/>
    </font>
    <font>
      <b/>
      <sz val="6"/>
      <color rgb="FF000000"/>
      <name val="나눔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다키 L"/>
      <family val="3"/>
      <charset val="129"/>
    </font>
    <font>
      <sz val="10"/>
      <name val="다키 L"/>
      <family val="3"/>
      <charset val="129"/>
    </font>
    <font>
      <sz val="8"/>
      <name val="다키 L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2"/>
      <color rgb="FF3F3F3F"/>
      <name val="맑은 고딕"/>
      <family val="3"/>
      <charset val="129"/>
    </font>
    <font>
      <sz val="10"/>
      <name val="Arial"/>
      <family val="2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rgb="FF00000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8"/>
      <color indexed="54"/>
      <name val="맑은 고딕"/>
      <family val="3"/>
      <charset val="129"/>
    </font>
    <font>
      <b/>
      <sz val="15"/>
      <color indexed="54"/>
      <name val="맑은 고딕"/>
      <family val="3"/>
      <charset val="129"/>
    </font>
    <font>
      <b/>
      <sz val="13"/>
      <color indexed="54"/>
      <name val="맑은 고딕"/>
      <family val="3"/>
      <charset val="129"/>
    </font>
    <font>
      <b/>
      <sz val="11"/>
      <color indexed="54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2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1"/>
      <color theme="10"/>
      <name val="돋움"/>
      <family val="3"/>
      <charset val="129"/>
    </font>
    <font>
      <u/>
      <sz val="12"/>
      <color theme="1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color indexed="8"/>
      <name val="Helvetica"/>
      <family val="2"/>
    </font>
    <font>
      <sz val="9"/>
      <color rgb="FFFF0000"/>
      <name val="맑은 고딕"/>
      <family val="3"/>
      <charset val="129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9C5700"/>
      <name val="맑은 고딕"/>
      <family val="2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color indexed="8"/>
      <name val="Helvetica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2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indexed="8"/>
      <name val="맑은 고딕"/>
      <family val="3"/>
      <charset val="129"/>
      <scheme val="minor"/>
    </font>
    <font>
      <sz val="12"/>
      <color indexed="8"/>
      <name val="맑은 고딕"/>
      <family val="2"/>
      <scheme val="minor"/>
    </font>
    <font>
      <b/>
      <sz val="12"/>
      <color indexed="8"/>
      <name val="맑은 고딕"/>
      <family val="3"/>
      <charset val="129"/>
      <scheme val="minor"/>
    </font>
    <font>
      <b/>
      <sz val="11"/>
      <color indexed="8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</font>
  </fonts>
  <fills count="6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179">
    <xf numFmtId="0" fontId="0" fillId="0" borderId="0">
      <alignment vertical="center"/>
    </xf>
    <xf numFmtId="41" fontId="31" fillId="0" borderId="0">
      <alignment vertical="center"/>
    </xf>
    <xf numFmtId="0" fontId="15" fillId="0" borderId="0">
      <alignment vertical="top"/>
      <protection locked="0"/>
    </xf>
    <xf numFmtId="41" fontId="31" fillId="0" borderId="0">
      <alignment vertical="center"/>
    </xf>
    <xf numFmtId="9" fontId="31" fillId="0" borderId="0">
      <alignment vertical="center"/>
    </xf>
    <xf numFmtId="0" fontId="31" fillId="0" borderId="0">
      <alignment vertical="center"/>
    </xf>
    <xf numFmtId="0" fontId="31" fillId="0" borderId="0"/>
    <xf numFmtId="178" fontId="31" fillId="0" borderId="0"/>
    <xf numFmtId="0" fontId="31" fillId="0" borderId="0"/>
    <xf numFmtId="177" fontId="31" fillId="0" borderId="0"/>
    <xf numFmtId="0" fontId="31" fillId="0" borderId="0"/>
    <xf numFmtId="0" fontId="31" fillId="0" borderId="0">
      <alignment vertical="center"/>
    </xf>
    <xf numFmtId="0" fontId="14" fillId="0" borderId="0"/>
    <xf numFmtId="41" fontId="14" fillId="0" borderId="0" applyFont="0" applyFill="0" applyBorder="0" applyAlignment="0" applyProtection="0"/>
    <xf numFmtId="0" fontId="39" fillId="0" borderId="0"/>
    <xf numFmtId="43" fontId="14" fillId="0" borderId="0" applyFont="0" applyFill="0" applyBorder="0" applyAlignment="0" applyProtection="0"/>
    <xf numFmtId="0" fontId="39" fillId="0" borderId="0"/>
    <xf numFmtId="43" fontId="39" fillId="0" borderId="0" applyFont="0" applyFill="0" applyBorder="0" applyAlignment="0" applyProtection="0"/>
    <xf numFmtId="0" fontId="38" fillId="0" borderId="0"/>
    <xf numFmtId="41" fontId="38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38" fillId="0" borderId="0"/>
    <xf numFmtId="43" fontId="38" fillId="0" borderId="0" applyFont="0" applyFill="0" applyBorder="0" applyAlignment="0" applyProtection="0"/>
    <xf numFmtId="0" fontId="13" fillId="0" borderId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1" fontId="31" fillId="0" borderId="0">
      <alignment vertical="center"/>
    </xf>
    <xf numFmtId="41" fontId="31" fillId="0" borderId="0">
      <alignment vertical="center"/>
    </xf>
    <xf numFmtId="9" fontId="41" fillId="0" borderId="0"/>
    <xf numFmtId="0" fontId="31" fillId="0" borderId="0">
      <alignment vertical="center"/>
    </xf>
    <xf numFmtId="41" fontId="31" fillId="0" borderId="0">
      <alignment vertical="center"/>
    </xf>
    <xf numFmtId="0" fontId="31" fillId="0" borderId="0">
      <alignment vertical="center"/>
    </xf>
    <xf numFmtId="0" fontId="16" fillId="2" borderId="0">
      <alignment vertical="center"/>
    </xf>
    <xf numFmtId="0" fontId="17" fillId="3" borderId="0">
      <alignment vertical="center"/>
    </xf>
    <xf numFmtId="41" fontId="31" fillId="0" borderId="0">
      <alignment vertical="center"/>
    </xf>
    <xf numFmtId="9" fontId="31" fillId="0" borderId="0">
      <alignment vertical="center"/>
    </xf>
    <xf numFmtId="0" fontId="42" fillId="0" borderId="0"/>
    <xf numFmtId="0" fontId="39" fillId="0" borderId="0">
      <alignment vertical="center"/>
    </xf>
    <xf numFmtId="0" fontId="43" fillId="0" borderId="0"/>
    <xf numFmtId="0" fontId="44" fillId="0" borderId="0">
      <alignment vertical="center"/>
    </xf>
    <xf numFmtId="9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0" fontId="43" fillId="0" borderId="0"/>
    <xf numFmtId="41" fontId="43" fillId="0" borderId="0" applyFont="0" applyFill="0" applyBorder="0" applyAlignment="0" applyProtection="0"/>
    <xf numFmtId="0" fontId="44" fillId="0" borderId="0">
      <alignment vertical="center"/>
    </xf>
    <xf numFmtId="0" fontId="45" fillId="0" borderId="0"/>
    <xf numFmtId="41" fontId="45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7" borderId="9" applyNumberFormat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2" fillId="13" borderId="10" applyNumberFormat="0" applyFont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2" borderId="11" applyNumberFormat="0" applyAlignment="0" applyProtection="0">
      <alignment vertical="center"/>
    </xf>
    <xf numFmtId="0" fontId="54" fillId="0" borderId="12" applyNumberFormat="0" applyFill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0" fontId="56" fillId="11" borderId="9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14" applyNumberFormat="0" applyFill="0" applyAlignment="0" applyProtection="0">
      <alignment vertical="center"/>
    </xf>
    <xf numFmtId="0" fontId="59" fillId="0" borderId="15" applyNumberFormat="0" applyFill="0" applyAlignment="0" applyProtection="0">
      <alignment vertical="center"/>
    </xf>
    <xf numFmtId="0" fontId="60" fillId="0" borderId="16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2" fillId="17" borderId="17" applyNumberFormat="0" applyAlignment="0" applyProtection="0">
      <alignment vertical="center"/>
    </xf>
    <xf numFmtId="0" fontId="42" fillId="0" borderId="0"/>
    <xf numFmtId="41" fontId="42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179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179" fontId="40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64" fillId="0" borderId="0"/>
    <xf numFmtId="41" fontId="11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/>
    <xf numFmtId="41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11" fillId="0" borderId="0">
      <alignment vertical="center"/>
    </xf>
    <xf numFmtId="0" fontId="39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0" fontId="31" fillId="0" borderId="0">
      <alignment vertical="center"/>
    </xf>
    <xf numFmtId="0" fontId="39" fillId="0" borderId="0">
      <alignment vertical="center"/>
    </xf>
    <xf numFmtId="0" fontId="43" fillId="0" borderId="0"/>
    <xf numFmtId="9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0" fontId="43" fillId="0" borderId="0"/>
    <xf numFmtId="41" fontId="43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41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42" fillId="0" borderId="0"/>
    <xf numFmtId="0" fontId="50" fillId="25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42" fillId="0" borderId="0"/>
    <xf numFmtId="0" fontId="42" fillId="0" borderId="0"/>
    <xf numFmtId="41" fontId="42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1" fontId="31" fillId="0" borderId="0">
      <alignment vertical="center"/>
    </xf>
    <xf numFmtId="0" fontId="10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70" fillId="0" borderId="0" applyNumberFormat="0" applyFill="0" applyBorder="0" applyProtection="0">
      <alignment vertical="top" wrapText="1"/>
    </xf>
    <xf numFmtId="0" fontId="43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70" fillId="0" borderId="0" applyNumberFormat="0" applyFill="0" applyBorder="0" applyProtection="0">
      <alignment vertical="top" wrapText="1"/>
    </xf>
    <xf numFmtId="0" fontId="9" fillId="0" borderId="0">
      <alignment vertical="center"/>
    </xf>
    <xf numFmtId="0" fontId="70" fillId="0" borderId="0" applyNumberFormat="0" applyFill="0" applyBorder="0" applyProtection="0">
      <alignment vertical="top" wrapText="1"/>
    </xf>
    <xf numFmtId="0" fontId="9" fillId="0" borderId="0">
      <alignment vertical="center"/>
    </xf>
    <xf numFmtId="0" fontId="45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1" fontId="31" fillId="0" borderId="0">
      <alignment vertical="center"/>
    </xf>
    <xf numFmtId="0" fontId="42" fillId="0" borderId="0"/>
    <xf numFmtId="41" fontId="4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0" fontId="31" fillId="0" borderId="0">
      <alignment vertical="center"/>
    </xf>
    <xf numFmtId="41" fontId="31" fillId="0" borderId="0">
      <alignment vertical="center"/>
    </xf>
    <xf numFmtId="0" fontId="16" fillId="2" borderId="0">
      <alignment vertical="center"/>
    </xf>
    <xf numFmtId="0" fontId="17" fillId="3" borderId="0">
      <alignment vertical="center"/>
    </xf>
    <xf numFmtId="41" fontId="31" fillId="0" borderId="0">
      <alignment vertical="center"/>
    </xf>
    <xf numFmtId="0" fontId="39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43" fontId="8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1" fontId="31" fillId="0" borderId="0">
      <alignment vertical="center"/>
    </xf>
    <xf numFmtId="0" fontId="15" fillId="0" borderId="0">
      <alignment vertical="top"/>
      <protection locked="0"/>
    </xf>
    <xf numFmtId="0" fontId="31" fillId="0" borderId="0">
      <alignment vertical="center"/>
    </xf>
    <xf numFmtId="0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9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31" fillId="0" borderId="0">
      <alignment vertical="center"/>
    </xf>
    <xf numFmtId="0" fontId="42" fillId="0" borderId="0"/>
    <xf numFmtId="9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2" fillId="0" borderId="22" applyNumberFormat="0" applyFill="0" applyAlignment="0" applyProtection="0">
      <alignment vertical="center"/>
    </xf>
    <xf numFmtId="0" fontId="73" fillId="0" borderId="23" applyNumberFormat="0" applyFill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30" borderId="25" applyNumberFormat="0" applyAlignment="0" applyProtection="0">
      <alignment vertical="center"/>
    </xf>
    <xf numFmtId="0" fontId="76" fillId="31" borderId="26" applyNumberFormat="0" applyAlignment="0" applyProtection="0">
      <alignment vertical="center"/>
    </xf>
    <xf numFmtId="0" fontId="77" fillId="31" borderId="25" applyNumberFormat="0" applyAlignment="0" applyProtection="0">
      <alignment vertical="center"/>
    </xf>
    <xf numFmtId="0" fontId="78" fillId="0" borderId="27" applyNumberFormat="0" applyFill="0" applyAlignment="0" applyProtection="0">
      <alignment vertical="center"/>
    </xf>
    <xf numFmtId="0" fontId="79" fillId="32" borderId="28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30" applyNumberFormat="0" applyFill="0" applyAlignment="0" applyProtection="0">
      <alignment vertical="center"/>
    </xf>
    <xf numFmtId="0" fontId="83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83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4" fillId="51" borderId="0" applyNumberFormat="0" applyBorder="0" applyAlignment="0" applyProtection="0">
      <alignment vertical="center"/>
    </xf>
    <xf numFmtId="0" fontId="4" fillId="52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4" fillId="55" borderId="0" applyNumberFormat="0" applyBorder="0" applyAlignment="0" applyProtection="0">
      <alignment vertical="center"/>
    </xf>
    <xf numFmtId="0" fontId="4" fillId="56" borderId="0" applyNumberFormat="0" applyBorder="0" applyAlignment="0" applyProtection="0">
      <alignment vertical="center"/>
    </xf>
    <xf numFmtId="0" fontId="4" fillId="0" borderId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4" fillId="33" borderId="29" applyNumberFormat="0" applyFont="0" applyAlignment="0" applyProtection="0">
      <alignment vertical="center"/>
    </xf>
    <xf numFmtId="0" fontId="83" fillId="37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3" fillId="45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41" fontId="31" fillId="0" borderId="0">
      <alignment vertical="center"/>
    </xf>
    <xf numFmtId="0" fontId="89" fillId="28" borderId="0" applyNumberFormat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90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91" fillId="0" borderId="0" applyNumberFormat="0" applyFill="0" applyBorder="0" applyProtection="0">
      <alignment vertical="top" wrapText="1"/>
    </xf>
    <xf numFmtId="0" fontId="3" fillId="4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51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0" fontId="3" fillId="55" borderId="0" applyNumberFormat="0" applyBorder="0" applyAlignment="0" applyProtection="0">
      <alignment vertical="center"/>
    </xf>
    <xf numFmtId="0" fontId="3" fillId="5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33" borderId="29" applyNumberFormat="0" applyFont="0" applyAlignment="0" applyProtection="0">
      <alignment vertical="center"/>
    </xf>
    <xf numFmtId="41" fontId="31" fillId="0" borderId="0">
      <alignment vertical="center"/>
    </xf>
    <xf numFmtId="0" fontId="3" fillId="0" borderId="0">
      <alignment vertical="center"/>
    </xf>
    <xf numFmtId="0" fontId="92" fillId="0" borderId="0"/>
    <xf numFmtId="0" fontId="3" fillId="0" borderId="0">
      <alignment vertical="center"/>
    </xf>
    <xf numFmtId="0" fontId="91" fillId="0" borderId="0" applyNumberFormat="0" applyFill="0" applyBorder="0" applyProtection="0">
      <alignment vertical="top" wrapText="1"/>
    </xf>
    <xf numFmtId="41" fontId="3" fillId="0" borderId="0" applyFont="0" applyFill="0" applyBorder="0" applyAlignment="0" applyProtection="0"/>
    <xf numFmtId="0" fontId="40" fillId="0" borderId="0"/>
    <xf numFmtId="41" fontId="4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42" fillId="13" borderId="10" applyNumberFormat="0" applyFont="0" applyAlignment="0" applyProtection="0">
      <alignment vertical="center"/>
    </xf>
    <xf numFmtId="0" fontId="3" fillId="0" borderId="0">
      <alignment vertical="center"/>
    </xf>
    <xf numFmtId="0" fontId="42" fillId="0" borderId="0"/>
    <xf numFmtId="41" fontId="42" fillId="0" borderId="0" applyFont="0" applyFill="0" applyBorder="0" applyAlignment="0" applyProtection="0">
      <alignment vertical="center"/>
    </xf>
    <xf numFmtId="0" fontId="42" fillId="0" borderId="0"/>
    <xf numFmtId="0" fontId="3" fillId="0" borderId="0">
      <alignment vertical="center"/>
    </xf>
    <xf numFmtId="0" fontId="3" fillId="33" borderId="29" applyNumberFormat="0" applyFont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7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1" borderId="0" applyNumberFormat="0" applyBorder="0" applyAlignment="0" applyProtection="0">
      <alignment vertical="center"/>
    </xf>
    <xf numFmtId="0" fontId="3" fillId="52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6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29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3" fillId="41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3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41" fontId="31" fillId="0" borderId="0">
      <alignment vertical="center"/>
    </xf>
    <xf numFmtId="0" fontId="15" fillId="0" borderId="0">
      <alignment vertical="top"/>
      <protection locked="0"/>
    </xf>
    <xf numFmtId="0" fontId="16" fillId="2" borderId="0">
      <alignment vertical="center"/>
    </xf>
    <xf numFmtId="41" fontId="31" fillId="0" borderId="0">
      <alignment vertical="center"/>
    </xf>
    <xf numFmtId="0" fontId="2" fillId="43" borderId="0" applyNumberFormat="0" applyBorder="0" applyAlignment="0" applyProtection="0">
      <alignment vertical="center"/>
    </xf>
    <xf numFmtId="43" fontId="31" fillId="0" borderId="0"/>
    <xf numFmtId="41" fontId="31" fillId="0" borderId="0"/>
    <xf numFmtId="0" fontId="31" fillId="0" borderId="0">
      <alignment vertical="center"/>
    </xf>
    <xf numFmtId="0" fontId="17" fillId="3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8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8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0" fontId="2" fillId="41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31" fillId="0" borderId="0">
      <alignment vertical="center"/>
    </xf>
    <xf numFmtId="0" fontId="2" fillId="37" borderId="0" applyNumberFormat="0" applyBorder="0" applyAlignment="0" applyProtection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0" fontId="2" fillId="40" borderId="0" applyNumberFormat="0" applyBorder="0" applyAlignment="0" applyProtection="0">
      <alignment vertical="center"/>
    </xf>
    <xf numFmtId="0" fontId="2" fillId="33" borderId="29" applyNumberFormat="0" applyFont="0" applyAlignment="0" applyProtection="0">
      <alignment vertical="center"/>
    </xf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2" fillId="57" borderId="0" applyNumberFormat="0" applyBorder="0" applyAlignment="0" applyProtection="0">
      <alignment vertical="center"/>
    </xf>
    <xf numFmtId="0" fontId="2" fillId="56" borderId="0" applyNumberFormat="0" applyBorder="0" applyAlignment="0" applyProtection="0">
      <alignment vertical="center"/>
    </xf>
    <xf numFmtId="0" fontId="2" fillId="55" borderId="0" applyNumberFormat="0" applyBorder="0" applyAlignment="0" applyProtection="0">
      <alignment vertical="center"/>
    </xf>
    <xf numFmtId="0" fontId="2" fillId="53" borderId="0" applyNumberFormat="0" applyBorder="0" applyAlignment="0" applyProtection="0">
      <alignment vertical="center"/>
    </xf>
    <xf numFmtId="0" fontId="2" fillId="52" borderId="0" applyNumberFormat="0" applyBorder="0" applyAlignment="0" applyProtection="0">
      <alignment vertical="center"/>
    </xf>
    <xf numFmtId="0" fontId="2" fillId="51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41" fontId="31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3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1" fontId="3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0" fontId="2" fillId="47" borderId="0" applyNumberFormat="0" applyBorder="0" applyAlignment="0" applyProtection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43" fontId="2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0" fontId="2" fillId="35" borderId="0" applyNumberFormat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3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3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0" fontId="31" fillId="0" borderId="0">
      <alignment vertical="center"/>
    </xf>
    <xf numFmtId="41" fontId="31" fillId="0" borderId="0">
      <alignment vertical="center"/>
    </xf>
    <xf numFmtId="0" fontId="31" fillId="0" borderId="0">
      <alignment vertical="center"/>
    </xf>
    <xf numFmtId="41" fontId="31" fillId="0" borderId="0">
      <alignment vertical="center"/>
    </xf>
    <xf numFmtId="0" fontId="42" fillId="0" borderId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0" fontId="43" fillId="0" borderId="0"/>
    <xf numFmtId="41" fontId="43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/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3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49" fillId="17" borderId="9" applyNumberFormat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0" fontId="56" fillId="11" borderId="9" applyNumberFormat="0" applyAlignment="0" applyProtection="0">
      <alignment vertical="center"/>
    </xf>
    <xf numFmtId="0" fontId="62" fillId="17" borderId="17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9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0" fontId="31" fillId="0" borderId="0">
      <alignment vertical="center"/>
    </xf>
    <xf numFmtId="41" fontId="31" fillId="0" borderId="0">
      <alignment vertical="center"/>
    </xf>
    <xf numFmtId="0" fontId="31" fillId="0" borderId="0">
      <alignment vertical="center"/>
    </xf>
    <xf numFmtId="0" fontId="42" fillId="0" borderId="0"/>
    <xf numFmtId="0" fontId="39" fillId="0" borderId="0">
      <alignment vertical="center"/>
    </xf>
    <xf numFmtId="43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0" fontId="42" fillId="0" borderId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3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0" fontId="43" fillId="0" borderId="0"/>
    <xf numFmtId="0" fontId="44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0" fontId="31" fillId="0" borderId="0">
      <alignment vertical="center"/>
    </xf>
    <xf numFmtId="41" fontId="31" fillId="0" borderId="0">
      <alignment vertical="center"/>
    </xf>
    <xf numFmtId="0" fontId="31" fillId="0" borderId="0">
      <alignment vertical="center"/>
    </xf>
    <xf numFmtId="0" fontId="40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0" fontId="44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49" fillId="17" borderId="9" applyNumberFormat="0" applyAlignment="0" applyProtection="0">
      <alignment vertical="center"/>
    </xf>
    <xf numFmtId="0" fontId="42" fillId="13" borderId="10" applyNumberFormat="0" applyFont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0" fontId="56" fillId="11" borderId="9" applyNumberFormat="0" applyAlignment="0" applyProtection="0">
      <alignment vertical="center"/>
    </xf>
    <xf numFmtId="0" fontId="62" fillId="17" borderId="17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0" fontId="43" fillId="0" borderId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0" fontId="43" fillId="0" borderId="0"/>
    <xf numFmtId="41" fontId="43" fillId="0" borderId="0" applyFont="0" applyFill="0" applyBorder="0" applyAlignment="0" applyProtection="0"/>
    <xf numFmtId="0" fontId="45" fillId="0" borderId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0" fontId="31" fillId="0" borderId="0">
      <alignment vertical="center"/>
    </xf>
    <xf numFmtId="41" fontId="31" fillId="0" borderId="0">
      <alignment vertical="center"/>
    </xf>
    <xf numFmtId="0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0" fontId="49" fillId="17" borderId="9" applyNumberFormat="0" applyAlignment="0" applyProtection="0">
      <alignment vertical="center"/>
    </xf>
    <xf numFmtId="0" fontId="42" fillId="13" borderId="10" applyNumberFormat="0" applyFont="0" applyAlignment="0" applyProtection="0">
      <alignment vertical="center"/>
    </xf>
    <xf numFmtId="0" fontId="55" fillId="0" borderId="13" applyNumberFormat="0" applyFill="0" applyAlignment="0" applyProtection="0">
      <alignment vertical="center"/>
    </xf>
    <xf numFmtId="0" fontId="56" fillId="11" borderId="9" applyNumberFormat="0" applyAlignment="0" applyProtection="0">
      <alignment vertical="center"/>
    </xf>
    <xf numFmtId="0" fontId="62" fillId="17" borderId="17" applyNumberFormat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9" fontId="45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1" fontId="31" fillId="0" borderId="0">
      <alignment vertical="center"/>
    </xf>
    <xf numFmtId="41" fontId="31" fillId="0" borderId="0">
      <alignment vertical="center"/>
    </xf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1" fontId="45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3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42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33" borderId="29" applyNumberFormat="0" applyFont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1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7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1" borderId="0" applyNumberFormat="0" applyBorder="0" applyAlignment="0" applyProtection="0">
      <alignment vertical="center"/>
    </xf>
    <xf numFmtId="0" fontId="1" fillId="52" borderId="0" applyNumberFormat="0" applyBorder="0" applyAlignment="0" applyProtection="0">
      <alignment vertical="center"/>
    </xf>
    <xf numFmtId="0" fontId="1" fillId="53" borderId="0" applyNumberFormat="0" applyBorder="0" applyAlignment="0" applyProtection="0">
      <alignment vertical="center"/>
    </xf>
    <xf numFmtId="0" fontId="1" fillId="55" borderId="0" applyNumberFormat="0" applyBorder="0" applyAlignment="0" applyProtection="0">
      <alignment vertical="center"/>
    </xf>
    <xf numFmtId="0" fontId="1" fillId="56" borderId="0" applyNumberFormat="0" applyBorder="0" applyAlignment="0" applyProtection="0">
      <alignment vertical="center"/>
    </xf>
    <xf numFmtId="0" fontId="1" fillId="57" borderId="0" applyNumberFormat="0" applyBorder="0" applyAlignment="0" applyProtection="0">
      <alignment vertical="center"/>
    </xf>
    <xf numFmtId="43" fontId="96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 applyBorder="1">
      <alignment vertical="center"/>
    </xf>
    <xf numFmtId="41" fontId="18" fillId="0" borderId="1" xfId="1" applyNumberFormat="1" applyFont="1" applyFill="1" applyBorder="1">
      <alignment vertical="center"/>
    </xf>
    <xf numFmtId="41" fontId="18" fillId="0" borderId="1" xfId="1" applyNumberFormat="1" applyFont="1" applyBorder="1">
      <alignment vertical="center"/>
    </xf>
    <xf numFmtId="0" fontId="19" fillId="0" borderId="0" xfId="0" applyNumberFormat="1" applyFont="1" applyBorder="1">
      <alignment vertical="center"/>
    </xf>
    <xf numFmtId="0" fontId="19" fillId="0" borderId="0" xfId="0" applyNumberFormat="1" applyFont="1">
      <alignment vertical="center"/>
    </xf>
    <xf numFmtId="0" fontId="19" fillId="0" borderId="2" xfId="0" applyNumberFormat="1" applyFont="1" applyBorder="1">
      <alignment vertical="center"/>
    </xf>
    <xf numFmtId="0" fontId="20" fillId="0" borderId="0" xfId="0" applyNumberFormat="1" applyFont="1" applyAlignment="1">
      <alignment horizontal="right" vertical="center"/>
    </xf>
    <xf numFmtId="0" fontId="20" fillId="0" borderId="0" xfId="0" applyNumberFormat="1" applyFont="1" applyAlignment="1">
      <alignment horizontal="left" vertical="center"/>
    </xf>
    <xf numFmtId="14" fontId="20" fillId="0" borderId="0" xfId="0" applyNumberFormat="1" applyFont="1" applyAlignment="1">
      <alignment horizontal="left" vertical="center"/>
    </xf>
    <xf numFmtId="14" fontId="20" fillId="0" borderId="0" xfId="0" applyNumberFormat="1" applyFont="1" applyAlignment="1">
      <alignment horizontal="right" vertical="center"/>
    </xf>
    <xf numFmtId="0" fontId="20" fillId="0" borderId="0" xfId="0" applyNumberFormat="1" applyFont="1" applyBorder="1" applyAlignment="1">
      <alignment horizontal="center" vertical="center" wrapText="1"/>
    </xf>
    <xf numFmtId="0" fontId="21" fillId="0" borderId="0" xfId="0" applyNumberFormat="1" applyFont="1" applyBorder="1" applyAlignment="1">
      <alignment horizontal="left" vertical="center"/>
    </xf>
    <xf numFmtId="0" fontId="15" fillId="0" borderId="0" xfId="2" applyNumberFormat="1" applyFont="1" applyBorder="1" applyAlignment="1" applyProtection="1">
      <alignment horizontal="center" vertical="center"/>
    </xf>
    <xf numFmtId="0" fontId="0" fillId="0" borderId="0" xfId="0" applyNumberFormat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21" fillId="0" borderId="0" xfId="0" applyNumberFormat="1" applyFont="1" applyAlignment="1">
      <alignment horizontal="left" vertical="center"/>
    </xf>
    <xf numFmtId="0" fontId="19" fillId="0" borderId="4" xfId="0" applyNumberFormat="1" applyFont="1" applyBorder="1" applyAlignment="1">
      <alignment horizontal="center" vertical="center"/>
    </xf>
    <xf numFmtId="0" fontId="21" fillId="0" borderId="4" xfId="0" applyNumberFormat="1" applyFont="1" applyBorder="1" applyAlignment="1">
      <alignment horizontal="center" vertical="center"/>
    </xf>
    <xf numFmtId="0" fontId="22" fillId="0" borderId="4" xfId="0" applyNumberFormat="1" applyFont="1" applyBorder="1" applyAlignment="1">
      <alignment horizontal="center" vertical="center"/>
    </xf>
    <xf numFmtId="14" fontId="22" fillId="0" borderId="4" xfId="0" applyNumberFormat="1" applyFont="1" applyBorder="1" applyAlignment="1">
      <alignment horizontal="center" vertical="center"/>
    </xf>
    <xf numFmtId="14" fontId="22" fillId="0" borderId="0" xfId="0" applyNumberFormat="1" applyFont="1" applyAlignment="1">
      <alignment vertical="center"/>
    </xf>
    <xf numFmtId="0" fontId="21" fillId="0" borderId="0" xfId="0" applyNumberFormat="1" applyFont="1" applyAlignment="1">
      <alignment vertical="center"/>
    </xf>
    <xf numFmtId="0" fontId="23" fillId="0" borderId="0" xfId="0" applyNumberFormat="1" applyFont="1" applyBorder="1">
      <alignment vertical="center"/>
    </xf>
    <xf numFmtId="9" fontId="24" fillId="0" borderId="0" xfId="0" applyNumberFormat="1" applyFont="1" applyBorder="1">
      <alignment vertical="center"/>
    </xf>
    <xf numFmtId="0" fontId="0" fillId="0" borderId="0" xfId="0" applyNumberFormat="1" applyFont="1" applyAlignment="1">
      <alignment horizontal="left" vertical="center"/>
    </xf>
    <xf numFmtId="0" fontId="0" fillId="0" borderId="0" xfId="0">
      <alignment vertical="center"/>
    </xf>
    <xf numFmtId="0" fontId="27" fillId="7" borderId="0" xfId="11" applyNumberFormat="1" applyFont="1" applyFill="1">
      <alignment vertical="center"/>
    </xf>
    <xf numFmtId="0" fontId="26" fillId="7" borderId="0" xfId="11" applyNumberFormat="1" applyFont="1" applyFill="1">
      <alignment vertical="center"/>
    </xf>
    <xf numFmtId="0" fontId="33" fillId="0" borderId="3" xfId="0" applyFont="1" applyBorder="1">
      <alignment vertical="center"/>
    </xf>
    <xf numFmtId="0" fontId="0" fillId="0" borderId="0" xfId="0" applyBorder="1">
      <alignment vertical="center"/>
    </xf>
    <xf numFmtId="0" fontId="18" fillId="4" borderId="18" xfId="0" applyFont="1" applyFill="1" applyBorder="1" applyAlignment="1">
      <alignment horizontal="center" vertical="center"/>
    </xf>
    <xf numFmtId="176" fontId="33" fillId="6" borderId="18" xfId="3" applyNumberFormat="1" applyFont="1" applyFill="1" applyBorder="1" applyAlignment="1">
      <alignment horizontal="center" vertical="center"/>
    </xf>
    <xf numFmtId="176" fontId="33" fillId="6" borderId="18" xfId="0" applyNumberFormat="1" applyFont="1" applyFill="1" applyBorder="1" applyAlignment="1">
      <alignment horizontal="center" vertical="center"/>
    </xf>
    <xf numFmtId="0" fontId="33" fillId="6" borderId="18" xfId="0" applyFont="1" applyFill="1" applyBorder="1" applyAlignment="1">
      <alignment horizontal="center" vertical="center"/>
    </xf>
    <xf numFmtId="0" fontId="34" fillId="6" borderId="3" xfId="176" applyFont="1" applyFill="1" applyBorder="1" applyAlignment="1">
      <alignment horizontal="center" vertical="center"/>
    </xf>
    <xf numFmtId="176" fontId="25" fillId="6" borderId="3" xfId="175" applyNumberFormat="1" applyFont="1" applyFill="1" applyBorder="1" applyAlignment="1">
      <alignment horizontal="center" vertical="center"/>
    </xf>
    <xf numFmtId="0" fontId="39" fillId="0" borderId="0" xfId="16"/>
    <xf numFmtId="9" fontId="33" fillId="6" borderId="18" xfId="4" applyFont="1" applyFill="1" applyBorder="1" applyAlignment="1">
      <alignment horizontal="center" vertical="center"/>
    </xf>
    <xf numFmtId="0" fontId="18" fillId="4" borderId="18" xfId="0" applyNumberFormat="1" applyFont="1" applyFill="1" applyBorder="1" applyAlignment="1">
      <alignment horizontal="center" vertical="center"/>
    </xf>
    <xf numFmtId="0" fontId="18" fillId="0" borderId="18" xfId="0" applyNumberFormat="1" applyFont="1" applyFill="1" applyBorder="1" applyAlignment="1">
      <alignment horizontal="center" vertical="center"/>
    </xf>
    <xf numFmtId="41" fontId="18" fillId="0" borderId="18" xfId="0" applyNumberFormat="1" applyFont="1" applyBorder="1" applyAlignment="1">
      <alignment horizontal="center" vertical="center"/>
    </xf>
    <xf numFmtId="0" fontId="20" fillId="0" borderId="0" xfId="0" applyNumberFormat="1" applyFont="1" applyAlignment="1">
      <alignment horizontal="center" vertical="center"/>
    </xf>
    <xf numFmtId="0" fontId="18" fillId="4" borderId="1" xfId="0" applyNumberFormat="1" applyFont="1" applyFill="1" applyBorder="1" applyAlignment="1">
      <alignment horizontal="center" vertical="center"/>
    </xf>
    <xf numFmtId="41" fontId="18" fillId="0" borderId="1" xfId="1" applyNumberFormat="1" applyFont="1" applyFill="1" applyBorder="1" applyAlignment="1">
      <alignment horizontal="center" vertical="center"/>
    </xf>
    <xf numFmtId="41" fontId="71" fillId="0" borderId="0" xfId="1" applyNumberFormat="1" applyFont="1" applyFill="1" applyBorder="1" applyAlignment="1">
      <alignment horizontal="left" vertical="center"/>
    </xf>
    <xf numFmtId="0" fontId="18" fillId="0" borderId="18" xfId="0" applyFont="1" applyBorder="1" applyAlignment="1">
      <alignment horizontal="center" vertical="center"/>
    </xf>
    <xf numFmtId="0" fontId="5" fillId="0" borderId="0" xfId="352"/>
    <xf numFmtId="41" fontId="38" fillId="0" borderId="0" xfId="18" applyNumberFormat="1"/>
    <xf numFmtId="0" fontId="3" fillId="0" borderId="18" xfId="428" applyBorder="1">
      <alignment vertical="center"/>
    </xf>
    <xf numFmtId="0" fontId="18" fillId="0" borderId="0" xfId="37" applyFont="1">
      <alignment vertical="center"/>
    </xf>
    <xf numFmtId="0" fontId="18" fillId="0" borderId="0" xfId="5" applyFont="1">
      <alignment vertical="center"/>
    </xf>
    <xf numFmtId="0" fontId="37" fillId="0" borderId="18" xfId="428" applyFont="1" applyBorder="1" applyAlignment="1">
      <alignment vertical="center"/>
    </xf>
    <xf numFmtId="0" fontId="3" fillId="0" borderId="18" xfId="428" applyBorder="1" applyAlignment="1">
      <alignment vertical="center"/>
    </xf>
    <xf numFmtId="3" fontId="37" fillId="0" borderId="18" xfId="428" applyNumberFormat="1" applyFont="1" applyBorder="1" applyAlignment="1">
      <alignment vertical="center"/>
    </xf>
    <xf numFmtId="180" fontId="37" fillId="0" borderId="18" xfId="428" applyNumberFormat="1" applyFont="1" applyBorder="1" applyAlignment="1">
      <alignment vertical="center"/>
    </xf>
    <xf numFmtId="49" fontId="37" fillId="0" borderId="18" xfId="428" applyNumberFormat="1" applyFont="1" applyBorder="1" applyAlignment="1">
      <alignment vertical="center"/>
    </xf>
    <xf numFmtId="41" fontId="33" fillId="0" borderId="18" xfId="406" applyNumberFormat="1" applyFont="1" applyBorder="1" applyAlignment="1">
      <alignment vertical="center"/>
    </xf>
    <xf numFmtId="180" fontId="33" fillId="0" borderId="18" xfId="406" applyNumberFormat="1" applyFont="1" applyBorder="1" applyAlignment="1">
      <alignment vertical="center"/>
    </xf>
    <xf numFmtId="0" fontId="37" fillId="0" borderId="3" xfId="428" applyFont="1" applyBorder="1" applyAlignment="1">
      <alignment vertical="center" wrapText="1"/>
    </xf>
    <xf numFmtId="3" fontId="37" fillId="0" borderId="3" xfId="428" applyNumberFormat="1" applyFont="1" applyBorder="1" applyAlignment="1">
      <alignment vertical="center" wrapText="1"/>
    </xf>
    <xf numFmtId="0" fontId="2" fillId="0" borderId="3" xfId="640" applyBorder="1" applyAlignment="1">
      <alignment vertical="center" wrapText="1"/>
    </xf>
    <xf numFmtId="3" fontId="37" fillId="0" borderId="3" xfId="640" applyNumberFormat="1" applyFont="1" applyBorder="1" applyAlignment="1">
      <alignment vertical="center" wrapText="1"/>
    </xf>
    <xf numFmtId="0" fontId="37" fillId="0" borderId="3" xfId="640" applyFont="1" applyBorder="1" applyAlignment="1">
      <alignment vertical="center" wrapText="1"/>
    </xf>
    <xf numFmtId="0" fontId="18" fillId="4" borderId="18" xfId="476" applyFont="1" applyFill="1" applyBorder="1" applyAlignment="1">
      <alignment horizontal="center" vertical="center"/>
    </xf>
    <xf numFmtId="0" fontId="86" fillId="61" borderId="3" xfId="640" applyFont="1" applyFill="1" applyBorder="1" applyAlignment="1">
      <alignment horizontal="center" vertical="center" wrapText="1"/>
    </xf>
    <xf numFmtId="0" fontId="86" fillId="61" borderId="3" xfId="386" applyFont="1" applyFill="1" applyBorder="1" applyAlignment="1">
      <alignment horizontal="center" vertical="center" wrapText="1"/>
    </xf>
    <xf numFmtId="0" fontId="86" fillId="61" borderId="3" xfId="1158" applyFont="1" applyFill="1" applyBorder="1" applyAlignment="1">
      <alignment horizontal="center" vertical="center" wrapText="1"/>
    </xf>
    <xf numFmtId="14" fontId="37" fillId="0" borderId="3" xfId="1158" applyNumberFormat="1" applyFont="1" applyBorder="1" applyAlignment="1">
      <alignment vertical="center" wrapText="1"/>
    </xf>
    <xf numFmtId="0" fontId="37" fillId="0" borderId="3" xfId="1158" applyFont="1" applyBorder="1" applyAlignment="1">
      <alignment vertical="center" wrapText="1"/>
    </xf>
    <xf numFmtId="3" fontId="37" fillId="0" borderId="3" xfId="1158" applyNumberFormat="1" applyFont="1" applyBorder="1" applyAlignment="1">
      <alignment vertical="center" wrapText="1"/>
    </xf>
    <xf numFmtId="41" fontId="18" fillId="0" borderId="1" xfId="1" applyNumberFormat="1" applyFont="1" applyFill="1" applyBorder="1" applyAlignment="1">
      <alignment horizontal="center" vertical="center"/>
    </xf>
    <xf numFmtId="180" fontId="37" fillId="0" borderId="18" xfId="0" applyNumberFormat="1" applyFont="1" applyBorder="1">
      <alignment vertical="center"/>
    </xf>
    <xf numFmtId="49" fontId="37" fillId="0" borderId="18" xfId="0" applyNumberFormat="1" applyFont="1" applyBorder="1">
      <alignment vertical="center"/>
    </xf>
    <xf numFmtId="0" fontId="33" fillId="0" borderId="31" xfId="0" applyFont="1" applyBorder="1">
      <alignment vertical="center"/>
    </xf>
    <xf numFmtId="176" fontId="33" fillId="6" borderId="34" xfId="3" applyNumberFormat="1" applyFont="1" applyFill="1" applyBorder="1" applyAlignment="1">
      <alignment horizontal="center" vertical="center"/>
    </xf>
    <xf numFmtId="176" fontId="33" fillId="6" borderId="34" xfId="0" applyNumberFormat="1" applyFont="1" applyFill="1" applyBorder="1" applyAlignment="1">
      <alignment horizontal="center" vertical="center"/>
    </xf>
    <xf numFmtId="0" fontId="33" fillId="6" borderId="34" xfId="0" applyFont="1" applyFill="1" applyBorder="1" applyAlignment="1">
      <alignment horizontal="center" vertical="center"/>
    </xf>
    <xf numFmtId="9" fontId="33" fillId="6" borderId="34" xfId="4" applyFont="1" applyFill="1" applyBorder="1" applyAlignment="1">
      <alignment horizontal="center" vertical="center"/>
    </xf>
    <xf numFmtId="176" fontId="25" fillId="6" borderId="31" xfId="175" applyNumberFormat="1" applyFont="1" applyFill="1" applyBorder="1" applyAlignment="1">
      <alignment horizontal="center" vertical="center"/>
    </xf>
    <xf numFmtId="177" fontId="37" fillId="0" borderId="18" xfId="1" applyNumberFormat="1" applyFont="1" applyBorder="1">
      <alignment vertical="center"/>
    </xf>
    <xf numFmtId="0" fontId="94" fillId="0" borderId="18" xfId="0" applyFont="1" applyBorder="1">
      <alignment vertical="center"/>
    </xf>
    <xf numFmtId="180" fontId="37" fillId="0" borderId="18" xfId="1" applyNumberFormat="1" applyFont="1" applyBorder="1">
      <alignment vertical="center"/>
    </xf>
    <xf numFmtId="0" fontId="94" fillId="0" borderId="0" xfId="0" applyFont="1">
      <alignment vertical="center"/>
    </xf>
    <xf numFmtId="41" fontId="18" fillId="0" borderId="18" xfId="1" applyNumberFormat="1" applyFont="1" applyFill="1" applyBorder="1" applyAlignment="1">
      <alignment horizontal="center" vertical="center"/>
    </xf>
    <xf numFmtId="0" fontId="95" fillId="0" borderId="0" xfId="11" applyNumberFormat="1" applyFont="1" applyFill="1">
      <alignment vertical="center"/>
    </xf>
    <xf numFmtId="0" fontId="95" fillId="62" borderId="0" xfId="11" applyNumberFormat="1" applyFont="1" applyFill="1">
      <alignment vertical="center"/>
    </xf>
    <xf numFmtId="0" fontId="97" fillId="0" borderId="0" xfId="16" applyFont="1"/>
    <xf numFmtId="177" fontId="39" fillId="0" borderId="0" xfId="9" applyFont="1"/>
    <xf numFmtId="182" fontId="39" fillId="0" borderId="0" xfId="1178" applyNumberFormat="1" applyFont="1" applyAlignment="1"/>
    <xf numFmtId="0" fontId="0" fillId="0" borderId="0" xfId="0" applyAlignment="1"/>
    <xf numFmtId="0" fontId="38" fillId="0" borderId="0" xfId="18"/>
    <xf numFmtId="0" fontId="98" fillId="0" borderId="0" xfId="16" applyFont="1" applyAlignment="1">
      <alignment horizontal="left"/>
    </xf>
    <xf numFmtId="0" fontId="99" fillId="0" borderId="35" xfId="16" applyFont="1" applyBorder="1" applyAlignment="1">
      <alignment horizontal="left"/>
    </xf>
    <xf numFmtId="183" fontId="39" fillId="0" borderId="35" xfId="16" applyNumberFormat="1" applyBorder="1"/>
    <xf numFmtId="43" fontId="99" fillId="0" borderId="35" xfId="1178" applyFont="1" applyBorder="1" applyAlignment="1"/>
    <xf numFmtId="0" fontId="100" fillId="0" borderId="0" xfId="16" applyFont="1"/>
    <xf numFmtId="177" fontId="100" fillId="0" borderId="0" xfId="9" applyFont="1"/>
    <xf numFmtId="0" fontId="101" fillId="63" borderId="18" xfId="16" applyFont="1" applyFill="1" applyBorder="1" applyAlignment="1">
      <alignment horizontal="center" vertical="center"/>
    </xf>
    <xf numFmtId="0" fontId="102" fillId="63" borderId="18" xfId="16" applyFont="1" applyFill="1" applyBorder="1" applyAlignment="1">
      <alignment horizontal="center" vertical="center"/>
    </xf>
    <xf numFmtId="177" fontId="102" fillId="64" borderId="18" xfId="9" applyFont="1" applyFill="1" applyBorder="1" applyAlignment="1">
      <alignment horizontal="center" vertical="center"/>
    </xf>
    <xf numFmtId="177" fontId="102" fillId="63" borderId="18" xfId="9" applyFont="1" applyFill="1" applyBorder="1" applyAlignment="1">
      <alignment horizontal="center" vertical="center"/>
    </xf>
    <xf numFmtId="182" fontId="102" fillId="63" borderId="18" xfId="1178" applyNumberFormat="1" applyFont="1" applyFill="1" applyBorder="1" applyAlignment="1">
      <alignment horizontal="center" vertical="center"/>
    </xf>
    <xf numFmtId="0" fontId="39" fillId="0" borderId="18" xfId="16" applyBorder="1" applyAlignment="1">
      <alignment vertical="center"/>
    </xf>
    <xf numFmtId="43" fontId="40" fillId="64" borderId="18" xfId="1178" applyFont="1" applyFill="1" applyBorder="1" applyAlignment="1">
      <alignment vertical="center"/>
    </xf>
    <xf numFmtId="43" fontId="40" fillId="0" borderId="18" xfId="1178" applyFont="1" applyBorder="1" applyAlignment="1">
      <alignment vertical="center"/>
    </xf>
    <xf numFmtId="43" fontId="0" fillId="0" borderId="18" xfId="1178" applyFont="1" applyBorder="1" applyAlignment="1">
      <alignment vertical="center"/>
    </xf>
    <xf numFmtId="43" fontId="38" fillId="0" borderId="18" xfId="1178" applyFont="1" applyBorder="1" applyAlignment="1">
      <alignment vertical="center"/>
    </xf>
    <xf numFmtId="43" fontId="103" fillId="0" borderId="18" xfId="1178" applyFont="1" applyBorder="1" applyAlignment="1">
      <alignment vertical="center"/>
    </xf>
    <xf numFmtId="43" fontId="39" fillId="0" borderId="18" xfId="1178" applyFont="1" applyBorder="1" applyAlignment="1">
      <alignment vertical="center"/>
    </xf>
    <xf numFmtId="43" fontId="100" fillId="64" borderId="18" xfId="1178" applyFont="1" applyFill="1" applyBorder="1" applyAlignment="1">
      <alignment vertical="center"/>
    </xf>
    <xf numFmtId="43" fontId="102" fillId="0" borderId="18" xfId="1178" applyFont="1" applyBorder="1" applyAlignment="1">
      <alignment vertical="center"/>
    </xf>
    <xf numFmtId="43" fontId="104" fillId="6" borderId="18" xfId="1178" applyFont="1" applyFill="1" applyBorder="1" applyAlignment="1">
      <alignment vertical="center"/>
    </xf>
    <xf numFmtId="0" fontId="105" fillId="62" borderId="0" xfId="11" applyNumberFormat="1" applyFont="1" applyFill="1">
      <alignment vertical="center"/>
    </xf>
    <xf numFmtId="41" fontId="18" fillId="0" borderId="1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41" fontId="18" fillId="0" borderId="18" xfId="167" applyNumberFormat="1" applyFont="1" applyFill="1" applyBorder="1" applyAlignment="1">
      <alignment horizontal="center" vertical="center"/>
    </xf>
    <xf numFmtId="0" fontId="18" fillId="26" borderId="19" xfId="167" applyFont="1" applyFill="1" applyBorder="1" applyAlignment="1">
      <alignment horizontal="center" vertical="center"/>
    </xf>
    <xf numFmtId="0" fontId="18" fillId="26" borderId="20" xfId="167" applyFont="1" applyFill="1" applyBorder="1" applyAlignment="1">
      <alignment horizontal="center" vertical="center"/>
    </xf>
    <xf numFmtId="0" fontId="18" fillId="26" borderId="21" xfId="167" applyFont="1" applyFill="1" applyBorder="1" applyAlignment="1">
      <alignment horizontal="center" vertical="center"/>
    </xf>
    <xf numFmtId="0" fontId="18" fillId="5" borderId="6" xfId="0" applyNumberFormat="1" applyFont="1" applyFill="1" applyBorder="1" applyAlignment="1">
      <alignment horizontal="center" vertical="center"/>
    </xf>
    <xf numFmtId="0" fontId="18" fillId="5" borderId="7" xfId="0" applyNumberFormat="1" applyFont="1" applyFill="1" applyBorder="1" applyAlignment="1">
      <alignment horizontal="center" vertical="center"/>
    </xf>
    <xf numFmtId="0" fontId="18" fillId="8" borderId="1" xfId="0" applyNumberFormat="1" applyFont="1" applyFill="1" applyBorder="1" applyAlignment="1">
      <alignment horizontal="center" vertical="center"/>
    </xf>
    <xf numFmtId="41" fontId="18" fillId="0" borderId="19" xfId="168" applyNumberFormat="1" applyFont="1" applyBorder="1" applyAlignment="1">
      <alignment horizontal="center" vertical="center"/>
    </xf>
    <xf numFmtId="41" fontId="18" fillId="0" borderId="20" xfId="168" applyNumberFormat="1" applyFont="1" applyBorder="1" applyAlignment="1">
      <alignment horizontal="center" vertical="center"/>
    </xf>
    <xf numFmtId="41" fontId="18" fillId="0" borderId="21" xfId="168" applyNumberFormat="1" applyFont="1" applyBorder="1" applyAlignment="1">
      <alignment horizontal="center" vertical="center"/>
    </xf>
    <xf numFmtId="0" fontId="18" fillId="4" borderId="6" xfId="0" applyNumberFormat="1" applyFont="1" applyFill="1" applyBorder="1" applyAlignment="1">
      <alignment horizontal="center" vertical="center"/>
    </xf>
    <xf numFmtId="0" fontId="18" fillId="4" borderId="7" xfId="0" applyNumberFormat="1" applyFont="1" applyFill="1" applyBorder="1" applyAlignment="1">
      <alignment horizontal="center" vertical="center"/>
    </xf>
    <xf numFmtId="41" fontId="18" fillId="0" borderId="1" xfId="1" applyNumberFormat="1" applyFont="1" applyBorder="1" applyAlignment="1">
      <alignment horizontal="center" vertical="center"/>
    </xf>
    <xf numFmtId="41" fontId="18" fillId="0" borderId="1" xfId="1" applyNumberFormat="1" applyFont="1" applyFill="1" applyBorder="1" applyAlignment="1">
      <alignment horizontal="center" vertical="center"/>
    </xf>
    <xf numFmtId="41" fontId="18" fillId="0" borderId="1" xfId="0" applyNumberFormat="1" applyFont="1" applyFill="1" applyBorder="1" applyAlignment="1">
      <alignment horizontal="center" vertical="center"/>
    </xf>
    <xf numFmtId="0" fontId="27" fillId="9" borderId="1" xfId="0" applyNumberFormat="1" applyFont="1" applyFill="1" applyBorder="1" applyAlignment="1">
      <alignment horizontal="left" vertical="center"/>
    </xf>
    <xf numFmtId="0" fontId="28" fillId="0" borderId="0" xfId="0" applyNumberFormat="1" applyFont="1" applyBorder="1" applyAlignment="1">
      <alignment horizontal="center" vertical="center"/>
    </xf>
    <xf numFmtId="0" fontId="28" fillId="0" borderId="2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left" vertical="center"/>
    </xf>
    <xf numFmtId="14" fontId="20" fillId="0" borderId="0" xfId="0" applyNumberFormat="1" applyFont="1" applyBorder="1" applyAlignment="1">
      <alignment horizontal="left" vertical="center"/>
    </xf>
    <xf numFmtId="41" fontId="18" fillId="0" borderId="18" xfId="0" applyNumberFormat="1" applyFont="1" applyFill="1" applyBorder="1" applyAlignment="1">
      <alignment horizontal="center" vertical="center"/>
    </xf>
    <xf numFmtId="0" fontId="18" fillId="26" borderId="18" xfId="476" applyFont="1" applyFill="1" applyBorder="1" applyAlignment="1">
      <alignment horizontal="center" vertical="center"/>
    </xf>
    <xf numFmtId="0" fontId="18" fillId="58" borderId="19" xfId="476" applyFont="1" applyFill="1" applyBorder="1" applyAlignment="1">
      <alignment horizontal="center" vertical="center"/>
    </xf>
    <xf numFmtId="0" fontId="18" fillId="58" borderId="7" xfId="476" applyFont="1" applyFill="1" applyBorder="1" applyAlignment="1">
      <alignment horizontal="center" vertical="center"/>
    </xf>
    <xf numFmtId="0" fontId="18" fillId="59" borderId="19" xfId="476" applyFont="1" applyFill="1" applyBorder="1" applyAlignment="1">
      <alignment horizontal="center" vertical="center"/>
    </xf>
    <xf numFmtId="0" fontId="18" fillId="59" borderId="7" xfId="476" applyFont="1" applyFill="1" applyBorder="1" applyAlignment="1">
      <alignment horizontal="center" vertical="center"/>
    </xf>
    <xf numFmtId="0" fontId="18" fillId="4" borderId="19" xfId="0" applyNumberFormat="1" applyFont="1" applyFill="1" applyBorder="1" applyAlignment="1">
      <alignment horizontal="center" vertical="center"/>
    </xf>
    <xf numFmtId="0" fontId="18" fillId="4" borderId="20" xfId="0" applyNumberFormat="1" applyFont="1" applyFill="1" applyBorder="1" applyAlignment="1">
      <alignment horizontal="center" vertical="center"/>
    </xf>
    <xf numFmtId="0" fontId="18" fillId="4" borderId="21" xfId="0" applyNumberFormat="1" applyFont="1" applyFill="1" applyBorder="1" applyAlignment="1">
      <alignment horizontal="center" vertical="center"/>
    </xf>
    <xf numFmtId="41" fontId="18" fillId="0" borderId="5" xfId="1" applyNumberFormat="1" applyFont="1" applyFill="1" applyBorder="1" applyAlignment="1">
      <alignment horizontal="center" vertical="center"/>
    </xf>
    <xf numFmtId="41" fontId="18" fillId="0" borderId="8" xfId="1" applyNumberFormat="1" applyFont="1" applyFill="1" applyBorder="1" applyAlignment="1">
      <alignment horizontal="center" vertical="center"/>
    </xf>
    <xf numFmtId="41" fontId="29" fillId="0" borderId="19" xfId="1" applyFont="1" applyBorder="1" applyAlignment="1">
      <alignment horizontal="center" vertical="center"/>
    </xf>
    <xf numFmtId="41" fontId="29" fillId="0" borderId="20" xfId="1" applyFont="1" applyBorder="1" applyAlignment="1">
      <alignment horizontal="center" vertical="center"/>
    </xf>
    <xf numFmtId="41" fontId="29" fillId="0" borderId="21" xfId="1" applyFont="1" applyBorder="1" applyAlignment="1">
      <alignment horizontal="center" vertical="center"/>
    </xf>
    <xf numFmtId="41" fontId="18" fillId="0" borderId="18" xfId="1" applyFont="1" applyBorder="1">
      <alignment vertical="center"/>
    </xf>
    <xf numFmtId="41" fontId="18" fillId="0" borderId="19" xfId="0" applyNumberFormat="1" applyFont="1" applyBorder="1" applyAlignment="1">
      <alignment horizontal="center" vertical="center"/>
    </xf>
    <xf numFmtId="41" fontId="18" fillId="0" borderId="20" xfId="0" applyNumberFormat="1" applyFont="1" applyBorder="1" applyAlignment="1">
      <alignment horizontal="center" vertical="center"/>
    </xf>
    <xf numFmtId="41" fontId="18" fillId="0" borderId="21" xfId="0" applyNumberFormat="1" applyFont="1" applyBorder="1" applyAlignment="1">
      <alignment horizontal="center" vertical="center"/>
    </xf>
    <xf numFmtId="41" fontId="18" fillId="0" borderId="18" xfId="1" applyNumberFormat="1" applyFont="1" applyFill="1" applyBorder="1" applyAlignment="1">
      <alignment horizontal="center" vertical="center"/>
    </xf>
    <xf numFmtId="0" fontId="18" fillId="0" borderId="18" xfId="476" applyFont="1" applyBorder="1" applyAlignment="1">
      <alignment horizontal="center" vertical="center"/>
    </xf>
    <xf numFmtId="41" fontId="93" fillId="0" borderId="21" xfId="476" applyNumberFormat="1" applyFont="1" applyBorder="1" applyAlignment="1">
      <alignment horizontal="center" vertical="center"/>
    </xf>
    <xf numFmtId="41" fontId="93" fillId="0" borderId="18" xfId="476" applyNumberFormat="1" applyFont="1" applyBorder="1" applyAlignment="1">
      <alignment horizontal="center" vertical="center"/>
    </xf>
    <xf numFmtId="41" fontId="93" fillId="0" borderId="19" xfId="476" applyNumberFormat="1" applyFont="1" applyBorder="1" applyAlignment="1">
      <alignment horizontal="center" vertical="center"/>
    </xf>
    <xf numFmtId="41" fontId="93" fillId="0" borderId="7" xfId="476" applyNumberFormat="1" applyFont="1" applyBorder="1" applyAlignment="1">
      <alignment horizontal="center" vertical="center"/>
    </xf>
    <xf numFmtId="181" fontId="93" fillId="0" borderId="19" xfId="476" applyNumberFormat="1" applyFont="1" applyFill="1" applyBorder="1" applyAlignment="1">
      <alignment horizontal="center" vertical="center"/>
    </xf>
    <xf numFmtId="181" fontId="93" fillId="0" borderId="7" xfId="476" applyNumberFormat="1" applyFont="1" applyFill="1" applyBorder="1" applyAlignment="1">
      <alignment horizontal="center" vertical="center"/>
    </xf>
    <xf numFmtId="0" fontId="93" fillId="26" borderId="18" xfId="472" applyFont="1" applyFill="1" applyBorder="1" applyAlignment="1">
      <alignment horizontal="center" vertical="center"/>
    </xf>
    <xf numFmtId="0" fontId="37" fillId="26" borderId="18" xfId="472" applyFont="1" applyFill="1" applyBorder="1" applyAlignment="1">
      <alignment horizontal="center" vertical="center"/>
    </xf>
    <xf numFmtId="0" fontId="37" fillId="60" borderId="18" xfId="472" applyFont="1" applyFill="1" applyBorder="1" applyAlignment="1">
      <alignment horizontal="center" vertical="center"/>
    </xf>
    <xf numFmtId="181" fontId="93" fillId="0" borderId="18" xfId="472" applyNumberFormat="1" applyFont="1" applyBorder="1" applyAlignment="1">
      <alignment horizontal="center" vertical="center"/>
    </xf>
    <xf numFmtId="0" fontId="93" fillId="0" borderId="18" xfId="472" applyFont="1" applyBorder="1" applyAlignment="1">
      <alignment horizontal="center" vertical="center"/>
    </xf>
    <xf numFmtId="0" fontId="26" fillId="7" borderId="0" xfId="0" applyNumberFormat="1" applyFont="1" applyFill="1" applyAlignment="1">
      <alignment horizontal="left" vertical="center"/>
    </xf>
    <xf numFmtId="0" fontId="37" fillId="0" borderId="31" xfId="640" applyFont="1" applyBorder="1" applyAlignment="1">
      <alignment vertical="center" wrapText="1"/>
    </xf>
    <xf numFmtId="0" fontId="37" fillId="0" borderId="32" xfId="640" applyFont="1" applyBorder="1" applyAlignment="1">
      <alignment vertical="center" wrapText="1"/>
    </xf>
    <xf numFmtId="0" fontId="37" fillId="0" borderId="33" xfId="640" applyFont="1" applyBorder="1" applyAlignment="1">
      <alignment vertical="center" wrapText="1"/>
    </xf>
    <xf numFmtId="41" fontId="93" fillId="0" borderId="20" xfId="476" applyNumberFormat="1" applyFont="1" applyBorder="1" applyAlignment="1">
      <alignment horizontal="center" vertical="center"/>
    </xf>
    <xf numFmtId="0" fontId="18" fillId="26" borderId="19" xfId="476" applyFont="1" applyFill="1" applyBorder="1" applyAlignment="1">
      <alignment horizontal="center" vertical="center"/>
    </xf>
    <xf numFmtId="0" fontId="18" fillId="26" borderId="20" xfId="476" applyFont="1" applyFill="1" applyBorder="1" applyAlignment="1">
      <alignment horizontal="center" vertical="center"/>
    </xf>
    <xf numFmtId="0" fontId="18" fillId="26" borderId="21" xfId="476" applyFont="1" applyFill="1" applyBorder="1" applyAlignment="1">
      <alignment horizontal="center" vertical="center"/>
    </xf>
    <xf numFmtId="181" fontId="93" fillId="0" borderId="19" xfId="472" applyNumberFormat="1" applyFont="1" applyBorder="1" applyAlignment="1">
      <alignment horizontal="center" vertical="center"/>
    </xf>
    <xf numFmtId="181" fontId="93" fillId="0" borderId="20" xfId="472" applyNumberFormat="1" applyFont="1" applyBorder="1" applyAlignment="1">
      <alignment horizontal="center" vertical="center"/>
    </xf>
    <xf numFmtId="181" fontId="93" fillId="0" borderId="21" xfId="472" applyNumberFormat="1" applyFont="1" applyBorder="1" applyAlignment="1">
      <alignment horizontal="center" vertical="center"/>
    </xf>
    <xf numFmtId="0" fontId="100" fillId="0" borderId="18" xfId="16" applyFont="1" applyBorder="1" applyAlignment="1">
      <alignment vertical="center"/>
    </xf>
  </cellXfs>
  <cellStyles count="1179">
    <cellStyle name="20% - 강조색1" xfId="369" builtinId="30" customBuiltin="1"/>
    <cellStyle name="20% - 강조색1 2" xfId="57"/>
    <cellStyle name="20% - 강조색1 3" xfId="443"/>
    <cellStyle name="20% - 강조색1 4" xfId="410"/>
    <cellStyle name="20% - 강조색1 5" xfId="654"/>
    <cellStyle name="20% - 강조색1 6" xfId="1160"/>
    <cellStyle name="20% - 강조색2" xfId="372" builtinId="34" customBuiltin="1"/>
    <cellStyle name="20% - 강조색2 2" xfId="58"/>
    <cellStyle name="20% - 강조색2 3" xfId="446"/>
    <cellStyle name="20% - 강조색2 4" xfId="412"/>
    <cellStyle name="20% - 강조색2 5" xfId="569"/>
    <cellStyle name="20% - 강조색2 6" xfId="1163"/>
    <cellStyle name="20% - 강조색3" xfId="375" builtinId="38" customBuiltin="1"/>
    <cellStyle name="20% - 강조색3 2" xfId="59"/>
    <cellStyle name="20% - 강조색3 3" xfId="449"/>
    <cellStyle name="20% - 강조색3 4" xfId="414"/>
    <cellStyle name="20% - 강조색3 5" xfId="481"/>
    <cellStyle name="20% - 강조색3 6" xfId="1166"/>
    <cellStyle name="20% - 강조색4" xfId="378" builtinId="42" customBuiltin="1"/>
    <cellStyle name="20% - 강조색4 2" xfId="60"/>
    <cellStyle name="20% - 강조색4 3" xfId="452"/>
    <cellStyle name="20% - 강조색4 4" xfId="417"/>
    <cellStyle name="20% - 강조색4 5" xfId="593"/>
    <cellStyle name="20% - 강조색4 6" xfId="1169"/>
    <cellStyle name="20% - 강조색5" xfId="381" builtinId="46" customBuiltin="1"/>
    <cellStyle name="20% - 강조색5 2" xfId="61"/>
    <cellStyle name="20% - 강조색5 3" xfId="455"/>
    <cellStyle name="20% - 강조색5 4" xfId="420"/>
    <cellStyle name="20% - 강조색5 5" xfId="522"/>
    <cellStyle name="20% - 강조색5 6" xfId="1172"/>
    <cellStyle name="20% - 강조색6" xfId="384" builtinId="50" customBuiltin="1"/>
    <cellStyle name="20% - 강조색6 2" xfId="62"/>
    <cellStyle name="20% - 강조색6 3" xfId="458"/>
    <cellStyle name="20% - 강조색6 4" xfId="423"/>
    <cellStyle name="20% - 강조색6 5" xfId="519"/>
    <cellStyle name="20% - 강조색6 6" xfId="1175"/>
    <cellStyle name="40% - 강조색1" xfId="370" builtinId="31" customBuiltin="1"/>
    <cellStyle name="40% - 강조색1 2" xfId="63"/>
    <cellStyle name="40% - 강조색1 3" xfId="444"/>
    <cellStyle name="40% - 강조색1 4" xfId="411"/>
    <cellStyle name="40% - 강조색1 5" xfId="553"/>
    <cellStyle name="40% - 강조색1 6" xfId="1161"/>
    <cellStyle name="40% - 강조색2" xfId="373" builtinId="35" customBuiltin="1"/>
    <cellStyle name="40% - 강조색2 2" xfId="64"/>
    <cellStyle name="40% - 강조색2 3" xfId="447"/>
    <cellStyle name="40% - 강조색2 4" xfId="413"/>
    <cellStyle name="40% - 강조색2 5" xfId="513"/>
    <cellStyle name="40% - 강조색2 6" xfId="1164"/>
    <cellStyle name="40% - 강조색3" xfId="376" builtinId="39" customBuiltin="1"/>
    <cellStyle name="40% - 강조색3 2" xfId="65"/>
    <cellStyle name="40% - 강조색3 3" xfId="450"/>
    <cellStyle name="40% - 강조색3 4" xfId="415"/>
    <cellStyle name="40% - 강조색3 5" xfId="523"/>
    <cellStyle name="40% - 강조색3 6" xfId="1167"/>
    <cellStyle name="40% - 강조색4" xfId="379" builtinId="43" customBuiltin="1"/>
    <cellStyle name="40% - 강조색4 2" xfId="66"/>
    <cellStyle name="40% - 강조색4 3" xfId="453"/>
    <cellStyle name="40% - 강조색4 4" xfId="418"/>
    <cellStyle name="40% - 강조색4 5" xfId="551"/>
    <cellStyle name="40% - 강조색4 6" xfId="1170"/>
    <cellStyle name="40% - 강조색5" xfId="382" builtinId="47" customBuiltin="1"/>
    <cellStyle name="40% - 강조색5 2" xfId="67"/>
    <cellStyle name="40% - 강조색5 3" xfId="456"/>
    <cellStyle name="40% - 강조색5 4" xfId="421"/>
    <cellStyle name="40% - 강조색5 5" xfId="521"/>
    <cellStyle name="40% - 강조색5 6" xfId="1173"/>
    <cellStyle name="40% - 강조색6" xfId="385" builtinId="51" customBuiltin="1"/>
    <cellStyle name="40% - 강조색6 2" xfId="68"/>
    <cellStyle name="40% - 강조색6 3" xfId="459"/>
    <cellStyle name="40% - 강조색6 4" xfId="424"/>
    <cellStyle name="40% - 강조색6 5" xfId="518"/>
    <cellStyle name="40% - 강조색6 6" xfId="1176"/>
    <cellStyle name="60% - 강조색1" xfId="398" builtinId="32" customBuiltin="1"/>
    <cellStyle name="60% - 강조색1 2" xfId="69"/>
    <cellStyle name="60% - 강조색1 2 2" xfId="464"/>
    <cellStyle name="60% - 강조색1 3" xfId="390"/>
    <cellStyle name="60% - 강조색1 3 2" xfId="445"/>
    <cellStyle name="60% - 강조색1 4" xfId="509"/>
    <cellStyle name="60% - 강조색1 5" xfId="1162"/>
    <cellStyle name="60% - 강조색2" xfId="399" builtinId="36" customBuiltin="1"/>
    <cellStyle name="60% - 강조색2 2" xfId="70"/>
    <cellStyle name="60% - 강조색2 2 2" xfId="465"/>
    <cellStyle name="60% - 강조색2 3" xfId="391"/>
    <cellStyle name="60% - 강조색2 3 2" xfId="448"/>
    <cellStyle name="60% - 강조색2 4" xfId="506"/>
    <cellStyle name="60% - 강조색2 5" xfId="1165"/>
    <cellStyle name="60% - 강조색3" xfId="400" builtinId="40" customBuiltin="1"/>
    <cellStyle name="60% - 강조색3 2" xfId="71"/>
    <cellStyle name="60% - 강조색3 2 2" xfId="466"/>
    <cellStyle name="60% - 강조색3 3" xfId="392"/>
    <cellStyle name="60% - 강조색3 3 2" xfId="451"/>
    <cellStyle name="60% - 강조색3 4" xfId="561"/>
    <cellStyle name="60% - 강조색3 5" xfId="1168"/>
    <cellStyle name="60% - 강조색4" xfId="401" builtinId="44" customBuiltin="1"/>
    <cellStyle name="60% - 강조색4 2" xfId="72"/>
    <cellStyle name="60% - 강조색4 2 2" xfId="467"/>
    <cellStyle name="60% - 강조색4 3" xfId="393"/>
    <cellStyle name="60% - 강조색4 3 2" xfId="454"/>
    <cellStyle name="60% - 강조색4 4" xfId="507"/>
    <cellStyle name="60% - 강조색4 5" xfId="1171"/>
    <cellStyle name="60% - 강조색5" xfId="402" builtinId="48" customBuiltin="1"/>
    <cellStyle name="60% - 강조색5 2" xfId="73"/>
    <cellStyle name="60% - 강조색5 2 2" xfId="468"/>
    <cellStyle name="60% - 강조색5 3" xfId="394"/>
    <cellStyle name="60% - 강조색5 3 2" xfId="457"/>
    <cellStyle name="60% - 강조색5 4" xfId="520"/>
    <cellStyle name="60% - 강조색5 5" xfId="1174"/>
    <cellStyle name="60% - 강조색6" xfId="403" builtinId="52" customBuiltin="1"/>
    <cellStyle name="60% - 강조색6 2" xfId="74"/>
    <cellStyle name="60% - 강조색6 2 2" xfId="469"/>
    <cellStyle name="60% - 강조색6 3" xfId="395"/>
    <cellStyle name="60% - 강조색6 3 2" xfId="460"/>
    <cellStyle name="60% - 강조색6 4" xfId="517"/>
    <cellStyle name="60% - 강조색6 5" xfId="1177"/>
    <cellStyle name="Comma [0] 2" xfId="9"/>
    <cellStyle name="Comma [0] 2 2" xfId="19"/>
    <cellStyle name="Comma [0] 2 2 2" xfId="490"/>
    <cellStyle name="Comma [0] 2 3" xfId="256"/>
    <cellStyle name="Comma [0] 2 3 2" xfId="633"/>
    <cellStyle name="Comma [0] 2 4" xfId="434"/>
    <cellStyle name="Comma [0] 2 4 2" xfId="733"/>
    <cellStyle name="Comma [0] 2 5" xfId="483"/>
    <cellStyle name="Comma 2" xfId="17"/>
    <cellStyle name="Comma 2 2" xfId="489"/>
    <cellStyle name="Comma 3" xfId="22"/>
    <cellStyle name="Comma 3 2" xfId="492"/>
    <cellStyle name="Hyperlink" xfId="122"/>
    <cellStyle name="Normal 2" xfId="8"/>
    <cellStyle name="Normal 2 2" xfId="16"/>
    <cellStyle name="Normal 2 2 2" xfId="842"/>
    <cellStyle name="Normal 2 3" xfId="123"/>
    <cellStyle name="Normal 2 3 2" xfId="269"/>
    <cellStyle name="Normal 2 3 2 2" xfId="646"/>
    <cellStyle name="Normal 2 3 3" xfId="536"/>
    <cellStyle name="Normal 2 4" xfId="235"/>
    <cellStyle name="Normal 2 4 2" xfId="612"/>
    <cellStyle name="Normal 2 5" xfId="407"/>
    <cellStyle name="Normal 3" xfId="10"/>
    <cellStyle name="Normal 3 2" xfId="18"/>
    <cellStyle name="Normal 3 3" xfId="433"/>
    <cellStyle name="Normal 4" xfId="21"/>
    <cellStyle name="강조색1" xfId="368" builtinId="29" customBuiltin="1"/>
    <cellStyle name="강조색1 2" xfId="75"/>
    <cellStyle name="강조색2" xfId="371" builtinId="33" customBuiltin="1"/>
    <cellStyle name="강조색2 2" xfId="76"/>
    <cellStyle name="강조색3" xfId="374" builtinId="37" customBuiltin="1"/>
    <cellStyle name="강조색3 2" xfId="77"/>
    <cellStyle name="강조색4" xfId="377" builtinId="41" customBuiltin="1"/>
    <cellStyle name="강조색4 2" xfId="78"/>
    <cellStyle name="강조색5" xfId="380" builtinId="45" customBuiltin="1"/>
    <cellStyle name="강조색5 2" xfId="79"/>
    <cellStyle name="강조색6" xfId="383" builtinId="49" customBuiltin="1"/>
    <cellStyle name="강조색6 2" xfId="80"/>
    <cellStyle name="경고문" xfId="365" builtinId="11" customBuiltin="1"/>
    <cellStyle name="경고문 2" xfId="81"/>
    <cellStyle name="계산" xfId="362" builtinId="22" customBuiltin="1"/>
    <cellStyle name="계산 2" xfId="82"/>
    <cellStyle name="계산 2 2" xfId="1034"/>
    <cellStyle name="계산 2 3" xfId="959"/>
    <cellStyle name="계산 3" xfId="892"/>
    <cellStyle name="나쁨" xfId="471" builtinId="27" customBuiltin="1"/>
    <cellStyle name="나쁨 2" xfId="39"/>
    <cellStyle name="나쁨 2 2" xfId="162"/>
    <cellStyle name="나쁨 2 3" xfId="215"/>
    <cellStyle name="나쁨 3" xfId="83"/>
    <cellStyle name="나쁨 4" xfId="176"/>
    <cellStyle name="나쁨 5" xfId="405"/>
    <cellStyle name="나쁨 5 2" xfId="485"/>
    <cellStyle name="메모 2" xfId="84"/>
    <cellStyle name="메모 2 2" xfId="426"/>
    <cellStyle name="메모 2 2 2" xfId="1035"/>
    <cellStyle name="메모 2 3" xfId="960"/>
    <cellStyle name="메모 3" xfId="389"/>
    <cellStyle name="메모 3 2" xfId="436"/>
    <cellStyle name="메모 4" xfId="442"/>
    <cellStyle name="메모 5" xfId="514"/>
    <cellStyle name="메모 6" xfId="1159"/>
    <cellStyle name="백분율 2" xfId="4"/>
    <cellStyle name="백분율 2 10" xfId="408"/>
    <cellStyle name="백분율 2 2" xfId="41"/>
    <cellStyle name="백분율 2 2 2" xfId="129"/>
    <cellStyle name="백분율 2 2 2 2" xfId="306"/>
    <cellStyle name="백분율 2 2 2 2 2" xfId="871"/>
    <cellStyle name="백분율 2 2 2 2 3" xfId="679"/>
    <cellStyle name="백분율 2 2 2 3" xfId="239"/>
    <cellStyle name="백분율 2 2 2 3 2" xfId="616"/>
    <cellStyle name="백분율 2 2 2 4" xfId="1098"/>
    <cellStyle name="백분율 2 2 2 5" xfId="540"/>
    <cellStyle name="백분율 2 2 3" xfId="149"/>
    <cellStyle name="백분율 2 2 4" xfId="284"/>
    <cellStyle name="백분율 2 2 5" xfId="273"/>
    <cellStyle name="백분율 2 2 5 2" xfId="845"/>
    <cellStyle name="백분율 2 2 5 3" xfId="650"/>
    <cellStyle name="백분율 2 3" xfId="46"/>
    <cellStyle name="백분율 2 4" xfId="120"/>
    <cellStyle name="백분율 2 5" xfId="34"/>
    <cellStyle name="백분율 2 6" xfId="179"/>
    <cellStyle name="백분율 2 6 2" xfId="255"/>
    <cellStyle name="백분율 2 6 2 2" xfId="632"/>
    <cellStyle name="백분율 2 6 3" xfId="564"/>
    <cellStyle name="백분율 2 7" xfId="196"/>
    <cellStyle name="백분율 2 7 2" xfId="577"/>
    <cellStyle name="백분율 2 8" xfId="332"/>
    <cellStyle name="백분율 2 8 2" xfId="911"/>
    <cellStyle name="백분율 2 9" xfId="344"/>
    <cellStyle name="백분율 3" xfId="20"/>
    <cellStyle name="백분율 3 2" xfId="127"/>
    <cellStyle name="백분율 3 2 2" xfId="324"/>
    <cellStyle name="백분율 3 2 2 2" xfId="887"/>
    <cellStyle name="백분율 3 2 2 3" xfId="821"/>
    <cellStyle name="백분율 3 2 3" xfId="1071"/>
    <cellStyle name="백분율 3 3" xfId="54"/>
    <cellStyle name="백분율 3 4" xfId="320"/>
    <cellStyle name="백분율 3 5" xfId="491"/>
    <cellStyle name="백분율 4" xfId="27"/>
    <cellStyle name="백분율 4 2" xfId="56"/>
    <cellStyle name="백분율 4 3" xfId="498"/>
    <cellStyle name="백분율 5" xfId="31"/>
    <cellStyle name="백분율 5 2" xfId="113"/>
    <cellStyle name="백분율 5 2 2" xfId="297"/>
    <cellStyle name="백분율 5 2 2 2" xfId="670"/>
    <cellStyle name="백분율 5 2 3" xfId="530"/>
    <cellStyle name="백분율 5 3" xfId="229"/>
    <cellStyle name="백분율 5 3 2" xfId="606"/>
    <cellStyle name="백분율 5 4" xfId="1089"/>
    <cellStyle name="백분율 5 5" xfId="502"/>
    <cellStyle name="백분율 6" xfId="172"/>
    <cellStyle name="백분율 6 2" xfId="264"/>
    <cellStyle name="백분율 6 2 2" xfId="641"/>
    <cellStyle name="백분율 6 3" xfId="558"/>
    <cellStyle name="백분율 7" xfId="201"/>
    <cellStyle name="백분율 7 2" xfId="582"/>
    <cellStyle name="백분율 8" xfId="355"/>
    <cellStyle name="백분율 8 2" xfId="493"/>
    <cellStyle name="보통" xfId="397" builtinId="28" customBuiltin="1"/>
    <cellStyle name="보통 2" xfId="85"/>
    <cellStyle name="보통 2 2" xfId="463"/>
    <cellStyle name="보통 3" xfId="388"/>
    <cellStyle name="설명 텍스트" xfId="366" builtinId="53" customBuiltin="1"/>
    <cellStyle name="설명 텍스트 2" xfId="86"/>
    <cellStyle name="셀 확인" xfId="364" builtinId="23" customBuiltin="1"/>
    <cellStyle name="셀 확인 2" xfId="87"/>
    <cellStyle name="쉼표" xfId="1178" builtinId="3"/>
    <cellStyle name="쉼표 [0]" xfId="1" builtinId="6"/>
    <cellStyle name="쉼표 [0] 10" xfId="107"/>
    <cellStyle name="쉼표 [0] 10 2" xfId="294"/>
    <cellStyle name="쉼표 [0] 10 2 2" xfId="860"/>
    <cellStyle name="쉼표 [0] 10 2 2 2" xfId="1131"/>
    <cellStyle name="쉼표 [0] 10 2 3" xfId="760"/>
    <cellStyle name="쉼표 [0] 10 2 4" xfId="1042"/>
    <cellStyle name="쉼표 [0] 10 2 5" xfId="667"/>
    <cellStyle name="쉼표 [0] 10 3" xfId="226"/>
    <cellStyle name="쉼표 [0] 10 3 2" xfId="812"/>
    <cellStyle name="쉼표 [0] 10 3 3" xfId="1000"/>
    <cellStyle name="쉼표 [0] 10 3 4" xfId="603"/>
    <cellStyle name="쉼표 [0] 10 4" xfId="713"/>
    <cellStyle name="쉼표 [0] 10 4 2" xfId="1086"/>
    <cellStyle name="쉼표 [0] 10 5" xfId="967"/>
    <cellStyle name="쉼표 [0] 10 6" xfId="527"/>
    <cellStyle name="쉼표 [0] 11" xfId="111"/>
    <cellStyle name="쉼표 [0] 11 2" xfId="296"/>
    <cellStyle name="쉼표 [0] 11 2 2" xfId="862"/>
    <cellStyle name="쉼표 [0] 11 2 2 2" xfId="1132"/>
    <cellStyle name="쉼표 [0] 11 2 3" xfId="761"/>
    <cellStyle name="쉼표 [0] 11 2 4" xfId="1043"/>
    <cellStyle name="쉼표 [0] 11 2 5" xfId="669"/>
    <cellStyle name="쉼표 [0] 11 3" xfId="228"/>
    <cellStyle name="쉼표 [0] 11 3 2" xfId="813"/>
    <cellStyle name="쉼표 [0] 11 3 3" xfId="1001"/>
    <cellStyle name="쉼표 [0] 11 3 4" xfId="605"/>
    <cellStyle name="쉼표 [0] 11 4" xfId="714"/>
    <cellStyle name="쉼표 [0] 11 4 2" xfId="1088"/>
    <cellStyle name="쉼표 [0] 11 5" xfId="968"/>
    <cellStyle name="쉼표 [0] 11 6" xfId="529"/>
    <cellStyle name="쉼표 [0] 12" xfId="144"/>
    <cellStyle name="쉼표 [0] 12 2" xfId="309"/>
    <cellStyle name="쉼표 [0] 12 2 2" xfId="874"/>
    <cellStyle name="쉼표 [0] 12 2 2 2" xfId="1140"/>
    <cellStyle name="쉼표 [0] 12 2 3" xfId="769"/>
    <cellStyle name="쉼표 [0] 12 2 4" xfId="1051"/>
    <cellStyle name="쉼표 [0] 12 2 5" xfId="682"/>
    <cellStyle name="쉼표 [0] 12 3" xfId="242"/>
    <cellStyle name="쉼표 [0] 12 3 2" xfId="824"/>
    <cellStyle name="쉼표 [0] 12 3 3" xfId="1009"/>
    <cellStyle name="쉼표 [0] 12 3 4" xfId="619"/>
    <cellStyle name="쉼표 [0] 12 4" xfId="722"/>
    <cellStyle name="쉼표 [0] 12 4 2" xfId="1101"/>
    <cellStyle name="쉼표 [0] 12 5" xfId="976"/>
    <cellStyle name="쉼표 [0] 12 6" xfId="543"/>
    <cellStyle name="쉼표 [0] 13" xfId="32"/>
    <cellStyle name="쉼표 [0] 13 2" xfId="168"/>
    <cellStyle name="쉼표 [0] 13 2 2" xfId="277"/>
    <cellStyle name="쉼표 [0] 13 2 2 2" xfId="848"/>
    <cellStyle name="쉼표 [0] 13 2 2 3" xfId="1119"/>
    <cellStyle name="쉼표 [0] 13 2 2 4" xfId="653"/>
    <cellStyle name="쉼표 [0] 13 2 3" xfId="747"/>
    <cellStyle name="쉼표 [0] 13 2 4" xfId="1025"/>
    <cellStyle name="쉼표 [0] 13 2 5" xfId="554"/>
    <cellStyle name="쉼표 [0] 13 3" xfId="210"/>
    <cellStyle name="쉼표 [0] 13 3 2" xfId="795"/>
    <cellStyle name="쉼표 [0] 13 3 3" xfId="1074"/>
    <cellStyle name="쉼표 [0] 13 3 4" xfId="590"/>
    <cellStyle name="쉼표 [0] 13 4" xfId="427"/>
    <cellStyle name="쉼표 [0] 13 4 2" xfId="701"/>
    <cellStyle name="쉼표 [0] 13 5" xfId="949"/>
    <cellStyle name="쉼표 [0] 13 6" xfId="503"/>
    <cellStyle name="쉼표 [0] 14" xfId="170"/>
    <cellStyle name="쉼표 [0] 14 2" xfId="252"/>
    <cellStyle name="쉼표 [0] 14 2 2" xfId="835"/>
    <cellStyle name="쉼표 [0] 14 2 3" xfId="1018"/>
    <cellStyle name="쉼표 [0] 14 2 4" xfId="629"/>
    <cellStyle name="쉼표 [0] 14 3" xfId="731"/>
    <cellStyle name="쉼표 [0] 14 3 2" xfId="1110"/>
    <cellStyle name="쉼표 [0] 14 4" xfId="939"/>
    <cellStyle name="쉼표 [0] 14 5" xfId="556"/>
    <cellStyle name="쉼표 [0] 15" xfId="174"/>
    <cellStyle name="쉼표 [0] 15 2" xfId="262"/>
    <cellStyle name="쉼표 [0] 15 2 2" xfId="836"/>
    <cellStyle name="쉼표 [0] 15 2 3" xfId="1111"/>
    <cellStyle name="쉼표 [0] 15 2 4" xfId="639"/>
    <cellStyle name="쉼표 [0] 15 3" xfId="738"/>
    <cellStyle name="쉼표 [0] 15 4" xfId="1060"/>
    <cellStyle name="쉼표 [0] 15 5" xfId="560"/>
    <cellStyle name="쉼표 [0] 16" xfId="192"/>
    <cellStyle name="쉼표 [0] 16 2" xfId="890"/>
    <cellStyle name="쉼표 [0] 16 2 2" xfId="1154"/>
    <cellStyle name="쉼표 [0] 16 3" xfId="739"/>
    <cellStyle name="쉼표 [0] 16 4" xfId="988"/>
    <cellStyle name="쉼표 [0] 16 5" xfId="573"/>
    <cellStyle name="쉼표 [0] 17" xfId="207"/>
    <cellStyle name="쉼표 [0] 17 2" xfId="891"/>
    <cellStyle name="쉼표 [0] 17 2 2" xfId="1155"/>
    <cellStyle name="쉼표 [0] 17 3" xfId="1061"/>
    <cellStyle name="쉼표 [0] 17 4" xfId="588"/>
    <cellStyle name="쉼표 [0] 18" xfId="329"/>
    <cellStyle name="쉼표 [0] 18 2" xfId="785"/>
    <cellStyle name="쉼표 [0] 18 3" xfId="1063"/>
    <cellStyle name="쉼표 [0] 18 4" xfId="477"/>
    <cellStyle name="쉼표 [0] 19" xfId="341"/>
    <cellStyle name="쉼표 [0] 19 2" xfId="1156"/>
    <cellStyle name="쉼표 [0] 19 3" xfId="896"/>
    <cellStyle name="쉼표 [0] 2" xfId="3"/>
    <cellStyle name="쉼표 [0] 2 10" xfId="331"/>
    <cellStyle name="쉼표 [0] 2 10 2" xfId="898"/>
    <cellStyle name="쉼표 [0] 2 10 3" xfId="480"/>
    <cellStyle name="쉼표 [0] 2 11" xfId="343"/>
    <cellStyle name="쉼표 [0] 2 11 2" xfId="910"/>
    <cellStyle name="쉼표 [0] 2 12" xfId="439"/>
    <cellStyle name="쉼표 [0] 2 12 2" xfId="699"/>
    <cellStyle name="쉼표 [0] 2 13" xfId="435"/>
    <cellStyle name="쉼표 [0] 2 13 2" xfId="924"/>
    <cellStyle name="쉼표 [0] 2 14" xfId="474"/>
    <cellStyle name="쉼표 [0] 2 2" xfId="40"/>
    <cellStyle name="쉼표 [0] 2 2 2" xfId="121"/>
    <cellStyle name="쉼표 [0] 2 2 2 2" xfId="302"/>
    <cellStyle name="쉼표 [0] 2 2 2 2 2" xfId="867"/>
    <cellStyle name="쉼표 [0] 2 2 2 2 2 2" xfId="1047"/>
    <cellStyle name="쉼표 [0] 2 2 2 2 3" xfId="765"/>
    <cellStyle name="쉼표 [0] 2 2 2 2 3 2" xfId="1136"/>
    <cellStyle name="쉼표 [0] 2 2 2 2 4" xfId="972"/>
    <cellStyle name="쉼표 [0] 2 2 2 2 5" xfId="675"/>
    <cellStyle name="쉼표 [0] 2 2 2 3" xfId="234"/>
    <cellStyle name="쉼표 [0] 2 2 2 3 2" xfId="819"/>
    <cellStyle name="쉼표 [0] 2 2 2 3 3" xfId="1005"/>
    <cellStyle name="쉼표 [0] 2 2 2 3 4" xfId="611"/>
    <cellStyle name="쉼표 [0] 2 2 2 4" xfId="718"/>
    <cellStyle name="쉼표 [0] 2 2 2 4 2" xfId="1094"/>
    <cellStyle name="쉼표 [0] 2 2 2 5" xfId="935"/>
    <cellStyle name="쉼표 [0] 2 2 2 6" xfId="535"/>
    <cellStyle name="쉼표 [0] 2 2 3" xfId="150"/>
    <cellStyle name="쉼표 [0] 2 2 3 2" xfId="311"/>
    <cellStyle name="쉼표 [0] 2 2 3 2 2" xfId="876"/>
    <cellStyle name="쉼표 [0] 2 2 3 2 2 2" xfId="1142"/>
    <cellStyle name="쉼표 [0] 2 2 3 2 3" xfId="771"/>
    <cellStyle name="쉼표 [0] 2 2 3 2 4" xfId="1053"/>
    <cellStyle name="쉼표 [0] 2 2 3 2 5" xfId="684"/>
    <cellStyle name="쉼표 [0] 2 2 3 3" xfId="244"/>
    <cellStyle name="쉼표 [0] 2 2 3 3 2" xfId="826"/>
    <cellStyle name="쉼표 [0] 2 2 3 3 3" xfId="1011"/>
    <cellStyle name="쉼표 [0] 2 2 3 3 4" xfId="621"/>
    <cellStyle name="쉼표 [0] 2 2 3 4" xfId="724"/>
    <cellStyle name="쉼표 [0] 2 2 3 4 2" xfId="1103"/>
    <cellStyle name="쉼표 [0] 2 2 3 5" xfId="979"/>
    <cellStyle name="쉼표 [0] 2 2 3 6" xfId="545"/>
    <cellStyle name="쉼표 [0] 2 2 4" xfId="283"/>
    <cellStyle name="쉼표 [0] 2 2 4 2" xfId="851"/>
    <cellStyle name="쉼표 [0] 2 2 4 2 2" xfId="1122"/>
    <cellStyle name="쉼표 [0] 2 2 4 2 3" xfId="1028"/>
    <cellStyle name="쉼표 [0] 2 2 4 3" xfId="800"/>
    <cellStyle name="쉼표 [0] 2 2 4 3 2" xfId="1077"/>
    <cellStyle name="쉼표 [0] 2 2 4 4" xfId="750"/>
    <cellStyle name="쉼표 [0] 2 2 4 5" xfId="952"/>
    <cellStyle name="쉼표 [0] 2 2 4 6" xfId="657"/>
    <cellStyle name="쉼표 [0] 2 2 5" xfId="268"/>
    <cellStyle name="쉼표 [0] 2 2 5 2" xfId="841"/>
    <cellStyle name="쉼표 [0] 2 2 5 2 2" xfId="1020"/>
    <cellStyle name="쉼표 [0] 2 2 5 3" xfId="743"/>
    <cellStyle name="쉼표 [0] 2 2 5 3 2" xfId="1115"/>
    <cellStyle name="쉼표 [0] 2 2 5 4" xfId="943"/>
    <cellStyle name="쉼표 [0] 2 2 5 5" xfId="645"/>
    <cellStyle name="쉼표 [0] 2 2 6" xfId="216"/>
    <cellStyle name="쉼표 [0] 2 2 6 2" xfId="787"/>
    <cellStyle name="쉼표 [0] 2 2 6 3" xfId="991"/>
    <cellStyle name="쉼표 [0] 2 2 6 4" xfId="594"/>
    <cellStyle name="쉼표 [0] 2 2 7" xfId="704"/>
    <cellStyle name="쉼표 [0] 2 2 7 2" xfId="1065"/>
    <cellStyle name="쉼표 [0] 2 2 8" xfId="927"/>
    <cellStyle name="쉼표 [0] 2 2 9" xfId="508"/>
    <cellStyle name="쉼표 [0] 2 3" xfId="47"/>
    <cellStyle name="쉼표 [0] 2 3 2" xfId="126"/>
    <cellStyle name="쉼표 [0] 2 3 2 2" xfId="304"/>
    <cellStyle name="쉼표 [0] 2 3 2 2 2" xfId="869"/>
    <cellStyle name="쉼표 [0] 2 3 2 2 2 2" xfId="1137"/>
    <cellStyle name="쉼표 [0] 2 3 2 2 3" xfId="766"/>
    <cellStyle name="쉼표 [0] 2 3 2 2 4" xfId="1048"/>
    <cellStyle name="쉼표 [0] 2 3 2 2 5" xfId="677"/>
    <cellStyle name="쉼표 [0] 2 3 2 3" xfId="237"/>
    <cellStyle name="쉼표 [0] 2 3 2 3 2" xfId="820"/>
    <cellStyle name="쉼표 [0] 2 3 2 3 3" xfId="1006"/>
    <cellStyle name="쉼표 [0] 2 3 2 3 4" xfId="614"/>
    <cellStyle name="쉼표 [0] 2 3 2 4" xfId="719"/>
    <cellStyle name="쉼표 [0] 2 3 2 4 2" xfId="1096"/>
    <cellStyle name="쉼표 [0] 2 3 2 5" xfId="973"/>
    <cellStyle name="쉼표 [0] 2 3 2 6" xfId="538"/>
    <cellStyle name="쉼표 [0] 2 3 3" xfId="285"/>
    <cellStyle name="쉼표 [0] 2 3 3 2" xfId="852"/>
    <cellStyle name="쉼표 [0] 2 3 3 2 2" xfId="1029"/>
    <cellStyle name="쉼표 [0] 2 3 3 3" xfId="751"/>
    <cellStyle name="쉼표 [0] 2 3 3 3 2" xfId="1123"/>
    <cellStyle name="쉼표 [0] 2 3 3 4" xfId="954"/>
    <cellStyle name="쉼표 [0] 2 3 3 5" xfId="658"/>
    <cellStyle name="쉼표 [0] 2 3 4" xfId="271"/>
    <cellStyle name="쉼표 [0] 2 3 4 2" xfId="843"/>
    <cellStyle name="쉼표 [0] 2 3 4 2 2" xfId="1023"/>
    <cellStyle name="쉼표 [0] 2 3 4 3" xfId="744"/>
    <cellStyle name="쉼표 [0] 2 3 4 3 2" xfId="1116"/>
    <cellStyle name="쉼표 [0] 2 3 4 4" xfId="946"/>
    <cellStyle name="쉼표 [0] 2 3 4 5" xfId="648"/>
    <cellStyle name="쉼표 [0] 2 3 5" xfId="218"/>
    <cellStyle name="쉼표 [0] 2 3 5 2" xfId="802"/>
    <cellStyle name="쉼표 [0] 2 3 5 3" xfId="992"/>
    <cellStyle name="쉼표 [0] 2 3 5 4" xfId="595"/>
    <cellStyle name="쉼표 [0] 2 3 6" xfId="705"/>
    <cellStyle name="쉼표 [0] 2 3 6 2" xfId="1078"/>
    <cellStyle name="쉼표 [0] 2 3 7" xfId="933"/>
    <cellStyle name="쉼표 [0] 2 3 8" xfId="510"/>
    <cellStyle name="쉼표 [0] 2 4" xfId="117"/>
    <cellStyle name="쉼표 [0] 2 4 2" xfId="300"/>
    <cellStyle name="쉼표 [0] 2 4 2 2" xfId="865"/>
    <cellStyle name="쉼표 [0] 2 4 2 2 2" xfId="1134"/>
    <cellStyle name="쉼표 [0] 2 4 2 3" xfId="763"/>
    <cellStyle name="쉼표 [0] 2 4 2 4" xfId="1045"/>
    <cellStyle name="쉼표 [0] 2 4 2 5" xfId="673"/>
    <cellStyle name="쉼표 [0] 2 4 3" xfId="232"/>
    <cellStyle name="쉼표 [0] 2 4 3 2" xfId="816"/>
    <cellStyle name="쉼표 [0] 2 4 3 3" xfId="1003"/>
    <cellStyle name="쉼표 [0] 2 4 3 4" xfId="609"/>
    <cellStyle name="쉼표 [0] 2 4 4" xfId="716"/>
    <cellStyle name="쉼표 [0] 2 4 4 2" xfId="1092"/>
    <cellStyle name="쉼표 [0] 2 4 5" xfId="970"/>
    <cellStyle name="쉼표 [0] 2 4 6" xfId="533"/>
    <cellStyle name="쉼표 [0] 2 5" xfId="145"/>
    <cellStyle name="쉼표 [0] 2 5 2" xfId="310"/>
    <cellStyle name="쉼표 [0] 2 5 2 2" xfId="875"/>
    <cellStyle name="쉼표 [0] 2 5 2 2 2" xfId="1141"/>
    <cellStyle name="쉼표 [0] 2 5 2 3" xfId="770"/>
    <cellStyle name="쉼표 [0] 2 5 2 4" xfId="1052"/>
    <cellStyle name="쉼표 [0] 2 5 2 5" xfId="683"/>
    <cellStyle name="쉼표 [0] 2 5 3" xfId="243"/>
    <cellStyle name="쉼표 [0] 2 5 3 2" xfId="825"/>
    <cellStyle name="쉼표 [0] 2 5 3 3" xfId="1010"/>
    <cellStyle name="쉼표 [0] 2 5 3 4" xfId="620"/>
    <cellStyle name="쉼표 [0] 2 5 4" xfId="723"/>
    <cellStyle name="쉼표 [0] 2 5 4 2" xfId="1102"/>
    <cellStyle name="쉼표 [0] 2 5 5" xfId="977"/>
    <cellStyle name="쉼표 [0] 2 5 6" xfId="544"/>
    <cellStyle name="쉼표 [0] 2 6" xfId="33"/>
    <cellStyle name="쉼표 [0] 2 6 2" xfId="281"/>
    <cellStyle name="쉼표 [0] 2 6 2 2" xfId="849"/>
    <cellStyle name="쉼표 [0] 2 6 2 2 2" xfId="1120"/>
    <cellStyle name="쉼표 [0] 2 6 2 3" xfId="748"/>
    <cellStyle name="쉼표 [0] 2 6 2 4" xfId="1026"/>
    <cellStyle name="쉼표 [0] 2 6 2 5" xfId="655"/>
    <cellStyle name="쉼표 [0] 2 6 3" xfId="211"/>
    <cellStyle name="쉼표 [0] 2 6 3 2" xfId="796"/>
    <cellStyle name="쉼표 [0] 2 6 3 3" xfId="1075"/>
    <cellStyle name="쉼표 [0] 2 6 3 4" xfId="591"/>
    <cellStyle name="쉼표 [0] 2 6 4" xfId="702"/>
    <cellStyle name="쉼표 [0] 2 6 5" xfId="950"/>
    <cellStyle name="쉼표 [0] 2 6 6" xfId="504"/>
    <cellStyle name="쉼표 [0] 2 7" xfId="178"/>
    <cellStyle name="쉼표 [0] 2 7 2" xfId="254"/>
    <cellStyle name="쉼표 [0] 2 7 2 2" xfId="839"/>
    <cellStyle name="쉼표 [0] 2 7 2 3" xfId="1019"/>
    <cellStyle name="쉼표 [0] 2 7 2 4" xfId="631"/>
    <cellStyle name="쉼표 [0] 2 7 3" xfId="732"/>
    <cellStyle name="쉼표 [0] 2 7 3 2" xfId="1113"/>
    <cellStyle name="쉼표 [0] 2 7 4" xfId="940"/>
    <cellStyle name="쉼표 [0] 2 7 5" xfId="563"/>
    <cellStyle name="쉼표 [0] 2 8" xfId="195"/>
    <cellStyle name="쉼표 [0] 2 8 2" xfId="741"/>
    <cellStyle name="쉼표 [0] 2 8 3" xfId="989"/>
    <cellStyle name="쉼표 [0] 2 8 4" xfId="576"/>
    <cellStyle name="쉼표 [0] 2 9" xfId="193"/>
    <cellStyle name="쉼표 [0] 2 9 2" xfId="786"/>
    <cellStyle name="쉼표 [0] 2 9 3" xfId="1064"/>
    <cellStyle name="쉼표 [0] 2 9 4" xfId="574"/>
    <cellStyle name="쉼표 [0] 20" xfId="353"/>
    <cellStyle name="쉼표 [0] 20 2" xfId="1157"/>
    <cellStyle name="쉼표 [0] 20 3" xfId="897"/>
    <cellStyle name="쉼표 [0] 21" xfId="404"/>
    <cellStyle name="쉼표 [0] 21 2" xfId="906"/>
    <cellStyle name="쉼표 [0] 22" xfId="406"/>
    <cellStyle name="쉼표 [0] 22 2" xfId="908"/>
    <cellStyle name="쉼표 [0] 23" xfId="920"/>
    <cellStyle name="쉼표 [0] 24" xfId="698"/>
    <cellStyle name="쉼표 [0] 25" xfId="923"/>
    <cellStyle name="쉼표 [0] 26" xfId="473"/>
    <cellStyle name="쉼표 [0] 3" xfId="13"/>
    <cellStyle name="쉼표 [0] 3 10" xfId="346"/>
    <cellStyle name="쉼표 [0] 3 10 2" xfId="900"/>
    <cellStyle name="쉼표 [0] 3 11" xfId="461"/>
    <cellStyle name="쉼표 [0] 3 11 2" xfId="913"/>
    <cellStyle name="쉼표 [0] 3 12" xfId="432"/>
    <cellStyle name="쉼표 [0] 3 12 2" xfId="700"/>
    <cellStyle name="쉼표 [0] 3 13" xfId="925"/>
    <cellStyle name="쉼표 [0] 3 14" xfId="487"/>
    <cellStyle name="쉼표 [0] 3 2" xfId="50"/>
    <cellStyle name="쉼표 [0] 3 2 2" xfId="287"/>
    <cellStyle name="쉼표 [0] 3 2 2 2" xfId="805"/>
    <cellStyle name="쉼표 [0] 3 2 2 2 2" xfId="1031"/>
    <cellStyle name="쉼표 [0] 3 2 2 3" xfId="753"/>
    <cellStyle name="쉼표 [0] 3 2 2 3 2" xfId="1080"/>
    <cellStyle name="쉼표 [0] 3 2 2 4" xfId="956"/>
    <cellStyle name="쉼표 [0] 3 2 2 5" xfId="660"/>
    <cellStyle name="쉼표 [0] 3 2 3" xfId="220"/>
    <cellStyle name="쉼표 [0] 3 2 3 2" xfId="854"/>
    <cellStyle name="쉼표 [0] 3 2 3 2 2" xfId="1125"/>
    <cellStyle name="쉼표 [0] 3 2 3 3" xfId="994"/>
    <cellStyle name="쉼표 [0] 3 2 3 4" xfId="597"/>
    <cellStyle name="쉼표 [0] 3 2 4" xfId="791"/>
    <cellStyle name="쉼표 [0] 3 2 4 2" xfId="1069"/>
    <cellStyle name="쉼표 [0] 3 2 5" xfId="707"/>
    <cellStyle name="쉼표 [0] 3 2 6" xfId="937"/>
    <cellStyle name="쉼표 [0] 3 2 7" xfId="512"/>
    <cellStyle name="쉼표 [0] 3 3" xfId="119"/>
    <cellStyle name="쉼표 [0] 3 3 2" xfId="301"/>
    <cellStyle name="쉼표 [0] 3 3 2 2" xfId="866"/>
    <cellStyle name="쉼표 [0] 3 3 2 2 2" xfId="1135"/>
    <cellStyle name="쉼표 [0] 3 3 2 3" xfId="764"/>
    <cellStyle name="쉼표 [0] 3 3 2 4" xfId="1046"/>
    <cellStyle name="쉼표 [0] 3 3 2 5" xfId="674"/>
    <cellStyle name="쉼표 [0] 3 3 3" xfId="233"/>
    <cellStyle name="쉼표 [0] 3 3 3 2" xfId="818"/>
    <cellStyle name="쉼표 [0] 3 3 3 3" xfId="1004"/>
    <cellStyle name="쉼표 [0] 3 3 3 4" xfId="610"/>
    <cellStyle name="쉼표 [0] 3 3 4" xfId="717"/>
    <cellStyle name="쉼표 [0] 3 3 4 2" xfId="1093"/>
    <cellStyle name="쉼표 [0] 3 3 5" xfId="971"/>
    <cellStyle name="쉼표 [0] 3 3 6" xfId="534"/>
    <cellStyle name="쉼표 [0] 3 4" xfId="153"/>
    <cellStyle name="쉼표 [0] 3 4 2" xfId="313"/>
    <cellStyle name="쉼표 [0] 3 4 2 2" xfId="878"/>
    <cellStyle name="쉼표 [0] 3 4 2 2 2" xfId="1144"/>
    <cellStyle name="쉼표 [0] 3 4 2 3" xfId="773"/>
    <cellStyle name="쉼표 [0] 3 4 2 4" xfId="1055"/>
    <cellStyle name="쉼표 [0] 3 4 2 5" xfId="686"/>
    <cellStyle name="쉼표 [0] 3 4 3" xfId="246"/>
    <cellStyle name="쉼표 [0] 3 4 3 2" xfId="829"/>
    <cellStyle name="쉼표 [0] 3 4 3 3" xfId="1013"/>
    <cellStyle name="쉼표 [0] 3 4 3 4" xfId="623"/>
    <cellStyle name="쉼표 [0] 3 4 4" xfId="726"/>
    <cellStyle name="쉼표 [0] 3 4 4 2" xfId="1105"/>
    <cellStyle name="쉼표 [0] 3 4 5" xfId="982"/>
    <cellStyle name="쉼표 [0] 3 4 6" xfId="547"/>
    <cellStyle name="쉼표 [0] 3 5" xfId="36"/>
    <cellStyle name="쉼표 [0] 3 5 2" xfId="282"/>
    <cellStyle name="쉼표 [0] 3 5 2 2" xfId="850"/>
    <cellStyle name="쉼표 [0] 3 5 2 2 2" xfId="1121"/>
    <cellStyle name="쉼표 [0] 3 5 2 3" xfId="749"/>
    <cellStyle name="쉼표 [0] 3 5 2 4" xfId="1027"/>
    <cellStyle name="쉼표 [0] 3 5 2 5" xfId="656"/>
    <cellStyle name="쉼표 [0] 3 5 3" xfId="213"/>
    <cellStyle name="쉼표 [0] 3 5 3 2" xfId="798"/>
    <cellStyle name="쉼표 [0] 3 5 3 3" xfId="1076"/>
    <cellStyle name="쉼표 [0] 3 5 3 4" xfId="592"/>
    <cellStyle name="쉼표 [0] 3 5 4" xfId="703"/>
    <cellStyle name="쉼표 [0] 3 5 5" xfId="951"/>
    <cellStyle name="쉼표 [0] 3 5 6" xfId="505"/>
    <cellStyle name="쉼표 [0] 3 6" xfId="183"/>
    <cellStyle name="쉼표 [0] 3 6 2" xfId="321"/>
    <cellStyle name="쉼표 [0] 3 6 2 2" xfId="779"/>
    <cellStyle name="쉼표 [0] 3 6 2 3" xfId="1150"/>
    <cellStyle name="쉼표 [0] 3 6 2 4" xfId="692"/>
    <cellStyle name="쉼표 [0] 3 6 3" xfId="258"/>
    <cellStyle name="쉼표 [0] 3 6 3 2" xfId="884"/>
    <cellStyle name="쉼표 [0] 3 6 3 3" xfId="635"/>
    <cellStyle name="쉼표 [0] 3 6 4" xfId="735"/>
    <cellStyle name="쉼표 [0] 3 6 5" xfId="990"/>
    <cellStyle name="쉼표 [0] 3 6 6" xfId="566"/>
    <cellStyle name="쉼표 [0] 3 7" xfId="198"/>
    <cellStyle name="쉼표 [0] 3 7 2" xfId="267"/>
    <cellStyle name="쉼표 [0] 3 7 2 2" xfId="840"/>
    <cellStyle name="쉼표 [0] 3 7 2 3" xfId="644"/>
    <cellStyle name="쉼표 [0] 3 7 3" xfId="742"/>
    <cellStyle name="쉼표 [0] 3 7 4" xfId="1114"/>
    <cellStyle name="쉼표 [0] 3 7 5" xfId="579"/>
    <cellStyle name="쉼표 [0] 3 8" xfId="209"/>
    <cellStyle name="쉼표 [0] 3 8 2" xfId="789"/>
    <cellStyle name="쉼표 [0] 3 8 3" xfId="1067"/>
    <cellStyle name="쉼표 [0] 3 8 4" xfId="589"/>
    <cellStyle name="쉼표 [0] 3 9" xfId="334"/>
    <cellStyle name="쉼표 [0] 3 9 2" xfId="828"/>
    <cellStyle name="쉼표 [0] 4" xfId="24"/>
    <cellStyle name="쉼표 [0] 4 2" xfId="115"/>
    <cellStyle name="쉼표 [0] 4 2 2" xfId="203"/>
    <cellStyle name="쉼표 [0] 4 2 2 2" xfId="338"/>
    <cellStyle name="쉼표 [0] 4 2 2 2 2" xfId="1133"/>
    <cellStyle name="쉼표 [0] 4 2 2 2 3" xfId="864"/>
    <cellStyle name="쉼표 [0] 4 2 2 3" xfId="350"/>
    <cellStyle name="쉼표 [0] 4 2 2 3 2" xfId="815"/>
    <cellStyle name="쉼표 [0] 4 2 2 4" xfId="904"/>
    <cellStyle name="쉼표 [0] 4 2 2 5" xfId="917"/>
    <cellStyle name="쉼표 [0] 4 2 2 6" xfId="736"/>
    <cellStyle name="쉼표 [0] 4 2 2 7" xfId="1044"/>
    <cellStyle name="쉼표 [0] 4 2 2 8" xfId="584"/>
    <cellStyle name="쉼표 [0] 4 2 3" xfId="299"/>
    <cellStyle name="쉼표 [0] 4 2 3 2" xfId="762"/>
    <cellStyle name="쉼표 [0] 4 2 3 3" xfId="1002"/>
    <cellStyle name="쉼표 [0] 4 2 3 4" xfId="672"/>
    <cellStyle name="쉼표 [0] 4 2 4" xfId="231"/>
    <cellStyle name="쉼표 [0] 4 2 4 2" xfId="814"/>
    <cellStyle name="쉼표 [0] 4 2 4 3" xfId="1091"/>
    <cellStyle name="쉼표 [0] 4 2 4 4" xfId="608"/>
    <cellStyle name="쉼표 [0] 4 2 5" xfId="715"/>
    <cellStyle name="쉼표 [0] 4 2 6" xfId="969"/>
    <cellStyle name="쉼표 [0] 4 2 7" xfId="532"/>
    <cellStyle name="쉼표 [0] 4 3" xfId="151"/>
    <cellStyle name="쉼표 [0] 4 3 2" xfId="312"/>
    <cellStyle name="쉼표 [0] 4 3 2 2" xfId="877"/>
    <cellStyle name="쉼표 [0] 4 3 2 2 2" xfId="1143"/>
    <cellStyle name="쉼표 [0] 4 3 2 3" xfId="772"/>
    <cellStyle name="쉼표 [0] 4 3 2 4" xfId="1054"/>
    <cellStyle name="쉼표 [0] 4 3 2 5" xfId="685"/>
    <cellStyle name="쉼표 [0] 4 3 3" xfId="245"/>
    <cellStyle name="쉼표 [0] 4 3 3 2" xfId="827"/>
    <cellStyle name="쉼표 [0] 4 3 3 3" xfId="1012"/>
    <cellStyle name="쉼표 [0] 4 3 3 4" xfId="622"/>
    <cellStyle name="쉼표 [0] 4 3 4" xfId="725"/>
    <cellStyle name="쉼표 [0] 4 3 4 2" xfId="1104"/>
    <cellStyle name="쉼표 [0] 4 3 5" xfId="980"/>
    <cellStyle name="쉼표 [0] 4 3 6" xfId="546"/>
    <cellStyle name="쉼표 [0] 4 4" xfId="48"/>
    <cellStyle name="쉼표 [0] 4 4 2" xfId="286"/>
    <cellStyle name="쉼표 [0] 4 4 2 2" xfId="853"/>
    <cellStyle name="쉼표 [0] 4 4 2 2 2" xfId="1124"/>
    <cellStyle name="쉼표 [0] 4 4 2 3" xfId="1030"/>
    <cellStyle name="쉼표 [0] 4 4 2 4" xfId="659"/>
    <cellStyle name="쉼표 [0] 4 4 3" xfId="803"/>
    <cellStyle name="쉼표 [0] 4 4 3 2" xfId="1079"/>
    <cellStyle name="쉼표 [0] 4 4 4" xfId="752"/>
    <cellStyle name="쉼표 [0] 4 4 5" xfId="955"/>
    <cellStyle name="쉼표 [0] 4 4 6" xfId="511"/>
    <cellStyle name="쉼표 [0] 4 5" xfId="266"/>
    <cellStyle name="쉼표 [0] 4 5 2" xfId="838"/>
    <cellStyle name="쉼표 [0] 4 5 2 2" xfId="1021"/>
    <cellStyle name="쉼표 [0] 4 5 3" xfId="740"/>
    <cellStyle name="쉼표 [0] 4 5 3 2" xfId="1112"/>
    <cellStyle name="쉼표 [0] 4 5 4" xfId="944"/>
    <cellStyle name="쉼표 [0] 4 5 5" xfId="643"/>
    <cellStyle name="쉼표 [0] 4 6" xfId="219"/>
    <cellStyle name="쉼표 [0] 4 6 2" xfId="788"/>
    <cellStyle name="쉼표 [0] 4 6 3" xfId="993"/>
    <cellStyle name="쉼표 [0] 4 6 4" xfId="596"/>
    <cellStyle name="쉼표 [0] 4 7" xfId="706"/>
    <cellStyle name="쉼표 [0] 4 7 2" xfId="1066"/>
    <cellStyle name="쉼표 [0] 4 8" xfId="936"/>
    <cellStyle name="쉼표 [0] 4 9" xfId="495"/>
    <cellStyle name="쉼표 [0] 5" xfId="29"/>
    <cellStyle name="쉼표 [0] 5 10" xfId="500"/>
    <cellStyle name="쉼표 [0] 5 2" xfId="130"/>
    <cellStyle name="쉼표 [0] 5 2 2" xfId="323"/>
    <cellStyle name="쉼표 [0] 5 2 2 2" xfId="886"/>
    <cellStyle name="쉼표 [0] 5 2 2 2 2" xfId="1152"/>
    <cellStyle name="쉼표 [0] 5 2 2 3" xfId="822"/>
    <cellStyle name="쉼표 [0] 5 2 2 3 2" xfId="1099"/>
    <cellStyle name="쉼표 [0] 5 2 2 4" xfId="781"/>
    <cellStyle name="쉼표 [0] 5 2 2 5" xfId="1049"/>
    <cellStyle name="쉼표 [0] 5 2 2 6" xfId="694"/>
    <cellStyle name="쉼표 [0] 5 2 3" xfId="307"/>
    <cellStyle name="쉼표 [0] 5 2 3 2" xfId="872"/>
    <cellStyle name="쉼표 [0] 5 2 3 2 2" xfId="1138"/>
    <cellStyle name="쉼표 [0] 5 2 3 3" xfId="767"/>
    <cellStyle name="쉼표 [0] 5 2 3 4" xfId="1007"/>
    <cellStyle name="쉼표 [0] 5 2 3 5" xfId="680"/>
    <cellStyle name="쉼표 [0] 5 2 4" xfId="240"/>
    <cellStyle name="쉼표 [0] 5 2 4 2" xfId="792"/>
    <cellStyle name="쉼표 [0] 5 2 4 3" xfId="1070"/>
    <cellStyle name="쉼표 [0] 5 2 4 4" xfId="617"/>
    <cellStyle name="쉼표 [0] 5 2 5" xfId="720"/>
    <cellStyle name="쉼표 [0] 5 2 6" xfId="974"/>
    <cellStyle name="쉼표 [0] 5 2 7" xfId="541"/>
    <cellStyle name="쉼표 [0] 5 3" xfId="155"/>
    <cellStyle name="쉼표 [0] 5 3 2" xfId="314"/>
    <cellStyle name="쉼표 [0] 5 3 2 2" xfId="879"/>
    <cellStyle name="쉼표 [0] 5 3 2 2 2" xfId="1145"/>
    <cellStyle name="쉼표 [0] 5 3 2 3" xfId="774"/>
    <cellStyle name="쉼표 [0] 5 3 2 4" xfId="1056"/>
    <cellStyle name="쉼표 [0] 5 3 2 5" xfId="687"/>
    <cellStyle name="쉼표 [0] 5 3 3" xfId="247"/>
    <cellStyle name="쉼표 [0] 5 3 3 2" xfId="830"/>
    <cellStyle name="쉼표 [0] 5 3 3 3" xfId="1014"/>
    <cellStyle name="쉼표 [0] 5 3 3 4" xfId="624"/>
    <cellStyle name="쉼표 [0] 5 3 4" xfId="727"/>
    <cellStyle name="쉼표 [0] 5 3 4 2" xfId="1106"/>
    <cellStyle name="쉼표 [0] 5 3 5" xfId="984"/>
    <cellStyle name="쉼표 [0] 5 3 6" xfId="548"/>
    <cellStyle name="쉼표 [0] 5 4" xfId="53"/>
    <cellStyle name="쉼표 [0] 5 4 2" xfId="289"/>
    <cellStyle name="쉼표 [0] 5 4 2 2" xfId="855"/>
    <cellStyle name="쉼표 [0] 5 4 2 2 2" xfId="1126"/>
    <cellStyle name="쉼표 [0] 5 4 2 3" xfId="1032"/>
    <cellStyle name="쉼표 [0] 5 4 2 4" xfId="662"/>
    <cellStyle name="쉼표 [0] 5 4 3" xfId="807"/>
    <cellStyle name="쉼표 [0] 5 4 3 2" xfId="1081"/>
    <cellStyle name="쉼표 [0] 5 4 4" xfId="755"/>
    <cellStyle name="쉼표 [0] 5 4 5" xfId="957"/>
    <cellStyle name="쉼표 [0] 5 4 6" xfId="515"/>
    <cellStyle name="쉼표 [0] 5 5" xfId="322"/>
    <cellStyle name="쉼표 [0] 5 5 2" xfId="885"/>
    <cellStyle name="쉼표 [0] 5 5 2 2" xfId="1151"/>
    <cellStyle name="쉼표 [0] 5 5 3" xfId="780"/>
    <cellStyle name="쉼표 [0] 5 5 4" xfId="995"/>
    <cellStyle name="쉼표 [0] 5 5 5" xfId="693"/>
    <cellStyle name="쉼표 [0] 5 6" xfId="274"/>
    <cellStyle name="쉼표 [0] 5 6 2" xfId="846"/>
    <cellStyle name="쉼표 [0] 5 6 3" xfId="745"/>
    <cellStyle name="쉼표 [0] 5 6 4" xfId="1117"/>
    <cellStyle name="쉼표 [0] 5 6 5" xfId="651"/>
    <cellStyle name="쉼표 [0] 5 7" xfId="221"/>
    <cellStyle name="쉼표 [0] 5 7 2" xfId="790"/>
    <cellStyle name="쉼표 [0] 5 7 3" xfId="1068"/>
    <cellStyle name="쉼표 [0] 5 7 4" xfId="598"/>
    <cellStyle name="쉼표 [0] 5 8" xfId="708"/>
    <cellStyle name="쉼표 [0] 5 9" xfId="932"/>
    <cellStyle name="쉼표 [0] 6" xfId="55"/>
    <cellStyle name="쉼표 [0] 6 2" xfId="156"/>
    <cellStyle name="쉼표 [0] 6 2 2" xfId="315"/>
    <cellStyle name="쉼표 [0] 6 2 2 2" xfId="880"/>
    <cellStyle name="쉼표 [0] 6 2 2 2 2" xfId="1146"/>
    <cellStyle name="쉼표 [0] 6 2 2 3" xfId="775"/>
    <cellStyle name="쉼표 [0] 6 2 2 4" xfId="1057"/>
    <cellStyle name="쉼표 [0] 6 2 2 5" xfId="688"/>
    <cellStyle name="쉼표 [0] 6 2 3" xfId="248"/>
    <cellStyle name="쉼표 [0] 6 2 3 2" xfId="831"/>
    <cellStyle name="쉼표 [0] 6 2 3 3" xfId="1015"/>
    <cellStyle name="쉼표 [0] 6 2 3 4" xfId="625"/>
    <cellStyle name="쉼표 [0] 6 2 4" xfId="728"/>
    <cellStyle name="쉼표 [0] 6 2 4 2" xfId="1107"/>
    <cellStyle name="쉼표 [0] 6 2 5" xfId="985"/>
    <cellStyle name="쉼표 [0] 6 2 6" xfId="549"/>
    <cellStyle name="쉼표 [0] 6 3" xfId="326"/>
    <cellStyle name="쉼표 [0] 6 3 2" xfId="889"/>
    <cellStyle name="쉼표 [0] 6 3 2 2" xfId="1153"/>
    <cellStyle name="쉼표 [0] 6 3 3" xfId="808"/>
    <cellStyle name="쉼표 [0] 6 3 3 2" xfId="1082"/>
    <cellStyle name="쉼표 [0] 6 3 4" xfId="782"/>
    <cellStyle name="쉼표 [0] 6 3 5" xfId="1033"/>
    <cellStyle name="쉼표 [0] 6 3 6" xfId="695"/>
    <cellStyle name="쉼표 [0] 6 4" xfId="290"/>
    <cellStyle name="쉼표 [0] 6 4 2" xfId="856"/>
    <cellStyle name="쉼표 [0] 6 4 2 2" xfId="1127"/>
    <cellStyle name="쉼표 [0] 6 4 3" xfId="756"/>
    <cellStyle name="쉼표 [0] 6 4 4" xfId="996"/>
    <cellStyle name="쉼표 [0] 6 4 5" xfId="663"/>
    <cellStyle name="쉼표 [0] 6 5" xfId="222"/>
    <cellStyle name="쉼표 [0] 6 5 2" xfId="794"/>
    <cellStyle name="쉼표 [0] 6 5 3" xfId="1073"/>
    <cellStyle name="쉼표 [0] 6 5 4" xfId="599"/>
    <cellStyle name="쉼표 [0] 6 6" xfId="709"/>
    <cellStyle name="쉼표 [0] 6 7" xfId="958"/>
    <cellStyle name="쉼표 [0] 6 8" xfId="516"/>
    <cellStyle name="쉼표 [0] 7" xfId="99"/>
    <cellStyle name="쉼표 [0] 7 2" xfId="158"/>
    <cellStyle name="쉼표 [0] 7 2 2" xfId="316"/>
    <cellStyle name="쉼표 [0] 7 2 2 2" xfId="881"/>
    <cellStyle name="쉼표 [0] 7 2 2 2 2" xfId="1147"/>
    <cellStyle name="쉼표 [0] 7 2 2 3" xfId="776"/>
    <cellStyle name="쉼표 [0] 7 2 2 4" xfId="1058"/>
    <cellStyle name="쉼표 [0] 7 2 2 5" xfId="689"/>
    <cellStyle name="쉼표 [0] 7 2 3" xfId="249"/>
    <cellStyle name="쉼표 [0] 7 2 3 2" xfId="832"/>
    <cellStyle name="쉼표 [0] 7 2 3 3" xfId="1016"/>
    <cellStyle name="쉼표 [0] 7 2 3 4" xfId="626"/>
    <cellStyle name="쉼표 [0] 7 2 4" xfId="729"/>
    <cellStyle name="쉼표 [0] 7 2 4 2" xfId="1108"/>
    <cellStyle name="쉼표 [0] 7 2 5" xfId="986"/>
    <cellStyle name="쉼표 [0] 7 2 6" xfId="550"/>
    <cellStyle name="쉼표 [0] 7 3" xfId="291"/>
    <cellStyle name="쉼표 [0] 7 3 2" xfId="857"/>
    <cellStyle name="쉼표 [0] 7 3 2 2" xfId="1128"/>
    <cellStyle name="쉼표 [0] 7 3 3" xfId="757"/>
    <cellStyle name="쉼표 [0] 7 3 4" xfId="1039"/>
    <cellStyle name="쉼표 [0] 7 3 5" xfId="664"/>
    <cellStyle name="쉼표 [0] 7 4" xfId="223"/>
    <cellStyle name="쉼표 [0] 7 4 2" xfId="809"/>
    <cellStyle name="쉼표 [0] 7 4 3" xfId="997"/>
    <cellStyle name="쉼표 [0] 7 4 4" xfId="600"/>
    <cellStyle name="쉼표 [0] 7 5" xfId="710"/>
    <cellStyle name="쉼표 [0] 7 5 2" xfId="1083"/>
    <cellStyle name="쉼표 [0] 7 6" xfId="964"/>
    <cellStyle name="쉼표 [0] 7 7" xfId="524"/>
    <cellStyle name="쉼표 [0] 8" xfId="102"/>
    <cellStyle name="쉼표 [0] 8 2" xfId="166"/>
    <cellStyle name="쉼표 [0] 8 2 2" xfId="317"/>
    <cellStyle name="쉼표 [0] 8 2 2 2" xfId="882"/>
    <cellStyle name="쉼표 [0] 8 2 2 2 2" xfId="1148"/>
    <cellStyle name="쉼표 [0] 8 2 2 3" xfId="777"/>
    <cellStyle name="쉼표 [0] 8 2 2 4" xfId="1059"/>
    <cellStyle name="쉼표 [0] 8 2 2 5" xfId="690"/>
    <cellStyle name="쉼표 [0] 8 2 3" xfId="250"/>
    <cellStyle name="쉼표 [0] 8 2 3 2" xfId="834"/>
    <cellStyle name="쉼표 [0] 8 2 3 3" xfId="1017"/>
    <cellStyle name="쉼표 [0] 8 2 3 4" xfId="627"/>
    <cellStyle name="쉼표 [0] 8 2 4" xfId="730"/>
    <cellStyle name="쉼표 [0] 8 2 4 2" xfId="1109"/>
    <cellStyle name="쉼표 [0] 8 2 5" xfId="987"/>
    <cellStyle name="쉼표 [0] 8 2 6" xfId="552"/>
    <cellStyle name="쉼표 [0] 8 3" xfId="292"/>
    <cellStyle name="쉼표 [0] 8 3 2" xfId="858"/>
    <cellStyle name="쉼표 [0] 8 3 2 2" xfId="1129"/>
    <cellStyle name="쉼표 [0] 8 3 3" xfId="758"/>
    <cellStyle name="쉼표 [0] 8 3 4" xfId="1040"/>
    <cellStyle name="쉼표 [0] 8 3 5" xfId="665"/>
    <cellStyle name="쉼표 [0] 8 4" xfId="224"/>
    <cellStyle name="쉼표 [0] 8 4 2" xfId="810"/>
    <cellStyle name="쉼표 [0] 8 4 3" xfId="998"/>
    <cellStyle name="쉼표 [0] 8 4 4" xfId="601"/>
    <cellStyle name="쉼표 [0] 8 5" xfId="711"/>
    <cellStyle name="쉼표 [0] 8 5 2" xfId="1084"/>
    <cellStyle name="쉼표 [0] 8 6" xfId="965"/>
    <cellStyle name="쉼표 [0] 8 7" xfId="525"/>
    <cellStyle name="쉼표 [0] 9" xfId="104"/>
    <cellStyle name="쉼표 [0] 9 2" xfId="293"/>
    <cellStyle name="쉼표 [0] 9 2 2" xfId="859"/>
    <cellStyle name="쉼표 [0] 9 2 2 2" xfId="1130"/>
    <cellStyle name="쉼표 [0] 9 2 3" xfId="759"/>
    <cellStyle name="쉼표 [0] 9 2 4" xfId="1041"/>
    <cellStyle name="쉼표 [0] 9 2 5" xfId="666"/>
    <cellStyle name="쉼표 [0] 9 3" xfId="225"/>
    <cellStyle name="쉼표 [0] 9 3 2" xfId="811"/>
    <cellStyle name="쉼표 [0] 9 3 3" xfId="999"/>
    <cellStyle name="쉼표 [0] 9 3 4" xfId="602"/>
    <cellStyle name="쉼표 [0] 9 4" xfId="712"/>
    <cellStyle name="쉼표 [0] 9 4 2" xfId="1085"/>
    <cellStyle name="쉼표 [0] 9 5" xfId="966"/>
    <cellStyle name="쉼표 [0] 9 6" xfId="526"/>
    <cellStyle name="쉼표 10" xfId="134"/>
    <cellStyle name="쉼표 11" xfId="135"/>
    <cellStyle name="쉼표 12" xfId="136"/>
    <cellStyle name="쉼표 13" xfId="137"/>
    <cellStyle name="쉼표 14" xfId="138"/>
    <cellStyle name="쉼표 15" xfId="139"/>
    <cellStyle name="쉼표 16" xfId="140"/>
    <cellStyle name="쉼표 17" xfId="141"/>
    <cellStyle name="쉼표 18" xfId="142"/>
    <cellStyle name="쉼표 19" xfId="143"/>
    <cellStyle name="쉼표 2" xfId="7"/>
    <cellStyle name="쉼표 2 2" xfId="101"/>
    <cellStyle name="쉼표 2 2 2" xfId="257"/>
    <cellStyle name="쉼표 2 2 2 2" xfId="634"/>
    <cellStyle name="쉼표 2 2 3" xfId="734"/>
    <cellStyle name="쉼표 2 3" xfId="182"/>
    <cellStyle name="쉼표 2 3 2" xfId="793"/>
    <cellStyle name="쉼표 2 3 3" xfId="565"/>
    <cellStyle name="쉼표 2 4" xfId="197"/>
    <cellStyle name="쉼표 2 4 2" xfId="899"/>
    <cellStyle name="쉼표 2 4 3" xfId="578"/>
    <cellStyle name="쉼표 2 5" xfId="333"/>
    <cellStyle name="쉼표 2 5 2" xfId="912"/>
    <cellStyle name="쉼표 2 6" xfId="345"/>
    <cellStyle name="쉼표 2 6 2" xfId="931"/>
    <cellStyle name="쉼표 2 7" xfId="422"/>
    <cellStyle name="쉼표 2 8" xfId="482"/>
    <cellStyle name="쉼표 20" xfId="171"/>
    <cellStyle name="쉼표 20 2" xfId="318"/>
    <cellStyle name="쉼표 20 2 2" xfId="883"/>
    <cellStyle name="쉼표 20 2 3" xfId="691"/>
    <cellStyle name="쉼표 20 3" xfId="778"/>
    <cellStyle name="쉼표 20 4" xfId="1149"/>
    <cellStyle name="쉼표 20 5" xfId="557"/>
    <cellStyle name="쉼표 21" xfId="206"/>
    <cellStyle name="쉼표 21 2" xfId="275"/>
    <cellStyle name="쉼표 21 2 2" xfId="847"/>
    <cellStyle name="쉼표 21 2 3" xfId="652"/>
    <cellStyle name="쉼표 21 3" xfId="746"/>
    <cellStyle name="쉼표 21 4" xfId="1118"/>
    <cellStyle name="쉼표 21 5" xfId="587"/>
    <cellStyle name="쉼표 22" xfId="288"/>
    <cellStyle name="쉼표 22 2" xfId="754"/>
    <cellStyle name="쉼표 22 3" xfId="1062"/>
    <cellStyle name="쉼표 22 4" xfId="661"/>
    <cellStyle name="쉼표 23" xfId="327"/>
    <cellStyle name="쉼표 23 2" xfId="783"/>
    <cellStyle name="쉼표 23 3" xfId="696"/>
    <cellStyle name="쉼표 24" xfId="354"/>
    <cellStyle name="쉼표 24 2" xfId="784"/>
    <cellStyle name="쉼표 24 3" xfId="697"/>
    <cellStyle name="쉼표 25" xfId="919"/>
    <cellStyle name="쉼표 26" xfId="921"/>
    <cellStyle name="쉼표 27" xfId="922"/>
    <cellStyle name="쉼표 3" xfId="15"/>
    <cellStyle name="쉼표 3 2" xfId="103"/>
    <cellStyle name="쉼표 3 2 2" xfId="261"/>
    <cellStyle name="쉼표 3 2 2 2" xfId="638"/>
    <cellStyle name="쉼표 3 2 3" xfId="737"/>
    <cellStyle name="쉼표 3 3" xfId="204"/>
    <cellStyle name="쉼표 3 3 2" xfId="833"/>
    <cellStyle name="쉼표 3 3 3" xfId="585"/>
    <cellStyle name="쉼표 3 4" xfId="339"/>
    <cellStyle name="쉼표 3 4 2" xfId="905"/>
    <cellStyle name="쉼표 3 5" xfId="351"/>
    <cellStyle name="쉼표 3 5 2" xfId="918"/>
    <cellStyle name="쉼표 3 6" xfId="938"/>
    <cellStyle name="쉼표 3 7" xfId="488"/>
    <cellStyle name="쉼표 4" xfId="25"/>
    <cellStyle name="쉼표 4 2" xfId="106"/>
    <cellStyle name="쉼표 4 3" xfId="496"/>
    <cellStyle name="쉼표 5" xfId="26"/>
    <cellStyle name="쉼표 5 2" xfId="109"/>
    <cellStyle name="쉼표 5 3" xfId="497"/>
    <cellStyle name="쉼표 6" xfId="30"/>
    <cellStyle name="쉼표 6 2" xfId="110"/>
    <cellStyle name="쉼표 6 3" xfId="501"/>
    <cellStyle name="쉼표 7" xfId="131"/>
    <cellStyle name="쉼표 7 2" xfId="159"/>
    <cellStyle name="쉼표 7 3" xfId="308"/>
    <cellStyle name="쉼표 7 3 2" xfId="823"/>
    <cellStyle name="쉼표 7 3 2 2" xfId="1100"/>
    <cellStyle name="쉼표 7 3 3" xfId="768"/>
    <cellStyle name="쉼표 7 3 4" xfId="1050"/>
    <cellStyle name="쉼표 7 3 5" xfId="681"/>
    <cellStyle name="쉼표 7 4" xfId="241"/>
    <cellStyle name="쉼표 7 4 2" xfId="873"/>
    <cellStyle name="쉼표 7 4 2 2" xfId="1139"/>
    <cellStyle name="쉼표 7 4 3" xfId="1008"/>
    <cellStyle name="쉼표 7 4 4" xfId="618"/>
    <cellStyle name="쉼표 7 5" xfId="721"/>
    <cellStyle name="쉼표 7 6" xfId="975"/>
    <cellStyle name="쉼표 7 7" xfId="542"/>
    <cellStyle name="쉼표 8" xfId="132"/>
    <cellStyle name="쉼표 9" xfId="133"/>
    <cellStyle name="연결된 셀" xfId="363" builtinId="24" customBuiltin="1"/>
    <cellStyle name="연결된 셀 2" xfId="88"/>
    <cellStyle name="요약" xfId="367" builtinId="25" customBuiltin="1"/>
    <cellStyle name="요약 2" xfId="89"/>
    <cellStyle name="요약 2 2" xfId="1036"/>
    <cellStyle name="요약 2 3" xfId="961"/>
    <cellStyle name="요약 3" xfId="893"/>
    <cellStyle name="입력" xfId="360" builtinId="20" customBuiltin="1"/>
    <cellStyle name="입력 2" xfId="90"/>
    <cellStyle name="입력 2 2" xfId="1037"/>
    <cellStyle name="입력 2 3" xfId="962"/>
    <cellStyle name="입력 3" xfId="894"/>
    <cellStyle name="제목" xfId="396" builtinId="15" customBuiltin="1"/>
    <cellStyle name="제목 1" xfId="356" builtinId="16" customBuiltin="1"/>
    <cellStyle name="제목 1 2" xfId="92"/>
    <cellStyle name="제목 2" xfId="357" builtinId="17" customBuiltin="1"/>
    <cellStyle name="제목 2 2" xfId="93"/>
    <cellStyle name="제목 3" xfId="358" builtinId="18" customBuiltin="1"/>
    <cellStyle name="제목 3 2" xfId="94"/>
    <cellStyle name="제목 4" xfId="359" builtinId="19" customBuiltin="1"/>
    <cellStyle name="제목 4 2" xfId="95"/>
    <cellStyle name="제목 5" xfId="91"/>
    <cellStyle name="제목 5 2" xfId="462"/>
    <cellStyle name="제목 6" xfId="387"/>
    <cellStyle name="좋음" xfId="470" builtinId="26" customBuiltin="1"/>
    <cellStyle name="좋음 2" xfId="38"/>
    <cellStyle name="좋음 2 2" xfId="163"/>
    <cellStyle name="좋음 2 3" xfId="214"/>
    <cellStyle name="좋음 3" xfId="96"/>
    <cellStyle name="좋음 4" xfId="175"/>
    <cellStyle name="좋음 5" xfId="479"/>
    <cellStyle name="출력" xfId="361" builtinId="21" customBuiltin="1"/>
    <cellStyle name="출력 2" xfId="97"/>
    <cellStyle name="출력 2 2" xfId="1038"/>
    <cellStyle name="출력 2 3" xfId="963"/>
    <cellStyle name="출력 3" xfId="895"/>
    <cellStyle name="표준" xfId="0" builtinId="0"/>
    <cellStyle name="표준 10" xfId="173"/>
    <cellStyle name="표준 10 2" xfId="263"/>
    <cellStyle name="표준 10 2 2" xfId="640"/>
    <cellStyle name="표준 10 3" xfId="428"/>
    <cellStyle name="표준 10 4" xfId="559"/>
    <cellStyle name="표준 11" xfId="191"/>
    <cellStyle name="표준 11 2" xfId="572"/>
    <cellStyle name="표준 12" xfId="205"/>
    <cellStyle name="표준 12 2" xfId="907"/>
    <cellStyle name="표준 12 3" xfId="586"/>
    <cellStyle name="표준 13" xfId="328"/>
    <cellStyle name="표준 13 2" xfId="476"/>
    <cellStyle name="표준 14" xfId="340"/>
    <cellStyle name="표준 15" xfId="352"/>
    <cellStyle name="표준 16" xfId="386"/>
    <cellStyle name="표준 17" xfId="472"/>
    <cellStyle name="표준 18" xfId="1158"/>
    <cellStyle name="표준 2" xfId="6"/>
    <cellStyle name="표준 2 2" xfId="5"/>
    <cellStyle name="표준 2 2 10" xfId="438"/>
    <cellStyle name="표준 2 2 11" xfId="409"/>
    <cellStyle name="표준 2 2 2" xfId="37"/>
    <cellStyle name="표준 2 2 2 2" xfId="51"/>
    <cellStyle name="표준 2 2 2 2 2" xfId="186"/>
    <cellStyle name="표준 2 2 2 2 2 2" xfId="187"/>
    <cellStyle name="표준 2 2 2 2 2 2 2" xfId="188"/>
    <cellStyle name="표준 2 2 2 2 2 2 2 2" xfId="189"/>
    <cellStyle name="표준 2 2 2 2 2 2 2 2 2" xfId="571"/>
    <cellStyle name="표준 2 2 2 2 2 2 3" xfId="202"/>
    <cellStyle name="표준 2 2 2 2 2 2 3 2" xfId="583"/>
    <cellStyle name="표준 2 2 2 2 2 2 4" xfId="337"/>
    <cellStyle name="표준 2 2 2 2 2 2 4 2" xfId="903"/>
    <cellStyle name="표준 2 2 2 2 2 2 5" xfId="349"/>
    <cellStyle name="표준 2 2 2 2 2 2 5 2" xfId="916"/>
    <cellStyle name="표준 2 2 2 2 2 2 6" xfId="437"/>
    <cellStyle name="표준 2 2 2 2 2 2 7" xfId="570"/>
    <cellStyle name="표준 2 2 2 2 2 3" xfId="416"/>
    <cellStyle name="표준 2 2 2 2 3" xfId="185"/>
    <cellStyle name="표준 2 2 2 2 3 2" xfId="260"/>
    <cellStyle name="표준 2 2 2 2 3 2 2" xfId="637"/>
    <cellStyle name="표준 2 2 2 2 3 3" xfId="568"/>
    <cellStyle name="표준 2 2 2 2 4" xfId="200"/>
    <cellStyle name="표준 2 2 2 2 4 2" xfId="581"/>
    <cellStyle name="표준 2 2 2 2 5" xfId="336"/>
    <cellStyle name="표준 2 2 2 2 5 2" xfId="902"/>
    <cellStyle name="표준 2 2 2 2 6" xfId="348"/>
    <cellStyle name="표준 2 2 2 2 6 2" xfId="915"/>
    <cellStyle name="표준 2 2 2 2 7" xfId="430"/>
    <cellStyle name="표준 2 2 2 3" xfId="184"/>
    <cellStyle name="표준 2 2 2 3 2" xfId="259"/>
    <cellStyle name="표준 2 2 2 3 2 2" xfId="799"/>
    <cellStyle name="표준 2 2 2 3 2 3" xfId="636"/>
    <cellStyle name="표준 2 2 2 3 3" xfId="567"/>
    <cellStyle name="표준 2 2 2 4" xfId="199"/>
    <cellStyle name="표준 2 2 2 4 2" xfId="942"/>
    <cellStyle name="표준 2 2 2 4 3" xfId="580"/>
    <cellStyle name="표준 2 2 2 5" xfId="335"/>
    <cellStyle name="표준 2 2 2 5 2" xfId="901"/>
    <cellStyle name="표준 2 2 2 6" xfId="347"/>
    <cellStyle name="표준 2 2 2 6 2" xfId="914"/>
    <cellStyle name="표준 2 2 2 7" xfId="419"/>
    <cellStyle name="표준 2 2 3" xfId="45"/>
    <cellStyle name="표준 2 2 3 2" xfId="953"/>
    <cellStyle name="표준 2 2 3 3" xfId="947"/>
    <cellStyle name="표준 2 2 4" xfId="125"/>
    <cellStyle name="표준 2 2 4 2" xfId="303"/>
    <cellStyle name="표준 2 2 4 2 2" xfId="868"/>
    <cellStyle name="표준 2 2 4 2 3" xfId="676"/>
    <cellStyle name="표준 2 2 4 3" xfId="236"/>
    <cellStyle name="표준 2 2 4 3 2" xfId="613"/>
    <cellStyle name="표준 2 2 4 4" xfId="1095"/>
    <cellStyle name="표준 2 2 4 5" xfId="537"/>
    <cellStyle name="표준 2 2 5" xfId="167"/>
    <cellStyle name="표준 2 2 5 2" xfId="280"/>
    <cellStyle name="표준 2 2 5 3" xfId="253"/>
    <cellStyle name="표준 2 2 5 3 2" xfId="630"/>
    <cellStyle name="표준 2 2 6" xfId="177"/>
    <cellStyle name="표준 2 2 6 2" xfId="270"/>
    <cellStyle name="표준 2 2 6 2 2" xfId="647"/>
    <cellStyle name="표준 2 2 6 3" xfId="562"/>
    <cellStyle name="표준 2 2 7" xfId="194"/>
    <cellStyle name="표준 2 2 7 2" xfId="575"/>
    <cellStyle name="표준 2 2 8" xfId="330"/>
    <cellStyle name="표준 2 2 8 2" xfId="909"/>
    <cellStyle name="표준 2 2 9" xfId="342"/>
    <cellStyle name="표준 2 22" xfId="181"/>
    <cellStyle name="표준 2 22 2" xfId="429"/>
    <cellStyle name="표준 2 3" xfId="42"/>
    <cellStyle name="표준 2 3 2" xfId="154"/>
    <cellStyle name="표준 2 3 2 2" xfId="983"/>
    <cellStyle name="표준 2 3 2 3" xfId="929"/>
    <cellStyle name="표준 2 3 3" xfId="801"/>
    <cellStyle name="표준 2 3 4" xfId="1024"/>
    <cellStyle name="표준 2 3 5" xfId="926"/>
    <cellStyle name="표준 2 4" xfId="52"/>
    <cellStyle name="표준 2 4 2" xfId="164"/>
    <cellStyle name="표준 2 4 3" xfId="806"/>
    <cellStyle name="표준 2 5" xfId="116"/>
    <cellStyle name="표준 2 6" xfId="147"/>
    <cellStyle name="표준 2 7" xfId="180"/>
    <cellStyle name="표준 2 7 2" xfId="279"/>
    <cellStyle name="표준 2 8" xfId="431"/>
    <cellStyle name="표준 3" xfId="11"/>
    <cellStyle name="표준 3 10" xfId="475"/>
    <cellStyle name="표준 3 2" xfId="43"/>
    <cellStyle name="표준 3 2 2" xfId="152"/>
    <cellStyle name="표준 3 2 2 2" xfId="190"/>
    <cellStyle name="표준 3 2 2 2 2" xfId="981"/>
    <cellStyle name="표준 3 2 2 3" xfId="930"/>
    <cellStyle name="표준 3 2 3" xfId="217"/>
    <cellStyle name="표준 3 2 4" xfId="208"/>
    <cellStyle name="표준 3 2 4 2" xfId="1022"/>
    <cellStyle name="표준 3 2 5" xfId="928"/>
    <cellStyle name="표준 3 3" xfId="49"/>
    <cellStyle name="표준 3 3 2" xfId="165"/>
    <cellStyle name="표준 3 3 3" xfId="804"/>
    <cellStyle name="표준 3 4" xfId="98"/>
    <cellStyle name="표준 3 5" xfId="114"/>
    <cellStyle name="표준 3 5 2" xfId="298"/>
    <cellStyle name="표준 3 5 2 2" xfId="863"/>
    <cellStyle name="표준 3 5 2 3" xfId="671"/>
    <cellStyle name="표준 3 5 3" xfId="230"/>
    <cellStyle name="표준 3 5 3 2" xfId="607"/>
    <cellStyle name="표준 3 5 4" xfId="1090"/>
    <cellStyle name="표준 3 5 5" xfId="531"/>
    <cellStyle name="표준 3 6" xfId="146"/>
    <cellStyle name="표준 3 7" xfId="212"/>
    <cellStyle name="표준 3 8" xfId="265"/>
    <cellStyle name="표준 3 8 2" xfId="837"/>
    <cellStyle name="표준 3 8 3" xfId="642"/>
    <cellStyle name="표준 3 9" xfId="484"/>
    <cellStyle name="표준 4" xfId="14"/>
    <cellStyle name="표준 4 2" xfId="148"/>
    <cellStyle name="표준 4 2 2" xfId="440"/>
    <cellStyle name="표준 4 2 2 2" xfId="978"/>
    <cellStyle name="표준 4 2 3" xfId="948"/>
    <cellStyle name="표준 4 2 4" xfId="934"/>
    <cellStyle name="표준 4 3" xfId="35"/>
    <cellStyle name="표준 4 3 2" xfId="319"/>
    <cellStyle name="표준 4 3 3" xfId="797"/>
    <cellStyle name="표준 4 4" xfId="941"/>
    <cellStyle name="표준 5" xfId="12"/>
    <cellStyle name="표준 5 2" xfId="124"/>
    <cellStyle name="표준 5 3" xfId="157"/>
    <cellStyle name="표준 5 4" xfId="44"/>
    <cellStyle name="표준 5 5" xfId="425"/>
    <cellStyle name="표준 5 5 2" xfId="945"/>
    <cellStyle name="표준 5 6" xfId="486"/>
    <cellStyle name="표준 6" xfId="23"/>
    <cellStyle name="표준 6 2" xfId="128"/>
    <cellStyle name="표준 6 2 2" xfId="305"/>
    <cellStyle name="표준 6 2 2 2" xfId="870"/>
    <cellStyle name="표준 6 2 2 3" xfId="678"/>
    <cellStyle name="표준 6 2 3" xfId="238"/>
    <cellStyle name="표준 6 2 3 2" xfId="615"/>
    <cellStyle name="표준 6 2 4" xfId="1097"/>
    <cellStyle name="표준 6 2 5" xfId="539"/>
    <cellStyle name="표준 6 3" xfId="161"/>
    <cellStyle name="표준 6 4" xfId="100"/>
    <cellStyle name="표준 6 5" xfId="272"/>
    <cellStyle name="표준 6 5 2" xfId="844"/>
    <cellStyle name="표준 6 5 3" xfId="649"/>
    <cellStyle name="표준 6 6" xfId="494"/>
    <cellStyle name="표준 7" xfId="28"/>
    <cellStyle name="표준 7 2" xfId="105"/>
    <cellStyle name="표준 7 3" xfId="441"/>
    <cellStyle name="표준 7 4" xfId="499"/>
    <cellStyle name="표준 8" xfId="108"/>
    <cellStyle name="표준 8 2" xfId="295"/>
    <cellStyle name="표준 8 2 2" xfId="861"/>
    <cellStyle name="표준 8 2 3" xfId="668"/>
    <cellStyle name="표준 8 3" xfId="227"/>
    <cellStyle name="표준 8 3 2" xfId="604"/>
    <cellStyle name="표준 8 4" xfId="1087"/>
    <cellStyle name="표준 8 5" xfId="528"/>
    <cellStyle name="표준 9" xfId="169"/>
    <cellStyle name="표준 9 2" xfId="276"/>
    <cellStyle name="표준 9 3" xfId="251"/>
    <cellStyle name="표준 9 3 2" xfId="628"/>
    <cellStyle name="표준 9 4" xfId="555"/>
    <cellStyle name="하이퍼링크" xfId="2" builtinId="8"/>
    <cellStyle name="하이퍼링크 2" xfId="118"/>
    <cellStyle name="하이퍼링크 2 2" xfId="325"/>
    <cellStyle name="하이퍼링크 2 2 2" xfId="888"/>
    <cellStyle name="하이퍼링크 2 2 3" xfId="817"/>
    <cellStyle name="하이퍼링크 2 3" xfId="1072"/>
    <cellStyle name="하이퍼링크 3" xfId="112"/>
    <cellStyle name="하이퍼링크 4" xfId="160"/>
    <cellStyle name="하이퍼링크 5" xfId="278"/>
    <cellStyle name="하이퍼링크 6" xfId="478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ill>
        <patternFill>
          <bgColor rgb="FFDDDDDD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color theme="1"/>
      </font>
      <fill>
        <patternFill>
          <bgColor rgb="FFEAEAEA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ill>
        <patternFill>
          <bgColor rgb="FFEAEAEA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9.9948118533890809E-2"/>
        </vertical>
        <horizontal style="thin">
          <color theme="0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fill>
        <patternFill>
          <bgColor theme="0" tint="-9.9948118533890809E-2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9" defaultTableStyle="TableStyleMedium2" defaultPivotStyle="PivotStyleLight16">
    <tableStyle name="Normal Style 1 - Accent 1" pivot="0" count="7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Light Style 1 - Accent 1" table="0" count="7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Invisible" pivot="0" table="0" count="0"/>
    <tableStyle name="표 스타일 1" pivot="0" count="3">
      <tableStyleElement type="wholeTable" dxfId="22"/>
      <tableStyleElement type="headerRow" dxfId="21"/>
      <tableStyleElement type="firstRowStripe" dxfId="20"/>
    </tableStyle>
    <tableStyle name="표 스타일 2" pivot="0" count="1">
      <tableStyleElement type="wholeTable" dxfId="19"/>
    </tableStyle>
    <tableStyle name="피벗 테이블 스타일 1" table="0" count="4">
      <tableStyleElement type="wholeTable" dxfId="18"/>
      <tableStyleElement type="headerRow" dxfId="17"/>
      <tableStyleElement type="pageFieldLabels" dxfId="16"/>
      <tableStyleElement type="pageFieldValues" dxfId="15"/>
    </tableStyle>
    <tableStyle name="피벗 테이블 스타일 1 2" table="0" count="4">
      <tableStyleElement type="wholeTable" dxfId="14"/>
      <tableStyleElement type="headerRow" dxfId="13"/>
      <tableStyleElement type="pageFieldLabels" dxfId="12"/>
      <tableStyleElement type="pageFieldValues" dxfId="11"/>
    </tableStyle>
    <tableStyle name="피벗 테이블 스타일 2" table="0" count="3">
      <tableStyleElement type="wholeTable" dxfId="10"/>
      <tableStyleElement type="pageFieldLabels" dxfId="9"/>
      <tableStyleElement type="pageFieldValues" dxfId="8"/>
    </tableStyle>
    <tableStyle name="피벗 테이블 스타일 3" table="0" count="4">
      <tableStyleElement type="wholeTable" dxfId="7"/>
      <tableStyleElement type="headerRow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xmlns="" id="{D66E3BC8-D096-412C-A31D-43EE80E528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xmlns="" id="{B25D381D-7BD6-4C7E-B6FC-9ABB6C1393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xmlns="" id="{97D005D1-0329-4785-9E23-B5AAB2E0F8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884795" y="5977890"/>
          <a:ext cx="681990" cy="7315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xmlns="" id="{20EC7902-ECD7-470F-BA1E-3C613C79F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xmlns="" id="{CAC01F4C-8244-45A9-9CFD-D49C63DAAB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20</xdr:row>
      <xdr:rowOff>148590</xdr:rowOff>
    </xdr:from>
    <xdr:to>
      <xdr:col>11</xdr:col>
      <xdr:colOff>518160</xdr:colOff>
      <xdr:row>24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xmlns="" id="{45368E7C-D150-465B-8FDC-323F0FEF54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03845" y="4358640"/>
          <a:ext cx="681990" cy="731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xmlns="" id="{A731AB7B-8687-4F84-995B-40C43CB822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xmlns="" id="{A5DA1C0C-2444-48DE-B4BC-573E24741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xmlns="" id="{C657ECE7-A22C-441F-AF1E-88A8272AF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99095" y="3882390"/>
          <a:ext cx="681990" cy="7315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xmlns="" id="{BE2F260C-652D-4E96-829B-3730EE610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xmlns="" id="{B83CF909-FCF0-4EB0-B363-CD99C1C576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502920</xdr:colOff>
      <xdr:row>19</xdr:row>
      <xdr:rowOff>148590</xdr:rowOff>
    </xdr:from>
    <xdr:to>
      <xdr:col>11</xdr:col>
      <xdr:colOff>518160</xdr:colOff>
      <xdr:row>23</xdr:row>
      <xdr:rowOff>41910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xmlns="" id="{5F22E4CE-589D-4BAE-98FB-153D45018D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03845" y="4358640"/>
          <a:ext cx="681990" cy="7315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2" name="그림 2" descr="로고_레진용(흑).png">
          <a:extLst>
            <a:ext uri="{FF2B5EF4-FFF2-40B4-BE49-F238E27FC236}">
              <a16:creationId xmlns:a16="http://schemas.microsoft.com/office/drawing/2014/main" xmlns="" id="{34D6A2E5-8473-4B3C-B75F-20E23EC751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0</xdr:col>
      <xdr:colOff>487680</xdr:colOff>
      <xdr:row>0</xdr:row>
      <xdr:rowOff>167640</xdr:rowOff>
    </xdr:from>
    <xdr:to>
      <xdr:col>3</xdr:col>
      <xdr:colOff>146685</xdr:colOff>
      <xdr:row>4</xdr:row>
      <xdr:rowOff>135255</xdr:rowOff>
    </xdr:to>
    <xdr:pic>
      <xdr:nvPicPr>
        <xdr:cNvPr id="3" name="그림 4" descr="로고_레진용(흑).png">
          <a:extLst>
            <a:ext uri="{FF2B5EF4-FFF2-40B4-BE49-F238E27FC236}">
              <a16:creationId xmlns:a16="http://schemas.microsoft.com/office/drawing/2014/main" xmlns="" id="{0E40E531-6734-4AEF-91A7-7FA89D4CF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487680" y="167640"/>
          <a:ext cx="1878330" cy="815340"/>
        </a:xfrm>
        <a:prstGeom prst="rect">
          <a:avLst/>
        </a:prstGeom>
      </xdr:spPr>
    </xdr:pic>
    <xdr:clientData/>
  </xdr:twoCellAnchor>
  <xdr:twoCellAnchor editAs="oneCell">
    <xdr:from>
      <xdr:col>10</xdr:col>
      <xdr:colOff>598170</xdr:colOff>
      <xdr:row>18</xdr:row>
      <xdr:rowOff>91440</xdr:rowOff>
    </xdr:from>
    <xdr:to>
      <xdr:col>11</xdr:col>
      <xdr:colOff>613410</xdr:colOff>
      <xdr:row>21</xdr:row>
      <xdr:rowOff>194310</xdr:rowOff>
    </xdr:to>
    <xdr:pic>
      <xdr:nvPicPr>
        <xdr:cNvPr id="4" name="그림 5">
          <a:extLst>
            <a:ext uri="{FF2B5EF4-FFF2-40B4-BE49-F238E27FC236}">
              <a16:creationId xmlns:a16="http://schemas.microsoft.com/office/drawing/2014/main" xmlns="" id="{959E6546-3C60-4163-B4E7-E733BC127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7999095" y="3882390"/>
          <a:ext cx="681990" cy="731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zoomScaleNormal="100" zoomScaleSheetLayoutView="75" workbookViewId="0">
      <selection activeCell="L8" sqref="L8"/>
    </sheetView>
  </sheetViews>
  <sheetFormatPr defaultColWidth="8.69921875" defaultRowHeight="17.399999999999999"/>
  <cols>
    <col min="1" max="2" width="8.69921875" style="28"/>
    <col min="3" max="3" width="11.59765625" style="28" customWidth="1"/>
    <col min="4" max="4" width="10.19921875" style="28" bestFit="1" customWidth="1"/>
    <col min="5" max="5" width="9.8984375" style="28" customWidth="1"/>
    <col min="6" max="6" width="10.69921875" style="28" bestFit="1" customWidth="1"/>
    <col min="7" max="7" width="10.8984375" style="28" bestFit="1" customWidth="1"/>
    <col min="8" max="16384" width="8.699218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134" t="s">
        <v>22</v>
      </c>
      <c r="D3" s="134"/>
      <c r="E3" s="134"/>
      <c r="F3" s="134"/>
      <c r="G3" s="134"/>
      <c r="H3" s="134"/>
      <c r="I3" s="134"/>
      <c r="J3" s="134"/>
      <c r="K3" s="134"/>
      <c r="L3" s="134"/>
      <c r="M3" s="1"/>
    </row>
    <row r="4" spans="1:13" ht="18" thickBot="1">
      <c r="A4" s="5"/>
      <c r="B4" s="7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"/>
    </row>
    <row r="5" spans="1:13" ht="18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60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136" t="s">
        <v>21</v>
      </c>
      <c r="E7" s="136"/>
      <c r="F7" s="136"/>
      <c r="G7" s="136"/>
      <c r="H7" s="13" t="s">
        <v>25</v>
      </c>
      <c r="I7" s="136" t="s">
        <v>61</v>
      </c>
      <c r="J7" s="136"/>
      <c r="K7" s="136"/>
      <c r="L7" s="14"/>
      <c r="M7" s="15"/>
    </row>
    <row r="8" spans="1:13">
      <c r="A8" s="16"/>
      <c r="B8" s="17"/>
      <c r="C8" s="18" t="s">
        <v>4</v>
      </c>
      <c r="D8" s="136" t="s">
        <v>62</v>
      </c>
      <c r="E8" s="136"/>
      <c r="F8" s="136"/>
      <c r="G8" s="136"/>
      <c r="H8" s="18" t="s">
        <v>28</v>
      </c>
      <c r="I8" s="137" t="s">
        <v>64</v>
      </c>
      <c r="J8" s="137"/>
      <c r="K8" s="13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133" t="s">
        <v>27</v>
      </c>
      <c r="D12" s="133"/>
      <c r="E12" s="133"/>
      <c r="F12" s="133"/>
      <c r="G12" s="133"/>
      <c r="H12" s="133"/>
      <c r="I12" s="133"/>
      <c r="J12" s="133"/>
      <c r="K12" s="133"/>
      <c r="L12" s="2"/>
      <c r="M12" s="1"/>
    </row>
    <row r="13" spans="1:13">
      <c r="A13" s="2"/>
      <c r="B13" s="2"/>
      <c r="C13" s="45" t="s">
        <v>1</v>
      </c>
      <c r="D13" s="128" t="s">
        <v>5</v>
      </c>
      <c r="E13" s="129"/>
      <c r="F13" s="45" t="s">
        <v>12</v>
      </c>
      <c r="G13" s="45" t="s">
        <v>10</v>
      </c>
      <c r="H13" s="122" t="s">
        <v>26</v>
      </c>
      <c r="I13" s="123"/>
      <c r="J13" s="124" t="s">
        <v>6</v>
      </c>
      <c r="K13" s="124"/>
      <c r="L13" s="2"/>
      <c r="M13" s="1"/>
    </row>
    <row r="14" spans="1:13">
      <c r="A14" s="2"/>
      <c r="B14" s="2"/>
      <c r="C14" s="46" t="s">
        <v>63</v>
      </c>
      <c r="D14" s="130">
        <v>9806940</v>
      </c>
      <c r="E14" s="130"/>
      <c r="F14" s="4">
        <v>4092147</v>
      </c>
      <c r="G14" s="3">
        <v>0</v>
      </c>
      <c r="H14" s="131">
        <f>(F14-G14)*0.9</f>
        <v>3682932.3000000003</v>
      </c>
      <c r="I14" s="131"/>
      <c r="J14" s="132">
        <f>(F14-G14)*0.1</f>
        <v>409214.7</v>
      </c>
      <c r="K14" s="132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119" t="s">
        <v>65</v>
      </c>
      <c r="E16" s="120"/>
      <c r="F16" s="120"/>
      <c r="G16" s="121"/>
      <c r="H16" s="122" t="s">
        <v>26</v>
      </c>
      <c r="I16" s="123"/>
      <c r="J16" s="124" t="s">
        <v>6</v>
      </c>
      <c r="K16" s="124"/>
    </row>
    <row r="17" spans="1:13">
      <c r="A17" s="32"/>
      <c r="B17" s="32"/>
      <c r="C17" s="48" t="s">
        <v>63</v>
      </c>
      <c r="D17" s="125">
        <f>F14</f>
        <v>4092147</v>
      </c>
      <c r="E17" s="126"/>
      <c r="F17" s="126"/>
      <c r="G17" s="127"/>
      <c r="H17" s="118">
        <f>D17*0.9</f>
        <v>3682932.3000000003</v>
      </c>
      <c r="I17" s="118"/>
      <c r="J17" s="118">
        <f>D17*0.1</f>
        <v>409214.7</v>
      </c>
      <c r="K17" s="118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J17:K17"/>
    <mergeCell ref="D16:G16"/>
    <mergeCell ref="H16:I16"/>
    <mergeCell ref="J16:K16"/>
    <mergeCell ref="D17:G17"/>
    <mergeCell ref="H17:I17"/>
  </mergeCells>
  <phoneticPr fontId="3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Normal="100" zoomScaleSheetLayoutView="75" workbookViewId="0">
      <selection activeCell="L14" sqref="L14"/>
    </sheetView>
  </sheetViews>
  <sheetFormatPr defaultColWidth="8.69921875" defaultRowHeight="17.399999999999999"/>
  <cols>
    <col min="1" max="2" width="8.69921875" style="28"/>
    <col min="3" max="3" width="11.59765625" style="28" customWidth="1"/>
    <col min="4" max="4" width="10.19921875" style="28" bestFit="1" customWidth="1"/>
    <col min="5" max="5" width="9.8984375" style="28" customWidth="1"/>
    <col min="6" max="6" width="10.69921875" style="28" bestFit="1" customWidth="1"/>
    <col min="7" max="7" width="10.8984375" style="28" bestFit="1" customWidth="1"/>
    <col min="8" max="16384" width="8.699218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134" t="s">
        <v>22</v>
      </c>
      <c r="D3" s="134"/>
      <c r="E3" s="134"/>
      <c r="F3" s="134"/>
      <c r="G3" s="134"/>
      <c r="H3" s="134"/>
      <c r="I3" s="134"/>
      <c r="J3" s="134"/>
      <c r="K3" s="134"/>
      <c r="L3" s="134"/>
      <c r="M3" s="1"/>
    </row>
    <row r="4" spans="1:13" ht="18" thickBot="1">
      <c r="A4" s="5"/>
      <c r="B4" s="7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"/>
    </row>
    <row r="5" spans="1:13" ht="18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60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136" t="s">
        <v>21</v>
      </c>
      <c r="E7" s="136"/>
      <c r="F7" s="136"/>
      <c r="G7" s="136"/>
      <c r="H7" s="13" t="s">
        <v>25</v>
      </c>
      <c r="I7" s="136" t="s">
        <v>61</v>
      </c>
      <c r="J7" s="136"/>
      <c r="K7" s="136"/>
      <c r="L7" s="14"/>
      <c r="M7" s="15"/>
    </row>
    <row r="8" spans="1:13">
      <c r="A8" s="16"/>
      <c r="B8" s="17"/>
      <c r="C8" s="18" t="s">
        <v>4</v>
      </c>
      <c r="D8" s="136" t="s">
        <v>62</v>
      </c>
      <c r="E8" s="136"/>
      <c r="F8" s="136"/>
      <c r="G8" s="136"/>
      <c r="H8" s="18" t="s">
        <v>28</v>
      </c>
      <c r="I8" s="137" t="s">
        <v>64</v>
      </c>
      <c r="J8" s="137"/>
      <c r="K8" s="13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133" t="s">
        <v>52</v>
      </c>
      <c r="D12" s="133"/>
      <c r="E12" s="133"/>
      <c r="F12" s="133"/>
      <c r="G12" s="133"/>
      <c r="H12" s="133"/>
      <c r="I12" s="133"/>
      <c r="J12" s="133"/>
      <c r="K12" s="133"/>
      <c r="L12" s="2"/>
      <c r="M12" s="1"/>
    </row>
    <row r="13" spans="1:13">
      <c r="A13" s="2"/>
      <c r="B13" s="2"/>
      <c r="C13" s="45" t="s">
        <v>1</v>
      </c>
      <c r="D13" s="41" t="s">
        <v>48</v>
      </c>
      <c r="E13" s="144" t="s">
        <v>51</v>
      </c>
      <c r="F13" s="145"/>
      <c r="G13" s="146"/>
      <c r="H13" s="122" t="s">
        <v>26</v>
      </c>
      <c r="I13" s="123"/>
      <c r="J13" s="124" t="s">
        <v>6</v>
      </c>
      <c r="K13" s="124"/>
      <c r="L13" s="2"/>
      <c r="M13" s="1"/>
    </row>
    <row r="14" spans="1:13">
      <c r="A14" s="2"/>
      <c r="B14" s="2"/>
      <c r="C14" s="147" t="s">
        <v>63</v>
      </c>
      <c r="D14" s="42" t="s">
        <v>49</v>
      </c>
      <c r="E14" s="149">
        <v>414973</v>
      </c>
      <c r="F14" s="150"/>
      <c r="G14" s="151"/>
      <c r="H14" s="152">
        <f>E14*0.9</f>
        <v>373475.7</v>
      </c>
      <c r="I14" s="152"/>
      <c r="J14" s="152">
        <f>E14*0.1</f>
        <v>41497.300000000003</v>
      </c>
      <c r="K14" s="152"/>
      <c r="L14" s="2"/>
      <c r="M14" s="1"/>
    </row>
    <row r="15" spans="1:13">
      <c r="A15" s="2"/>
      <c r="B15" s="2"/>
      <c r="C15" s="148"/>
      <c r="D15" s="43" t="s">
        <v>50</v>
      </c>
      <c r="E15" s="153"/>
      <c r="F15" s="154"/>
      <c r="G15" s="155"/>
      <c r="H15" s="156"/>
      <c r="I15" s="156"/>
      <c r="J15" s="138"/>
      <c r="K15" s="138"/>
      <c r="L15" s="2"/>
      <c r="M15" s="1"/>
    </row>
    <row r="16" spans="1:13">
      <c r="A16" s="2"/>
      <c r="B16" s="2"/>
      <c r="C16" s="47"/>
    </row>
    <row r="17" spans="1:13">
      <c r="A17" s="2"/>
      <c r="B17" s="2"/>
      <c r="C17" s="66" t="s">
        <v>1</v>
      </c>
      <c r="D17" s="139" t="s">
        <v>68</v>
      </c>
      <c r="E17" s="139"/>
      <c r="F17" s="139"/>
      <c r="G17" s="139"/>
      <c r="H17" s="140" t="s">
        <v>69</v>
      </c>
      <c r="I17" s="141"/>
      <c r="J17" s="142" t="s">
        <v>70</v>
      </c>
      <c r="K17" s="143"/>
    </row>
    <row r="18" spans="1:13">
      <c r="A18" s="32"/>
      <c r="B18" s="32"/>
      <c r="C18" s="157" t="s">
        <v>71</v>
      </c>
      <c r="D18" s="158">
        <f>E14</f>
        <v>414973</v>
      </c>
      <c r="E18" s="159"/>
      <c r="F18" s="159"/>
      <c r="G18" s="159"/>
      <c r="H18" s="160">
        <f>D18*0.9</f>
        <v>373475.7</v>
      </c>
      <c r="I18" s="161"/>
      <c r="J18" s="162">
        <f>D18*0.1</f>
        <v>41497.300000000003</v>
      </c>
      <c r="K18" s="163"/>
    </row>
    <row r="19" spans="1:13">
      <c r="A19" s="32"/>
      <c r="B19" s="32"/>
      <c r="C19" s="157"/>
      <c r="D19" s="139" t="s">
        <v>72</v>
      </c>
      <c r="E19" s="139"/>
      <c r="F19" s="139"/>
      <c r="G19" s="139"/>
      <c r="H19" s="164" t="s">
        <v>73</v>
      </c>
      <c r="I19" s="165"/>
      <c r="J19" s="166" t="s">
        <v>74</v>
      </c>
      <c r="K19" s="166"/>
    </row>
    <row r="20" spans="1:13">
      <c r="A20" s="32"/>
      <c r="B20" s="32"/>
      <c r="C20" s="157"/>
      <c r="D20" s="167">
        <f>J18</f>
        <v>41497.300000000003</v>
      </c>
      <c r="E20" s="168"/>
      <c r="F20" s="168"/>
      <c r="G20" s="168"/>
      <c r="H20" s="167">
        <f>D20*0.1</f>
        <v>4149.7300000000005</v>
      </c>
      <c r="I20" s="167"/>
      <c r="J20" s="167">
        <f>D20+H20</f>
        <v>45647.030000000006</v>
      </c>
      <c r="K20" s="168"/>
      <c r="L20" s="1"/>
    </row>
    <row r="21" spans="1:13">
      <c r="A21" s="32"/>
      <c r="B21" s="32"/>
      <c r="D21" s="1"/>
      <c r="E21" s="1"/>
      <c r="F21" s="1"/>
      <c r="G21" s="1"/>
      <c r="H21" s="1"/>
      <c r="I21" s="1"/>
      <c r="J21" s="1"/>
      <c r="K21" s="1"/>
      <c r="L21" s="1"/>
    </row>
    <row r="22" spans="1:13">
      <c r="A22" s="2"/>
      <c r="B22" s="1"/>
      <c r="C22" s="52" t="s">
        <v>67</v>
      </c>
      <c r="D22" s="1"/>
      <c r="E22" s="1"/>
      <c r="F22" s="1"/>
      <c r="G22" s="1"/>
      <c r="H22" s="1"/>
      <c r="I22" s="1"/>
      <c r="K22" s="1"/>
      <c r="L22" s="1"/>
      <c r="M22" s="1"/>
    </row>
    <row r="23" spans="1:13">
      <c r="A23" s="2"/>
      <c r="B23" s="1"/>
      <c r="C23" s="53" t="s">
        <v>0</v>
      </c>
      <c r="D23" s="1"/>
      <c r="E23" s="1"/>
      <c r="F23" s="1"/>
      <c r="G23" s="1"/>
      <c r="H23" s="1"/>
      <c r="I23" s="1"/>
      <c r="J23" s="27" t="s">
        <v>24</v>
      </c>
      <c r="K23" s="1"/>
      <c r="L23" s="1"/>
      <c r="M23" s="1"/>
    </row>
    <row r="24" spans="1:13">
      <c r="A24" s="2"/>
      <c r="B24" s="1"/>
      <c r="M24" s="1"/>
    </row>
    <row r="25" spans="1:13">
      <c r="A25" s="2"/>
      <c r="B25" s="1"/>
      <c r="M25" s="1"/>
    </row>
    <row r="26" spans="1:13">
      <c r="A26" s="1"/>
      <c r="B26" s="1"/>
      <c r="M26" s="1"/>
    </row>
    <row r="27" spans="1:13">
      <c r="A27" s="1"/>
      <c r="B27" s="1"/>
      <c r="M27" s="1"/>
    </row>
  </sheetData>
  <mergeCells count="29">
    <mergeCell ref="C18:C20"/>
    <mergeCell ref="D18:G18"/>
    <mergeCell ref="H18:I18"/>
    <mergeCell ref="J18:K18"/>
    <mergeCell ref="D19:G19"/>
    <mergeCell ref="H19:I19"/>
    <mergeCell ref="J19:K19"/>
    <mergeCell ref="D20:G20"/>
    <mergeCell ref="H20:I20"/>
    <mergeCell ref="J20:K20"/>
    <mergeCell ref="J15:K15"/>
    <mergeCell ref="D17:G17"/>
    <mergeCell ref="H17:I17"/>
    <mergeCell ref="J17:K17"/>
    <mergeCell ref="C12:K12"/>
    <mergeCell ref="E13:G13"/>
    <mergeCell ref="H13:I13"/>
    <mergeCell ref="J13:K13"/>
    <mergeCell ref="C14:C15"/>
    <mergeCell ref="E14:G14"/>
    <mergeCell ref="H14:I14"/>
    <mergeCell ref="J14:K14"/>
    <mergeCell ref="E15:G15"/>
    <mergeCell ref="H15:I15"/>
    <mergeCell ref="C3:L4"/>
    <mergeCell ref="D7:G7"/>
    <mergeCell ref="I7:K7"/>
    <mergeCell ref="D8:G8"/>
    <mergeCell ref="I8:K8"/>
  </mergeCells>
  <phoneticPr fontId="3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5"/>
  <sheetViews>
    <sheetView zoomScaleNormal="100" zoomScaleSheetLayoutView="75" workbookViewId="0">
      <selection activeCell="L8" sqref="L8"/>
    </sheetView>
  </sheetViews>
  <sheetFormatPr defaultColWidth="8.69921875" defaultRowHeight="17.399999999999999"/>
  <cols>
    <col min="1" max="1" width="20.09765625" style="28" bestFit="1" customWidth="1"/>
    <col min="2" max="2" width="20.5" style="28" bestFit="1" customWidth="1"/>
    <col min="3" max="3" width="15.09765625" style="28" bestFit="1" customWidth="1"/>
    <col min="4" max="4" width="8.69921875" style="28"/>
    <col min="5" max="6" width="12.69921875" style="28" bestFit="1" customWidth="1"/>
    <col min="7" max="7" width="15.8984375" style="28" bestFit="1" customWidth="1"/>
    <col min="8" max="9" width="14.59765625" style="28" bestFit="1" customWidth="1"/>
    <col min="10" max="10" width="13" style="28" bestFit="1" customWidth="1"/>
    <col min="11" max="11" width="12.19921875" style="28" bestFit="1" customWidth="1"/>
    <col min="12" max="12" width="14" style="28" bestFit="1" customWidth="1"/>
    <col min="13" max="13" width="13" style="28" bestFit="1" customWidth="1"/>
    <col min="14" max="14" width="10.5" style="28" customWidth="1"/>
    <col min="15" max="15" width="11.19921875" style="28" bestFit="1" customWidth="1"/>
    <col min="16" max="18" width="13" style="28" bestFit="1" customWidth="1"/>
    <col min="19" max="19" width="14" style="28" bestFit="1" customWidth="1"/>
    <col min="20" max="20" width="11.19921875" style="28" bestFit="1" customWidth="1"/>
    <col min="21" max="21" width="13" style="28" bestFit="1" customWidth="1"/>
    <col min="22" max="22" width="16.69921875" style="28" bestFit="1" customWidth="1"/>
    <col min="23" max="23" width="15.19921875" style="28" bestFit="1" customWidth="1"/>
    <col min="24" max="24" width="15.5" style="28" customWidth="1"/>
    <col min="25" max="25" width="12.3984375" style="28" bestFit="1" customWidth="1"/>
    <col min="26" max="16384" width="8.69921875" style="28"/>
  </cols>
  <sheetData>
    <row r="1" spans="1:24" s="29" customFormat="1" ht="25.2">
      <c r="A1" s="30" t="s">
        <v>46</v>
      </c>
    </row>
    <row r="2" spans="1:24">
      <c r="A2" s="31" t="s">
        <v>20</v>
      </c>
      <c r="B2" s="31" t="s">
        <v>11</v>
      </c>
      <c r="C2" s="31" t="s">
        <v>47</v>
      </c>
      <c r="D2" s="31" t="s">
        <v>2</v>
      </c>
      <c r="E2" s="37" t="s">
        <v>29</v>
      </c>
      <c r="F2" s="36" t="s">
        <v>30</v>
      </c>
      <c r="G2" s="36" t="s">
        <v>31</v>
      </c>
      <c r="H2" s="34" t="s">
        <v>32</v>
      </c>
      <c r="I2" s="35" t="s">
        <v>33</v>
      </c>
      <c r="J2" s="35" t="s">
        <v>34</v>
      </c>
      <c r="K2" s="31" t="s">
        <v>17</v>
      </c>
      <c r="L2" s="31" t="s">
        <v>9</v>
      </c>
      <c r="M2" s="34" t="s">
        <v>35</v>
      </c>
      <c r="N2" s="35" t="s">
        <v>36</v>
      </c>
      <c r="O2" s="31" t="s">
        <v>15</v>
      </c>
      <c r="P2" s="31" t="s">
        <v>18</v>
      </c>
      <c r="Q2" s="34" t="s">
        <v>37</v>
      </c>
      <c r="R2" s="35" t="s">
        <v>38</v>
      </c>
      <c r="S2" s="36" t="s">
        <v>39</v>
      </c>
      <c r="T2" s="36" t="s">
        <v>40</v>
      </c>
      <c r="U2" s="40" t="s">
        <v>41</v>
      </c>
      <c r="V2" s="36" t="s">
        <v>42</v>
      </c>
      <c r="W2" s="36" t="s">
        <v>43</v>
      </c>
      <c r="X2" s="38" t="s">
        <v>44</v>
      </c>
    </row>
    <row r="3" spans="1:24">
      <c r="A3" s="54" t="s">
        <v>3</v>
      </c>
      <c r="B3" s="54" t="s">
        <v>13</v>
      </c>
      <c r="C3" s="55"/>
      <c r="D3" s="54" t="s">
        <v>8</v>
      </c>
      <c r="E3" s="56" t="s">
        <v>13</v>
      </c>
      <c r="F3" s="56" t="s">
        <v>14</v>
      </c>
      <c r="G3" s="56"/>
      <c r="H3" s="57"/>
      <c r="I3" s="57"/>
      <c r="J3" s="57"/>
      <c r="K3" s="57">
        <v>36651</v>
      </c>
      <c r="L3" s="58" t="s">
        <v>19</v>
      </c>
      <c r="M3" s="59">
        <v>6597180</v>
      </c>
      <c r="N3" s="59">
        <v>2968731</v>
      </c>
      <c r="O3" s="57">
        <v>17832</v>
      </c>
      <c r="P3" s="58" t="s">
        <v>16</v>
      </c>
      <c r="Q3" s="59">
        <v>3209760</v>
      </c>
      <c r="R3" s="59">
        <v>1123416</v>
      </c>
      <c r="S3" s="59">
        <v>4092147</v>
      </c>
      <c r="T3" s="59">
        <v>9806940</v>
      </c>
      <c r="U3" s="51"/>
      <c r="V3" s="60">
        <v>4092147</v>
      </c>
      <c r="W3" s="60">
        <v>4092147</v>
      </c>
      <c r="X3" s="60">
        <v>4092147</v>
      </c>
    </row>
    <row r="5" spans="1:24" s="169" customFormat="1" ht="26.25" customHeight="1">
      <c r="A5" s="169" t="s">
        <v>53</v>
      </c>
    </row>
    <row r="6" spans="1:24">
      <c r="A6" s="68" t="s">
        <v>54</v>
      </c>
      <c r="B6" s="68" t="s">
        <v>55</v>
      </c>
      <c r="C6" s="68" t="s">
        <v>56</v>
      </c>
      <c r="D6" s="68" t="s">
        <v>57</v>
      </c>
      <c r="E6" s="50"/>
      <c r="F6" s="49"/>
    </row>
    <row r="7" spans="1:24">
      <c r="A7" s="61" t="s">
        <v>58</v>
      </c>
      <c r="B7" s="61">
        <v>310.76</v>
      </c>
      <c r="C7" s="62">
        <v>414973</v>
      </c>
      <c r="D7" s="61" t="s">
        <v>59</v>
      </c>
      <c r="E7" s="49"/>
    </row>
    <row r="8" spans="1:24">
      <c r="A8" s="67" t="s">
        <v>75</v>
      </c>
      <c r="B8" s="67" t="s">
        <v>76</v>
      </c>
      <c r="C8" s="67" t="s">
        <v>77</v>
      </c>
      <c r="D8" s="67" t="s">
        <v>78</v>
      </c>
      <c r="E8" s="67" t="s">
        <v>79</v>
      </c>
      <c r="F8" s="67" t="s">
        <v>80</v>
      </c>
    </row>
    <row r="9" spans="1:24">
      <c r="A9" s="170" t="s">
        <v>81</v>
      </c>
      <c r="B9" s="65" t="s">
        <v>82</v>
      </c>
      <c r="C9" s="65" t="s">
        <v>83</v>
      </c>
      <c r="D9" s="65">
        <v>0</v>
      </c>
      <c r="E9" s="65">
        <v>0.17</v>
      </c>
      <c r="F9" s="65">
        <v>0</v>
      </c>
      <c r="G9" s="39"/>
    </row>
    <row r="10" spans="1:24">
      <c r="A10" s="171"/>
      <c r="B10" s="65" t="s">
        <v>82</v>
      </c>
      <c r="C10" s="65" t="s">
        <v>84</v>
      </c>
      <c r="D10" s="65">
        <v>0</v>
      </c>
      <c r="E10" s="65">
        <v>0.12</v>
      </c>
      <c r="F10" s="65">
        <v>0</v>
      </c>
      <c r="G10" s="39"/>
    </row>
    <row r="11" spans="1:24">
      <c r="A11" s="171"/>
      <c r="B11" s="65" t="s">
        <v>82</v>
      </c>
      <c r="C11" s="65" t="s">
        <v>85</v>
      </c>
      <c r="D11" s="65">
        <v>0</v>
      </c>
      <c r="E11" s="65">
        <v>0.12</v>
      </c>
      <c r="F11" s="65">
        <v>0</v>
      </c>
    </row>
    <row r="12" spans="1:24">
      <c r="A12" s="172"/>
      <c r="B12" s="65" t="s">
        <v>86</v>
      </c>
      <c r="C12" s="63"/>
      <c r="D12" s="65">
        <v>0</v>
      </c>
      <c r="E12" s="63"/>
      <c r="F12" s="65">
        <v>0</v>
      </c>
    </row>
    <row r="13" spans="1:24">
      <c r="A13" s="65" t="s">
        <v>87</v>
      </c>
      <c r="B13" s="63"/>
      <c r="C13" s="63"/>
      <c r="D13" s="65">
        <v>0</v>
      </c>
      <c r="E13" s="63"/>
      <c r="F13" s="65">
        <v>0</v>
      </c>
    </row>
    <row r="14" spans="1:24">
      <c r="A14" s="67" t="s">
        <v>75</v>
      </c>
      <c r="B14" s="67" t="s">
        <v>76</v>
      </c>
      <c r="C14" s="67" t="s">
        <v>77</v>
      </c>
      <c r="D14" s="67" t="s">
        <v>78</v>
      </c>
      <c r="E14" s="67" t="s">
        <v>79</v>
      </c>
      <c r="F14" s="67" t="s">
        <v>80</v>
      </c>
    </row>
    <row r="15" spans="1:24">
      <c r="A15" s="170" t="s">
        <v>58</v>
      </c>
      <c r="B15" s="65" t="s">
        <v>82</v>
      </c>
      <c r="C15" s="65" t="s">
        <v>83</v>
      </c>
      <c r="D15" s="64">
        <v>4570</v>
      </c>
      <c r="E15" s="65">
        <v>0.17</v>
      </c>
      <c r="F15" s="65">
        <v>776.9</v>
      </c>
    </row>
    <row r="16" spans="1:24">
      <c r="A16" s="171"/>
      <c r="B16" s="65" t="s">
        <v>82</v>
      </c>
      <c r="C16" s="65" t="s">
        <v>84</v>
      </c>
      <c r="D16" s="65">
        <v>0</v>
      </c>
      <c r="E16" s="65">
        <v>0.12</v>
      </c>
      <c r="F16" s="65">
        <v>0</v>
      </c>
    </row>
    <row r="17" spans="1:6">
      <c r="A17" s="171"/>
      <c r="B17" s="65" t="s">
        <v>82</v>
      </c>
      <c r="C17" s="65" t="s">
        <v>85</v>
      </c>
      <c r="D17" s="65">
        <v>0</v>
      </c>
      <c r="E17" s="65">
        <v>0.12</v>
      </c>
      <c r="F17" s="65">
        <v>0</v>
      </c>
    </row>
    <row r="18" spans="1:6">
      <c r="A18" s="172"/>
      <c r="B18" s="65" t="s">
        <v>86</v>
      </c>
      <c r="C18" s="63"/>
      <c r="D18" s="64">
        <v>4570</v>
      </c>
      <c r="E18" s="63"/>
      <c r="F18" s="65">
        <v>776.9</v>
      </c>
    </row>
    <row r="19" spans="1:6">
      <c r="A19" s="65" t="s">
        <v>87</v>
      </c>
      <c r="B19" s="63"/>
      <c r="C19" s="63"/>
      <c r="D19" s="64">
        <v>4570</v>
      </c>
      <c r="E19" s="63"/>
      <c r="F19" s="65">
        <v>776.9</v>
      </c>
    </row>
    <row r="20" spans="1:6" ht="31.2">
      <c r="A20" s="69" t="s">
        <v>88</v>
      </c>
      <c r="B20" s="69" t="s">
        <v>89</v>
      </c>
      <c r="C20" s="69" t="s">
        <v>90</v>
      </c>
      <c r="D20" s="69" t="s">
        <v>91</v>
      </c>
    </row>
    <row r="21" spans="1:6">
      <c r="A21" s="70">
        <v>44682</v>
      </c>
      <c r="B21" s="71">
        <v>814</v>
      </c>
      <c r="C21" s="71">
        <v>129</v>
      </c>
      <c r="D21" s="71">
        <v>533</v>
      </c>
    </row>
    <row r="22" spans="1:6">
      <c r="A22" s="70">
        <v>44683</v>
      </c>
      <c r="B22" s="71">
        <v>198</v>
      </c>
      <c r="C22" s="71">
        <v>40</v>
      </c>
      <c r="D22" s="71">
        <v>114</v>
      </c>
    </row>
    <row r="23" spans="1:6">
      <c r="A23" s="70">
        <v>44684</v>
      </c>
      <c r="B23" s="71">
        <v>167</v>
      </c>
      <c r="C23" s="71">
        <v>38</v>
      </c>
      <c r="D23" s="71">
        <v>57</v>
      </c>
    </row>
    <row r="24" spans="1:6">
      <c r="A24" s="70">
        <v>44685</v>
      </c>
      <c r="B24" s="71">
        <v>147</v>
      </c>
      <c r="C24" s="71">
        <v>34</v>
      </c>
      <c r="D24" s="71">
        <v>50</v>
      </c>
    </row>
    <row r="25" spans="1:6">
      <c r="A25" s="70">
        <v>44686</v>
      </c>
      <c r="B25" s="71">
        <v>119</v>
      </c>
      <c r="C25" s="71">
        <v>16</v>
      </c>
      <c r="D25" s="71">
        <v>50</v>
      </c>
    </row>
    <row r="26" spans="1:6">
      <c r="A26" s="70">
        <v>44687</v>
      </c>
      <c r="B26" s="71">
        <v>134</v>
      </c>
      <c r="C26" s="71">
        <v>38</v>
      </c>
      <c r="D26" s="71">
        <v>157</v>
      </c>
    </row>
    <row r="27" spans="1:6">
      <c r="A27" s="70">
        <v>44688</v>
      </c>
      <c r="B27" s="71">
        <v>145</v>
      </c>
      <c r="C27" s="71">
        <v>50</v>
      </c>
      <c r="D27" s="71">
        <v>134</v>
      </c>
    </row>
    <row r="28" spans="1:6">
      <c r="A28" s="70">
        <v>44689</v>
      </c>
      <c r="B28" s="71">
        <v>751</v>
      </c>
      <c r="C28" s="71">
        <v>120</v>
      </c>
      <c r="D28" s="71">
        <v>724</v>
      </c>
    </row>
    <row r="29" spans="1:6">
      <c r="A29" s="70">
        <v>44690</v>
      </c>
      <c r="B29" s="71">
        <v>235</v>
      </c>
      <c r="C29" s="71">
        <v>30</v>
      </c>
      <c r="D29" s="71">
        <v>142</v>
      </c>
    </row>
    <row r="30" spans="1:6">
      <c r="A30" s="70">
        <v>44691</v>
      </c>
      <c r="B30" s="71">
        <v>107</v>
      </c>
      <c r="C30" s="71">
        <v>8</v>
      </c>
      <c r="D30" s="71">
        <v>21</v>
      </c>
    </row>
    <row r="31" spans="1:6">
      <c r="A31" s="70">
        <v>44692</v>
      </c>
      <c r="B31" s="71">
        <v>127</v>
      </c>
      <c r="C31" s="71">
        <v>34</v>
      </c>
      <c r="D31" s="71">
        <v>53</v>
      </c>
    </row>
    <row r="32" spans="1:6">
      <c r="A32" s="70">
        <v>44693</v>
      </c>
      <c r="B32" s="71">
        <v>63</v>
      </c>
      <c r="C32" s="71">
        <v>22</v>
      </c>
      <c r="D32" s="71">
        <v>38</v>
      </c>
    </row>
    <row r="33" spans="1:4">
      <c r="A33" s="70">
        <v>44694</v>
      </c>
      <c r="B33" s="71">
        <v>108</v>
      </c>
      <c r="C33" s="71">
        <v>27</v>
      </c>
      <c r="D33" s="71">
        <v>168</v>
      </c>
    </row>
    <row r="34" spans="1:4">
      <c r="A34" s="70">
        <v>44695</v>
      </c>
      <c r="B34" s="71">
        <v>110</v>
      </c>
      <c r="C34" s="71">
        <v>29</v>
      </c>
      <c r="D34" s="71">
        <v>145</v>
      </c>
    </row>
    <row r="35" spans="1:4">
      <c r="A35" s="70">
        <v>44696</v>
      </c>
      <c r="B35" s="71">
        <v>811</v>
      </c>
      <c r="C35" s="71">
        <v>101</v>
      </c>
      <c r="D35" s="71">
        <v>775</v>
      </c>
    </row>
    <row r="36" spans="1:4">
      <c r="A36" s="70">
        <v>44697</v>
      </c>
      <c r="B36" s="71">
        <v>104</v>
      </c>
      <c r="C36" s="71">
        <v>34</v>
      </c>
      <c r="D36" s="71">
        <v>84</v>
      </c>
    </row>
    <row r="37" spans="1:4">
      <c r="A37" s="70">
        <v>44698</v>
      </c>
      <c r="B37" s="71">
        <v>190</v>
      </c>
      <c r="C37" s="71">
        <v>24</v>
      </c>
      <c r="D37" s="71">
        <v>134</v>
      </c>
    </row>
    <row r="38" spans="1:4">
      <c r="A38" s="70">
        <v>44699</v>
      </c>
      <c r="B38" s="71">
        <v>179</v>
      </c>
      <c r="C38" s="71">
        <v>17</v>
      </c>
      <c r="D38" s="71">
        <v>78</v>
      </c>
    </row>
    <row r="39" spans="1:4">
      <c r="A39" s="70">
        <v>44700</v>
      </c>
      <c r="B39" s="71">
        <v>82</v>
      </c>
      <c r="C39" s="71">
        <v>30</v>
      </c>
      <c r="D39" s="71">
        <v>26</v>
      </c>
    </row>
    <row r="40" spans="1:4">
      <c r="A40" s="70">
        <v>44701</v>
      </c>
      <c r="B40" s="71">
        <v>102</v>
      </c>
      <c r="C40" s="71">
        <v>82</v>
      </c>
      <c r="D40" s="71">
        <v>40</v>
      </c>
    </row>
    <row r="41" spans="1:4">
      <c r="A41" s="70">
        <v>44702</v>
      </c>
      <c r="B41" s="72">
        <v>4782</v>
      </c>
      <c r="C41" s="72">
        <v>1008</v>
      </c>
      <c r="D41" s="71">
        <v>442</v>
      </c>
    </row>
    <row r="42" spans="1:4">
      <c r="A42" s="70">
        <v>44703</v>
      </c>
      <c r="B42" s="72">
        <v>2479</v>
      </c>
      <c r="C42" s="71">
        <v>477</v>
      </c>
      <c r="D42" s="71">
        <v>722</v>
      </c>
    </row>
    <row r="43" spans="1:4">
      <c r="A43" s="70">
        <v>44704</v>
      </c>
      <c r="B43" s="71">
        <v>243</v>
      </c>
      <c r="C43" s="71">
        <v>39</v>
      </c>
      <c r="D43" s="71">
        <v>88</v>
      </c>
    </row>
    <row r="44" spans="1:4">
      <c r="A44" s="70">
        <v>44705</v>
      </c>
      <c r="B44" s="71">
        <v>100</v>
      </c>
      <c r="C44" s="71">
        <v>7</v>
      </c>
      <c r="D44" s="71">
        <v>84</v>
      </c>
    </row>
    <row r="45" spans="1:4">
      <c r="A45" s="70">
        <v>44706</v>
      </c>
      <c r="B45" s="71">
        <v>226</v>
      </c>
      <c r="C45" s="71">
        <v>46</v>
      </c>
      <c r="D45" s="71">
        <v>96</v>
      </c>
    </row>
  </sheetData>
  <mergeCells count="3">
    <mergeCell ref="A5:XFD5"/>
    <mergeCell ref="A9:A12"/>
    <mergeCell ref="A15:A18"/>
  </mergeCells>
  <phoneticPr fontId="32" type="noConversion"/>
  <conditionalFormatting sqref="E2">
    <cfRule type="beginsWith" dxfId="3" priority="5" operator="beginsWith" text="지급">
      <formula>LEFT(E2,LEN("지급"))="지급"</formula>
    </cfRule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zoomScaleNormal="100" zoomScaleSheetLayoutView="75" workbookViewId="0">
      <selection activeCell="O17" sqref="O17"/>
    </sheetView>
  </sheetViews>
  <sheetFormatPr defaultColWidth="8.69921875" defaultRowHeight="17.399999999999999"/>
  <cols>
    <col min="1" max="2" width="8.69921875" style="28"/>
    <col min="3" max="3" width="11.59765625" style="28" customWidth="1"/>
    <col min="4" max="4" width="10.19921875" style="28" bestFit="1" customWidth="1"/>
    <col min="5" max="5" width="9.8984375" style="28" customWidth="1"/>
    <col min="6" max="6" width="10.69921875" style="28" bestFit="1" customWidth="1"/>
    <col min="7" max="7" width="10.8984375" style="28" bestFit="1" customWidth="1"/>
    <col min="8" max="16384" width="8.699218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134" t="s">
        <v>22</v>
      </c>
      <c r="D3" s="134"/>
      <c r="E3" s="134"/>
      <c r="F3" s="134"/>
      <c r="G3" s="134"/>
      <c r="H3" s="134"/>
      <c r="I3" s="134"/>
      <c r="J3" s="134"/>
      <c r="K3" s="134"/>
      <c r="L3" s="134"/>
      <c r="M3" s="1"/>
    </row>
    <row r="4" spans="1:13" ht="18" thickBot="1">
      <c r="A4" s="5"/>
      <c r="B4" s="7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"/>
    </row>
    <row r="5" spans="1:13" ht="18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92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136" t="s">
        <v>21</v>
      </c>
      <c r="E7" s="136"/>
      <c r="F7" s="136"/>
      <c r="G7" s="136"/>
      <c r="H7" s="13" t="s">
        <v>25</v>
      </c>
      <c r="I7" s="136" t="s">
        <v>61</v>
      </c>
      <c r="J7" s="136"/>
      <c r="K7" s="136"/>
      <c r="L7" s="14"/>
      <c r="M7" s="15"/>
    </row>
    <row r="8" spans="1:13">
      <c r="A8" s="16"/>
      <c r="B8" s="17"/>
      <c r="C8" s="18" t="s">
        <v>4</v>
      </c>
      <c r="D8" s="136" t="s">
        <v>93</v>
      </c>
      <c r="E8" s="136"/>
      <c r="F8" s="136"/>
      <c r="G8" s="136"/>
      <c r="H8" s="18" t="s">
        <v>28</v>
      </c>
      <c r="I8" s="137" t="s">
        <v>94</v>
      </c>
      <c r="J8" s="137"/>
      <c r="K8" s="13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133" t="s">
        <v>27</v>
      </c>
      <c r="D12" s="133"/>
      <c r="E12" s="133"/>
      <c r="F12" s="133"/>
      <c r="G12" s="133"/>
      <c r="H12" s="133"/>
      <c r="I12" s="133"/>
      <c r="J12" s="133"/>
      <c r="K12" s="133"/>
      <c r="L12" s="2"/>
      <c r="M12" s="1"/>
    </row>
    <row r="13" spans="1:13">
      <c r="A13" s="2"/>
      <c r="B13" s="2"/>
      <c r="C13" s="45" t="s">
        <v>1</v>
      </c>
      <c r="D13" s="128" t="s">
        <v>5</v>
      </c>
      <c r="E13" s="129"/>
      <c r="F13" s="45" t="s">
        <v>12</v>
      </c>
      <c r="G13" s="45" t="s">
        <v>10</v>
      </c>
      <c r="H13" s="122" t="s">
        <v>26</v>
      </c>
      <c r="I13" s="123"/>
      <c r="J13" s="124" t="s">
        <v>6</v>
      </c>
      <c r="K13" s="124"/>
      <c r="L13" s="2"/>
      <c r="M13" s="1"/>
    </row>
    <row r="14" spans="1:13">
      <c r="A14" s="2"/>
      <c r="B14" s="2"/>
      <c r="C14" s="73" t="s">
        <v>95</v>
      </c>
      <c r="D14" s="130">
        <v>7344540</v>
      </c>
      <c r="E14" s="130"/>
      <c r="F14" s="4">
        <v>3055023</v>
      </c>
      <c r="G14" s="3">
        <v>0</v>
      </c>
      <c r="H14" s="131">
        <f>(F14-G14)*0.9</f>
        <v>2749520.7</v>
      </c>
      <c r="I14" s="131"/>
      <c r="J14" s="132">
        <f>(F14-G14)*0.1</f>
        <v>305502.3</v>
      </c>
      <c r="K14" s="132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119" t="s">
        <v>96</v>
      </c>
      <c r="E16" s="120"/>
      <c r="F16" s="120"/>
      <c r="G16" s="121"/>
      <c r="H16" s="122" t="s">
        <v>26</v>
      </c>
      <c r="I16" s="123"/>
      <c r="J16" s="124" t="s">
        <v>6</v>
      </c>
      <c r="K16" s="124"/>
    </row>
    <row r="17" spans="1:13">
      <c r="A17" s="32"/>
      <c r="B17" s="32"/>
      <c r="C17" s="73" t="s">
        <v>95</v>
      </c>
      <c r="D17" s="125">
        <f>F14</f>
        <v>3055023</v>
      </c>
      <c r="E17" s="126"/>
      <c r="F17" s="126"/>
      <c r="G17" s="127"/>
      <c r="H17" s="118">
        <f>D17*0.9</f>
        <v>2749520.7</v>
      </c>
      <c r="I17" s="118"/>
      <c r="J17" s="118">
        <f>D17*0.1</f>
        <v>305502.3</v>
      </c>
      <c r="K17" s="118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D16:G16"/>
    <mergeCell ref="H16:I16"/>
    <mergeCell ref="J16:K16"/>
    <mergeCell ref="D17:G17"/>
    <mergeCell ref="H17:I17"/>
    <mergeCell ref="J17:K17"/>
  </mergeCells>
  <phoneticPr fontId="3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zoomScaleNormal="100" zoomScaleSheetLayoutView="75" workbookViewId="0">
      <selection activeCell="L19" sqref="L19"/>
    </sheetView>
  </sheetViews>
  <sheetFormatPr defaultColWidth="8.69921875" defaultRowHeight="17.399999999999999"/>
  <cols>
    <col min="1" max="2" width="8.69921875" style="28"/>
    <col min="3" max="3" width="11.59765625" style="28" customWidth="1"/>
    <col min="4" max="4" width="10.19921875" style="28" bestFit="1" customWidth="1"/>
    <col min="5" max="5" width="9.8984375" style="28" customWidth="1"/>
    <col min="6" max="6" width="10.69921875" style="28" bestFit="1" customWidth="1"/>
    <col min="7" max="7" width="10.8984375" style="28" bestFit="1" customWidth="1"/>
    <col min="8" max="16384" width="8.699218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134" t="s">
        <v>22</v>
      </c>
      <c r="D3" s="134"/>
      <c r="E3" s="134"/>
      <c r="F3" s="134"/>
      <c r="G3" s="134"/>
      <c r="H3" s="134"/>
      <c r="I3" s="134"/>
      <c r="J3" s="134"/>
      <c r="K3" s="134"/>
      <c r="L3" s="134"/>
      <c r="M3" s="1"/>
    </row>
    <row r="4" spans="1:13" ht="18" thickBot="1">
      <c r="A4" s="5"/>
      <c r="B4" s="7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"/>
    </row>
    <row r="5" spans="1:13" ht="18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92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3" t="s">
        <v>23</v>
      </c>
      <c r="D7" s="136" t="s">
        <v>21</v>
      </c>
      <c r="E7" s="136"/>
      <c r="F7" s="136"/>
      <c r="G7" s="136"/>
      <c r="H7" s="13" t="s">
        <v>25</v>
      </c>
      <c r="I7" s="136" t="s">
        <v>61</v>
      </c>
      <c r="J7" s="136"/>
      <c r="K7" s="136"/>
      <c r="L7" s="14"/>
      <c r="M7" s="15"/>
    </row>
    <row r="8" spans="1:13">
      <c r="A8" s="16"/>
      <c r="B8" s="17"/>
      <c r="C8" s="18" t="s">
        <v>4</v>
      </c>
      <c r="D8" s="136" t="s">
        <v>62</v>
      </c>
      <c r="E8" s="136"/>
      <c r="F8" s="136"/>
      <c r="G8" s="136"/>
      <c r="H8" s="18" t="s">
        <v>28</v>
      </c>
      <c r="I8" s="137" t="s">
        <v>94</v>
      </c>
      <c r="J8" s="137"/>
      <c r="K8" s="13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133" t="s">
        <v>98</v>
      </c>
      <c r="D12" s="133"/>
      <c r="E12" s="133"/>
      <c r="F12" s="133"/>
      <c r="G12" s="133"/>
      <c r="H12" s="133"/>
      <c r="I12" s="133"/>
      <c r="J12" s="133"/>
      <c r="K12" s="133"/>
      <c r="L12" s="2"/>
      <c r="M12" s="1"/>
    </row>
    <row r="13" spans="1:13">
      <c r="A13" s="2"/>
      <c r="B13" s="2"/>
      <c r="C13" s="45" t="s">
        <v>1</v>
      </c>
      <c r="D13" s="144" t="s">
        <v>51</v>
      </c>
      <c r="E13" s="145"/>
      <c r="F13" s="145"/>
      <c r="G13" s="146"/>
      <c r="H13" s="122" t="s">
        <v>26</v>
      </c>
      <c r="I13" s="123"/>
      <c r="J13" s="124" t="s">
        <v>6</v>
      </c>
      <c r="K13" s="124"/>
      <c r="L13" s="2"/>
      <c r="M13" s="1"/>
    </row>
    <row r="14" spans="1:13">
      <c r="A14" s="2"/>
      <c r="B14" s="2"/>
      <c r="C14" s="86" t="s">
        <v>63</v>
      </c>
      <c r="D14" s="149">
        <v>3114240</v>
      </c>
      <c r="E14" s="150"/>
      <c r="F14" s="150"/>
      <c r="G14" s="151"/>
      <c r="H14" s="152">
        <f>D14*0.9</f>
        <v>2802816</v>
      </c>
      <c r="I14" s="152"/>
      <c r="J14" s="152">
        <f>D14*0.1</f>
        <v>311424</v>
      </c>
      <c r="K14" s="152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66" t="s">
        <v>1</v>
      </c>
      <c r="D16" s="174" t="s">
        <v>68</v>
      </c>
      <c r="E16" s="175"/>
      <c r="F16" s="175"/>
      <c r="G16" s="176"/>
      <c r="H16" s="140" t="s">
        <v>69</v>
      </c>
      <c r="I16" s="141"/>
      <c r="J16" s="142" t="s">
        <v>70</v>
      </c>
      <c r="K16" s="143"/>
    </row>
    <row r="17" spans="1:13">
      <c r="A17" s="32"/>
      <c r="B17" s="32"/>
      <c r="C17" s="157" t="s">
        <v>95</v>
      </c>
      <c r="D17" s="160">
        <f>D14</f>
        <v>3114240</v>
      </c>
      <c r="E17" s="173"/>
      <c r="F17" s="173"/>
      <c r="G17" s="158"/>
      <c r="H17" s="160">
        <f>D17*0.9</f>
        <v>2802816</v>
      </c>
      <c r="I17" s="161"/>
      <c r="J17" s="162">
        <f>D17*0.1</f>
        <v>311424</v>
      </c>
      <c r="K17" s="163"/>
    </row>
    <row r="18" spans="1:13">
      <c r="A18" s="32"/>
      <c r="B18" s="32"/>
      <c r="C18" s="157"/>
      <c r="D18" s="174" t="s">
        <v>72</v>
      </c>
      <c r="E18" s="175"/>
      <c r="F18" s="175"/>
      <c r="G18" s="176"/>
      <c r="H18" s="164" t="s">
        <v>73</v>
      </c>
      <c r="I18" s="165"/>
      <c r="J18" s="166" t="s">
        <v>74</v>
      </c>
      <c r="K18" s="166"/>
    </row>
    <row r="19" spans="1:13">
      <c r="A19" s="32"/>
      <c r="B19" s="32"/>
      <c r="C19" s="157"/>
      <c r="D19" s="177">
        <f>J17</f>
        <v>311424</v>
      </c>
      <c r="E19" s="178"/>
      <c r="F19" s="178"/>
      <c r="G19" s="179"/>
      <c r="H19" s="167">
        <f>D19*0.1</f>
        <v>31142.400000000001</v>
      </c>
      <c r="I19" s="167"/>
      <c r="J19" s="167">
        <f>D19+H19</f>
        <v>342566.40000000002</v>
      </c>
      <c r="K19" s="168"/>
      <c r="L19" s="1"/>
    </row>
    <row r="20" spans="1:13">
      <c r="A20" s="32"/>
      <c r="B20" s="32"/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52" t="s">
        <v>67</v>
      </c>
      <c r="D21" s="1"/>
      <c r="E21" s="1"/>
      <c r="F21" s="1"/>
      <c r="G21" s="1"/>
      <c r="H21" s="1"/>
      <c r="I21" s="1"/>
      <c r="K21" s="1"/>
      <c r="L21" s="1"/>
      <c r="M21" s="1"/>
    </row>
    <row r="22" spans="1:13">
      <c r="A22" s="2"/>
      <c r="B22" s="1"/>
      <c r="C22" s="53" t="s">
        <v>0</v>
      </c>
      <c r="D22" s="1"/>
      <c r="E22" s="1"/>
      <c r="F22" s="1"/>
      <c r="G22" s="1"/>
      <c r="H22" s="1"/>
      <c r="I22" s="1"/>
      <c r="J22" s="27" t="s">
        <v>24</v>
      </c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25">
    <mergeCell ref="D13:G13"/>
    <mergeCell ref="D14:G14"/>
    <mergeCell ref="D16:G16"/>
    <mergeCell ref="H16:I16"/>
    <mergeCell ref="J16:K16"/>
    <mergeCell ref="H13:I13"/>
    <mergeCell ref="J13:K13"/>
    <mergeCell ref="H14:I14"/>
    <mergeCell ref="J14:K14"/>
    <mergeCell ref="C17:C19"/>
    <mergeCell ref="D17:G17"/>
    <mergeCell ref="H17:I17"/>
    <mergeCell ref="J17:K17"/>
    <mergeCell ref="D18:G18"/>
    <mergeCell ref="H18:I18"/>
    <mergeCell ref="J18:K18"/>
    <mergeCell ref="D19:G19"/>
    <mergeCell ref="H19:I19"/>
    <mergeCell ref="J19:K19"/>
    <mergeCell ref="C12:K12"/>
    <mergeCell ref="C3:L4"/>
    <mergeCell ref="D7:G7"/>
    <mergeCell ref="I7:K7"/>
    <mergeCell ref="D8:G8"/>
    <mergeCell ref="I8:K8"/>
  </mergeCells>
  <phoneticPr fontId="3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zoomScaleNormal="100" zoomScaleSheetLayoutView="75" workbookViewId="0">
      <selection activeCell="O17" sqref="O17"/>
    </sheetView>
  </sheetViews>
  <sheetFormatPr defaultColWidth="8.69921875" defaultRowHeight="17.399999999999999"/>
  <cols>
    <col min="1" max="1" width="20.09765625" style="28" bestFit="1" customWidth="1"/>
    <col min="2" max="2" width="20.5" style="28" bestFit="1" customWidth="1"/>
    <col min="3" max="3" width="15.09765625" style="28" bestFit="1" customWidth="1"/>
    <col min="4" max="4" width="8.69921875" style="28"/>
    <col min="5" max="6" width="12.69921875" style="28" bestFit="1" customWidth="1"/>
    <col min="7" max="7" width="15.8984375" style="28" bestFit="1" customWidth="1"/>
    <col min="8" max="9" width="14.59765625" style="28" bestFit="1" customWidth="1"/>
    <col min="10" max="10" width="13" style="28" bestFit="1" customWidth="1"/>
    <col min="11" max="11" width="12.19921875" style="28" bestFit="1" customWidth="1"/>
    <col min="12" max="12" width="14" style="28" bestFit="1" customWidth="1"/>
    <col min="13" max="13" width="13" style="28" bestFit="1" customWidth="1"/>
    <col min="14" max="14" width="10.5" style="28" customWidth="1"/>
    <col min="15" max="15" width="11.19921875" style="28" bestFit="1" customWidth="1"/>
    <col min="16" max="18" width="13" style="28" bestFit="1" customWidth="1"/>
    <col min="19" max="19" width="14" style="28" bestFit="1" customWidth="1"/>
    <col min="20" max="20" width="11.19921875" style="28" bestFit="1" customWidth="1"/>
    <col min="21" max="21" width="13" style="28" bestFit="1" customWidth="1"/>
    <col min="22" max="22" width="16.69921875" style="28" bestFit="1" customWidth="1"/>
    <col min="23" max="23" width="15.19921875" style="28" bestFit="1" customWidth="1"/>
    <col min="24" max="24" width="15.5" style="28" customWidth="1"/>
    <col min="25" max="25" width="12.3984375" style="28" bestFit="1" customWidth="1"/>
    <col min="26" max="16384" width="8.69921875" style="28"/>
  </cols>
  <sheetData>
    <row r="1" spans="1:15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</row>
    <row r="2" spans="1:15">
      <c r="A2" s="31" t="s">
        <v>20</v>
      </c>
      <c r="B2" s="76" t="s">
        <v>17</v>
      </c>
      <c r="C2" s="76" t="s">
        <v>9</v>
      </c>
      <c r="D2" s="77" t="s">
        <v>35</v>
      </c>
      <c r="E2" s="78" t="s">
        <v>36</v>
      </c>
      <c r="F2" s="76" t="s">
        <v>15</v>
      </c>
      <c r="G2" s="76" t="s">
        <v>18</v>
      </c>
      <c r="H2" s="77" t="s">
        <v>37</v>
      </c>
      <c r="I2" s="78" t="s">
        <v>38</v>
      </c>
      <c r="J2" s="79" t="s">
        <v>39</v>
      </c>
      <c r="K2" s="79" t="s">
        <v>40</v>
      </c>
      <c r="L2" s="80" t="s">
        <v>41</v>
      </c>
      <c r="M2" s="79" t="s">
        <v>42</v>
      </c>
      <c r="N2" s="79" t="s">
        <v>43</v>
      </c>
      <c r="O2" s="81" t="s">
        <v>44</v>
      </c>
    </row>
    <row r="3" spans="1:15" s="85" customFormat="1">
      <c r="A3" s="54" t="s">
        <v>3</v>
      </c>
      <c r="B3" s="74">
        <v>26913</v>
      </c>
      <c r="C3" s="75" t="s">
        <v>19</v>
      </c>
      <c r="D3" s="82">
        <v>4844340</v>
      </c>
      <c r="E3" s="82">
        <v>2179953</v>
      </c>
      <c r="F3" s="74">
        <v>13890</v>
      </c>
      <c r="G3" s="75" t="s">
        <v>16</v>
      </c>
      <c r="H3" s="82">
        <v>2500200</v>
      </c>
      <c r="I3" s="82">
        <v>875070</v>
      </c>
      <c r="J3" s="82">
        <v>3055023</v>
      </c>
      <c r="K3" s="82">
        <v>7344540</v>
      </c>
      <c r="L3" s="83"/>
      <c r="M3" s="84">
        <v>3055023</v>
      </c>
      <c r="N3" s="84">
        <v>3055023</v>
      </c>
      <c r="O3" s="84">
        <v>3055023</v>
      </c>
    </row>
    <row r="8" spans="1:15" s="87" customFormat="1" ht="23.25" customHeight="1">
      <c r="A8" s="115" t="s">
        <v>112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</row>
    <row r="9" spans="1:15" ht="21">
      <c r="A9" s="89" t="s">
        <v>99</v>
      </c>
      <c r="B9" s="39"/>
      <c r="C9" s="39"/>
      <c r="D9" s="90"/>
      <c r="E9" s="90"/>
      <c r="F9" s="90"/>
      <c r="G9" s="90"/>
      <c r="H9" s="90"/>
      <c r="I9" s="39"/>
      <c r="J9" s="91"/>
    </row>
    <row r="10" spans="1:15">
      <c r="A10" s="39"/>
      <c r="B10" s="39"/>
      <c r="C10" s="39"/>
      <c r="D10" s="90"/>
      <c r="E10" s="90"/>
      <c r="F10" s="90"/>
      <c r="G10" s="90"/>
      <c r="H10" s="90"/>
      <c r="I10" s="39"/>
      <c r="J10" s="91"/>
    </row>
    <row r="11" spans="1:15">
      <c r="A11" s="92" t="s">
        <v>100</v>
      </c>
      <c r="B11" s="39"/>
      <c r="C11" s="39"/>
      <c r="D11" s="90"/>
      <c r="E11" s="90"/>
      <c r="F11" s="90"/>
      <c r="G11" s="90"/>
      <c r="H11" s="90"/>
      <c r="I11" s="93"/>
      <c r="J11" s="91"/>
    </row>
    <row r="12" spans="1:15" ht="19.2">
      <c r="A12" s="94"/>
      <c r="B12" s="39"/>
      <c r="C12" s="39"/>
      <c r="D12" s="90"/>
      <c r="E12" s="90"/>
      <c r="F12" s="90"/>
      <c r="G12" s="90"/>
      <c r="H12" s="90"/>
      <c r="I12" s="93"/>
      <c r="J12" s="91"/>
    </row>
    <row r="13" spans="1:15" ht="19.8" thickBot="1">
      <c r="A13" s="95" t="s">
        <v>101</v>
      </c>
      <c r="B13" s="96"/>
      <c r="C13" s="97">
        <f>J17</f>
        <v>89205.9</v>
      </c>
      <c r="D13" s="90"/>
      <c r="E13" s="90"/>
      <c r="F13" s="90"/>
      <c r="G13" s="90"/>
      <c r="H13" s="90"/>
      <c r="I13" s="93"/>
      <c r="J13" s="91"/>
    </row>
    <row r="14" spans="1:15">
      <c r="A14" s="98"/>
      <c r="B14" s="98"/>
      <c r="C14" s="98"/>
      <c r="D14" s="90"/>
      <c r="E14" s="99"/>
      <c r="F14" s="99"/>
      <c r="G14" s="99"/>
      <c r="H14" s="99"/>
      <c r="I14" s="39"/>
      <c r="J14" s="91"/>
    </row>
    <row r="15" spans="1:15">
      <c r="A15" s="100" t="s">
        <v>102</v>
      </c>
      <c r="B15" s="101" t="s">
        <v>75</v>
      </c>
      <c r="C15" s="102" t="s">
        <v>103</v>
      </c>
      <c r="D15" s="103" t="s">
        <v>104</v>
      </c>
      <c r="E15" s="103" t="s">
        <v>105</v>
      </c>
      <c r="F15" s="103" t="s">
        <v>106</v>
      </c>
      <c r="G15" s="103" t="s">
        <v>107</v>
      </c>
      <c r="H15" s="103" t="s">
        <v>108</v>
      </c>
      <c r="I15" s="103" t="s">
        <v>109</v>
      </c>
      <c r="J15" s="104" t="s">
        <v>110</v>
      </c>
    </row>
    <row r="16" spans="1:15">
      <c r="A16" s="105">
        <v>2439</v>
      </c>
      <c r="B16" s="105" t="s">
        <v>3</v>
      </c>
      <c r="C16" s="106">
        <v>60300</v>
      </c>
      <c r="D16" s="107">
        <v>0</v>
      </c>
      <c r="E16" s="108">
        <v>317936</v>
      </c>
      <c r="F16" s="108">
        <v>94921.25</v>
      </c>
      <c r="G16" s="108">
        <v>223014.75</v>
      </c>
      <c r="H16" s="109">
        <v>89205.900000000009</v>
      </c>
      <c r="I16" s="110">
        <f>H16-D16</f>
        <v>89205.900000000009</v>
      </c>
      <c r="J16" s="111">
        <f>ROUND(I16,2)</f>
        <v>89205.9</v>
      </c>
    </row>
    <row r="17" spans="1:10">
      <c r="A17" s="180" t="s">
        <v>111</v>
      </c>
      <c r="B17" s="180"/>
      <c r="C17" s="112">
        <f t="shared" ref="C17:H17" si="0">SUM(C16:C16)</f>
        <v>60300</v>
      </c>
      <c r="D17" s="113">
        <f t="shared" si="0"/>
        <v>0</v>
      </c>
      <c r="E17" s="113">
        <f t="shared" si="0"/>
        <v>317936</v>
      </c>
      <c r="F17" s="113">
        <f t="shared" si="0"/>
        <v>94921.25</v>
      </c>
      <c r="G17" s="113">
        <f t="shared" si="0"/>
        <v>223014.75</v>
      </c>
      <c r="H17" s="113">
        <f t="shared" si="0"/>
        <v>89205.900000000009</v>
      </c>
      <c r="I17" s="110">
        <f>H17-D17</f>
        <v>89205.900000000009</v>
      </c>
      <c r="J17" s="114">
        <f>SUM(J16:J16)</f>
        <v>89205.9</v>
      </c>
    </row>
  </sheetData>
  <mergeCells count="1">
    <mergeCell ref="A17:B17"/>
  </mergeCells>
  <phoneticPr fontId="32" type="noConversion"/>
  <conditionalFormatting sqref="I16">
    <cfRule type="cellIs" dxfId="2" priority="1" operator="greaterThan">
      <formula>0</formula>
    </cfRule>
  </conditionalFormatting>
  <conditionalFormatting sqref="E16:G16">
    <cfRule type="duplicateValues" dxfId="1" priority="2"/>
  </conditionalFormatting>
  <conditionalFormatting sqref="E16">
    <cfRule type="duplicateValues" dxfId="0" priority="3"/>
  </conditionalFormatting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tabSelected="1" zoomScaleNormal="100" zoomScaleSheetLayoutView="75" workbookViewId="0">
      <selection activeCell="C8" sqref="C8"/>
    </sheetView>
  </sheetViews>
  <sheetFormatPr defaultColWidth="8.69921875" defaultRowHeight="17.399999999999999"/>
  <cols>
    <col min="1" max="2" width="8.69921875" style="28"/>
    <col min="3" max="3" width="11.59765625" style="28" customWidth="1"/>
    <col min="4" max="4" width="10.19921875" style="28" bestFit="1" customWidth="1"/>
    <col min="5" max="5" width="9.8984375" style="28" customWidth="1"/>
    <col min="6" max="6" width="10.69921875" style="28" bestFit="1" customWidth="1"/>
    <col min="7" max="7" width="10.8984375" style="28" bestFit="1" customWidth="1"/>
    <col min="8" max="8" width="11.69921875" style="28" customWidth="1"/>
    <col min="9" max="16384" width="8.69921875" style="28"/>
  </cols>
  <sheetData>
    <row r="1" spans="1:13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3">
      <c r="A3" s="5"/>
      <c r="B3" s="5"/>
      <c r="C3" s="134" t="s">
        <v>22</v>
      </c>
      <c r="D3" s="134"/>
      <c r="E3" s="134"/>
      <c r="F3" s="134"/>
      <c r="G3" s="134"/>
      <c r="H3" s="134"/>
      <c r="I3" s="134"/>
      <c r="J3" s="134"/>
      <c r="K3" s="134"/>
      <c r="L3" s="134"/>
      <c r="M3" s="1"/>
    </row>
    <row r="4" spans="1:13" ht="18" thickBot="1">
      <c r="A4" s="5"/>
      <c r="B4" s="7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"/>
    </row>
    <row r="5" spans="1:13" ht="18" thickTop="1">
      <c r="A5" s="5"/>
      <c r="B5" s="6"/>
      <c r="C5" s="6"/>
      <c r="D5" s="6"/>
      <c r="E5" s="6"/>
      <c r="F5" s="6"/>
      <c r="G5" s="6"/>
      <c r="H5" s="6"/>
      <c r="I5" s="8"/>
      <c r="J5" s="9"/>
      <c r="K5" s="10"/>
      <c r="L5" s="11" t="s">
        <v>120</v>
      </c>
      <c r="M5" s="1"/>
    </row>
    <row r="6" spans="1:13">
      <c r="A6" s="5"/>
      <c r="B6" s="6"/>
      <c r="C6" s="6"/>
      <c r="D6" s="6"/>
      <c r="E6" s="6"/>
      <c r="F6" s="6"/>
      <c r="G6" s="6"/>
      <c r="H6" s="6"/>
      <c r="I6" s="8"/>
      <c r="J6" s="9"/>
      <c r="K6" s="10"/>
      <c r="L6" s="11"/>
      <c r="M6" s="1"/>
    </row>
    <row r="7" spans="1:13">
      <c r="A7" s="12"/>
      <c r="B7" s="12"/>
      <c r="C7" s="117" t="s">
        <v>116</v>
      </c>
      <c r="D7" s="136" t="s">
        <v>118</v>
      </c>
      <c r="E7" s="136"/>
      <c r="F7" s="136"/>
      <c r="G7" s="136"/>
      <c r="H7" s="117" t="s">
        <v>114</v>
      </c>
      <c r="I7" s="136" t="s">
        <v>119</v>
      </c>
      <c r="J7" s="136"/>
      <c r="K7" s="136"/>
      <c r="L7" s="14"/>
      <c r="M7" s="15"/>
    </row>
    <row r="8" spans="1:13">
      <c r="A8" s="16"/>
      <c r="B8" s="17"/>
      <c r="C8" s="117" t="s">
        <v>117</v>
      </c>
      <c r="D8" s="136" t="s">
        <v>121</v>
      </c>
      <c r="E8" s="136"/>
      <c r="F8" s="136"/>
      <c r="G8" s="136"/>
      <c r="H8" s="117" t="s">
        <v>115</v>
      </c>
      <c r="I8" s="137">
        <v>44773</v>
      </c>
      <c r="J8" s="137"/>
      <c r="K8" s="137"/>
      <c r="L8" s="17"/>
      <c r="M8" s="15"/>
    </row>
    <row r="9" spans="1:13">
      <c r="A9" s="16"/>
      <c r="B9" s="19"/>
      <c r="C9" s="20"/>
      <c r="D9" s="21"/>
      <c r="E9" s="21"/>
      <c r="F9" s="21"/>
      <c r="G9" s="21"/>
      <c r="H9" s="20"/>
      <c r="I9" s="22"/>
      <c r="J9" s="22"/>
      <c r="K9" s="22"/>
      <c r="L9" s="22"/>
      <c r="M9" s="15"/>
    </row>
    <row r="10" spans="1:13">
      <c r="A10" s="23"/>
      <c r="B10" s="24"/>
      <c r="C10" s="1"/>
      <c r="D10" s="1"/>
      <c r="E10" s="1"/>
      <c r="F10" s="1"/>
      <c r="G10" s="1"/>
      <c r="H10" s="1"/>
      <c r="I10" s="1"/>
      <c r="J10" s="1"/>
      <c r="K10" s="1"/>
      <c r="L10" s="23"/>
      <c r="M10" s="1"/>
    </row>
    <row r="11" spans="1:13">
      <c r="A11" s="2"/>
      <c r="B11" s="2"/>
      <c r="C11" s="25" t="s">
        <v>7</v>
      </c>
      <c r="D11" s="2"/>
      <c r="E11" s="2"/>
      <c r="F11" s="2"/>
      <c r="G11" s="26"/>
      <c r="H11" s="26"/>
      <c r="I11" s="2"/>
      <c r="J11" s="2"/>
      <c r="K11" s="2"/>
      <c r="L11" s="2"/>
      <c r="M11" s="1"/>
    </row>
    <row r="12" spans="1:13">
      <c r="A12" s="2"/>
      <c r="B12" s="2"/>
      <c r="C12" s="133" t="s">
        <v>27</v>
      </c>
      <c r="D12" s="133"/>
      <c r="E12" s="133"/>
      <c r="F12" s="133"/>
      <c r="G12" s="133"/>
      <c r="H12" s="133"/>
      <c r="I12" s="133"/>
      <c r="J12" s="133"/>
      <c r="K12" s="133"/>
      <c r="L12" s="2"/>
      <c r="M12" s="1"/>
    </row>
    <row r="13" spans="1:13">
      <c r="A13" s="2"/>
      <c r="B13" s="2"/>
      <c r="C13" s="45" t="s">
        <v>1</v>
      </c>
      <c r="D13" s="128" t="s">
        <v>5</v>
      </c>
      <c r="E13" s="129"/>
      <c r="F13" s="45" t="s">
        <v>12</v>
      </c>
      <c r="G13" s="45" t="s">
        <v>10</v>
      </c>
      <c r="H13" s="122" t="s">
        <v>26</v>
      </c>
      <c r="I13" s="123"/>
      <c r="J13" s="124" t="s">
        <v>6</v>
      </c>
      <c r="K13" s="124"/>
      <c r="L13" s="2"/>
      <c r="M13" s="1"/>
    </row>
    <row r="14" spans="1:13">
      <c r="A14" s="2"/>
      <c r="B14" s="2"/>
      <c r="C14" s="116" t="s">
        <v>113</v>
      </c>
      <c r="D14" s="130">
        <v>6421140</v>
      </c>
      <c r="E14" s="130"/>
      <c r="F14" s="4">
        <v>2626857</v>
      </c>
      <c r="G14" s="3">
        <v>0</v>
      </c>
      <c r="H14" s="131">
        <f>(F14-G14)*0.9</f>
        <v>2364171.3000000003</v>
      </c>
      <c r="I14" s="131"/>
      <c r="J14" s="132">
        <f>(F14-G14)*0.1</f>
        <v>262685.7</v>
      </c>
      <c r="K14" s="132"/>
      <c r="L14" s="2"/>
      <c r="M14" s="1"/>
    </row>
    <row r="15" spans="1:13">
      <c r="A15" s="2"/>
      <c r="B15" s="2"/>
      <c r="C15" s="47"/>
    </row>
    <row r="16" spans="1:13">
      <c r="A16" s="2"/>
      <c r="B16" s="2"/>
      <c r="C16" s="33" t="s">
        <v>45</v>
      </c>
      <c r="D16" s="119" t="s">
        <v>96</v>
      </c>
      <c r="E16" s="120"/>
      <c r="F16" s="120"/>
      <c r="G16" s="121"/>
      <c r="H16" s="122" t="s">
        <v>26</v>
      </c>
      <c r="I16" s="123"/>
      <c r="J16" s="124" t="s">
        <v>6</v>
      </c>
      <c r="K16" s="124"/>
    </row>
    <row r="17" spans="1:13">
      <c r="A17" s="32"/>
      <c r="B17" s="32"/>
      <c r="C17" s="116" t="str">
        <f>C14</f>
        <v>6월</v>
      </c>
      <c r="D17" s="125">
        <f>F14</f>
        <v>2626857</v>
      </c>
      <c r="E17" s="126"/>
      <c r="F17" s="126"/>
      <c r="G17" s="127"/>
      <c r="H17" s="118">
        <f>D17*0.9</f>
        <v>2364171.3000000003</v>
      </c>
      <c r="I17" s="118"/>
      <c r="J17" s="118">
        <f>D17*0.1</f>
        <v>262685.7</v>
      </c>
      <c r="K17" s="118"/>
    </row>
    <row r="18" spans="1:13">
      <c r="A18" s="32"/>
      <c r="B18" s="32"/>
    </row>
    <row r="19" spans="1:13">
      <c r="A19" s="32"/>
      <c r="B19" s="32"/>
      <c r="C19" s="52" t="s">
        <v>66</v>
      </c>
      <c r="D19" s="1"/>
      <c r="E19" s="1"/>
      <c r="F19" s="1"/>
      <c r="G19" s="1"/>
      <c r="H19" s="1"/>
      <c r="I19" s="44"/>
      <c r="J19" s="44"/>
      <c r="K19" s="44"/>
      <c r="L19" s="1"/>
    </row>
    <row r="20" spans="1:13">
      <c r="A20" s="32"/>
      <c r="B20" s="32"/>
      <c r="C20" s="53" t="s">
        <v>0</v>
      </c>
      <c r="D20" s="1"/>
      <c r="E20" s="1"/>
      <c r="F20" s="1"/>
      <c r="G20" s="1"/>
      <c r="H20" s="1"/>
      <c r="I20" s="1"/>
      <c r="J20" s="1"/>
      <c r="K20" s="1"/>
      <c r="L20" s="1"/>
    </row>
    <row r="21" spans="1:13">
      <c r="A21" s="2"/>
      <c r="B21" s="1"/>
      <c r="C21" s="1"/>
      <c r="D21" s="1"/>
      <c r="E21" s="1"/>
      <c r="F21" s="1"/>
      <c r="G21" s="1"/>
      <c r="H21" s="1"/>
      <c r="I21" s="1"/>
      <c r="J21" s="27" t="s">
        <v>24</v>
      </c>
      <c r="K21" s="1"/>
      <c r="L21" s="1"/>
      <c r="M21" s="1"/>
    </row>
    <row r="22" spans="1:13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2"/>
      <c r="B23" s="1"/>
      <c r="M23" s="1"/>
    </row>
    <row r="24" spans="1:13">
      <c r="A24" s="2"/>
      <c r="B24" s="1"/>
      <c r="M24" s="1"/>
    </row>
    <row r="25" spans="1:13">
      <c r="A25" s="1"/>
      <c r="B25" s="1"/>
      <c r="M25" s="1"/>
    </row>
    <row r="26" spans="1:13">
      <c r="A26" s="1"/>
      <c r="B26" s="1"/>
      <c r="M26" s="1"/>
    </row>
  </sheetData>
  <mergeCells count="18">
    <mergeCell ref="C12:K12"/>
    <mergeCell ref="C3:L4"/>
    <mergeCell ref="D7:G7"/>
    <mergeCell ref="I7:K7"/>
    <mergeCell ref="D8:G8"/>
    <mergeCell ref="I8:K8"/>
    <mergeCell ref="D13:E13"/>
    <mergeCell ref="H13:I13"/>
    <mergeCell ref="J13:K13"/>
    <mergeCell ref="D14:E14"/>
    <mergeCell ref="H14:I14"/>
    <mergeCell ref="J14:K14"/>
    <mergeCell ref="D16:G16"/>
    <mergeCell ref="H16:I16"/>
    <mergeCell ref="J16:K16"/>
    <mergeCell ref="D17:G17"/>
    <mergeCell ref="H17:I17"/>
    <mergeCell ref="J17:K17"/>
  </mergeCells>
  <phoneticPr fontId="3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zoomScaleNormal="100" zoomScaleSheetLayoutView="75" workbookViewId="0">
      <selection activeCell="H20" sqref="H20"/>
    </sheetView>
  </sheetViews>
  <sheetFormatPr defaultColWidth="8.69921875" defaultRowHeight="17.399999999999999"/>
  <cols>
    <col min="1" max="1" width="20.09765625" style="28" bestFit="1" customWidth="1"/>
    <col min="2" max="2" width="9.5" style="28" bestFit="1" customWidth="1"/>
    <col min="3" max="3" width="12.69921875" style="28" bestFit="1" customWidth="1"/>
    <col min="4" max="5" width="14.59765625" style="28" bestFit="1" customWidth="1"/>
    <col min="6" max="6" width="13" style="28" bestFit="1" customWidth="1"/>
    <col min="7" max="7" width="12.19921875" style="28" bestFit="1" customWidth="1"/>
    <col min="8" max="8" width="14" style="28" bestFit="1" customWidth="1"/>
    <col min="9" max="9" width="13" style="28" bestFit="1" customWidth="1"/>
    <col min="10" max="10" width="10.5" style="28" customWidth="1"/>
    <col min="11" max="11" width="15" style="28" customWidth="1"/>
    <col min="12" max="14" width="13" style="28" bestFit="1" customWidth="1"/>
    <col min="15" max="15" width="14" style="28" bestFit="1" customWidth="1"/>
    <col min="16" max="16" width="11.19921875" style="28" bestFit="1" customWidth="1"/>
    <col min="17" max="17" width="13" style="28" bestFit="1" customWidth="1"/>
    <col min="18" max="18" width="16.69921875" style="28" bestFit="1" customWidth="1"/>
    <col min="19" max="19" width="15.19921875" style="28" bestFit="1" customWidth="1"/>
    <col min="20" max="20" width="15.5" style="28" customWidth="1"/>
    <col min="21" max="21" width="12.3984375" style="28" bestFit="1" customWidth="1"/>
    <col min="22" max="16384" width="8.69921875" style="28"/>
  </cols>
  <sheetData>
    <row r="1" spans="1:11" s="87" customFormat="1" ht="21.75" customHeight="1">
      <c r="A1" s="115" t="s">
        <v>97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>
      <c r="A2" s="31" t="s">
        <v>20</v>
      </c>
      <c r="B2" s="77" t="s">
        <v>35</v>
      </c>
      <c r="C2" s="78" t="s">
        <v>36</v>
      </c>
      <c r="D2" s="77" t="s">
        <v>37</v>
      </c>
      <c r="E2" s="78" t="s">
        <v>38</v>
      </c>
      <c r="F2" s="79" t="s">
        <v>39</v>
      </c>
      <c r="G2" s="79" t="s">
        <v>40</v>
      </c>
      <c r="H2" s="80" t="s">
        <v>41</v>
      </c>
      <c r="I2" s="79" t="s">
        <v>42</v>
      </c>
      <c r="J2" s="79" t="s">
        <v>43</v>
      </c>
      <c r="K2" s="81" t="s">
        <v>44</v>
      </c>
    </row>
    <row r="3" spans="1:11" s="85" customFormat="1">
      <c r="A3" s="54" t="s">
        <v>3</v>
      </c>
      <c r="B3" s="82">
        <v>3794580</v>
      </c>
      <c r="C3" s="82">
        <v>1707561</v>
      </c>
      <c r="D3" s="82">
        <v>2626560</v>
      </c>
      <c r="E3" s="82">
        <v>919296</v>
      </c>
      <c r="F3" s="82">
        <v>2626857</v>
      </c>
      <c r="G3" s="82">
        <v>6421140</v>
      </c>
      <c r="H3" s="83"/>
      <c r="I3" s="84">
        <v>2626857</v>
      </c>
      <c r="J3" s="84">
        <v>2626857</v>
      </c>
      <c r="K3" s="84">
        <v>2626857</v>
      </c>
    </row>
  </sheetData>
  <phoneticPr fontId="3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22년 4월(국내)</vt:lpstr>
      <vt:lpstr>22년 4월(해외)</vt:lpstr>
      <vt:lpstr>22년 4월 세부내역</vt:lpstr>
      <vt:lpstr>22년 5월(국내)</vt:lpstr>
      <vt:lpstr>22년 5월(해외)</vt:lpstr>
      <vt:lpstr>22년 5월 세부내역</vt:lpstr>
      <vt:lpstr>22년 6월(국내)</vt:lpstr>
      <vt:lpstr>22년 6월 세부내역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marucomics</dc:creator>
  <cp:lastModifiedBy>storywiz</cp:lastModifiedBy>
  <cp:revision>16</cp:revision>
  <cp:lastPrinted>2021-01-21T07:21:17Z</cp:lastPrinted>
  <dcterms:created xsi:type="dcterms:W3CDTF">2020-04-16T08:50:20Z</dcterms:created>
  <dcterms:modified xsi:type="dcterms:W3CDTF">2022-07-26T02:31:08Z</dcterms:modified>
  <cp:version>1100.0100.01</cp:version>
</cp:coreProperties>
</file>