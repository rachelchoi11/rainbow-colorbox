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orywiz\Desktop\7월마감\"/>
    </mc:Choice>
  </mc:AlternateContent>
  <bookViews>
    <workbookView xWindow="28680" yWindow="-120" windowWidth="29040" windowHeight="15840" tabRatio="916" activeTab="1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<sst xmlns="http://schemas.openxmlformats.org/spreadsheetml/2006/main" count="142" uniqueCount="54">
  <si>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</si>
  <si>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</si>
  <si>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</si>
  <si>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</si>
  <si>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</si>
  <si>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</si>
  <si>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</si>
  <si>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</si>
  <si>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</si>
  <si>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</si>
  <si>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</si>
  <si>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</si>
  <si>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</si>
  <si>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</si>
  <si>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</si>
  <si>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</si>
  <si>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</si>
  <si>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</si>
  <si>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</si>
  <si>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</si>
  <si>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</si>
  <si>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</si>
  <si>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</si>
  <si>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</si>
  <si>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</si>
  <si>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</si>
  <si>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</si>
  <si>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</si>
  <si>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</si>
  <si>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</si>
  <si>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</si>
  <si>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</si>
  <si>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</si>
  <si>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</si>
  <si>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</si>
  <si>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</si>
  <si>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</si>
  <si>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레진</t>
  </si>
  <si>
    <t>불고기자리&amp;별찌</t>
  </si>
  <si>
    <t>미스터블루 만화</t>
  </si>
  <si>
    <t>버프툰 웹툰</t>
  </si>
  <si>
    <t>봄툰</t>
  </si>
  <si>
    <t>카카오페이지</t>
  </si>
  <si>
    <t>코미코 웹툰</t>
  </si>
  <si>
    <t>해외 코미코 태국</t>
  </si>
  <si>
    <t>리디북스</t>
  </si>
  <si>
    <t>원스토어 만화</t>
  </si>
  <si>
    <t>레이디 스칼렛 [연재]</t>
  </si>
  <si>
    <t>결제수수료 보정액</t>
  </si>
  <si>
    <t>레이디 스칼렛 [스크롤]</t>
  </si>
  <si>
    <t>해외 네이버 글로벌</t>
  </si>
  <si>
    <t>레이디 스칼렛_LINE WEBTOON/컨텐츠_FR</t>
  </si>
  <si>
    <t>2022년 07월 정산</t>
    <phoneticPr fontId="2" type="noConversion"/>
  </si>
  <si>
    <t>2022-06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</si>
</sst>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showGridLines="0" workbookViewId="0">
      <selection activeCell="F4" sqref="F4"/>
    </sheetView>
  </sheetViews>
  <sheetFormatPr defaultColWidth="0" defaultRowHeight="17.100000000000001" customHeight="1" zeroHeight="1" x14ac:dyDescent="0.4"/>
  <cols>
    <col min="1" max="1" width="3.3984375" style="1" customWidth="1"/>
    <col min="2" max="2" width="25.8984375" style="1" customWidth="1"/>
    <col min="3" max="7" width="16.5" style="1" customWidth="1"/>
    <col min="8" max="8" width="3.3984375" style="1" customWidth="1"/>
    <col min="9" max="11" width="8.59765625" style="1" hidden="1" customWidth="1"/>
    <col min="12" max="14" width="0" style="1" hidden="1" customWidth="1"/>
    <col min="15" max="16384" width="8.59765625" hidden="1"/>
  </cols>
  <sheetData>
    <row r="1" spans="1:9" ht="50.1" customHeight="1" x14ac:dyDescent="0.4">
      <c r="A1" s="26" t="s">
        <v>52</v>
      </c>
      <c r="B1" s="26"/>
      <c r="C1" s="26"/>
      <c r="D1" s="26"/>
      <c r="E1" s="26"/>
      <c r="F1" s="26"/>
      <c r="G1" s="26"/>
      <c r="H1" s="26"/>
    </row>
    <row r="2" spans="1:9" ht="17.100000000000001" customHeight="1" x14ac:dyDescent="0.4"/>
    <row r="3" spans="1:9" ht="17.100000000000001" customHeight="1" x14ac:dyDescent="0.4"/>
    <row r="4" spans="1:9" ht="18" thickBot="1" x14ac:dyDescent="0.45">
      <c r="B4" s="13" t="s">
        <v>0</v>
      </c>
    </row>
    <row r="5" spans="1:9" ht="20.100000000000001" customHeight="1" x14ac:dyDescent="0.4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45">
      <c r="B6" s="6" t="str">
        <f>RIGHT(A1,6)</f>
        <v>07월 정산</v>
      </c>
      <c r="C6" s="7">
        <f>IF(F15&gt;0,ROUND(F15,0),"발행없음")</f>
        <v>41670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41670</v>
      </c>
      <c r="F6" s="8" t="s">
        <v>8</v>
      </c>
      <c r="G6" s="9">
        <v>44804</v>
      </c>
    </row>
    <row r="7" spans="1:9" ht="17.100000000000001" customHeight="1" x14ac:dyDescent="0.4"/>
    <row r="8" spans="1:9" ht="17.100000000000001" customHeight="1" x14ac:dyDescent="0.4"/>
    <row r="9" spans="1:9" ht="17.100000000000001" customHeight="1" x14ac:dyDescent="0.4"/>
    <row r="10" spans="1:9" ht="17.100000000000001" customHeight="1" x14ac:dyDescent="0.4"/>
    <row r="11" spans="1:9" ht="17.100000000000001" customHeight="1" x14ac:dyDescent="0.4"/>
    <row r="12" spans="1:9" ht="20.100000000000001" customHeight="1" thickBot="1" x14ac:dyDescent="0.45">
      <c r="B12" s="13" t="s">
        <v>9</v>
      </c>
    </row>
    <row r="13" spans="1:9" ht="20.100000000000001" customHeight="1" x14ac:dyDescent="0.4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00000000000001" customHeight="1" x14ac:dyDescent="0.4">
      <c r="B14" s="11" t="s">
        <v>33</v>
      </c>
      <c r="C14" s="5">
        <v>416699</v>
      </c>
      <c r="D14" s="5">
        <v>41669.899999999994</v>
      </c>
      <c r="E14" s="10">
        <v>0</v>
      </c>
      <c r="F14" s="12">
        <f>D14-E14</f>
        <v>41669.899999999994</v>
      </c>
    </row>
    <row r="15" spans="1:9" ht="20.100000000000001" customHeight="1" thickBot="1" x14ac:dyDescent="0.45">
      <c r="B15" s="14" t="s">
        <v>4</v>
      </c>
      <c r="C15" s="15">
        <f>SUM(C14:C14)</f>
        <v>416699</v>
      </c>
      <c r="D15" s="15">
        <f>SUM(D14:D14)</f>
        <v>41669.899999999994</v>
      </c>
      <c r="E15" s="16">
        <f>SUM(E14:E14)</f>
        <v>0</v>
      </c>
      <c r="F15" s="17">
        <f>SUM(F14:F14)</f>
        <v>41669.899999999994</v>
      </c>
    </row>
    <row r="16" spans="1:9" ht="17.100000000000001" customHeight="1" x14ac:dyDescent="0.4"/>
    <row r="17" spans="2:14" ht="17.100000000000001" customHeight="1" x14ac:dyDescent="0.4"/>
    <row r="18" spans="2:14" ht="17.100000000000001" customHeight="1" x14ac:dyDescent="0.4">
      <c r="B18" s="1" t="s">
        <v>32</v>
      </c>
      <c r="I18"/>
      <c r="J18"/>
      <c r="K18"/>
      <c r="L18"/>
      <c r="M18"/>
      <c r="N18"/>
    </row>
    <row r="19" spans="2:14" ht="17.100000000000001" customHeight="1" x14ac:dyDescent="0.4">
      <c r="B19" s="1" t="s">
        <v>11</v>
      </c>
      <c r="I19"/>
      <c r="J19"/>
      <c r="K19"/>
      <c r="L19"/>
      <c r="M19"/>
      <c r="N19"/>
    </row>
    <row r="20" spans="2:14" ht="17.100000000000001" customHeight="1" x14ac:dyDescent="0.4">
      <c r="B20" s="1" t="s">
        <v>12</v>
      </c>
    </row>
    <row r="21" spans="2:14" ht="17.100000000000001" customHeight="1" x14ac:dyDescent="0.4"/>
    <row r="22" spans="2:14" ht="17.100000000000001" customHeight="1" x14ac:dyDescent="0.4"/>
    <row r="23" spans="2:14" ht="17.100000000000001" customHeight="1" x14ac:dyDescent="0.4"/>
    <row r="24" spans="2:14" ht="17.100000000000001" customHeight="1" x14ac:dyDescent="0.4"/>
    <row r="25" spans="2:14" ht="17.100000000000001" customHeight="1" x14ac:dyDescent="0.4"/>
    <row r="26" spans="2:14" ht="17.100000000000001" customHeight="1" x14ac:dyDescent="0.4"/>
    <row r="27" spans="2:14" ht="17.100000000000001" customHeight="1" x14ac:dyDescent="0.4"/>
    <row r="28" spans="2:14" ht="17.100000000000001" customHeight="1" x14ac:dyDescent="0.4"/>
    <row r="29" spans="2:14" ht="17.100000000000001" customHeight="1" x14ac:dyDescent="0.4"/>
    <row r="30" spans="2:14" ht="17.100000000000001" customHeight="1" x14ac:dyDescent="0.4"/>
    <row r="31" spans="2:14" ht="17.100000000000001" customHeight="1" x14ac:dyDescent="0.4"/>
    <row r="32" spans="2:14" ht="17.100000000000001" customHeight="1" x14ac:dyDescent="0.4"/>
    <row r="33" ht="17.100000000000001" customHeight="1" x14ac:dyDescent="0.4"/>
    <row r="34" ht="17.100000000000001" customHeight="1" x14ac:dyDescent="0.4"/>
    <row r="35" ht="17.100000000000001" customHeight="1" x14ac:dyDescent="0.4"/>
    <row r="36" ht="17.100000000000001" customHeight="1" x14ac:dyDescent="0.4"/>
    <row r="37" ht="17.100000000000001" customHeight="1" x14ac:dyDescent="0.4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abSelected="1" workbookViewId="0">
      <selection activeCell="A15" sqref="A15"/>
    </sheetView>
  </sheetViews>
  <sheetFormatPr defaultRowHeight="17.399999999999999" x14ac:dyDescent="0.4"/>
  <cols>
    <col min="1" max="2" width="8.59765625" style="23"/>
    <col min="3" max="3" width="14.59765625" style="23" bestFit="1" customWidth="1"/>
    <col min="4" max="4" width="20.59765625" style="1" customWidth="1"/>
    <col min="5" max="6" width="9.09765625" style="1" customWidth="1"/>
    <col min="7" max="13" width="8.59765625" style="24"/>
    <col min="14" max="14" width="33.5" style="24" bestFit="1" customWidth="1"/>
    <col min="15" max="15" width="12.3984375" style="25" bestFit="1" customWidth="1"/>
    <col min="16" max="16" width="13.59765625" style="24" bestFit="1" customWidth="1"/>
  </cols>
  <sheetData>
    <row r="1" spans="1:37" ht="33.9" customHeight="1" x14ac:dyDescent="0.4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48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x14ac:dyDescent="0.4">
      <c r="A2" s="23">
        <v>1</v>
      </c>
      <c r="B2" s="23" t="s">
        <v>53</v>
      </c>
      <c r="C2" s="23" t="s">
        <v>34</v>
      </c>
      <c r="D2" s="1" t="s">
        <v>35</v>
      </c>
      <c r="E2" s="1" t="s">
        <v>38</v>
      </c>
      <c r="F2" s="1" t="s">
        <v>36</v>
      </c>
      <c r="G2" s="24">
        <v>28</v>
      </c>
      <c r="H2" s="24">
        <v>11200</v>
      </c>
      <c r="I2" s="24">
        <v>118</v>
      </c>
      <c r="J2" s="24">
        <v>26800</v>
      </c>
      <c r="N2" s="24">
        <v>26600</v>
      </c>
      <c r="O2" s="25">
        <v>0.1</v>
      </c>
      <c r="P2" s="24">
        <v>2660</v>
      </c>
    </row>
    <row r="3" spans="1:37" x14ac:dyDescent="0.4">
      <c r="A3" s="23">
        <v>2</v>
      </c>
      <c r="B3" s="23" t="s">
        <v>53</v>
      </c>
      <c r="C3" s="23" t="s">
        <v>34</v>
      </c>
      <c r="D3" s="1" t="s">
        <v>35</v>
      </c>
      <c r="E3" s="1" t="s">
        <v>38</v>
      </c>
      <c r="F3" s="1" t="s">
        <v>36</v>
      </c>
      <c r="G3" s="24">
        <v>0</v>
      </c>
      <c r="H3" s="24">
        <v>0</v>
      </c>
      <c r="I3" s="24">
        <v>53</v>
      </c>
      <c r="J3" s="24">
        <v>12720</v>
      </c>
      <c r="N3" s="24">
        <v>6233</v>
      </c>
      <c r="O3" s="25">
        <v>0.1</v>
      </c>
      <c r="P3" s="24">
        <v>623.30000000000007</v>
      </c>
    </row>
    <row r="4" spans="1:37" x14ac:dyDescent="0.4">
      <c r="A4" s="23">
        <v>3</v>
      </c>
      <c r="B4" s="23" t="s">
        <v>53</v>
      </c>
      <c r="C4" s="23" t="s">
        <v>34</v>
      </c>
      <c r="D4" s="1" t="s">
        <v>35</v>
      </c>
      <c r="E4" s="1" t="s">
        <v>38</v>
      </c>
      <c r="F4" s="1" t="s">
        <v>36</v>
      </c>
      <c r="G4" s="24">
        <v>0</v>
      </c>
      <c r="H4" s="24">
        <v>0</v>
      </c>
      <c r="I4" s="24">
        <v>1</v>
      </c>
      <c r="J4" s="24">
        <v>240</v>
      </c>
      <c r="N4" s="24">
        <v>151</v>
      </c>
      <c r="O4" s="25">
        <v>0.1</v>
      </c>
      <c r="P4" s="24">
        <v>15.100000000000001</v>
      </c>
    </row>
    <row r="5" spans="1:37" x14ac:dyDescent="0.4">
      <c r="A5" s="23">
        <v>4</v>
      </c>
      <c r="B5" s="23" t="s">
        <v>53</v>
      </c>
      <c r="C5" s="23" t="s">
        <v>34</v>
      </c>
      <c r="D5" s="1" t="s">
        <v>35</v>
      </c>
      <c r="E5" s="1" t="s">
        <v>38</v>
      </c>
      <c r="F5" s="1" t="s">
        <v>36</v>
      </c>
      <c r="G5" s="24">
        <v>1</v>
      </c>
      <c r="H5" s="24">
        <v>480</v>
      </c>
      <c r="I5" s="24">
        <v>44</v>
      </c>
      <c r="J5" s="24">
        <v>10560</v>
      </c>
      <c r="N5" s="24">
        <v>7264</v>
      </c>
      <c r="O5" s="25">
        <v>0.1</v>
      </c>
      <c r="P5" s="24">
        <v>726.40000000000009</v>
      </c>
    </row>
    <row r="6" spans="1:37" x14ac:dyDescent="0.4">
      <c r="A6" s="23">
        <v>5</v>
      </c>
      <c r="B6" s="23" t="s">
        <v>53</v>
      </c>
      <c r="C6" s="23" t="s">
        <v>37</v>
      </c>
      <c r="D6" s="1" t="s">
        <v>47</v>
      </c>
      <c r="E6" s="1" t="s">
        <v>38</v>
      </c>
      <c r="F6" s="1" t="s">
        <v>36</v>
      </c>
      <c r="H6" s="24">
        <v>5550</v>
      </c>
      <c r="N6" s="24">
        <v>5550</v>
      </c>
      <c r="O6" s="25">
        <v>0.1</v>
      </c>
      <c r="P6" s="24">
        <v>555</v>
      </c>
    </row>
    <row r="7" spans="1:37" x14ac:dyDescent="0.4">
      <c r="A7" s="23">
        <v>6</v>
      </c>
      <c r="B7" s="23" t="s">
        <v>53</v>
      </c>
      <c r="C7" s="23" t="s">
        <v>45</v>
      </c>
      <c r="D7" s="1" t="s">
        <v>35</v>
      </c>
      <c r="E7" s="1" t="s">
        <v>38</v>
      </c>
      <c r="F7" s="1" t="s">
        <v>36</v>
      </c>
      <c r="G7" s="24">
        <v>5</v>
      </c>
      <c r="H7" s="24">
        <v>2000</v>
      </c>
      <c r="I7" s="24">
        <v>73</v>
      </c>
      <c r="J7" s="24">
        <v>14600</v>
      </c>
      <c r="K7" s="24">
        <v>0</v>
      </c>
      <c r="L7" s="24">
        <v>0</v>
      </c>
      <c r="M7" s="24">
        <v>0</v>
      </c>
      <c r="N7" s="24">
        <v>11620</v>
      </c>
      <c r="O7" s="25">
        <v>0.1</v>
      </c>
      <c r="P7" s="24">
        <v>1162</v>
      </c>
    </row>
    <row r="8" spans="1:37" x14ac:dyDescent="0.4">
      <c r="A8" s="23">
        <v>7</v>
      </c>
      <c r="B8" s="23" t="s">
        <v>53</v>
      </c>
      <c r="C8" s="23" t="s">
        <v>39</v>
      </c>
      <c r="D8" s="1" t="s">
        <v>49</v>
      </c>
      <c r="E8" s="1" t="s">
        <v>38</v>
      </c>
      <c r="F8" s="1" t="s">
        <v>36</v>
      </c>
      <c r="G8" s="24">
        <v>57</v>
      </c>
      <c r="H8" s="24">
        <v>22800</v>
      </c>
      <c r="I8" s="24">
        <v>130</v>
      </c>
      <c r="J8" s="24">
        <v>26000</v>
      </c>
      <c r="N8" s="24">
        <v>29280</v>
      </c>
      <c r="O8" s="25">
        <v>0.1</v>
      </c>
      <c r="P8" s="24">
        <v>2928</v>
      </c>
    </row>
    <row r="9" spans="1:37" x14ac:dyDescent="0.4">
      <c r="A9" s="23">
        <v>8</v>
      </c>
      <c r="B9" s="23" t="s">
        <v>53</v>
      </c>
      <c r="C9" s="23" t="s">
        <v>40</v>
      </c>
      <c r="D9" s="1" t="s">
        <v>35</v>
      </c>
      <c r="E9" s="1" t="s">
        <v>38</v>
      </c>
      <c r="F9" s="1" t="s">
        <v>36</v>
      </c>
      <c r="H9" s="24">
        <v>0</v>
      </c>
      <c r="J9" s="24">
        <v>600</v>
      </c>
      <c r="N9" s="24">
        <v>378</v>
      </c>
      <c r="O9" s="25">
        <v>0.1</v>
      </c>
      <c r="P9" s="24">
        <v>37.800000000000004</v>
      </c>
    </row>
    <row r="10" spans="1:37" x14ac:dyDescent="0.4">
      <c r="A10" s="23">
        <v>9</v>
      </c>
      <c r="B10" s="23" t="s">
        <v>53</v>
      </c>
      <c r="C10" s="23" t="s">
        <v>40</v>
      </c>
      <c r="D10" s="1" t="s">
        <v>35</v>
      </c>
      <c r="E10" s="1" t="s">
        <v>38</v>
      </c>
      <c r="F10" s="1" t="s">
        <v>36</v>
      </c>
      <c r="H10" s="24">
        <v>0</v>
      </c>
      <c r="J10" s="24">
        <v>100</v>
      </c>
      <c r="N10" s="24">
        <v>49</v>
      </c>
      <c r="O10" s="25">
        <v>0.1</v>
      </c>
      <c r="P10" s="24">
        <v>4.9000000000000004</v>
      </c>
    </row>
    <row r="11" spans="1:37" x14ac:dyDescent="0.4">
      <c r="A11" s="23">
        <v>10</v>
      </c>
      <c r="B11" s="23" t="s">
        <v>53</v>
      </c>
      <c r="C11" s="23" t="s">
        <v>40</v>
      </c>
      <c r="D11" s="1" t="s">
        <v>35</v>
      </c>
      <c r="E11" s="1" t="s">
        <v>38</v>
      </c>
      <c r="F11" s="1" t="s">
        <v>36</v>
      </c>
      <c r="H11" s="24">
        <v>0</v>
      </c>
      <c r="J11" s="24">
        <v>6700</v>
      </c>
      <c r="N11" s="24">
        <v>1340</v>
      </c>
      <c r="O11" s="25">
        <v>0.1</v>
      </c>
      <c r="P11" s="24">
        <v>134</v>
      </c>
    </row>
    <row r="12" spans="1:37" x14ac:dyDescent="0.4">
      <c r="A12" s="23">
        <v>11</v>
      </c>
      <c r="B12" s="23" t="s">
        <v>53</v>
      </c>
      <c r="C12" s="23" t="s">
        <v>41</v>
      </c>
      <c r="D12" s="1" t="s">
        <v>35</v>
      </c>
      <c r="E12" s="1" t="s">
        <v>38</v>
      </c>
      <c r="F12" s="1" t="s">
        <v>36</v>
      </c>
      <c r="H12" s="24">
        <v>10080</v>
      </c>
      <c r="N12" s="24">
        <v>5443</v>
      </c>
      <c r="O12" s="25">
        <v>0.1</v>
      </c>
      <c r="P12" s="24">
        <v>544.30000000000007</v>
      </c>
    </row>
    <row r="13" spans="1:37" x14ac:dyDescent="0.4">
      <c r="A13" s="23">
        <v>12</v>
      </c>
      <c r="B13" s="23" t="s">
        <v>53</v>
      </c>
      <c r="C13" s="23" t="s">
        <v>41</v>
      </c>
      <c r="D13" s="1" t="s">
        <v>35</v>
      </c>
      <c r="E13" s="1" t="s">
        <v>38</v>
      </c>
      <c r="F13" s="1" t="s">
        <v>36</v>
      </c>
      <c r="H13" s="24">
        <v>5220</v>
      </c>
      <c r="N13" s="24">
        <v>2192</v>
      </c>
      <c r="O13" s="25">
        <v>0.1</v>
      </c>
      <c r="P13" s="24">
        <v>219.20000000000002</v>
      </c>
    </row>
    <row r="14" spans="1:37" x14ac:dyDescent="0.4">
      <c r="A14" s="23">
        <v>13</v>
      </c>
      <c r="B14" s="23" t="s">
        <v>53</v>
      </c>
      <c r="C14" s="23" t="s">
        <v>46</v>
      </c>
      <c r="D14" s="1" t="s">
        <v>35</v>
      </c>
      <c r="E14" s="1" t="s">
        <v>38</v>
      </c>
      <c r="F14" s="1" t="s">
        <v>36</v>
      </c>
      <c r="G14" s="24">
        <v>3</v>
      </c>
      <c r="H14" s="24">
        <v>600</v>
      </c>
      <c r="K14" s="24">
        <v>0</v>
      </c>
      <c r="L14" s="24">
        <v>0</v>
      </c>
      <c r="N14" s="24">
        <v>420</v>
      </c>
      <c r="O14" s="25">
        <v>0.1</v>
      </c>
      <c r="P14" s="24">
        <v>42</v>
      </c>
    </row>
    <row r="15" spans="1:37" x14ac:dyDescent="0.4">
      <c r="A15" s="23">
        <v>14</v>
      </c>
      <c r="B15" s="23" t="s">
        <v>53</v>
      </c>
      <c r="C15" s="23" t="s">
        <v>42</v>
      </c>
      <c r="D15" s="1" t="s">
        <v>35</v>
      </c>
      <c r="E15" s="1" t="s">
        <v>38</v>
      </c>
      <c r="F15" s="1" t="s">
        <v>36</v>
      </c>
      <c r="H15" s="24">
        <v>126960</v>
      </c>
      <c r="N15" s="24">
        <v>79985</v>
      </c>
      <c r="O15" s="25">
        <v>0.1</v>
      </c>
      <c r="P15" s="24">
        <v>7998.5</v>
      </c>
    </row>
    <row r="16" spans="1:37" x14ac:dyDescent="0.4">
      <c r="A16" s="23">
        <v>15</v>
      </c>
      <c r="B16" s="23" t="s">
        <v>53</v>
      </c>
      <c r="C16" s="23" t="s">
        <v>42</v>
      </c>
      <c r="D16" s="1" t="s">
        <v>35</v>
      </c>
      <c r="E16" s="1" t="s">
        <v>38</v>
      </c>
      <c r="F16" s="1" t="s">
        <v>36</v>
      </c>
      <c r="H16" s="24">
        <v>156450</v>
      </c>
      <c r="N16" s="24">
        <v>106230</v>
      </c>
      <c r="O16" s="25">
        <v>0.1</v>
      </c>
      <c r="P16" s="24">
        <v>10623</v>
      </c>
    </row>
    <row r="17" spans="1:16" x14ac:dyDescent="0.4">
      <c r="A17" s="23">
        <v>16</v>
      </c>
      <c r="B17" s="23" t="s">
        <v>53</v>
      </c>
      <c r="C17" s="23" t="s">
        <v>42</v>
      </c>
      <c r="D17" s="1" t="s">
        <v>35</v>
      </c>
      <c r="E17" s="1" t="s">
        <v>38</v>
      </c>
      <c r="F17" s="1" t="s">
        <v>36</v>
      </c>
      <c r="H17" s="24">
        <v>1680</v>
      </c>
      <c r="N17" s="24">
        <v>823</v>
      </c>
      <c r="O17" s="25">
        <v>0.1</v>
      </c>
      <c r="P17" s="24">
        <v>82.300000000000011</v>
      </c>
    </row>
    <row r="18" spans="1:16" x14ac:dyDescent="0.4">
      <c r="A18" s="23">
        <v>17</v>
      </c>
      <c r="B18" s="23" t="s">
        <v>53</v>
      </c>
      <c r="C18" s="23" t="s">
        <v>42</v>
      </c>
      <c r="D18" s="1" t="s">
        <v>35</v>
      </c>
      <c r="E18" s="1" t="s">
        <v>38</v>
      </c>
      <c r="F18" s="1" t="s">
        <v>36</v>
      </c>
      <c r="H18" s="24">
        <v>23350</v>
      </c>
      <c r="N18" s="24">
        <v>14711</v>
      </c>
      <c r="O18" s="25">
        <v>0.1</v>
      </c>
      <c r="P18" s="24">
        <v>1471.1000000000001</v>
      </c>
    </row>
    <row r="19" spans="1:16" x14ac:dyDescent="0.4">
      <c r="A19" s="23">
        <v>18</v>
      </c>
      <c r="B19" s="23" t="s">
        <v>53</v>
      </c>
      <c r="C19" s="23" t="s">
        <v>43</v>
      </c>
      <c r="D19" s="1" t="s">
        <v>35</v>
      </c>
      <c r="E19" s="1" t="s">
        <v>38</v>
      </c>
      <c r="F19" s="1" t="s">
        <v>36</v>
      </c>
      <c r="G19" s="24">
        <v>20</v>
      </c>
      <c r="H19" s="24">
        <v>2000</v>
      </c>
      <c r="I19" s="24">
        <v>100</v>
      </c>
      <c r="J19" s="24">
        <v>10000</v>
      </c>
      <c r="N19" s="24">
        <v>8400</v>
      </c>
      <c r="O19" s="25">
        <v>0.1</v>
      </c>
      <c r="P19" s="24">
        <v>840</v>
      </c>
    </row>
    <row r="20" spans="1:16" x14ac:dyDescent="0.4">
      <c r="A20" s="23">
        <v>19</v>
      </c>
      <c r="B20" s="23" t="s">
        <v>53</v>
      </c>
      <c r="C20" s="23" t="s">
        <v>43</v>
      </c>
      <c r="D20" s="1" t="s">
        <v>35</v>
      </c>
      <c r="E20" s="1" t="s">
        <v>38</v>
      </c>
      <c r="F20" s="1" t="s">
        <v>36</v>
      </c>
      <c r="G20" s="24">
        <v>76</v>
      </c>
      <c r="H20" s="24">
        <v>7600</v>
      </c>
      <c r="I20" s="24">
        <v>296</v>
      </c>
      <c r="J20" s="24">
        <v>29600</v>
      </c>
      <c r="N20" s="24">
        <v>18228</v>
      </c>
      <c r="O20" s="25">
        <v>0.1</v>
      </c>
      <c r="P20" s="24">
        <v>1822.8000000000002</v>
      </c>
    </row>
    <row r="21" spans="1:16" x14ac:dyDescent="0.4">
      <c r="A21" s="23">
        <v>20</v>
      </c>
      <c r="B21" s="23" t="s">
        <v>53</v>
      </c>
      <c r="C21" s="23" t="s">
        <v>50</v>
      </c>
      <c r="D21" s="1" t="s">
        <v>51</v>
      </c>
      <c r="E21" s="1" t="s">
        <v>38</v>
      </c>
      <c r="F21" s="1" t="s">
        <v>36</v>
      </c>
      <c r="H21" s="24">
        <v>26125</v>
      </c>
      <c r="N21" s="24">
        <v>26125</v>
      </c>
      <c r="O21" s="25">
        <v>0.1</v>
      </c>
      <c r="P21" s="24">
        <v>2612.5</v>
      </c>
    </row>
    <row r="22" spans="1:16" x14ac:dyDescent="0.4">
      <c r="A22" s="23">
        <v>21</v>
      </c>
      <c r="B22" s="23" t="s">
        <v>53</v>
      </c>
      <c r="C22" s="23" t="s">
        <v>44</v>
      </c>
      <c r="D22" s="1" t="s">
        <v>35</v>
      </c>
      <c r="E22" s="1" t="s">
        <v>38</v>
      </c>
      <c r="F22" s="1" t="s">
        <v>36</v>
      </c>
      <c r="H22" s="24">
        <v>69869.595600000001</v>
      </c>
      <c r="N22" s="24">
        <v>65677</v>
      </c>
      <c r="O22" s="25">
        <v>0.1</v>
      </c>
      <c r="P22" s="24">
        <v>6567.7000000000007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storywiz</cp:lastModifiedBy>
  <cp:lastPrinted>2021-11-10T23:56:12Z</cp:lastPrinted>
  <dcterms:created xsi:type="dcterms:W3CDTF">2021-10-28T04:20:52Z</dcterms:created>
  <dcterms:modified xsi:type="dcterms:W3CDTF">2022-07-26T02:09:40Z</dcterms:modified>
</cp:coreProperties>
</file>