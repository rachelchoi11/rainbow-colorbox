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2" activeTab="13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  <sheet name="202204_추가" sheetId="14" r:id="rId12"/>
    <sheet name="202205" sheetId="12" r:id="rId13"/>
    <sheet name="202206" sheetId="15" r:id="rId14"/>
  </sheets>
  <calcPr calcId="162913"/>
  <extLst>
    <ext uri="GoogleSheetsCustomDataVersion1">
      <go:sheetsCustomData xmlns:go="http://customooxmlschemas.google.com/" r:id="rId16" roundtripDataSignature="AMtx7mjbwhIr8W7FnB4KpSGxvpfcT4olhw=="/>
    </ext>
  </extLst>
</workbook>
</file>

<file path=xl/calcChain.xml><?xml version="1.0" encoding="utf-8"?>
<calcChain xmlns="http://schemas.openxmlformats.org/spreadsheetml/2006/main">
  <c r="F15" i="15" l="1"/>
  <c r="E15" i="15"/>
  <c r="D15" i="15"/>
  <c r="C15" i="15"/>
  <c r="H14" i="15"/>
  <c r="I14" i="15" s="1"/>
  <c r="H13" i="15"/>
  <c r="I13" i="15" s="1"/>
  <c r="H12" i="15"/>
  <c r="I12" i="15" s="1"/>
  <c r="G11" i="15"/>
  <c r="G15" i="15" s="1"/>
  <c r="H11" i="15" l="1"/>
  <c r="H12" i="14"/>
  <c r="I12" i="14" s="1"/>
  <c r="F14" i="14"/>
  <c r="E14" i="14"/>
  <c r="D14" i="14"/>
  <c r="C14" i="14"/>
  <c r="H13" i="14"/>
  <c r="I13" i="14" s="1"/>
  <c r="H11" i="14"/>
  <c r="G14" i="14"/>
  <c r="H15" i="15" l="1"/>
  <c r="I11" i="15"/>
  <c r="I15" i="15" s="1"/>
  <c r="B4" i="15" s="1"/>
  <c r="C4" i="15" s="1"/>
  <c r="H14" i="14"/>
  <c r="I11" i="14"/>
  <c r="I14" i="14" s="1"/>
  <c r="B4" i="14" s="1"/>
  <c r="C4" i="14" s="1"/>
  <c r="G15" i="12" l="1"/>
  <c r="F15" i="12"/>
  <c r="E15" i="12"/>
  <c r="D15" i="12"/>
  <c r="C15" i="12"/>
  <c r="H14" i="12"/>
  <c r="I14" i="12" s="1"/>
  <c r="H13" i="12"/>
  <c r="I13" i="12" s="1"/>
  <c r="H12" i="12"/>
  <c r="I12" i="12" s="1"/>
  <c r="H11" i="12"/>
  <c r="H15" i="12" s="1"/>
  <c r="G11" i="12"/>
  <c r="G14" i="11"/>
  <c r="F14" i="11"/>
  <c r="E14" i="11"/>
  <c r="D14" i="11"/>
  <c r="C14" i="11"/>
  <c r="H13" i="11"/>
  <c r="I13" i="11" s="1"/>
  <c r="H12" i="11"/>
  <c r="I12" i="11" s="1"/>
  <c r="G11" i="11"/>
  <c r="H11" i="11" s="1"/>
  <c r="F14" i="10"/>
  <c r="E14" i="10"/>
  <c r="D14" i="10"/>
  <c r="C14" i="10"/>
  <c r="H13" i="10"/>
  <c r="I13" i="10" s="1"/>
  <c r="H12" i="10"/>
  <c r="I12" i="10" s="1"/>
  <c r="H11" i="10"/>
  <c r="I11" i="10" s="1"/>
  <c r="G11" i="10"/>
  <c r="G14" i="10" s="1"/>
  <c r="G14" i="9"/>
  <c r="F14" i="9"/>
  <c r="E14" i="9"/>
  <c r="D14" i="9"/>
  <c r="C14" i="9"/>
  <c r="H13" i="9"/>
  <c r="I13" i="9" s="1"/>
  <c r="H12" i="9"/>
  <c r="I12" i="9" s="1"/>
  <c r="H11" i="9"/>
  <c r="H14" i="9" s="1"/>
  <c r="G11" i="9"/>
  <c r="G14" i="8"/>
  <c r="F14" i="8"/>
  <c r="E14" i="8"/>
  <c r="D14" i="8"/>
  <c r="C14" i="8"/>
  <c r="H13" i="8"/>
  <c r="I13" i="8" s="1"/>
  <c r="H12" i="8"/>
  <c r="I12" i="8" s="1"/>
  <c r="G11" i="8"/>
  <c r="H11" i="8" s="1"/>
  <c r="G13" i="7"/>
  <c r="F13" i="7"/>
  <c r="E13" i="7"/>
  <c r="D13" i="7"/>
  <c r="C13" i="7"/>
  <c r="H12" i="7"/>
  <c r="I12" i="7" s="1"/>
  <c r="H11" i="7"/>
  <c r="H13" i="7" s="1"/>
  <c r="G11" i="7"/>
  <c r="G13" i="6"/>
  <c r="F13" i="6"/>
  <c r="E13" i="6"/>
  <c r="D13" i="6"/>
  <c r="C13" i="6"/>
  <c r="H12" i="6"/>
  <c r="H13" i="6" s="1"/>
  <c r="H11" i="6"/>
  <c r="I11" i="6" s="1"/>
  <c r="G11" i="6"/>
  <c r="F13" i="5"/>
  <c r="E13" i="5"/>
  <c r="D13" i="5"/>
  <c r="C13" i="5"/>
  <c r="H12" i="5"/>
  <c r="I12" i="5" s="1"/>
  <c r="G11" i="5"/>
  <c r="G13" i="5" s="1"/>
  <c r="D13" i="4"/>
  <c r="C13" i="4"/>
  <c r="F12" i="4"/>
  <c r="E12" i="4"/>
  <c r="F11" i="4"/>
  <c r="F13" i="4" s="1"/>
  <c r="B4" i="4" s="1"/>
  <c r="C4" i="4" s="1"/>
  <c r="E11" i="4"/>
  <c r="E13" i="4" s="1"/>
  <c r="D12" i="3"/>
  <c r="C12" i="3"/>
  <c r="E11" i="3"/>
  <c r="E12" i="3" s="1"/>
  <c r="D12" i="2"/>
  <c r="C12" i="2"/>
  <c r="F11" i="2"/>
  <c r="F12" i="2" s="1"/>
  <c r="B4" i="2" s="1"/>
  <c r="C4" i="2" s="1"/>
  <c r="E11" i="2"/>
  <c r="E12" i="2" s="1"/>
  <c r="I11" i="11" l="1"/>
  <c r="I14" i="11" s="1"/>
  <c r="B4" i="11" s="1"/>
  <c r="C4" i="11" s="1"/>
  <c r="H14" i="11"/>
  <c r="I11" i="8"/>
  <c r="I14" i="8" s="1"/>
  <c r="B4" i="8" s="1"/>
  <c r="C4" i="8" s="1"/>
  <c r="H14" i="8"/>
  <c r="I14" i="10"/>
  <c r="B4" i="10" s="1"/>
  <c r="C4" i="10" s="1"/>
  <c r="I12" i="6"/>
  <c r="I13" i="6" s="1"/>
  <c r="B4" i="6" s="1"/>
  <c r="C4" i="6" s="1"/>
  <c r="I11" i="7"/>
  <c r="I13" i="7" s="1"/>
  <c r="B4" i="7" s="1"/>
  <c r="C4" i="7" s="1"/>
  <c r="I11" i="9"/>
  <c r="I14" i="9" s="1"/>
  <c r="B4" i="9" s="1"/>
  <c r="C4" i="9" s="1"/>
  <c r="I11" i="12"/>
  <c r="I15" i="12" s="1"/>
  <c r="B4" i="12" s="1"/>
  <c r="C4" i="12" s="1"/>
  <c r="F11" i="3"/>
  <c r="F12" i="3" s="1"/>
  <c r="B4" i="3" s="1"/>
  <c r="C4" i="3" s="1"/>
  <c r="H11" i="5"/>
  <c r="H14" i="10"/>
  <c r="H13" i="5" l="1"/>
  <c r="I11" i="5"/>
  <c r="I13" i="5" s="1"/>
  <c r="B4" i="5" s="1"/>
  <c r="C4" i="5" s="1"/>
</calcChain>
</file>

<file path=xl/sharedStrings.xml><?xml version="1.0" encoding="utf-8"?>
<sst xmlns="http://schemas.openxmlformats.org/spreadsheetml/2006/main" count="329" uniqueCount="43">
  <si>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</si>
  <si>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</si>
  <si>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</si>
  <si>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</si>
  <si>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</si>
  <si>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</si>
  <si>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</si>
  <si>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</si>
  <si>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</si>
  <si>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</si>
  <si>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</si>
  <si>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</si>
  <si>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</si>
  <si>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</si>
  <si>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</si>
  <si>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</si>
  <si>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</si>
  <si>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</si>
  <si>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</si>
  <si>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</si>
  <si>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</si>
  <si>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</si>
  <si>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</si>
  <si>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</si>
  <si>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</si>
  <si>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</si>
  <si>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</si>
  <si>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</si>
  <si>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</si>
  <si>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</si>
  <si>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</si>
  <si>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</si>
  <si>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</si>
  <si>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</si>
  <si>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</si>
  <si>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</si>
  <si>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</si>
  <si>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</si>
  <si>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</si>
  <si>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</si>
  <si>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</si>
  <si>
    <t>카카오(글로벌)_MG</t>
  </si>
  <si>
    <t>카카오(글로벌)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</si>
</sst>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27" t="s">
        <v>0</v>
      </c>
      <c r="B1" s="28"/>
      <c r="C1" s="28"/>
      <c r="D1" s="28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9" t="s">
        <v>21</v>
      </c>
      <c r="B14" s="30"/>
      <c r="C14" s="30"/>
      <c r="D14" s="30"/>
      <c r="E14" s="30"/>
      <c r="F14" s="30"/>
      <c r="G14" s="11"/>
      <c r="H14" s="11"/>
    </row>
    <row r="15" spans="1:26" ht="11.25" customHeight="1">
      <c r="A15" s="29" t="s">
        <v>22</v>
      </c>
      <c r="B15" s="30"/>
      <c r="C15" s="30"/>
      <c r="D15" s="30"/>
      <c r="E15" s="30"/>
      <c r="F15" s="30"/>
      <c r="G15" s="11"/>
      <c r="H15" s="11"/>
    </row>
    <row r="16" spans="1:26" ht="11.25" customHeight="1">
      <c r="A16" s="29" t="s">
        <v>23</v>
      </c>
      <c r="B16" s="30"/>
      <c r="C16" s="30"/>
      <c r="D16" s="30"/>
      <c r="E16" s="30"/>
      <c r="F16" s="3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9" t="s">
        <v>24</v>
      </c>
      <c r="B17" s="30"/>
      <c r="C17" s="30"/>
      <c r="D17" s="30"/>
      <c r="E17" s="30"/>
      <c r="F17" s="30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9" t="s">
        <v>21</v>
      </c>
      <c r="B14" s="30"/>
      <c r="C14" s="30"/>
      <c r="D14" s="30"/>
      <c r="E14" s="30"/>
      <c r="F14" s="30"/>
      <c r="G14" s="11"/>
      <c r="H14" s="11"/>
    </row>
    <row r="15" spans="1:26" ht="11.25" customHeight="1">
      <c r="A15" s="29" t="s">
        <v>22</v>
      </c>
      <c r="B15" s="30"/>
      <c r="C15" s="30"/>
      <c r="D15" s="30"/>
      <c r="E15" s="30"/>
      <c r="F15" s="30"/>
      <c r="G15" s="11"/>
      <c r="H15" s="11"/>
    </row>
    <row r="16" spans="1:26" ht="11.25" customHeight="1">
      <c r="A16" s="29" t="s">
        <v>23</v>
      </c>
      <c r="B16" s="30"/>
      <c r="C16" s="30"/>
      <c r="D16" s="30"/>
      <c r="E16" s="30"/>
      <c r="F16" s="3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9" t="s">
        <v>24</v>
      </c>
      <c r="B17" s="30"/>
      <c r="C17" s="30"/>
      <c r="D17" s="30"/>
      <c r="E17" s="30"/>
      <c r="F17" s="30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29" t="s">
        <v>21</v>
      </c>
      <c r="B15" s="30"/>
      <c r="C15" s="30"/>
      <c r="D15" s="30"/>
      <c r="E15" s="30"/>
      <c r="F15" s="30"/>
      <c r="G15" s="11"/>
      <c r="H15" s="11"/>
    </row>
    <row r="16" spans="1:26" ht="11.25" customHeight="1">
      <c r="A16" s="29" t="s">
        <v>22</v>
      </c>
      <c r="B16" s="30"/>
      <c r="C16" s="30"/>
      <c r="D16" s="30"/>
      <c r="E16" s="30"/>
      <c r="F16" s="30"/>
      <c r="G16" s="11"/>
      <c r="H16" s="11"/>
    </row>
    <row r="17" spans="1:26" ht="11.25" customHeight="1">
      <c r="A17" s="29" t="s">
        <v>23</v>
      </c>
      <c r="B17" s="30"/>
      <c r="C17" s="30"/>
      <c r="D17" s="30"/>
      <c r="E17" s="30"/>
      <c r="F17" s="30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9" t="s">
        <v>24</v>
      </c>
      <c r="B18" s="30"/>
      <c r="C18" s="30"/>
      <c r="D18" s="30"/>
      <c r="E18" s="30"/>
      <c r="F18" s="30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9" t="s">
        <v>21</v>
      </c>
      <c r="B15" s="30"/>
      <c r="C15" s="30"/>
      <c r="D15" s="30"/>
      <c r="E15" s="30"/>
      <c r="F15" s="30"/>
      <c r="G15" s="30"/>
      <c r="H15" s="12"/>
      <c r="I15" s="11"/>
      <c r="J15" s="11"/>
    </row>
    <row r="16" spans="1:26" ht="11.25" customHeight="1">
      <c r="A16" s="29" t="s">
        <v>22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23</v>
      </c>
      <c r="B17" s="30"/>
      <c r="C17" s="30"/>
      <c r="D17" s="30"/>
      <c r="E17" s="30"/>
      <c r="F17" s="30"/>
      <c r="G17" s="3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33</v>
      </c>
      <c r="B18" s="30"/>
      <c r="C18" s="30"/>
      <c r="D18" s="30"/>
      <c r="E18" s="30"/>
      <c r="F18" s="30"/>
      <c r="G18" s="30"/>
      <c r="H18" s="3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34</v>
      </c>
      <c r="B19" s="30"/>
      <c r="C19" s="30"/>
      <c r="D19" s="30"/>
      <c r="E19" s="30"/>
      <c r="F19" s="30"/>
      <c r="G19" s="30"/>
      <c r="H19" s="11"/>
      <c r="I19" s="11"/>
    </row>
    <row r="20" spans="1:26" ht="11.25" customHeight="1">
      <c r="A20" s="29" t="s">
        <v>35</v>
      </c>
      <c r="B20" s="30"/>
      <c r="C20" s="30"/>
      <c r="D20" s="30"/>
      <c r="E20" s="30"/>
      <c r="F20" s="30"/>
      <c r="G20" s="3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29" t="s">
        <v>21</v>
      </c>
      <c r="B15" s="30"/>
      <c r="C15" s="30"/>
      <c r="D15" s="30"/>
      <c r="E15" s="30"/>
      <c r="F15" s="30"/>
      <c r="G15" s="30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29" t="s">
        <v>22</v>
      </c>
      <c r="B16" s="30"/>
      <c r="C16" s="30"/>
      <c r="D16" s="30"/>
      <c r="E16" s="30"/>
      <c r="F16" s="30"/>
      <c r="G16" s="30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29" t="s">
        <v>23</v>
      </c>
      <c r="B17" s="30"/>
      <c r="C17" s="30"/>
      <c r="D17" s="30"/>
      <c r="E17" s="30"/>
      <c r="F17" s="30"/>
      <c r="G17" s="3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33</v>
      </c>
      <c r="B18" s="30"/>
      <c r="C18" s="30"/>
      <c r="D18" s="30"/>
      <c r="E18" s="30"/>
      <c r="F18" s="30"/>
      <c r="G18" s="30"/>
      <c r="H18" s="3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34</v>
      </c>
      <c r="B19" s="30"/>
      <c r="C19" s="30"/>
      <c r="D19" s="30"/>
      <c r="E19" s="30"/>
      <c r="F19" s="30"/>
      <c r="G19" s="30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29" t="s">
        <v>35</v>
      </c>
      <c r="B20" s="30"/>
      <c r="C20" s="30"/>
      <c r="D20" s="30"/>
      <c r="E20" s="30"/>
      <c r="F20" s="30"/>
      <c r="G20" s="3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9" t="s">
        <v>21</v>
      </c>
      <c r="B15" s="30"/>
      <c r="C15" s="30"/>
      <c r="D15" s="30"/>
      <c r="E15" s="30"/>
      <c r="F15" s="30"/>
      <c r="G15" s="30"/>
      <c r="H15" s="12"/>
      <c r="I15" s="11"/>
      <c r="J15" s="11"/>
    </row>
    <row r="16" spans="1:26" ht="11.25" customHeight="1">
      <c r="A16" s="29" t="s">
        <v>22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23</v>
      </c>
      <c r="B17" s="30"/>
      <c r="C17" s="30"/>
      <c r="D17" s="30"/>
      <c r="E17" s="30"/>
      <c r="F17" s="30"/>
      <c r="G17" s="3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33</v>
      </c>
      <c r="B18" s="30"/>
      <c r="C18" s="30"/>
      <c r="D18" s="30"/>
      <c r="E18" s="30"/>
      <c r="F18" s="30"/>
      <c r="G18" s="30"/>
      <c r="H18" s="3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34</v>
      </c>
      <c r="B19" s="30"/>
      <c r="C19" s="30"/>
      <c r="D19" s="30"/>
      <c r="E19" s="30"/>
      <c r="F19" s="30"/>
      <c r="G19" s="30"/>
      <c r="H19" s="11"/>
      <c r="I19" s="11"/>
    </row>
    <row r="20" spans="1:26" ht="11.25" customHeight="1">
      <c r="A20" s="29" t="s">
        <v>35</v>
      </c>
      <c r="B20" s="30"/>
      <c r="C20" s="30"/>
      <c r="D20" s="30"/>
      <c r="E20" s="30"/>
      <c r="F20" s="30"/>
      <c r="G20" s="3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9" t="s">
        <v>21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22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23</v>
      </c>
      <c r="B18" s="30"/>
      <c r="C18" s="30"/>
      <c r="D18" s="30"/>
      <c r="E18" s="30"/>
      <c r="F18" s="30"/>
      <c r="G18" s="3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3" t="s">
        <v>33</v>
      </c>
      <c r="B19" s="30"/>
      <c r="C19" s="30"/>
      <c r="D19" s="30"/>
      <c r="E19" s="30"/>
      <c r="F19" s="30"/>
      <c r="G19" s="30"/>
      <c r="H19" s="3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34</v>
      </c>
      <c r="B20" s="30"/>
      <c r="C20" s="30"/>
      <c r="D20" s="30"/>
      <c r="E20" s="30"/>
      <c r="F20" s="30"/>
      <c r="G20" s="30"/>
      <c r="H20" s="11"/>
      <c r="I20" s="11"/>
    </row>
    <row r="21" spans="1:26" ht="11.25" customHeight="1">
      <c r="A21" s="29" t="s">
        <v>35</v>
      </c>
      <c r="B21" s="30"/>
      <c r="C21" s="30"/>
      <c r="D21" s="30"/>
      <c r="E21" s="30"/>
      <c r="F21" s="30"/>
      <c r="G21" s="3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9" t="s">
        <v>21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22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23</v>
      </c>
      <c r="B18" s="30"/>
      <c r="C18" s="30"/>
      <c r="D18" s="30"/>
      <c r="E18" s="30"/>
      <c r="F18" s="30"/>
      <c r="G18" s="3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3" t="s">
        <v>33</v>
      </c>
      <c r="B19" s="30"/>
      <c r="C19" s="30"/>
      <c r="D19" s="30"/>
      <c r="E19" s="30"/>
      <c r="F19" s="30"/>
      <c r="G19" s="30"/>
      <c r="H19" s="3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34</v>
      </c>
      <c r="B20" s="30"/>
      <c r="C20" s="30"/>
      <c r="D20" s="30"/>
      <c r="E20" s="30"/>
      <c r="F20" s="30"/>
      <c r="G20" s="30"/>
      <c r="H20" s="11"/>
      <c r="I20" s="11"/>
    </row>
    <row r="21" spans="1:26" ht="11.25" customHeight="1">
      <c r="A21" s="29" t="s">
        <v>35</v>
      </c>
      <c r="B21" s="30"/>
      <c r="C21" s="30"/>
      <c r="D21" s="30"/>
      <c r="E21" s="30"/>
      <c r="F21" s="30"/>
      <c r="G21" s="3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9" t="s">
        <v>21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22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23</v>
      </c>
      <c r="B18" s="30"/>
      <c r="C18" s="30"/>
      <c r="D18" s="30"/>
      <c r="E18" s="30"/>
      <c r="F18" s="30"/>
      <c r="G18" s="3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3" t="s">
        <v>33</v>
      </c>
      <c r="B19" s="30"/>
      <c r="C19" s="30"/>
      <c r="D19" s="30"/>
      <c r="E19" s="30"/>
      <c r="F19" s="30"/>
      <c r="G19" s="30"/>
      <c r="H19" s="3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34</v>
      </c>
      <c r="B20" s="30"/>
      <c r="C20" s="30"/>
      <c r="D20" s="30"/>
      <c r="E20" s="30"/>
      <c r="F20" s="30"/>
      <c r="G20" s="30"/>
      <c r="H20" s="11"/>
      <c r="I20" s="11"/>
    </row>
    <row r="21" spans="1:26" ht="11.25" customHeight="1">
      <c r="A21" s="29" t="s">
        <v>35</v>
      </c>
      <c r="B21" s="30"/>
      <c r="C21" s="30"/>
      <c r="D21" s="30"/>
      <c r="E21" s="30"/>
      <c r="F21" s="30"/>
      <c r="G21" s="3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202204</v>
      </c>
      <c r="B11" s="13" t="s">
        <v>31</v>
      </c>
      <c r="C11" s="10">
        <v>0</v>
      </c>
      <c r="D11" s="10">
        <v>352716</v>
      </c>
      <c r="E11" s="10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10"/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0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9" t="s">
        <v>21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22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23</v>
      </c>
      <c r="B18" s="30"/>
      <c r="C18" s="30"/>
      <c r="D18" s="30"/>
      <c r="E18" s="30"/>
      <c r="F18" s="30"/>
      <c r="G18" s="3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3" t="s">
        <v>33</v>
      </c>
      <c r="B19" s="30"/>
      <c r="C19" s="30"/>
      <c r="D19" s="30"/>
      <c r="E19" s="30"/>
      <c r="F19" s="30"/>
      <c r="G19" s="30"/>
      <c r="H19" s="3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34</v>
      </c>
      <c r="B20" s="30"/>
      <c r="C20" s="30"/>
      <c r="D20" s="30"/>
      <c r="E20" s="30"/>
      <c r="F20" s="30"/>
      <c r="G20" s="30"/>
      <c r="H20" s="11"/>
      <c r="I20" s="11"/>
    </row>
    <row r="21" spans="1:26" ht="11.25" customHeight="1">
      <c r="A21" s="29" t="s">
        <v>35</v>
      </c>
      <c r="B21" s="30"/>
      <c r="C21" s="30"/>
      <c r="D21" s="30"/>
      <c r="E21" s="30"/>
      <c r="F21" s="30"/>
      <c r="G21" s="3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H38" sqref="H38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337631.1</v>
      </c>
      <c r="C4" s="21">
        <f>B4</f>
        <v>337631.1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2" t="s">
        <v>31</v>
      </c>
      <c r="C11" s="21">
        <v>0</v>
      </c>
      <c r="D11" s="21"/>
      <c r="E11" s="21"/>
      <c r="F11" s="17"/>
      <c r="G11" s="21"/>
      <c r="H11" s="21">
        <f>C11+G11</f>
        <v>0</v>
      </c>
      <c r="I11" s="21">
        <f t="shared" ref="I11:I13" si="0">H11*0.15</f>
        <v>0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2250874</v>
      </c>
      <c r="G12" s="17"/>
      <c r="H12" s="21">
        <f>F12</f>
        <v>2250874</v>
      </c>
      <c r="I12" s="21">
        <f t="shared" si="0"/>
        <v>337631.1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ref="H13" si="1">C13</f>
        <v>0</v>
      </c>
      <c r="I13" s="21">
        <f t="shared" si="0"/>
        <v>0</v>
      </c>
      <c r="J13" s="8"/>
    </row>
    <row r="14" spans="1:26" ht="16.5" customHeight="1">
      <c r="A14" s="20" t="s">
        <v>20</v>
      </c>
      <c r="B14" s="22"/>
      <c r="C14" s="21">
        <f t="shared" ref="C14:I14" si="2">SUM(C11:C13)</f>
        <v>0</v>
      </c>
      <c r="D14" s="21">
        <f t="shared" si="2"/>
        <v>0</v>
      </c>
      <c r="E14" s="21">
        <f t="shared" si="2"/>
        <v>0</v>
      </c>
      <c r="F14" s="21">
        <f t="shared" si="2"/>
        <v>2250874</v>
      </c>
      <c r="G14" s="21">
        <f t="shared" si="2"/>
        <v>0</v>
      </c>
      <c r="H14" s="21">
        <f t="shared" si="2"/>
        <v>2250874</v>
      </c>
      <c r="I14" s="14">
        <f t="shared" si="2"/>
        <v>337631.1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9" t="s">
        <v>21</v>
      </c>
      <c r="B16" s="30"/>
      <c r="C16" s="30"/>
      <c r="D16" s="30"/>
      <c r="E16" s="30"/>
      <c r="F16" s="30"/>
      <c r="G16" s="30"/>
      <c r="H16" s="12"/>
      <c r="I16" s="11"/>
      <c r="J16" s="11"/>
    </row>
    <row r="17" spans="1:26" ht="11.25" customHeight="1">
      <c r="A17" s="29" t="s">
        <v>22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23</v>
      </c>
      <c r="B18" s="30"/>
      <c r="C18" s="30"/>
      <c r="D18" s="30"/>
      <c r="E18" s="30"/>
      <c r="F18" s="30"/>
      <c r="G18" s="3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3" t="s">
        <v>33</v>
      </c>
      <c r="B19" s="30"/>
      <c r="C19" s="30"/>
      <c r="D19" s="30"/>
      <c r="E19" s="30"/>
      <c r="F19" s="30"/>
      <c r="G19" s="30"/>
      <c r="H19" s="3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34</v>
      </c>
      <c r="B20" s="30"/>
      <c r="C20" s="30"/>
      <c r="D20" s="30"/>
      <c r="E20" s="30"/>
      <c r="F20" s="30"/>
      <c r="G20" s="30"/>
      <c r="H20" s="11"/>
      <c r="I20" s="11"/>
    </row>
    <row r="21" spans="1:26" ht="11.25" customHeight="1">
      <c r="A21" s="29" t="s">
        <v>35</v>
      </c>
      <c r="B21" s="30"/>
      <c r="C21" s="30"/>
      <c r="D21" s="30"/>
      <c r="E21" s="30"/>
      <c r="F21" s="30"/>
      <c r="G21" s="3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H19"/>
    <mergeCell ref="A20:G20"/>
    <mergeCell ref="A21:G21"/>
    <mergeCell ref="A2:C2"/>
    <mergeCell ref="A6:G6"/>
    <mergeCell ref="A9:G9"/>
    <mergeCell ref="A16:G16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202205</v>
      </c>
      <c r="B4" s="9">
        <f>I15</f>
        <v>2207709.6</v>
      </c>
      <c r="C4" s="10">
        <f>B4</f>
        <v>2207709.6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202205</v>
      </c>
      <c r="B11" s="13" t="s">
        <v>31</v>
      </c>
      <c r="C11" s="10">
        <v>0</v>
      </c>
      <c r="D11" s="21">
        <v>560520</v>
      </c>
      <c r="E11" s="21">
        <v>157544</v>
      </c>
      <c r="F11" s="17"/>
      <c r="G11" s="10">
        <f>(D11+E11)-C11</f>
        <v>718064</v>
      </c>
      <c r="H11" s="10">
        <f t="shared" ref="H11:H14" si="0">C11+G11</f>
        <v>718064</v>
      </c>
      <c r="I11" s="10">
        <f t="shared" ref="I11:I14" si="1">H11*0.15</f>
        <v>107709.59999999999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21">
        <v>0</v>
      </c>
      <c r="G12" s="17"/>
      <c r="H12" s="10">
        <f t="shared" si="0"/>
        <v>0</v>
      </c>
      <c r="I12" s="10">
        <f t="shared" si="1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0"/>
        <v>0</v>
      </c>
      <c r="I13" s="10">
        <f t="shared" si="1"/>
        <v>0</v>
      </c>
      <c r="J13" s="8"/>
    </row>
    <row r="14" spans="1:26" ht="16.5" customHeight="1">
      <c r="A14" s="20">
        <v>202205</v>
      </c>
      <c r="B14" s="22" t="s">
        <v>41</v>
      </c>
      <c r="C14" s="21">
        <v>14000000</v>
      </c>
      <c r="D14" s="17"/>
      <c r="E14" s="17"/>
      <c r="F14" s="21">
        <v>0</v>
      </c>
      <c r="G14" s="21">
        <v>0</v>
      </c>
      <c r="H14" s="10">
        <f t="shared" si="0"/>
        <v>14000000</v>
      </c>
      <c r="I14" s="10">
        <f t="shared" si="1"/>
        <v>2100000</v>
      </c>
      <c r="J14" s="8"/>
    </row>
    <row r="15" spans="1:26" ht="16.5" customHeight="1">
      <c r="A15" s="4" t="s">
        <v>20</v>
      </c>
      <c r="B15" s="13"/>
      <c r="C15" s="10">
        <f t="shared" ref="C15:I15" si="2">SUM(C11:C14)</f>
        <v>14000000</v>
      </c>
      <c r="D15" s="10">
        <f t="shared" si="2"/>
        <v>560520</v>
      </c>
      <c r="E15" s="10">
        <f t="shared" si="2"/>
        <v>157544</v>
      </c>
      <c r="F15" s="10">
        <f t="shared" si="2"/>
        <v>0</v>
      </c>
      <c r="G15" s="10">
        <f t="shared" si="2"/>
        <v>718064</v>
      </c>
      <c r="H15" s="10">
        <f t="shared" si="2"/>
        <v>14718064</v>
      </c>
      <c r="I15" s="14">
        <f t="shared" si="2"/>
        <v>2207709.6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29" t="s">
        <v>21</v>
      </c>
      <c r="B17" s="30"/>
      <c r="C17" s="30"/>
      <c r="D17" s="30"/>
      <c r="E17" s="30"/>
      <c r="F17" s="30"/>
      <c r="G17" s="30"/>
      <c r="H17" s="12"/>
      <c r="I17" s="11"/>
      <c r="J17" s="11"/>
    </row>
    <row r="18" spans="1:26" ht="11.25" customHeight="1">
      <c r="A18" s="29" t="s">
        <v>22</v>
      </c>
      <c r="B18" s="30"/>
      <c r="C18" s="30"/>
      <c r="D18" s="30"/>
      <c r="E18" s="30"/>
      <c r="F18" s="30"/>
      <c r="G18" s="30"/>
      <c r="H18" s="12"/>
      <c r="I18" s="11"/>
      <c r="J18" s="11"/>
    </row>
    <row r="19" spans="1:26" ht="11.25" customHeight="1">
      <c r="A19" s="29" t="s">
        <v>23</v>
      </c>
      <c r="B19" s="30"/>
      <c r="C19" s="30"/>
      <c r="D19" s="30"/>
      <c r="E19" s="30"/>
      <c r="F19" s="30"/>
      <c r="G19" s="30"/>
      <c r="H19" s="12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3" t="s">
        <v>33</v>
      </c>
      <c r="B20" s="30"/>
      <c r="C20" s="30"/>
      <c r="D20" s="30"/>
      <c r="E20" s="30"/>
      <c r="F20" s="30"/>
      <c r="G20" s="30"/>
      <c r="H20" s="30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29" t="s">
        <v>34</v>
      </c>
      <c r="B21" s="30"/>
      <c r="C21" s="30"/>
      <c r="D21" s="30"/>
      <c r="E21" s="30"/>
      <c r="F21" s="30"/>
      <c r="G21" s="30"/>
      <c r="H21" s="11"/>
      <c r="I21" s="11"/>
    </row>
    <row r="22" spans="1:26" ht="11.25" customHeight="1">
      <c r="A22" s="29" t="s">
        <v>35</v>
      </c>
      <c r="B22" s="30"/>
      <c r="C22" s="30"/>
      <c r="D22" s="30"/>
      <c r="E22" s="30"/>
      <c r="F22" s="30"/>
      <c r="G22" s="30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19:G19"/>
    <mergeCell ref="A20:H20"/>
    <mergeCell ref="A21:G21"/>
    <mergeCell ref="A22:G22"/>
    <mergeCell ref="A2:C2"/>
    <mergeCell ref="A6:G6"/>
    <mergeCell ref="A9:G9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A4" sqref="A4"/>
    </sheetView>
  </sheetViews>
  <sheetFormatPr defaultColWidth="14.42578125" defaultRowHeight="15" customHeight="1"/>
  <cols>
    <col min="1" max="1" width="8.42578125" style="24" customWidth="1"/>
    <col min="2" max="10" width="19.5703125" style="24" customWidth="1"/>
    <col min="11" max="26" width="8.7109375" style="24" customWidth="1"/>
    <col min="27" max="16384" width="14.42578125" style="2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31" t="s">
        <v>9</v>
      </c>
      <c r="B2" s="28"/>
      <c r="C2" s="2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202206</v>
      </c>
      <c r="B4" s="9">
        <f>I15</f>
        <v>972956.85</v>
      </c>
      <c r="C4" s="21">
        <f>B4</f>
        <v>972956.85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9" t="s">
        <v>13</v>
      </c>
      <c r="B6" s="30"/>
      <c r="C6" s="30"/>
      <c r="D6" s="30"/>
      <c r="E6" s="30"/>
      <c r="F6" s="30"/>
      <c r="G6" s="30"/>
      <c r="H6" s="2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32" t="s">
        <v>14</v>
      </c>
      <c r="B9" s="28"/>
      <c r="C9" s="28"/>
      <c r="D9" s="28"/>
      <c r="E9" s="28"/>
      <c r="F9" s="28"/>
      <c r="G9" s="2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202206</v>
      </c>
      <c r="B11" s="22" t="s">
        <v>31</v>
      </c>
      <c r="C11" s="21">
        <v>1600000</v>
      </c>
      <c r="D11" s="21">
        <v>5173869</v>
      </c>
      <c r="E11" s="21">
        <v>1312510</v>
      </c>
      <c r="F11" s="17"/>
      <c r="G11" s="21">
        <f>(D11+E11)-C11</f>
        <v>4886379</v>
      </c>
      <c r="H11" s="21">
        <f t="shared" ref="H11:H14" si="0">C11+G11</f>
        <v>6486379</v>
      </c>
      <c r="I11" s="21">
        <f t="shared" ref="I11:I14" si="1">H11*0.15</f>
        <v>972956.85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0</v>
      </c>
      <c r="G12" s="17"/>
      <c r="H12" s="21">
        <f t="shared" si="0"/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21"/>
      <c r="D14" s="17"/>
      <c r="E14" s="17"/>
      <c r="F14" s="21">
        <v>0</v>
      </c>
      <c r="G14" s="21">
        <v>0</v>
      </c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 t="s">
        <v>20</v>
      </c>
      <c r="B15" s="22"/>
      <c r="C15" s="21">
        <f t="shared" ref="C15:I15" si="2">SUM(C11:C14)</f>
        <v>1600000</v>
      </c>
      <c r="D15" s="21">
        <f t="shared" si="2"/>
        <v>5173869</v>
      </c>
      <c r="E15" s="21">
        <f t="shared" si="2"/>
        <v>1312510</v>
      </c>
      <c r="F15" s="21">
        <f t="shared" si="2"/>
        <v>0</v>
      </c>
      <c r="G15" s="21">
        <f t="shared" si="2"/>
        <v>4886379</v>
      </c>
      <c r="H15" s="21">
        <f t="shared" si="2"/>
        <v>6486379</v>
      </c>
      <c r="I15" s="14">
        <f t="shared" si="2"/>
        <v>972956.85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29" t="s">
        <v>21</v>
      </c>
      <c r="B17" s="30"/>
      <c r="C17" s="30"/>
      <c r="D17" s="30"/>
      <c r="E17" s="30"/>
      <c r="F17" s="30"/>
      <c r="G17" s="30"/>
      <c r="H17" s="23"/>
      <c r="I17" s="11"/>
      <c r="J17" s="11"/>
    </row>
    <row r="18" spans="1:26" ht="11.25" customHeight="1">
      <c r="A18" s="29" t="s">
        <v>22</v>
      </c>
      <c r="B18" s="30"/>
      <c r="C18" s="30"/>
      <c r="D18" s="30"/>
      <c r="E18" s="30"/>
      <c r="F18" s="30"/>
      <c r="G18" s="30"/>
      <c r="H18" s="23"/>
      <c r="I18" s="11"/>
      <c r="J18" s="11"/>
    </row>
    <row r="19" spans="1:26" ht="11.25" customHeight="1">
      <c r="A19" s="29" t="s">
        <v>23</v>
      </c>
      <c r="B19" s="30"/>
      <c r="C19" s="30"/>
      <c r="D19" s="30"/>
      <c r="E19" s="30"/>
      <c r="F19" s="30"/>
      <c r="G19" s="30"/>
      <c r="H19" s="23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3" t="s">
        <v>33</v>
      </c>
      <c r="B20" s="30"/>
      <c r="C20" s="30"/>
      <c r="D20" s="30"/>
      <c r="E20" s="30"/>
      <c r="F20" s="30"/>
      <c r="G20" s="30"/>
      <c r="H20" s="30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29" t="s">
        <v>34</v>
      </c>
      <c r="B21" s="30"/>
      <c r="C21" s="30"/>
      <c r="D21" s="30"/>
      <c r="E21" s="30"/>
      <c r="F21" s="30"/>
      <c r="G21" s="30"/>
      <c r="H21" s="11"/>
      <c r="I21" s="11"/>
    </row>
    <row r="22" spans="1:26" ht="11.25" customHeight="1">
      <c r="A22" s="29" t="s">
        <v>35</v>
      </c>
      <c r="B22" s="30"/>
      <c r="C22" s="30"/>
      <c r="D22" s="30"/>
      <c r="E22" s="30"/>
      <c r="F22" s="30"/>
      <c r="G22" s="30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20:H20"/>
    <mergeCell ref="A21:G21"/>
    <mergeCell ref="A22:G22"/>
    <mergeCell ref="A2:C2"/>
    <mergeCell ref="A6:G6"/>
    <mergeCell ref="A9:G9"/>
    <mergeCell ref="A17:G17"/>
    <mergeCell ref="A18:G18"/>
    <mergeCell ref="A19:G19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202204_추가</vt:lpstr>
      <vt:lpstr>202205</vt:lpstr>
      <vt:lpstr>202206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2022-07-23T04:33:02Z</dcterms:modified>
</cp:coreProperties>
</file>