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7" activeTab="19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  <sheet name="202205" sheetId="19" r:id="rId19"/>
    <sheet name="202206" sheetId="20" r:id="rId20"/>
  </sheets>
  <calcPr calcId="162913"/>
  <extLst>
    <ext uri="GoogleSheetsCustomDataVersion1">
      <go:sheetsCustomData xmlns:go="http://customooxmlschemas.google.com/" r:id="rId23" roundtripDataSignature="AMtx7mhhE3/e5qBWMmruoz6uU0TMOWfKUA=="/>
    </ext>
  </extLst>
</workbook>
</file>

<file path=xl/calcChain.xml><?xml version="1.0" encoding="utf-8"?>
<calcChain xmlns="http://schemas.openxmlformats.org/spreadsheetml/2006/main">
  <c r="F17" i="20" l="1"/>
  <c r="E17" i="20"/>
  <c r="D17" i="20"/>
  <c r="C17" i="20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H17" i="20" l="1"/>
  <c r="I11" i="20"/>
  <c r="I17" i="20" s="1"/>
  <c r="B4" i="20" s="1"/>
  <c r="C4" i="20" s="1"/>
  <c r="G17" i="20"/>
  <c r="G17" i="19"/>
  <c r="F17" i="19"/>
  <c r="E17" i="19"/>
  <c r="D17" i="19"/>
  <c r="C17" i="19"/>
  <c r="H16" i="19"/>
  <c r="I16" i="19" s="1"/>
  <c r="H15" i="19"/>
  <c r="I15" i="19" s="1"/>
  <c r="I14" i="19"/>
  <c r="H14" i="19"/>
  <c r="H13" i="19"/>
  <c r="I13" i="19" s="1"/>
  <c r="I12" i="19"/>
  <c r="H12" i="19"/>
  <c r="I11" i="19"/>
  <c r="H11" i="19"/>
  <c r="H17" i="19" s="1"/>
  <c r="G11" i="19"/>
  <c r="F16" i="18"/>
  <c r="E16" i="18"/>
  <c r="D16" i="18"/>
  <c r="C16" i="18"/>
  <c r="I15" i="18"/>
  <c r="H15" i="18"/>
  <c r="H14" i="18"/>
  <c r="I14" i="18" s="1"/>
  <c r="I13" i="18"/>
  <c r="H13" i="18"/>
  <c r="I12" i="18"/>
  <c r="H12" i="18"/>
  <c r="G11" i="18"/>
  <c r="G16" i="18" s="1"/>
  <c r="F15" i="17"/>
  <c r="E15" i="17"/>
  <c r="D15" i="17"/>
  <c r="C15" i="17"/>
  <c r="H14" i="17"/>
  <c r="I14" i="17" s="1"/>
  <c r="I13" i="17"/>
  <c r="H13" i="17"/>
  <c r="I12" i="17"/>
  <c r="H12" i="17"/>
  <c r="G11" i="17"/>
  <c r="G15" i="17" s="1"/>
  <c r="F15" i="16"/>
  <c r="E15" i="16"/>
  <c r="D15" i="16"/>
  <c r="C15" i="16"/>
  <c r="H14" i="16"/>
  <c r="I14" i="16" s="1"/>
  <c r="I13" i="16"/>
  <c r="H13" i="16"/>
  <c r="H12" i="16"/>
  <c r="I12" i="16" s="1"/>
  <c r="G11" i="16"/>
  <c r="H11" i="16" s="1"/>
  <c r="F15" i="15"/>
  <c r="E15" i="15"/>
  <c r="D15" i="15"/>
  <c r="C15" i="15"/>
  <c r="H14" i="15"/>
  <c r="I14" i="15" s="1"/>
  <c r="I13" i="15"/>
  <c r="H13" i="15"/>
  <c r="H12" i="15"/>
  <c r="I12" i="15" s="1"/>
  <c r="G11" i="15"/>
  <c r="H11" i="15" s="1"/>
  <c r="F15" i="14"/>
  <c r="D15" i="14"/>
  <c r="C15" i="14"/>
  <c r="H14" i="14"/>
  <c r="I14" i="14" s="1"/>
  <c r="H13" i="14"/>
  <c r="I13" i="14" s="1"/>
  <c r="I12" i="14"/>
  <c r="H12" i="14"/>
  <c r="G11" i="14"/>
  <c r="G15" i="14" s="1"/>
  <c r="F15" i="13"/>
  <c r="D15" i="13"/>
  <c r="C15" i="13"/>
  <c r="H14" i="13"/>
  <c r="I14" i="13" s="1"/>
  <c r="H13" i="13"/>
  <c r="I13" i="13" s="1"/>
  <c r="I12" i="13"/>
  <c r="H12" i="13"/>
  <c r="G11" i="13"/>
  <c r="H11" i="13" s="1"/>
  <c r="F15" i="12"/>
  <c r="D15" i="12"/>
  <c r="C15" i="12"/>
  <c r="H14" i="12"/>
  <c r="I14" i="12" s="1"/>
  <c r="H13" i="12"/>
  <c r="I13" i="12" s="1"/>
  <c r="H12" i="12"/>
  <c r="I12" i="12" s="1"/>
  <c r="G11" i="12"/>
  <c r="G15" i="12" s="1"/>
  <c r="D16" i="11"/>
  <c r="C16" i="11"/>
  <c r="F15" i="11"/>
  <c r="G15" i="11" s="1"/>
  <c r="F14" i="11"/>
  <c r="G14" i="11" s="1"/>
  <c r="F13" i="11"/>
  <c r="G13" i="11" s="1"/>
  <c r="F12" i="11"/>
  <c r="G12" i="11" s="1"/>
  <c r="E11" i="11"/>
  <c r="E16" i="11" s="1"/>
  <c r="D14" i="10"/>
  <c r="C14" i="10"/>
  <c r="F13" i="10"/>
  <c r="G13" i="10" s="1"/>
  <c r="F12" i="10"/>
  <c r="G12" i="10" s="1"/>
  <c r="E11" i="10"/>
  <c r="F11" i="10" s="1"/>
  <c r="D13" i="9"/>
  <c r="C13" i="9"/>
  <c r="F12" i="9"/>
  <c r="G12" i="9" s="1"/>
  <c r="E11" i="9"/>
  <c r="E13" i="9" s="1"/>
  <c r="D12" i="8"/>
  <c r="C12" i="8"/>
  <c r="E11" i="8"/>
  <c r="E12" i="8" s="1"/>
  <c r="D12" i="7"/>
  <c r="C12" i="7"/>
  <c r="F11" i="7"/>
  <c r="G11" i="7" s="1"/>
  <c r="G12" i="7" s="1"/>
  <c r="B4" i="7" s="1"/>
  <c r="C4" i="7" s="1"/>
  <c r="E11" i="7"/>
  <c r="E12" i="7" s="1"/>
  <c r="E12" i="6"/>
  <c r="D12" i="6"/>
  <c r="C12" i="6"/>
  <c r="E11" i="6"/>
  <c r="F11" i="6" s="1"/>
  <c r="D12" i="5"/>
  <c r="C12" i="5"/>
  <c r="E11" i="5"/>
  <c r="E12" i="5" s="1"/>
  <c r="D12" i="4"/>
  <c r="C12" i="4"/>
  <c r="F11" i="4"/>
  <c r="G11" i="4" s="1"/>
  <c r="G12" i="4" s="1"/>
  <c r="B4" i="4" s="1"/>
  <c r="C4" i="4" s="1"/>
  <c r="E11" i="4"/>
  <c r="E12" i="4" s="1"/>
  <c r="E12" i="3"/>
  <c r="D12" i="3"/>
  <c r="C12" i="3"/>
  <c r="E11" i="3"/>
  <c r="F11" i="3" s="1"/>
  <c r="E12" i="2"/>
  <c r="D12" i="2"/>
  <c r="C12" i="2"/>
  <c r="C11" i="2"/>
  <c r="F11" i="2" s="1"/>
  <c r="H15" i="13" l="1"/>
  <c r="I11" i="13"/>
  <c r="I15" i="13" s="1"/>
  <c r="B4" i="13" s="1"/>
  <c r="C4" i="13" s="1"/>
  <c r="H15" i="16"/>
  <c r="I11" i="16"/>
  <c r="I15" i="16" s="1"/>
  <c r="B4" i="16" s="1"/>
  <c r="C4" i="16" s="1"/>
  <c r="G11" i="3"/>
  <c r="G12" i="3" s="1"/>
  <c r="B4" i="3" s="1"/>
  <c r="C4" i="3" s="1"/>
  <c r="F12" i="3"/>
  <c r="H15" i="15"/>
  <c r="I11" i="15"/>
  <c r="I15" i="15" s="1"/>
  <c r="B4" i="15" s="1"/>
  <c r="C4" i="15" s="1"/>
  <c r="I17" i="19"/>
  <c r="B4" i="19" s="1"/>
  <c r="C4" i="19" s="1"/>
  <c r="G11" i="6"/>
  <c r="G12" i="6" s="1"/>
  <c r="B4" i="6" s="1"/>
  <c r="C4" i="6" s="1"/>
  <c r="F12" i="6"/>
  <c r="F12" i="2"/>
  <c r="G11" i="2"/>
  <c r="G12" i="2" s="1"/>
  <c r="B4" i="2" s="1"/>
  <c r="C4" i="2" s="1"/>
  <c r="G11" i="10"/>
  <c r="G14" i="10" s="1"/>
  <c r="B4" i="10" s="1"/>
  <c r="C4" i="10" s="1"/>
  <c r="F14" i="10"/>
  <c r="G15" i="16"/>
  <c r="H11" i="18"/>
  <c r="F11" i="5"/>
  <c r="F11" i="8"/>
  <c r="E14" i="10"/>
  <c r="F11" i="11"/>
  <c r="H11" i="12"/>
  <c r="G15" i="15"/>
  <c r="H11" i="17"/>
  <c r="F12" i="4"/>
  <c r="F12" i="7"/>
  <c r="F11" i="9"/>
  <c r="G15" i="13"/>
  <c r="H11" i="14"/>
  <c r="H15" i="17" l="1"/>
  <c r="I11" i="17"/>
  <c r="I15" i="17" s="1"/>
  <c r="B4" i="17" s="1"/>
  <c r="C4" i="17" s="1"/>
  <c r="F12" i="5"/>
  <c r="G11" i="5"/>
  <c r="G12" i="5" s="1"/>
  <c r="B4" i="5" s="1"/>
  <c r="C4" i="5" s="1"/>
  <c r="I11" i="12"/>
  <c r="I15" i="12" s="1"/>
  <c r="B4" i="12" s="1"/>
  <c r="C4" i="12" s="1"/>
  <c r="H15" i="12"/>
  <c r="I11" i="14"/>
  <c r="I15" i="14" s="1"/>
  <c r="B4" i="14" s="1"/>
  <c r="C4" i="14" s="1"/>
  <c r="H15" i="14"/>
  <c r="I11" i="18"/>
  <c r="I16" i="18" s="1"/>
  <c r="B4" i="18" s="1"/>
  <c r="C4" i="18" s="1"/>
  <c r="H16" i="18"/>
  <c r="F13" i="9"/>
  <c r="G11" i="9"/>
  <c r="G13" i="9" s="1"/>
  <c r="B4" i="9" s="1"/>
  <c r="C4" i="9" s="1"/>
  <c r="F16" i="11"/>
  <c r="G11" i="11"/>
  <c r="G16" i="11" s="1"/>
  <c r="B4" i="11" s="1"/>
  <c r="C4" i="11" s="1"/>
  <c r="F12" i="8"/>
  <c r="G11" i="8"/>
  <c r="G12" i="8" s="1"/>
  <c r="B4" i="8" s="1"/>
  <c r="C4" i="8" s="1"/>
</calcChain>
</file>

<file path=xl/sharedStrings.xml><?xml version="1.0" encoding="utf-8"?>
<sst xmlns="http://schemas.openxmlformats.org/spreadsheetml/2006/main" count="480" uniqueCount="48">
  <si>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</si>
  <si>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</si>
  <si>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</si>
  <si>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</si>
  <si>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</si>
  <si>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</si>
  <si>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</si>
  <si>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</si>
  <si>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</si>
  <si>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</si>
  <si>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</si>
  <si>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</si>
  <si>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</si>
  <si>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</si>
  <si>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</si>
  <si>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</si>
  <si>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</si>
  <si>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</si>
  <si>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</si>
  <si>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</si>
  <si>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</si>
  <si>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</si>
  <si>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</si>
  <si>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</si>
  <si>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</si>
  <si>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</si>
  <si>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</si>
  <si>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</si>
  <si>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</si>
  <si>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</si>
  <si>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</si>
  <si>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</si>
  <si>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</si>
  <si>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</si>
  <si>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</si>
  <si>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</si>
  <si>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</si>
  <si>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</si>
  <si>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</si>
  <si>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</si>
  <si>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</si>
  <si>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</si>
  <si>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</si>
  <si>
    <t>타파스(스페인) MG (8)</t>
  </si>
  <si>
    <t>픽코마(프랑스) (8)</t>
    <phoneticPr fontId="14" type="noConversion"/>
  </si>
  <si>
    <t>상계중</t>
  </si>
  <si>
    <t>픽코마(프랑스) (8)</t>
  </si>
  <si>
    <t>타파스(스페인)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</si>
</sst>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176" fontId="7" fillId="0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0" t="s">
        <v>0</v>
      </c>
      <c r="B1" s="31"/>
      <c r="C1" s="31"/>
      <c r="D1" s="31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2" t="s">
        <v>22</v>
      </c>
      <c r="B14" s="33"/>
      <c r="C14" s="33"/>
      <c r="D14" s="33"/>
      <c r="E14" s="33"/>
      <c r="F14" s="33"/>
      <c r="G14" s="11"/>
      <c r="H14" s="11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4" t="s">
        <v>25</v>
      </c>
      <c r="B17" s="33"/>
      <c r="C17" s="33"/>
      <c r="D17" s="33"/>
      <c r="E17" s="33"/>
      <c r="F17" s="33"/>
      <c r="G17" s="33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2" t="s">
        <v>26</v>
      </c>
      <c r="B18" s="33"/>
      <c r="C18" s="33"/>
      <c r="D18" s="33"/>
      <c r="E18" s="33"/>
      <c r="F18" s="33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22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23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24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25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26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2" t="s">
        <v>22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4" t="s">
        <v>25</v>
      </c>
      <c r="B19" s="33"/>
      <c r="C19" s="33"/>
      <c r="D19" s="33"/>
      <c r="E19" s="33"/>
      <c r="F19" s="33"/>
      <c r="G19" s="33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2" t="s">
        <v>26</v>
      </c>
      <c r="B20" s="33"/>
      <c r="C20" s="33"/>
      <c r="D20" s="33"/>
      <c r="E20" s="33"/>
      <c r="F20" s="33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2" t="s">
        <v>22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25</v>
      </c>
      <c r="B21" s="33"/>
      <c r="C21" s="33"/>
      <c r="D21" s="33"/>
      <c r="E21" s="33"/>
      <c r="F21" s="33"/>
      <c r="G21" s="33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2" t="s">
        <v>26</v>
      </c>
      <c r="B22" s="33"/>
      <c r="C22" s="33"/>
      <c r="D22" s="33"/>
      <c r="E22" s="33"/>
      <c r="F22" s="33"/>
      <c r="G22" s="11"/>
      <c r="H22" s="11"/>
    </row>
    <row r="23" spans="1:26" ht="11.25" customHeight="1">
      <c r="A23" s="32" t="s">
        <v>35</v>
      </c>
      <c r="B23" s="33"/>
      <c r="C23" s="33"/>
      <c r="D23" s="33"/>
      <c r="E23" s="33"/>
      <c r="F23" s="33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22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25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26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35</v>
      </c>
      <c r="B22" s="33"/>
      <c r="C22" s="33"/>
      <c r="D22" s="33"/>
      <c r="E22" s="33"/>
      <c r="F22" s="33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2" t="s">
        <v>22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25</v>
      </c>
      <c r="B21" s="33"/>
      <c r="C21" s="33"/>
      <c r="D21" s="33"/>
      <c r="E21" s="33"/>
      <c r="F21" s="33"/>
      <c r="G21" s="33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2" t="s">
        <v>26</v>
      </c>
      <c r="B22" s="33"/>
      <c r="C22" s="33"/>
      <c r="D22" s="33"/>
      <c r="E22" s="33"/>
      <c r="F22" s="33"/>
      <c r="G22" s="11"/>
      <c r="H22" s="11"/>
    </row>
    <row r="23" spans="1:26" ht="11.25" customHeight="1">
      <c r="A23" s="32" t="s">
        <v>35</v>
      </c>
      <c r="B23" s="33"/>
      <c r="C23" s="33"/>
      <c r="D23" s="33"/>
      <c r="E23" s="33"/>
      <c r="F23" s="33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I26" sqref="I26"/>
    </sheetView>
  </sheetViews>
  <sheetFormatPr defaultColWidth="14.42578125" defaultRowHeight="15" customHeight="1"/>
  <cols>
    <col min="1" max="1" width="12" customWidth="1"/>
    <col min="2" max="2" width="24.4257812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I17</f>
        <v>5513496.4500000002</v>
      </c>
      <c r="C4" s="10">
        <f>B4</f>
        <v>5513496.4500000002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1" t="s">
        <v>38</v>
      </c>
      <c r="C11" s="22">
        <v>5000000</v>
      </c>
      <c r="D11" s="22">
        <v>20066799</v>
      </c>
      <c r="E11" s="22">
        <v>7843367</v>
      </c>
      <c r="F11" s="16"/>
      <c r="G11" s="10">
        <f>(D11+E11)-C11</f>
        <v>22910166</v>
      </c>
      <c r="H11" s="10">
        <f>(C11+G11)</f>
        <v>27910166</v>
      </c>
      <c r="I11" s="10">
        <f t="shared" ref="I11:I16" si="0">H11*0.15</f>
        <v>4186524.9</v>
      </c>
    </row>
    <row r="12" spans="1:26" ht="16.5" customHeight="1">
      <c r="A12" s="21">
        <v>202204</v>
      </c>
      <c r="B12" s="21" t="s">
        <v>39</v>
      </c>
      <c r="C12" s="16"/>
      <c r="D12" s="16"/>
      <c r="E12" s="16"/>
      <c r="F12" s="23">
        <v>7846477</v>
      </c>
      <c r="G12" s="16"/>
      <c r="H12" s="10">
        <f t="shared" ref="H12:H14" si="1">F12</f>
        <v>7846477</v>
      </c>
      <c r="I12" s="10">
        <f t="shared" si="0"/>
        <v>1176971.55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 t="s">
        <v>29</v>
      </c>
      <c r="B15" s="21" t="s">
        <v>44</v>
      </c>
      <c r="C15" s="28"/>
      <c r="D15" s="16"/>
      <c r="E15" s="16"/>
      <c r="F15" s="29">
        <v>0</v>
      </c>
      <c r="G15" s="16"/>
      <c r="H15" s="10">
        <f t="shared" ref="H15:H16" si="2">C15</f>
        <v>0</v>
      </c>
      <c r="I15" s="10">
        <f t="shared" si="0"/>
        <v>0</v>
      </c>
    </row>
    <row r="16" spans="1:26" ht="16.5" customHeight="1">
      <c r="A16" s="21">
        <v>202205</v>
      </c>
      <c r="B16" s="21" t="s">
        <v>43</v>
      </c>
      <c r="C16" s="22">
        <v>1000000</v>
      </c>
      <c r="D16" s="16"/>
      <c r="E16" s="16"/>
      <c r="F16" s="26"/>
      <c r="G16" s="16"/>
      <c r="H16" s="10">
        <f t="shared" si="2"/>
        <v>1000000</v>
      </c>
      <c r="I16" s="10">
        <f t="shared" si="0"/>
        <v>150000</v>
      </c>
    </row>
    <row r="17" spans="1:26" ht="16.5" customHeight="1">
      <c r="A17" s="4" t="s">
        <v>21</v>
      </c>
      <c r="B17" s="12"/>
      <c r="C17" s="10">
        <f t="shared" ref="C17:I17" si="3">SUM(C10:C16)</f>
        <v>6000000</v>
      </c>
      <c r="D17" s="10">
        <f t="shared" si="3"/>
        <v>20066799</v>
      </c>
      <c r="E17" s="10">
        <f t="shared" si="3"/>
        <v>7843367</v>
      </c>
      <c r="F17" s="10">
        <f t="shared" si="3"/>
        <v>7846477</v>
      </c>
      <c r="G17" s="10">
        <f t="shared" si="3"/>
        <v>22910166</v>
      </c>
      <c r="H17" s="10">
        <f t="shared" si="3"/>
        <v>36756643</v>
      </c>
      <c r="I17" s="13">
        <f t="shared" si="3"/>
        <v>5513496.4500000002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2" t="s">
        <v>22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23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24</v>
      </c>
      <c r="B21" s="33"/>
      <c r="C21" s="33"/>
      <c r="D21" s="33"/>
      <c r="E21" s="33"/>
      <c r="F21" s="33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25</v>
      </c>
      <c r="B22" s="33"/>
      <c r="C22" s="33"/>
      <c r="D22" s="33"/>
      <c r="E22" s="33"/>
      <c r="F22" s="33"/>
      <c r="G22" s="33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26</v>
      </c>
      <c r="B23" s="33"/>
      <c r="C23" s="33"/>
      <c r="D23" s="33"/>
      <c r="E23" s="33"/>
      <c r="F23" s="33"/>
      <c r="G23" s="11"/>
      <c r="H23" s="11"/>
    </row>
    <row r="24" spans="1:26" ht="11.25" customHeight="1">
      <c r="A24" s="32" t="s">
        <v>35</v>
      </c>
      <c r="B24" s="33"/>
      <c r="C24" s="33"/>
      <c r="D24" s="33"/>
      <c r="E24" s="33"/>
      <c r="F24" s="33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1:F21"/>
    <mergeCell ref="A22:G22"/>
    <mergeCell ref="A23:F23"/>
    <mergeCell ref="A24:F24"/>
    <mergeCell ref="A2:C2"/>
    <mergeCell ref="A6:F6"/>
    <mergeCell ref="A9:D9"/>
    <mergeCell ref="A19:F19"/>
    <mergeCell ref="A20:F20"/>
  </mergeCells>
  <phoneticPr fontId="14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C4" sqref="C4"/>
    </sheetView>
  </sheetViews>
  <sheetFormatPr defaultColWidth="14.42578125" defaultRowHeight="15" customHeight="1"/>
  <cols>
    <col min="1" max="1" width="12" style="27" customWidth="1"/>
    <col min="2" max="2" width="24.42578125" style="27" customWidth="1"/>
    <col min="3" max="9" width="19.5703125" style="27" customWidth="1"/>
    <col min="10" max="26" width="8.7109375" style="27" customWidth="1"/>
    <col min="27" max="16384" width="14.42578125" style="2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I17</f>
        <v>4490254.9499999993</v>
      </c>
      <c r="C4" s="22">
        <f>B4</f>
        <v>4490254.9499999993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1" t="s">
        <v>38</v>
      </c>
      <c r="C11" s="22">
        <v>4000000</v>
      </c>
      <c r="D11" s="22">
        <v>16747046</v>
      </c>
      <c r="E11" s="22">
        <v>4360107</v>
      </c>
      <c r="F11" s="16"/>
      <c r="G11" s="22">
        <f>(D11+E11)-C11</f>
        <v>17107153</v>
      </c>
      <c r="H11" s="22">
        <f>(C11+G11)</f>
        <v>21107153</v>
      </c>
      <c r="I11" s="22">
        <f t="shared" ref="I11:I16" si="0">H11*0.15</f>
        <v>3166072.9499999997</v>
      </c>
    </row>
    <row r="12" spans="1:26" ht="16.5" customHeight="1">
      <c r="A12" s="21">
        <v>202205</v>
      </c>
      <c r="B12" s="21" t="s">
        <v>39</v>
      </c>
      <c r="C12" s="16"/>
      <c r="D12" s="16"/>
      <c r="E12" s="16"/>
      <c r="F12" s="23">
        <v>8827880</v>
      </c>
      <c r="G12" s="16"/>
      <c r="H12" s="22">
        <f t="shared" ref="H12:H14" si="1">F12</f>
        <v>8827880</v>
      </c>
      <c r="I12" s="22">
        <f t="shared" si="0"/>
        <v>1324182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16747046</v>
      </c>
      <c r="E17" s="22">
        <f t="shared" si="3"/>
        <v>4360107</v>
      </c>
      <c r="F17" s="22">
        <f t="shared" si="3"/>
        <v>8827880</v>
      </c>
      <c r="G17" s="22">
        <f t="shared" si="3"/>
        <v>17107153</v>
      </c>
      <c r="H17" s="22">
        <f t="shared" si="3"/>
        <v>29935033</v>
      </c>
      <c r="I17" s="13">
        <f t="shared" si="3"/>
        <v>4490254.9499999993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2" t="s">
        <v>22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23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24</v>
      </c>
      <c r="B21" s="33"/>
      <c r="C21" s="33"/>
      <c r="D21" s="33"/>
      <c r="E21" s="33"/>
      <c r="F21" s="33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25</v>
      </c>
      <c r="B22" s="33"/>
      <c r="C22" s="33"/>
      <c r="D22" s="33"/>
      <c r="E22" s="33"/>
      <c r="F22" s="33"/>
      <c r="G22" s="33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26</v>
      </c>
      <c r="B23" s="33"/>
      <c r="C23" s="33"/>
      <c r="D23" s="33"/>
      <c r="E23" s="33"/>
      <c r="F23" s="33"/>
      <c r="G23" s="11"/>
      <c r="H23" s="11"/>
    </row>
    <row r="24" spans="1:26" ht="11.25" customHeight="1">
      <c r="A24" s="32" t="s">
        <v>35</v>
      </c>
      <c r="B24" s="33"/>
      <c r="C24" s="33"/>
      <c r="D24" s="33"/>
      <c r="E24" s="33"/>
      <c r="F24" s="33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2022-07-23T04:38:36Z</dcterms:modified>
</cp:coreProperties>
</file>