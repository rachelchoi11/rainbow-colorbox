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esktop\7월마감\"/>
    </mc:Choice>
  </mc:AlternateContent>
  <bookViews>
    <workbookView xWindow="19320" yWindow="3240" windowWidth="20556" windowHeight="19140"/>
  </bookViews>
  <sheets>
    <sheet name="정산내역 요약" sheetId="1" r:id="rId1"/>
    <sheet name="정산내역 상세" sheetId="2" r:id="rId2"/>
    <sheet name="선급금내역_카카오페이지" sheetId="3" r:id="rId3"/>
  </sheets>
  <calcPr calcId="152511"/>
</workbook>
</file>

<file path=xl/calcChain.xml><?xml version="1.0" encoding="utf-8"?>
<calcChain xmlns="http://schemas.openxmlformats.org/spreadsheetml/2006/main">
  <c r="J19" i="1" l="1"/>
  <c r="I19" i="1"/>
  <c r="H19" i="1"/>
  <c r="G19" i="1"/>
  <c r="F19" i="1"/>
</calcChain>
</file>

<file path=xl/sharedStrings.xml><?xml version="1.0" encoding="utf-8"?>
<sst xmlns="http://schemas.openxmlformats.org/spreadsheetml/2006/main" count="103" uniqueCount="85">
  <si>
    <t>카카오웹툰 "주식회사 스토리위즈" 정산내역서</t>
  </si>
  <si>
    <t>1)</t>
  </si>
  <si>
    <t>정산서 안내</t>
  </si>
  <si>
    <t>#1 플랫폼명 : 카카오페이지</t>
  </si>
  <si>
    <t>#2 작가명 : 주식회사 스토리위즈</t>
  </si>
  <si>
    <t>#3 판매월 : 2022-06</t>
  </si>
  <si>
    <t>#4 수신자 : payment@kt.com</t>
  </si>
  <si>
    <t>#5 안내</t>
  </si>
  <si>
    <t xml:space="preserve">    정산내역서 집계의 세부 내용은 [정산내역 상세] 탭을 확인해주시기 바랍니다.</t>
  </si>
  <si>
    <t>2)</t>
  </si>
  <si>
    <t xml:space="preserve">계산서 발행요청금액 : </t>
  </si>
  <si>
    <t>원</t>
  </si>
  <si>
    <t>3)</t>
  </si>
  <si>
    <t>정산내역 요약</t>
  </si>
  <si>
    <t>거래처명</t>
  </si>
  <si>
    <t>작품명</t>
  </si>
  <si>
    <t>거래액(원화 합계)</t>
  </si>
  <si>
    <t>카카오페이지 플랫폼 정산금 (순매출)</t>
  </si>
  <si>
    <t>작품 정산금</t>
  </si>
  <si>
    <t>선급금 소진금액</t>
  </si>
  <si>
    <t>최종 정산금액</t>
  </si>
  <si>
    <t>주식회사 스토리위즈</t>
  </si>
  <si>
    <t>괴물아기</t>
  </si>
  <si>
    <t>합계</t>
  </si>
  <si>
    <t>정산월</t>
  </si>
  <si>
    <t>시리즈ID</t>
  </si>
  <si>
    <t>시리즈명</t>
  </si>
  <si>
    <t>ISBN(유/무)</t>
  </si>
  <si>
    <t>거래액(캐시)</t>
  </si>
  <si>
    <t>거래액(원화)</t>
  </si>
  <si>
    <t>플랫폼 정산율(%)</t>
  </si>
  <si>
    <t>순매출액</t>
  </si>
  <si>
    <t>카카오페이지 플랫폼 정산금</t>
  </si>
  <si>
    <t>작품 정산율</t>
  </si>
  <si>
    <t>AOS-캐시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</si>
  <si>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</si>
  <si>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</si>
  <si>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</si>
  <si>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</si>
  <si>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</si>
  <si>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</si>
  <si>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AOS-원화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</si>
  <si>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</si>
  <si>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</si>
  <si>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</si>
  <si>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</si>
  <si>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</si>
  <si>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</si>
  <si>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AOS 정산율</t>
  </si>
  <si>
    <t>WEB 정산율</t>
  </si>
  <si>
    <t>iOS 정산률(%)</t>
  </si>
  <si>
    <t>EVENT 정산률(%)</t>
  </si>
  <si>
    <t>AOS-순매출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</si>
  <si>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</si>
  <si>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</si>
  <si>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</si>
  <si>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</si>
  <si>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</si>
  <si>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</si>
  <si>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2022-06</t>
  </si>
  <si>
    <t>N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</si>
  <si>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</si>
  <si>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</si>
  <si>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</si>
  <si>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</si>
  <si>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</si>
  <si>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</si>
  <si>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</si>
  <si>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구원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</si>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</sst>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8" fillId="0" borderId="0"/>
    <xf numFmtId="0" fontId="11" fillId="0" borderId="0">
      <alignment vertical="center"/>
    </xf>
  </cellStyleXfs>
  <cellXfs count="45">
    <xf numFmtId="0" fontId="0" fillId="0" borderId="0" xfId="0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/>
    <xf numFmtId="9" fontId="9" fillId="0" borderId="0" xfId="0" applyNumberFormat="1" applyFont="1" applyAlignment="1"/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0" fillId="0" borderId="0" xfId="0" applyAlignment="1"/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/>
    </xf>
    <xf numFmtId="3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0" fontId="16" fillId="4" borderId="1" xfId="0" applyFont="1" applyFill="1" applyBorder="1" applyAlignment="1">
      <alignment horizontal="center" vertical="center"/>
    </xf>
    <xf numFmtId="41" fontId="16" fillId="4" borderId="1" xfId="1" applyFont="1" applyFill="1" applyBorder="1" applyAlignment="1">
      <alignment horizontal="center" vertical="center"/>
    </xf>
    <xf numFmtId="41" fontId="16" fillId="4" borderId="1" xfId="0" applyNumberFormat="1" applyFont="1" applyFill="1" applyBorder="1" applyAlignment="1">
      <alignment horizontal="center" vertical="center"/>
    </xf>
    <xf numFmtId="9" fontId="16" fillId="4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16" fillId="0" borderId="0" xfId="0" applyNumberFormat="1" applyFont="1" applyAlignment="1">
      <alignment vertical="top"/>
    </xf>
    <xf numFmtId="3" fontId="16" fillId="0" borderId="0" xfId="1" applyNumberFormat="1" applyFont="1" applyAlignment="1">
      <alignment vertical="top"/>
    </xf>
    <xf numFmtId="9" fontId="16" fillId="0" borderId="0" xfId="0" applyNumberFormat="1" applyFont="1" applyAlignment="1">
      <alignment vertical="top"/>
    </xf>
    <xf numFmtId="41" fontId="9" fillId="0" borderId="0" xfId="1" applyFont="1" applyAlignment="1"/>
    <xf numFmtId="41" fontId="9" fillId="0" borderId="0" xfId="0" applyNumberFormat="1" applyFont="1" applyAlignment="1"/>
    <xf numFmtId="0" fontId="16" fillId="0" borderId="1" xfId="0" applyFont="1" applyBorder="1" applyAlignment="1">
      <alignment horizontal="center" vertical="center"/>
    </xf>
    <xf numFmtId="3" fontId="16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16" fillId="4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4" borderId="1" xfId="0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0" fillId="0" borderId="3" xfId="0" applyBorder="1" applyAlignment="1"/>
  </cellXfs>
  <cellStyles count="5">
    <cellStyle name="쉼표 [0]" xfId="1" builtinId="6"/>
    <cellStyle name="표준" xfId="0" builtinId="0"/>
    <cellStyle name="표준 2" xfId="4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tabSelected="1" zoomScale="92" zoomScaleNormal="100" workbookViewId="0">
      <selection activeCell="D2" sqref="D2"/>
    </sheetView>
  </sheetViews>
  <sheetFormatPr defaultColWidth="8.69921875" defaultRowHeight="17.399999999999999" x14ac:dyDescent="0.4"/>
  <cols>
    <col min="1" max="1" width="3.19921875" style="7" customWidth="1"/>
    <col min="2" max="2" width="2" style="8" customWidth="1"/>
    <col min="3" max="3" width="2.69921875" style="9" customWidth="1"/>
    <col min="4" max="4" width="18.5" style="6" customWidth="1"/>
    <col min="5" max="5" width="28.5" style="6" customWidth="1"/>
    <col min="6" max="6" width="15.5" style="6" bestFit="1" customWidth="1"/>
    <col min="7" max="7" width="32" style="11" customWidth="1"/>
    <col min="8" max="13" width="15.5" style="6" bestFit="1" customWidth="1"/>
    <col min="14" max="14" width="8.69921875" style="7" customWidth="1"/>
    <col min="15" max="16384" width="8.69921875" style="7"/>
  </cols>
  <sheetData>
    <row r="1" spans="1:13" ht="15.6" x14ac:dyDescent="0.4">
      <c r="A1" s="5"/>
      <c r="B1" s="5"/>
      <c r="C1" s="5"/>
      <c r="D1" s="5"/>
      <c r="E1" s="5"/>
      <c r="F1" s="5"/>
      <c r="G1" s="5"/>
      <c r="H1" s="5"/>
      <c r="I1" s="5"/>
      <c r="M1" s="7"/>
    </row>
    <row r="2" spans="1:13" ht="31.2" customHeight="1" x14ac:dyDescent="0.4">
      <c r="A2" s="5"/>
      <c r="B2" s="5"/>
      <c r="C2" s="5"/>
      <c r="D2" s="5"/>
      <c r="E2" s="5"/>
      <c r="F2" s="5"/>
      <c r="G2" s="5"/>
      <c r="H2" s="5"/>
      <c r="I2" s="1"/>
      <c r="L2" s="1" t="s">
        <v>0</v>
      </c>
      <c r="M2" s="7"/>
    </row>
    <row r="3" spans="1:13" ht="7.5" customHeight="1" x14ac:dyDescent="0.4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7"/>
    </row>
    <row r="4" spans="1:13" ht="15.6" x14ac:dyDescent="0.4">
      <c r="A4" s="5"/>
      <c r="B4" s="5"/>
      <c r="C4" s="5"/>
      <c r="D4" s="5"/>
      <c r="E4" s="5"/>
      <c r="F4" s="5"/>
      <c r="G4" s="5"/>
      <c r="H4" s="5"/>
      <c r="I4" s="5"/>
      <c r="M4" s="7"/>
    </row>
    <row r="5" spans="1:13" ht="15.6" x14ac:dyDescent="0.35">
      <c r="C5" s="12" t="s">
        <v>1</v>
      </c>
      <c r="D5" s="13" t="s">
        <v>2</v>
      </c>
      <c r="E5" s="7"/>
      <c r="F5" s="7"/>
      <c r="G5" s="7"/>
      <c r="H5" s="7"/>
      <c r="I5" s="7"/>
      <c r="J5" s="7"/>
      <c r="K5" s="7"/>
      <c r="L5" s="7"/>
      <c r="M5" s="7"/>
    </row>
    <row r="6" spans="1:13" ht="9" customHeight="1" x14ac:dyDescent="0.4">
      <c r="M6" s="7"/>
    </row>
    <row r="7" spans="1:13" x14ac:dyDescent="0.4">
      <c r="D7" s="14" t="s">
        <v>3</v>
      </c>
      <c r="M7" s="7"/>
    </row>
    <row r="8" spans="1:13" x14ac:dyDescent="0.4">
      <c r="D8" s="14" t="s">
        <v>4</v>
      </c>
      <c r="M8" s="7"/>
    </row>
    <row r="9" spans="1:13" x14ac:dyDescent="0.4">
      <c r="D9" s="14" t="s">
        <v>5</v>
      </c>
      <c r="M9" s="7"/>
    </row>
    <row r="10" spans="1:13" x14ac:dyDescent="0.4">
      <c r="D10" s="14" t="s">
        <v>6</v>
      </c>
      <c r="M10" s="7"/>
    </row>
    <row r="11" spans="1:13" x14ac:dyDescent="0.4">
      <c r="D11" s="14" t="s">
        <v>7</v>
      </c>
      <c r="M11" s="7"/>
    </row>
    <row r="12" spans="1:13" x14ac:dyDescent="0.4">
      <c r="D12" s="15" t="s">
        <v>8</v>
      </c>
      <c r="M12" s="7"/>
    </row>
    <row r="13" spans="1:13" x14ac:dyDescent="0.4">
      <c r="M13" s="7"/>
    </row>
    <row r="14" spans="1:13" x14ac:dyDescent="0.4">
      <c r="C14" s="16" t="s">
        <v>9</v>
      </c>
      <c r="D14" s="17" t="s">
        <v>10</v>
      </c>
      <c r="E14" s="18">
        <v>60173</v>
      </c>
      <c r="F14" s="19" t="s">
        <v>11</v>
      </c>
      <c r="M14" s="7"/>
    </row>
    <row r="15" spans="1:13" x14ac:dyDescent="0.4">
      <c r="M15" s="7"/>
    </row>
    <row r="16" spans="1:13" x14ac:dyDescent="0.4">
      <c r="C16" s="20" t="s">
        <v>12</v>
      </c>
      <c r="D16" s="14" t="s">
        <v>13</v>
      </c>
      <c r="M16" s="7"/>
    </row>
    <row r="17" spans="4:13" x14ac:dyDescent="0.4">
      <c r="D17" s="21" t="s">
        <v>14</v>
      </c>
      <c r="E17" s="21" t="s">
        <v>15</v>
      </c>
      <c r="F17" s="21" t="s">
        <v>16</v>
      </c>
      <c r="G17" s="21" t="s">
        <v>17</v>
      </c>
      <c r="H17" s="21" t="s">
        <v>18</v>
      </c>
      <c r="I17" s="21" t="s">
        <v>19</v>
      </c>
      <c r="J17" s="21" t="s">
        <v>20</v>
      </c>
      <c r="M17" s="7"/>
    </row>
    <row r="18" spans="4:13" x14ac:dyDescent="0.4">
      <c r="D18" s="36" t="s">
        <v>21</v>
      </c>
      <c r="E18" s="22" t="s">
        <v>22</v>
      </c>
      <c r="F18" s="23">
        <v>107452</v>
      </c>
      <c r="G18" s="23">
        <v>85962</v>
      </c>
      <c r="H18" s="23">
        <v>60173</v>
      </c>
      <c r="I18" s="23">
        <v>0</v>
      </c>
      <c r="J18" s="23">
        <v>60173</v>
      </c>
      <c r="M18" s="7"/>
    </row>
    <row r="19" spans="4:13" x14ac:dyDescent="0.4">
      <c r="D19" s="36" t="s">
        <v>23</v>
      </c>
      <c r="E19" s="37"/>
      <c r="F19" s="23">
        <f>SUM(F18:F18)</f>
        <v>107452</v>
      </c>
      <c r="G19" s="23">
        <f>SUM(G18:G18)</f>
        <v>85962</v>
      </c>
      <c r="H19" s="23">
        <f>SUM(H18:H18)</f>
        <v>60173</v>
      </c>
      <c r="I19" s="23">
        <f>SUM(I18:I18)</f>
        <v>0</v>
      </c>
      <c r="J19" s="23">
        <f>SUM(J18:J18)</f>
        <v>60173</v>
      </c>
      <c r="M19" s="7"/>
    </row>
    <row r="20" spans="4:13" x14ac:dyDescent="0.4">
      <c r="M20" s="7"/>
    </row>
    <row r="21" spans="4:13" x14ac:dyDescent="0.4">
      <c r="M21" s="7"/>
    </row>
    <row r="22" spans="4:13" x14ac:dyDescent="0.4">
      <c r="M22" s="7"/>
    </row>
    <row r="23" spans="4:13" x14ac:dyDescent="0.4">
      <c r="M23" s="7"/>
    </row>
    <row r="24" spans="4:13" x14ac:dyDescent="0.4">
      <c r="M24" s="7"/>
    </row>
  </sheetData>
  <mergeCells count="2">
    <mergeCell ref="D18"/>
    <mergeCell ref="D19:E19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Views>
    <sheetView workbookViewId="0">
      <selection sqref="A1:A2"/>
    </sheetView>
  </sheetViews>
  <sheetFormatPr defaultColWidth="13" defaultRowHeight="17.399999999999999" x14ac:dyDescent="0.4"/>
  <cols>
    <col min="1" max="1" width="8.69921875" style="2" customWidth="1"/>
    <col min="2" max="2" width="13" style="2" customWidth="1"/>
    <col min="3" max="3" width="20" style="2" bestFit="1" customWidth="1"/>
    <col min="4" max="4" width="8.69921875" style="2" customWidth="1"/>
    <col min="5" max="6" width="13" style="11" customWidth="1"/>
    <col min="7" max="11" width="13" style="2" bestFit="1" customWidth="1"/>
    <col min="12" max="12" width="13" style="2" customWidth="1"/>
    <col min="13" max="29" width="13" style="11" customWidth="1"/>
    <col min="30" max="30" width="20" style="11" customWidth="1"/>
    <col min="31" max="32" width="13" style="11" customWidth="1"/>
    <col min="33" max="16384" width="13" style="2"/>
  </cols>
  <sheetData>
    <row r="1" spans="1:32" x14ac:dyDescent="0.4">
      <c r="A1" s="38" t="s">
        <v>24</v>
      </c>
      <c r="B1" s="38" t="s">
        <v>25</v>
      </c>
      <c r="C1" s="38" t="s">
        <v>26</v>
      </c>
      <c r="D1" s="38" t="s">
        <v>27</v>
      </c>
      <c r="E1" s="38" t="s">
        <v>28</v>
      </c>
      <c r="F1" s="40"/>
      <c r="G1" s="40"/>
      <c r="H1" s="40"/>
      <c r="I1" s="40"/>
      <c r="J1" s="40"/>
      <c r="K1" s="37"/>
      <c r="L1" s="38" t="s">
        <v>29</v>
      </c>
      <c r="M1" s="40"/>
      <c r="N1" s="40"/>
      <c r="O1" s="40"/>
      <c r="P1" s="40"/>
      <c r="Q1" s="40"/>
      <c r="R1" s="37"/>
      <c r="S1" s="38" t="s">
        <v>30</v>
      </c>
      <c r="T1" s="40"/>
      <c r="U1" s="40"/>
      <c r="V1" s="37"/>
      <c r="W1" s="38" t="s">
        <v>31</v>
      </c>
      <c r="X1" s="40"/>
      <c r="Y1" s="40"/>
      <c r="Z1" s="40"/>
      <c r="AA1" s="40"/>
      <c r="AB1" s="40"/>
      <c r="AC1" s="37"/>
      <c r="AD1" s="38" t="s">
        <v>32</v>
      </c>
      <c r="AE1" s="38" t="s">
        <v>33</v>
      </c>
      <c r="AF1" s="38" t="s">
        <v>18</v>
      </c>
    </row>
    <row r="2" spans="1:32" ht="13.2" x14ac:dyDescent="0.4">
      <c r="A2" s="39"/>
      <c r="B2" s="39"/>
      <c r="C2" s="39"/>
      <c r="D2" s="39"/>
      <c r="E2" s="24" t="s">
        <v>34</v>
      </c>
      <c r="F2" s="24" t="s">
        <v>35</v>
      </c>
      <c r="G2" s="25" t="s">
        <v>36</v>
      </c>
      <c r="H2" s="26" t="s">
        <v>37</v>
      </c>
      <c r="I2" s="26" t="s">
        <v>38</v>
      </c>
      <c r="J2" s="27" t="s">
        <v>39</v>
      </c>
      <c r="K2" s="26" t="s">
        <v>40</v>
      </c>
      <c r="L2" s="24" t="s">
        <v>41</v>
      </c>
      <c r="M2" s="24" t="s">
        <v>42</v>
      </c>
      <c r="N2" s="24" t="s">
        <v>43</v>
      </c>
      <c r="O2" s="24" t="s">
        <v>44</v>
      </c>
      <c r="P2" s="24" t="s">
        <v>45</v>
      </c>
      <c r="Q2" s="24" t="s">
        <v>46</v>
      </c>
      <c r="R2" s="24" t="s">
        <v>47</v>
      </c>
      <c r="S2" s="24" t="s">
        <v>48</v>
      </c>
      <c r="T2" s="24" t="s">
        <v>49</v>
      </c>
      <c r="U2" s="24" t="s">
        <v>50</v>
      </c>
      <c r="V2" s="24" t="s">
        <v>51</v>
      </c>
      <c r="W2" s="24" t="s">
        <v>52</v>
      </c>
      <c r="X2" s="24" t="s">
        <v>53</v>
      </c>
      <c r="Y2" s="24" t="s">
        <v>54</v>
      </c>
      <c r="Z2" s="24" t="s">
        <v>55</v>
      </c>
      <c r="AA2" s="24" t="s">
        <v>56</v>
      </c>
      <c r="AB2" s="24" t="s">
        <v>57</v>
      </c>
      <c r="AC2" s="24" t="s">
        <v>58</v>
      </c>
      <c r="AD2" s="39"/>
      <c r="AE2" s="39"/>
      <c r="AF2" s="39"/>
    </row>
    <row r="3" spans="1:32" ht="13.2" x14ac:dyDescent="0.4">
      <c r="A3" s="28" t="s">
        <v>59</v>
      </c>
      <c r="B3" s="28">
        <v>55171938</v>
      </c>
      <c r="C3" s="28" t="s">
        <v>22</v>
      </c>
      <c r="D3" s="28" t="s">
        <v>60</v>
      </c>
      <c r="E3" s="29">
        <v>17260</v>
      </c>
      <c r="F3" s="29">
        <v>52840</v>
      </c>
      <c r="G3" s="30">
        <v>0</v>
      </c>
      <c r="H3" s="29">
        <v>33900</v>
      </c>
      <c r="I3" s="29">
        <v>70100</v>
      </c>
      <c r="J3" s="29">
        <v>33900</v>
      </c>
      <c r="K3" s="29">
        <v>104000</v>
      </c>
      <c r="L3" s="29">
        <v>20712</v>
      </c>
      <c r="M3" s="29">
        <v>52840</v>
      </c>
      <c r="N3" s="29">
        <v>0</v>
      </c>
      <c r="O3" s="29">
        <v>33900</v>
      </c>
      <c r="P3" s="29">
        <v>73552</v>
      </c>
      <c r="Q3" s="29">
        <v>33900</v>
      </c>
      <c r="R3" s="29">
        <v>107452</v>
      </c>
      <c r="S3" s="31">
        <v>0.8</v>
      </c>
      <c r="T3" s="31">
        <v>0.8</v>
      </c>
      <c r="U3" s="31">
        <v>0.8</v>
      </c>
      <c r="V3" s="31">
        <v>0.8</v>
      </c>
      <c r="W3" s="29">
        <v>16570</v>
      </c>
      <c r="X3" s="29">
        <v>42272</v>
      </c>
      <c r="Y3" s="29">
        <v>0</v>
      </c>
      <c r="Z3" s="29">
        <v>27120</v>
      </c>
      <c r="AA3" s="29">
        <v>58842</v>
      </c>
      <c r="AB3" s="29">
        <v>27120</v>
      </c>
      <c r="AC3" s="29">
        <v>85962</v>
      </c>
      <c r="AD3" s="29">
        <v>85962</v>
      </c>
      <c r="AE3" s="31">
        <v>0.7</v>
      </c>
      <c r="AF3" s="29">
        <v>60173</v>
      </c>
    </row>
    <row r="4" spans="1:32" x14ac:dyDescent="0.4">
      <c r="A4" s="3"/>
      <c r="B4" s="3"/>
      <c r="C4" s="3"/>
      <c r="D4" s="3"/>
      <c r="E4" s="3"/>
      <c r="F4" s="3"/>
      <c r="G4" s="32"/>
      <c r="H4" s="33"/>
      <c r="I4" s="33"/>
      <c r="J4" s="4"/>
      <c r="K4" s="33"/>
    </row>
  </sheetData>
  <mergeCells count="11">
    <mergeCell ref="AE1:AE2"/>
    <mergeCell ref="AF1:AF2"/>
    <mergeCell ref="E1:K1"/>
    <mergeCell ref="L1:R1"/>
    <mergeCell ref="S1:V1"/>
    <mergeCell ref="W1:AC1"/>
    <mergeCell ref="A1:A2"/>
    <mergeCell ref="B1:B2"/>
    <mergeCell ref="C1:C2"/>
    <mergeCell ref="D1:D2"/>
    <mergeCell ref="AD1:A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7.399999999999999" x14ac:dyDescent="0.4"/>
  <cols>
    <col min="1" max="8" width="20" style="11" customWidth="1"/>
  </cols>
  <sheetData>
    <row r="1" spans="1:8" x14ac:dyDescent="0.4">
      <c r="A1" s="41" t="s">
        <v>15</v>
      </c>
      <c r="B1" s="41" t="s">
        <v>24</v>
      </c>
      <c r="C1" s="41" t="s">
        <v>61</v>
      </c>
      <c r="D1" s="41" t="s">
        <v>62</v>
      </c>
      <c r="E1" s="37"/>
      <c r="F1" s="41" t="s">
        <v>63</v>
      </c>
      <c r="G1" s="41" t="s">
        <v>64</v>
      </c>
      <c r="H1" s="41" t="s">
        <v>65</v>
      </c>
    </row>
    <row r="2" spans="1:8" x14ac:dyDescent="0.4">
      <c r="A2" s="39"/>
      <c r="B2" s="39"/>
      <c r="C2" s="39"/>
      <c r="D2" s="21" t="s">
        <v>66</v>
      </c>
      <c r="E2" s="21" t="s">
        <v>67</v>
      </c>
      <c r="F2" s="39"/>
      <c r="G2" s="39"/>
      <c r="H2" s="39"/>
    </row>
    <row r="3" spans="1:8" x14ac:dyDescent="0.4">
      <c r="A3" s="43" t="s">
        <v>68</v>
      </c>
      <c r="B3" s="42" t="s">
        <v>69</v>
      </c>
      <c r="C3" s="34" t="s">
        <v>70</v>
      </c>
      <c r="D3" s="35">
        <v>0</v>
      </c>
      <c r="E3" s="35">
        <v>40000000</v>
      </c>
      <c r="F3" s="35">
        <v>1634352</v>
      </c>
      <c r="G3" s="35">
        <v>38365648</v>
      </c>
      <c r="H3" s="35">
        <v>0</v>
      </c>
    </row>
    <row r="4" spans="1:8" x14ac:dyDescent="0.4">
      <c r="A4" s="44"/>
      <c r="B4" s="42" t="s">
        <v>71</v>
      </c>
      <c r="C4" s="34" t="s">
        <v>70</v>
      </c>
      <c r="D4" s="35">
        <v>38365648</v>
      </c>
      <c r="E4" s="35">
        <v>0</v>
      </c>
      <c r="F4" s="35">
        <v>2005354</v>
      </c>
      <c r="G4" s="35">
        <v>36360294</v>
      </c>
      <c r="H4" s="35">
        <v>0</v>
      </c>
    </row>
    <row r="5" spans="1:8" x14ac:dyDescent="0.4">
      <c r="A5" s="44"/>
      <c r="B5" s="42" t="s">
        <v>72</v>
      </c>
      <c r="C5" s="34" t="s">
        <v>70</v>
      </c>
      <c r="D5" s="35">
        <v>36360294</v>
      </c>
      <c r="E5" s="35">
        <v>0</v>
      </c>
      <c r="F5" s="35">
        <v>2044892</v>
      </c>
      <c r="G5" s="35">
        <v>34315402</v>
      </c>
      <c r="H5" s="35">
        <v>0</v>
      </c>
    </row>
    <row r="6" spans="1:8" x14ac:dyDescent="0.4">
      <c r="A6" s="44"/>
      <c r="B6" s="42" t="s">
        <v>73</v>
      </c>
      <c r="C6" s="34" t="s">
        <v>70</v>
      </c>
      <c r="D6" s="35">
        <v>34315402</v>
      </c>
      <c r="E6" s="35">
        <v>0</v>
      </c>
      <c r="F6" s="35">
        <v>1433705</v>
      </c>
      <c r="G6" s="35">
        <v>32881697</v>
      </c>
      <c r="H6" s="35">
        <v>0</v>
      </c>
    </row>
    <row r="7" spans="1:8" x14ac:dyDescent="0.4">
      <c r="A7" s="44"/>
      <c r="B7" s="42" t="s">
        <v>74</v>
      </c>
      <c r="C7" s="34" t="s">
        <v>70</v>
      </c>
      <c r="D7" s="35">
        <v>32881697</v>
      </c>
      <c r="E7" s="35">
        <v>0</v>
      </c>
      <c r="F7" s="35">
        <v>2044938</v>
      </c>
      <c r="G7" s="35">
        <v>30836759</v>
      </c>
      <c r="H7" s="35">
        <v>0</v>
      </c>
    </row>
    <row r="8" spans="1:8" x14ac:dyDescent="0.4">
      <c r="A8" s="44"/>
      <c r="B8" s="42" t="s">
        <v>75</v>
      </c>
      <c r="C8" s="34" t="s">
        <v>70</v>
      </c>
      <c r="D8" s="35">
        <v>30836759</v>
      </c>
      <c r="E8" s="35">
        <v>0</v>
      </c>
      <c r="F8" s="35">
        <v>925342</v>
      </c>
      <c r="G8" s="35">
        <v>29911417</v>
      </c>
      <c r="H8" s="35">
        <v>0</v>
      </c>
    </row>
    <row r="9" spans="1:8" x14ac:dyDescent="0.4">
      <c r="A9" s="44"/>
      <c r="B9" s="42" t="s">
        <v>76</v>
      </c>
      <c r="C9" s="34" t="s">
        <v>70</v>
      </c>
      <c r="D9" s="35">
        <v>29911417</v>
      </c>
      <c r="E9" s="35">
        <v>0</v>
      </c>
      <c r="F9" s="35">
        <v>849269</v>
      </c>
      <c r="G9" s="35">
        <v>29062148</v>
      </c>
      <c r="H9" s="35">
        <v>0</v>
      </c>
    </row>
    <row r="10" spans="1:8" x14ac:dyDescent="0.4">
      <c r="A10" s="44"/>
      <c r="B10" s="42" t="s">
        <v>77</v>
      </c>
      <c r="C10" s="34" t="s">
        <v>70</v>
      </c>
      <c r="D10" s="35">
        <v>29062148</v>
      </c>
      <c r="E10" s="35">
        <v>0</v>
      </c>
      <c r="F10" s="35">
        <v>566393</v>
      </c>
      <c r="G10" s="35">
        <v>28495755</v>
      </c>
      <c r="H10" s="35">
        <v>0</v>
      </c>
    </row>
    <row r="11" spans="1:8" x14ac:dyDescent="0.4">
      <c r="A11" s="44"/>
      <c r="B11" s="42" t="s">
        <v>78</v>
      </c>
      <c r="C11" s="34" t="s">
        <v>70</v>
      </c>
      <c r="D11" s="35">
        <v>28495755</v>
      </c>
      <c r="E11" s="35">
        <v>0</v>
      </c>
      <c r="F11" s="35">
        <v>577678</v>
      </c>
      <c r="G11" s="35">
        <v>27918077</v>
      </c>
      <c r="H11" s="35">
        <v>0</v>
      </c>
    </row>
    <row r="12" spans="1:8" x14ac:dyDescent="0.4">
      <c r="A12" s="44"/>
      <c r="B12" s="42" t="s">
        <v>79</v>
      </c>
      <c r="C12" s="34" t="s">
        <v>70</v>
      </c>
      <c r="D12" s="35">
        <v>27918077</v>
      </c>
      <c r="E12" s="35">
        <v>0</v>
      </c>
      <c r="F12" s="35">
        <v>1368353</v>
      </c>
      <c r="G12" s="35">
        <v>26549724</v>
      </c>
      <c r="H12" s="35">
        <v>0</v>
      </c>
    </row>
    <row r="13" spans="1:8" x14ac:dyDescent="0.4">
      <c r="A13" s="44"/>
      <c r="B13" s="42" t="s">
        <v>80</v>
      </c>
      <c r="C13" s="34" t="s">
        <v>70</v>
      </c>
      <c r="D13" s="35">
        <v>26549724</v>
      </c>
      <c r="E13" s="35">
        <v>0</v>
      </c>
      <c r="F13" s="35">
        <v>483830</v>
      </c>
      <c r="G13" s="35">
        <v>26065894</v>
      </c>
      <c r="H13" s="35">
        <v>0</v>
      </c>
    </row>
    <row r="14" spans="1:8" x14ac:dyDescent="0.4">
      <c r="A14" s="44"/>
      <c r="B14" s="42" t="s">
        <v>81</v>
      </c>
      <c r="C14" s="34" t="s">
        <v>70</v>
      </c>
      <c r="D14" s="35">
        <v>26065894</v>
      </c>
      <c r="E14" s="35">
        <v>0</v>
      </c>
      <c r="F14" s="35">
        <v>455173</v>
      </c>
      <c r="G14" s="35">
        <v>25610721</v>
      </c>
      <c r="H14" s="35">
        <v>0</v>
      </c>
    </row>
    <row r="15" spans="1:8" x14ac:dyDescent="0.4">
      <c r="A15" s="44"/>
      <c r="B15" s="42" t="s">
        <v>82</v>
      </c>
      <c r="C15" s="34" t="s">
        <v>70</v>
      </c>
      <c r="D15" s="35">
        <v>25610721</v>
      </c>
      <c r="E15" s="35">
        <v>0</v>
      </c>
      <c r="F15" s="35">
        <v>376740</v>
      </c>
      <c r="G15" s="35">
        <v>25233981</v>
      </c>
      <c r="H15" s="35">
        <v>0</v>
      </c>
    </row>
    <row r="16" spans="1:8" x14ac:dyDescent="0.4">
      <c r="A16" s="44"/>
      <c r="B16" s="42" t="s">
        <v>83</v>
      </c>
      <c r="C16" s="34" t="s">
        <v>70</v>
      </c>
      <c r="D16" s="35">
        <v>25233981</v>
      </c>
      <c r="E16" s="35">
        <v>0</v>
      </c>
      <c r="F16" s="35">
        <v>606254</v>
      </c>
      <c r="G16" s="35">
        <v>24627727</v>
      </c>
      <c r="H16" s="35">
        <v>0</v>
      </c>
    </row>
    <row r="17" spans="1:8" x14ac:dyDescent="0.4">
      <c r="A17" s="39"/>
      <c r="B17" s="42" t="s">
        <v>84</v>
      </c>
      <c r="C17" s="34" t="s">
        <v>70</v>
      </c>
      <c r="D17" s="35">
        <v>24627727</v>
      </c>
      <c r="E17" s="35">
        <v>0</v>
      </c>
      <c r="F17" s="35">
        <v>390078</v>
      </c>
      <c r="G17" s="35">
        <v>24237649</v>
      </c>
      <c r="H17" s="35">
        <v>0</v>
      </c>
    </row>
  </sheetData>
  <mergeCells count="23">
    <mergeCell ref="B16"/>
    <mergeCell ref="B17"/>
    <mergeCell ref="A3:A17"/>
    <mergeCell ref="B11"/>
    <mergeCell ref="B12"/>
    <mergeCell ref="B13"/>
    <mergeCell ref="B14"/>
    <mergeCell ref="B15"/>
    <mergeCell ref="B6"/>
    <mergeCell ref="B7"/>
    <mergeCell ref="B8"/>
    <mergeCell ref="B9"/>
    <mergeCell ref="B10"/>
    <mergeCell ref="G1:G2"/>
    <mergeCell ref="H1:H2"/>
    <mergeCell ref="B3"/>
    <mergeCell ref="B4"/>
    <mergeCell ref="B5"/>
    <mergeCell ref="A1:A2"/>
    <mergeCell ref="B1:B2"/>
    <mergeCell ref="C1:C2"/>
    <mergeCell ref="D1:E1"/>
    <mergeCell ref="F1:F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정산내역 상세</vt:lpstr>
      <vt:lpstr>선급금내역_카카오페이지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storywiz</cp:lastModifiedBy>
  <dcterms:created xsi:type="dcterms:W3CDTF">2021-06-21T05:22:17Z</dcterms:created>
  <dcterms:modified xsi:type="dcterms:W3CDTF">2022-07-22T01:53:30Z</dcterms:modified>
</cp:coreProperties>
</file>