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작가, 출판사별 시트분리(통합본)\"/>
    </mc:Choice>
  </mc:AlternateContent>
  <bookViews>
    <workbookView xWindow="0" yWindow="0" windowWidth="23040" windowHeight="8952"/>
  </bookViews>
  <sheets>
    <sheet name="합계(2)" sheetId="1" r:id="rId1"/>
    <sheet name="Nisansui Ziquan" sheetId="3" r:id="rId2"/>
    <sheet name="원기공장" sheetId="4" r:id="rId3"/>
    <sheet name="Lv" sheetId="5" r:id="rId4"/>
    <sheet name="Ice×FANFAN COMIC" sheetId="6" r:id="rId5"/>
    <sheet name="건일" sheetId="7" r:id="rId6"/>
    <sheet name="최도비 수정과" sheetId="8" r:id="rId7"/>
    <sheet name="합계(3)" sheetId="9" r:id="rId8"/>
    <sheet name="더컴퍼니" sheetId="10" r:id="rId9"/>
    <sheet name="스토리위즈" sheetId="11" r:id="rId10"/>
    <sheet name="에필로그" sheetId="12" r:id="rId11"/>
    <sheet name="vvk" sheetId="13" r:id="rId12"/>
    <sheet name="벗우" sheetId="14" r:id="rId13"/>
  </sheets>
  <externalReferences>
    <externalReference r:id="rId14"/>
  </externalReferences>
  <definedNames>
    <definedName name="_xlnm._FilterDatabase" localSheetId="0" hidden="1">'합계(2)'!$A$1:$O$8</definedName>
    <definedName name="_xlnm._FilterDatabase" localSheetId="7" hidden="1">'합계(3)'!$A$1:$O$18</definedName>
    <definedName name="_xlnm.Extract" localSheetId="4">'Ice×FANFAN COMIC'!$A$1:$O$1</definedName>
    <definedName name="_xlnm.Extract" localSheetId="3">Lv!$A$1:$O$1</definedName>
    <definedName name="_xlnm.Extract" localSheetId="1">'Nisansui Ziquan'!$A$1:$O$1</definedName>
    <definedName name="_xlnm.Extract" localSheetId="11">vvk!$A$1:$O$1</definedName>
    <definedName name="_xlnm.Extract" localSheetId="5">건일!$A$1:$O$1</definedName>
    <definedName name="_xlnm.Extract" localSheetId="8">더컴퍼니!$A$1:$O$1</definedName>
    <definedName name="_xlnm.Extract" localSheetId="12">벗우!$A$1:$O$1</definedName>
    <definedName name="_xlnm.Extract" localSheetId="9">스토리위즈!$A$1:$O$1</definedName>
    <definedName name="_xlnm.Extract" localSheetId="10">에필로그!$A$1:$O$1</definedName>
    <definedName name="_xlnm.Extract" localSheetId="2">원기공장!$A$1:$O$1</definedName>
    <definedName name="_xlnm.Extract" localSheetId="6">'최도비 수정과'!$A$1:$O$1</definedName>
    <definedName name="_xlnm.Extract" localSheetId="0">'합계(2)'!#REF!</definedName>
    <definedName name="_xlnm.Extract" localSheetId="7">'합계(3)'!#REF!</definedName>
  </definedNames>
  <calcPr calcId="152511"/>
</workbook>
</file>

<file path=xl/calcChain.xml><?xml version="1.0" encoding="utf-8"?>
<calcChain xmlns="http://schemas.openxmlformats.org/spreadsheetml/2006/main">
  <c r="O17" i="9" l="1"/>
  <c r="D13" i="9"/>
  <c r="D12" i="9"/>
  <c r="D11" i="9"/>
  <c r="D10" i="9"/>
  <c r="D9" i="9"/>
  <c r="D8" i="9"/>
  <c r="D7" i="9"/>
  <c r="D6" i="9"/>
  <c r="D5" i="9"/>
  <c r="D4" i="9"/>
  <c r="D3" i="9"/>
  <c r="D2" i="9"/>
  <c r="O8" i="1" l="1"/>
</calcChain>
</file>

<file path=xl/sharedStrings.xml><?xml version="1.0" encoding="utf-8"?>
<sst xmlns="http://schemas.openxmlformats.org/spreadsheetml/2006/main" count="359" uniqueCount="60">
  <si>
    <t>NO</t>
  </si>
  <si>
    <t>구분</t>
  </si>
  <si>
    <t>작가</t>
  </si>
  <si>
    <t>장르</t>
  </si>
  <si>
    <t>타이틀</t>
  </si>
  <si>
    <t>코인</t>
  </si>
  <si>
    <t>금액</t>
  </si>
  <si>
    <t>결제</t>
  </si>
  <si>
    <t>이벤트</t>
  </si>
  <si>
    <t>계산금액</t>
  </si>
  <si>
    <t>정산금액</t>
  </si>
  <si>
    <t>웹툰</t>
  </si>
  <si>
    <t>BL</t>
  </si>
  <si>
    <t>너랑 나랑 하면</t>
  </si>
  <si>
    <t>로맨스</t>
  </si>
  <si>
    <t>원기공장</t>
  </si>
  <si>
    <t>계약연애, 오늘부터 1일</t>
  </si>
  <si>
    <t>Ice×FANFAN COMIC</t>
  </si>
  <si>
    <t>폭군의 눈물</t>
  </si>
  <si>
    <t>건일</t>
  </si>
  <si>
    <t>별빛 아래 우리</t>
  </si>
  <si>
    <t>Lv</t>
  </si>
  <si>
    <t>최애에게 들켜버렸다</t>
  </si>
  <si>
    <t>백스테이지 키스신</t>
  </si>
  <si>
    <t>Nisansui Ziquan</t>
    <phoneticPr fontId="21" type="noConversion"/>
  </si>
  <si>
    <t>최도비 수정과</t>
    <phoneticPr fontId="21" type="noConversion"/>
  </si>
  <si>
    <t>출판사</t>
    <phoneticPr fontId="21" type="noConversion"/>
  </si>
  <si>
    <t>소설</t>
  </si>
  <si>
    <t>서향</t>
  </si>
  <si>
    <t>악마 귀환</t>
  </si>
  <si>
    <t>연유</t>
  </si>
  <si>
    <t>발칙한 결혼</t>
  </si>
  <si>
    <t>jooki</t>
  </si>
  <si>
    <t>클라우드 나인(Cloud 9)</t>
  </si>
  <si>
    <t>SISSI</t>
  </si>
  <si>
    <t>마지막 춤은, 악인과 함께</t>
  </si>
  <si>
    <t>여러해살이풀</t>
  </si>
  <si>
    <t>폭군의 공물</t>
  </si>
  <si>
    <t>용가리맛쿠키</t>
  </si>
  <si>
    <t>얼음이 녹아내리는 동안</t>
  </si>
  <si>
    <t>나나코</t>
  </si>
  <si>
    <t>반하는 세계</t>
  </si>
  <si>
    <t>한슬</t>
  </si>
  <si>
    <t>피할 수 없으면 즐겨라</t>
  </si>
  <si>
    <t>나는 내 연인의 것</t>
  </si>
  <si>
    <t>모어 댄 블루(More than BLUE)</t>
  </si>
  <si>
    <t>진태이</t>
  </si>
  <si>
    <t>끝까지, 지독하게</t>
  </si>
  <si>
    <t>천년을 내리는 눈 [외전증보판]</t>
  </si>
  <si>
    <t>vvk</t>
  </si>
  <si>
    <t>스토리위즈</t>
    <phoneticPr fontId="21" type="noConversion"/>
  </si>
  <si>
    <t>벨라트릭스</t>
  </si>
  <si>
    <t>벗우</t>
  </si>
  <si>
    <t>꿈은 이루어진다</t>
  </si>
  <si>
    <t>협행마</t>
  </si>
  <si>
    <t>에필로그</t>
    <phoneticPr fontId="21" type="noConversion"/>
  </si>
  <si>
    <t>이세계 최강 군바리</t>
  </si>
  <si>
    <t>더컴퍼니</t>
  </si>
  <si>
    <t>출판사</t>
    <phoneticPr fontId="21" type="noConversion"/>
  </si>
  <si>
    <t>스토리위즈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</si>
</sst>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41" fontId="0" fillId="34" borderId="0" xfId="42" applyFon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0" fillId="34" borderId="0" xfId="0" applyNumberFormat="1" applyFill="1">
      <alignment vertical="center"/>
    </xf>
    <xf numFmtId="3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/>
      <sheetData sheetId="1"/>
      <sheetData sheetId="2">
        <row r="1">
          <cell r="B1" t="str">
            <v>저자</v>
          </cell>
          <cell r="C1" t="str">
            <v>출판사(정산)</v>
          </cell>
        </row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  <row r="1109">
          <cell r="B1109" t="str">
            <v>원성혜</v>
          </cell>
          <cell r="C1109" t="str">
            <v>밀리의 서재</v>
          </cell>
        </row>
        <row r="1110">
          <cell r="B1110" t="str">
            <v>전혜진</v>
          </cell>
          <cell r="C1110" t="str">
            <v>밀리의 서재</v>
          </cell>
        </row>
        <row r="1111">
          <cell r="B1111" t="str">
            <v>정은숙</v>
          </cell>
          <cell r="C1111" t="str">
            <v>밀리의 서재</v>
          </cell>
        </row>
        <row r="1112">
          <cell r="B1112" t="str">
            <v>도큐진</v>
          </cell>
          <cell r="C1112" t="str">
            <v>스토리위드</v>
          </cell>
        </row>
        <row r="1113">
          <cell r="B1113" t="str">
            <v>해화</v>
          </cell>
          <cell r="C1113" t="str">
            <v>밀리의 서재</v>
          </cell>
        </row>
        <row r="1114">
          <cell r="B1114" t="str">
            <v>김원경</v>
          </cell>
          <cell r="C1114" t="str">
            <v>밀리오리지널</v>
          </cell>
        </row>
        <row r="1115">
          <cell r="B1115" t="str">
            <v>반지영</v>
          </cell>
          <cell r="C1115" t="str">
            <v>밀리오리지널</v>
          </cell>
        </row>
        <row r="1116">
          <cell r="B1116" t="str">
            <v>공호</v>
          </cell>
          <cell r="C1116" t="str">
            <v>밀리오리지널</v>
          </cell>
        </row>
        <row r="1117">
          <cell r="B1117" t="str">
            <v>적랑</v>
          </cell>
          <cell r="C1117" t="str">
            <v>밀리오리지널</v>
          </cell>
        </row>
        <row r="1118">
          <cell r="B1118" t="str">
            <v>백화(百花)</v>
          </cell>
          <cell r="C1118" t="str">
            <v>밀리오리지널</v>
          </cell>
        </row>
        <row r="1119">
          <cell r="B1119" t="str">
            <v>달로</v>
          </cell>
          <cell r="C1119" t="str">
            <v>밀리오리지널</v>
          </cell>
        </row>
        <row r="1120">
          <cell r="B1120" t="str">
            <v>두럭</v>
          </cell>
          <cell r="C1120" t="str">
            <v>더컴퍼니</v>
          </cell>
        </row>
        <row r="1121">
          <cell r="B1121" t="str">
            <v>신윤희(에드가)</v>
          </cell>
          <cell r="C1121" t="str">
            <v>밀리오리지널</v>
          </cell>
        </row>
        <row r="1122">
          <cell r="B1122" t="str">
            <v>최현자</v>
          </cell>
          <cell r="C1122" t="str">
            <v>밀리오리지널</v>
          </cell>
        </row>
        <row r="1123">
          <cell r="B1123" t="str">
            <v>이승희</v>
          </cell>
          <cell r="C1123" t="str">
            <v>밀리오리지널</v>
          </cell>
        </row>
        <row r="1124">
          <cell r="B1124" t="str">
            <v>송민선</v>
          </cell>
          <cell r="C1124" t="str">
            <v>밀리오리지널</v>
          </cell>
        </row>
        <row r="1125">
          <cell r="B1125" t="str">
            <v>최준서</v>
          </cell>
          <cell r="C1125" t="str">
            <v>밀리오리지널</v>
          </cell>
        </row>
        <row r="1126">
          <cell r="B1126" t="str">
            <v>비향</v>
          </cell>
          <cell r="C1126" t="str">
            <v>밀리오리지널</v>
          </cell>
        </row>
        <row r="1127">
          <cell r="B1127" t="str">
            <v>서혜은</v>
          </cell>
          <cell r="C1127" t="str">
            <v>밀리오리지널</v>
          </cell>
        </row>
        <row r="1128">
          <cell r="B1128" t="str">
            <v>수련</v>
          </cell>
          <cell r="C1128" t="str">
            <v>밀리오리지널</v>
          </cell>
        </row>
        <row r="1129">
          <cell r="B1129" t="str">
            <v>장현미</v>
          </cell>
          <cell r="C1129" t="str">
            <v>밀리오리지널</v>
          </cell>
        </row>
        <row r="1130">
          <cell r="B1130" t="str">
            <v>현진서</v>
          </cell>
          <cell r="C1130" t="str">
            <v>밀리오리지널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"/>
  <sheetViews>
    <sheetView showGridLines="0" tabSelected="1" workbookViewId="0">
      <selection activeCell="F9" sqref="F9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18" thickBot="1" x14ac:dyDescent="0.45">
      <c r="A2" s="3">
        <v>1</v>
      </c>
      <c r="B2" s="4" t="s">
        <v>11</v>
      </c>
      <c r="C2" s="4" t="s">
        <v>24</v>
      </c>
      <c r="D2" s="4" t="s">
        <v>12</v>
      </c>
      <c r="E2" s="2" t="s">
        <v>13</v>
      </c>
      <c r="F2" s="3">
        <v>164</v>
      </c>
      <c r="G2" s="5">
        <v>16400</v>
      </c>
      <c r="H2" s="3">
        <v>0</v>
      </c>
      <c r="I2" s="3">
        <v>0</v>
      </c>
      <c r="J2" s="6">
        <v>164</v>
      </c>
      <c r="K2" s="7">
        <v>16400</v>
      </c>
      <c r="L2" s="3">
        <v>0</v>
      </c>
      <c r="M2" s="3">
        <v>0</v>
      </c>
      <c r="N2" s="5">
        <v>16400</v>
      </c>
      <c r="O2" s="7">
        <v>11480</v>
      </c>
    </row>
    <row r="3" spans="1:15" ht="18" thickBot="1" x14ac:dyDescent="0.45">
      <c r="A3" s="3">
        <v>2</v>
      </c>
      <c r="B3" s="4" t="s">
        <v>11</v>
      </c>
      <c r="C3" s="4" t="s">
        <v>15</v>
      </c>
      <c r="D3" s="4" t="s">
        <v>14</v>
      </c>
      <c r="E3" s="2" t="s">
        <v>16</v>
      </c>
      <c r="F3" s="3">
        <v>269</v>
      </c>
      <c r="G3" s="5">
        <v>26900</v>
      </c>
      <c r="H3" s="3">
        <v>0</v>
      </c>
      <c r="I3" s="3">
        <v>0</v>
      </c>
      <c r="J3" s="6">
        <v>269</v>
      </c>
      <c r="K3" s="7">
        <v>26900</v>
      </c>
      <c r="L3" s="3">
        <v>0</v>
      </c>
      <c r="M3" s="3">
        <v>0</v>
      </c>
      <c r="N3" s="5">
        <v>26900</v>
      </c>
      <c r="O3" s="7">
        <v>18830</v>
      </c>
    </row>
    <row r="4" spans="1:15" ht="18" thickBot="1" x14ac:dyDescent="0.45">
      <c r="A4" s="3">
        <v>3</v>
      </c>
      <c r="B4" s="4" t="s">
        <v>11</v>
      </c>
      <c r="C4" s="4" t="s">
        <v>21</v>
      </c>
      <c r="D4" s="4" t="s">
        <v>14</v>
      </c>
      <c r="E4" s="2" t="s">
        <v>22</v>
      </c>
      <c r="F4" s="3">
        <v>296</v>
      </c>
      <c r="G4" s="5">
        <v>29600</v>
      </c>
      <c r="H4" s="3">
        <v>0</v>
      </c>
      <c r="I4" s="3">
        <v>0</v>
      </c>
      <c r="J4" s="6">
        <v>296</v>
      </c>
      <c r="K4" s="7">
        <v>29600</v>
      </c>
      <c r="L4" s="3">
        <v>0</v>
      </c>
      <c r="M4" s="3">
        <v>0</v>
      </c>
      <c r="N4" s="5">
        <v>29600</v>
      </c>
      <c r="O4" s="7">
        <v>20720</v>
      </c>
    </row>
    <row r="5" spans="1:15" ht="18" thickBot="1" x14ac:dyDescent="0.45">
      <c r="A5" s="3">
        <v>4</v>
      </c>
      <c r="B5" s="4" t="s">
        <v>11</v>
      </c>
      <c r="C5" s="4" t="s">
        <v>17</v>
      </c>
      <c r="D5" s="4" t="s">
        <v>14</v>
      </c>
      <c r="E5" s="2" t="s">
        <v>18</v>
      </c>
      <c r="F5" s="3">
        <v>2</v>
      </c>
      <c r="G5" s="3">
        <v>200</v>
      </c>
      <c r="H5" s="3">
        <v>0</v>
      </c>
      <c r="I5" s="3">
        <v>0</v>
      </c>
      <c r="J5" s="6">
        <v>2</v>
      </c>
      <c r="K5" s="6">
        <v>200</v>
      </c>
      <c r="L5" s="3">
        <v>0</v>
      </c>
      <c r="M5" s="3">
        <v>0</v>
      </c>
      <c r="N5" s="3">
        <v>200</v>
      </c>
      <c r="O5" s="6">
        <v>140</v>
      </c>
    </row>
    <row r="6" spans="1:15" ht="18" thickBot="1" x14ac:dyDescent="0.45">
      <c r="A6" s="3">
        <v>5</v>
      </c>
      <c r="B6" s="4" t="s">
        <v>11</v>
      </c>
      <c r="C6" s="4" t="s">
        <v>19</v>
      </c>
      <c r="D6" s="4" t="s">
        <v>14</v>
      </c>
      <c r="E6" s="2" t="s">
        <v>20</v>
      </c>
      <c r="F6" s="5">
        <v>2886</v>
      </c>
      <c r="G6" s="5">
        <v>288600</v>
      </c>
      <c r="H6" s="3">
        <v>0</v>
      </c>
      <c r="I6" s="3">
        <v>0</v>
      </c>
      <c r="J6" s="7">
        <v>2886</v>
      </c>
      <c r="K6" s="7">
        <v>288600</v>
      </c>
      <c r="L6" s="3">
        <v>0</v>
      </c>
      <c r="M6" s="3">
        <v>0</v>
      </c>
      <c r="N6" s="5">
        <v>288600</v>
      </c>
      <c r="O6" s="7">
        <v>202020</v>
      </c>
    </row>
    <row r="7" spans="1:15" ht="18" thickBot="1" x14ac:dyDescent="0.45">
      <c r="A7" s="3">
        <v>6</v>
      </c>
      <c r="B7" s="4" t="s">
        <v>11</v>
      </c>
      <c r="C7" s="4" t="s">
        <v>25</v>
      </c>
      <c r="D7" s="4" t="s">
        <v>14</v>
      </c>
      <c r="E7" s="2" t="s">
        <v>23</v>
      </c>
      <c r="F7" s="3">
        <v>84</v>
      </c>
      <c r="G7" s="5">
        <v>8400</v>
      </c>
      <c r="H7" s="3">
        <v>0</v>
      </c>
      <c r="I7" s="3">
        <v>0</v>
      </c>
      <c r="J7" s="6">
        <v>84</v>
      </c>
      <c r="K7" s="7">
        <v>8400</v>
      </c>
      <c r="L7" s="3">
        <v>0</v>
      </c>
      <c r="M7" s="3">
        <v>0</v>
      </c>
      <c r="N7" s="5">
        <v>8400</v>
      </c>
      <c r="O7" s="7">
        <v>5880</v>
      </c>
    </row>
    <row r="8" spans="1:15" x14ac:dyDescent="0.4">
      <c r="O8" s="8">
        <f>SUM(O2:O7)</f>
        <v>259070</v>
      </c>
    </row>
  </sheetData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"/>
  <sheetViews>
    <sheetView workbookViewId="0">
      <selection activeCell="H17" sqref="H17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7.796875" bestFit="1" customWidth="1"/>
    <col min="4" max="4" width="4.796875" bestFit="1" customWidth="1"/>
    <col min="6" max="6" width="4.796875" bestFit="1" customWidth="1"/>
    <col min="7" max="7" width="6.296875" bestFit="1" customWidth="1"/>
    <col min="8" max="8" width="4.796875" bestFit="1" customWidth="1"/>
    <col min="9" max="9" width="6.296875" bestFit="1" customWidth="1"/>
    <col min="10" max="10" width="4.796875" bestFit="1" customWidth="1"/>
    <col min="11" max="11" width="6.2968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31.8" thickBot="1" x14ac:dyDescent="0.45">
      <c r="A2" s="3">
        <v>1</v>
      </c>
      <c r="B2" s="4" t="s">
        <v>11</v>
      </c>
      <c r="C2" s="4" t="s">
        <v>24</v>
      </c>
      <c r="D2" s="4" t="s">
        <v>12</v>
      </c>
      <c r="E2" s="2" t="s">
        <v>13</v>
      </c>
      <c r="F2" s="3">
        <v>164</v>
      </c>
      <c r="G2" s="5">
        <v>16400</v>
      </c>
      <c r="H2" s="3">
        <v>164</v>
      </c>
      <c r="I2" s="5">
        <v>16400</v>
      </c>
      <c r="J2" s="3">
        <v>164</v>
      </c>
      <c r="K2" s="5">
        <v>16400</v>
      </c>
      <c r="L2" s="3">
        <v>0</v>
      </c>
      <c r="M2" s="3">
        <v>0</v>
      </c>
      <c r="N2" s="5">
        <v>16400</v>
      </c>
      <c r="O2" s="7">
        <v>11480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"/>
  <sheetViews>
    <sheetView workbookViewId="0">
      <selection activeCell="H17" sqref="H17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8.19921875" bestFit="1" customWidth="1"/>
    <col min="4" max="4" width="6.5" bestFit="1" customWidth="1"/>
    <col min="5" max="5" width="8.59765625" bestFit="1" customWidth="1"/>
    <col min="6" max="6" width="4.796875" bestFit="1" customWidth="1"/>
    <col min="7" max="7" width="6.296875" bestFit="1" customWidth="1"/>
    <col min="8" max="8" width="4.796875" bestFit="1" customWidth="1"/>
    <col min="9" max="9" width="6.296875" bestFit="1" customWidth="1"/>
    <col min="10" max="10" width="4.796875" bestFit="1" customWidth="1"/>
    <col min="11" max="11" width="6.2968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47.4" thickBot="1" x14ac:dyDescent="0.45">
      <c r="A2" s="3">
        <v>2</v>
      </c>
      <c r="B2" s="4" t="s">
        <v>11</v>
      </c>
      <c r="C2" s="4" t="s">
        <v>15</v>
      </c>
      <c r="D2" s="4" t="s">
        <v>14</v>
      </c>
      <c r="E2" s="2" t="s">
        <v>16</v>
      </c>
      <c r="F2" s="3">
        <v>269</v>
      </c>
      <c r="G2" s="5">
        <v>26900</v>
      </c>
      <c r="H2" s="3">
        <v>269</v>
      </c>
      <c r="I2" s="5">
        <v>26900</v>
      </c>
      <c r="J2" s="3">
        <v>269</v>
      </c>
      <c r="K2" s="5">
        <v>26900</v>
      </c>
      <c r="L2" s="3">
        <v>0</v>
      </c>
      <c r="M2" s="3">
        <v>0</v>
      </c>
      <c r="N2" s="5">
        <v>26900</v>
      </c>
      <c r="O2" s="7">
        <v>18830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"/>
  <sheetViews>
    <sheetView workbookViewId="0">
      <selection activeCell="H17" sqref="H17"/>
    </sheetView>
  </sheetViews>
  <sheetFormatPr defaultRowHeight="17.399999999999999" x14ac:dyDescent="0.4"/>
  <cols>
    <col min="1" max="1" width="4.09765625" bestFit="1" customWidth="1"/>
    <col min="2" max="3" width="4.796875" bestFit="1" customWidth="1"/>
    <col min="4" max="4" width="6.5" bestFit="1" customWidth="1"/>
    <col min="5" max="5" width="8.19921875" bestFit="1" customWidth="1"/>
    <col min="6" max="6" width="4.796875" bestFit="1" customWidth="1"/>
    <col min="7" max="7" width="6.296875" bestFit="1" customWidth="1"/>
    <col min="8" max="8" width="4.796875" bestFit="1" customWidth="1"/>
    <col min="9" max="9" width="6.296875" bestFit="1" customWidth="1"/>
    <col min="10" max="10" width="4.796875" bestFit="1" customWidth="1"/>
    <col min="11" max="11" width="6.2968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47.4" thickBot="1" x14ac:dyDescent="0.45">
      <c r="A2" s="3">
        <v>3</v>
      </c>
      <c r="B2" s="4" t="s">
        <v>11</v>
      </c>
      <c r="C2" s="4" t="s">
        <v>21</v>
      </c>
      <c r="D2" s="4" t="s">
        <v>14</v>
      </c>
      <c r="E2" s="2" t="s">
        <v>22</v>
      </c>
      <c r="F2" s="3">
        <v>296</v>
      </c>
      <c r="G2" s="5">
        <v>29600</v>
      </c>
      <c r="H2" s="3">
        <v>296</v>
      </c>
      <c r="I2" s="5">
        <v>29600</v>
      </c>
      <c r="J2" s="3">
        <v>296</v>
      </c>
      <c r="K2" s="5">
        <v>29600</v>
      </c>
      <c r="L2" s="3">
        <v>0</v>
      </c>
      <c r="M2" s="3">
        <v>0</v>
      </c>
      <c r="N2" s="5">
        <v>29600</v>
      </c>
      <c r="O2" s="7">
        <v>20720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2"/>
  <sheetViews>
    <sheetView workbookViewId="0">
      <selection activeCell="H17" sqref="H17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7.796875" bestFit="1" customWidth="1"/>
    <col min="4" max="4" width="6.5" bestFit="1" customWidth="1"/>
    <col min="6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47.4" thickBot="1" x14ac:dyDescent="0.45">
      <c r="A2" s="3">
        <v>4</v>
      </c>
      <c r="B2" s="4" t="s">
        <v>11</v>
      </c>
      <c r="C2" s="4" t="s">
        <v>17</v>
      </c>
      <c r="D2" s="4" t="s">
        <v>14</v>
      </c>
      <c r="E2" s="2" t="s">
        <v>18</v>
      </c>
      <c r="F2" s="3">
        <v>2</v>
      </c>
      <c r="G2" s="3">
        <v>200</v>
      </c>
      <c r="H2" s="3">
        <v>2</v>
      </c>
      <c r="I2" s="3">
        <v>200</v>
      </c>
      <c r="J2" s="3">
        <v>2</v>
      </c>
      <c r="K2" s="3">
        <v>200</v>
      </c>
      <c r="L2" s="3">
        <v>0</v>
      </c>
      <c r="M2" s="3">
        <v>0</v>
      </c>
      <c r="N2" s="3">
        <v>200</v>
      </c>
      <c r="O2" s="6">
        <v>140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2"/>
  <sheetViews>
    <sheetView workbookViewId="0">
      <selection activeCell="H17" sqref="H17"/>
    </sheetView>
  </sheetViews>
  <sheetFormatPr defaultRowHeight="17.399999999999999" x14ac:dyDescent="0.4"/>
  <cols>
    <col min="1" max="1" width="4.09765625" bestFit="1" customWidth="1"/>
    <col min="2" max="3" width="4.796875" bestFit="1" customWidth="1"/>
    <col min="4" max="4" width="6.5" bestFit="1" customWidth="1"/>
    <col min="6" max="6" width="5.3984375" bestFit="1" customWidth="1"/>
    <col min="7" max="7" width="7.19921875" bestFit="1" customWidth="1"/>
    <col min="8" max="8" width="5.3984375" bestFit="1" customWidth="1"/>
    <col min="9" max="9" width="7.19921875" bestFit="1" customWidth="1"/>
    <col min="10" max="10" width="5.3984375" bestFit="1" customWidth="1"/>
    <col min="11" max="11" width="7.199218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31.8" thickBot="1" x14ac:dyDescent="0.45">
      <c r="A2" s="3">
        <v>5</v>
      </c>
      <c r="B2" s="4" t="s">
        <v>11</v>
      </c>
      <c r="C2" s="4" t="s">
        <v>19</v>
      </c>
      <c r="D2" s="4" t="s">
        <v>14</v>
      </c>
      <c r="E2" s="2" t="s">
        <v>20</v>
      </c>
      <c r="F2" s="5">
        <v>2886</v>
      </c>
      <c r="G2" s="5">
        <v>288600</v>
      </c>
      <c r="H2" s="5">
        <v>2886</v>
      </c>
      <c r="I2" s="5">
        <v>288600</v>
      </c>
      <c r="J2" s="5">
        <v>2886</v>
      </c>
      <c r="K2" s="5">
        <v>288600</v>
      </c>
      <c r="L2" s="3">
        <v>0</v>
      </c>
      <c r="M2" s="3">
        <v>0</v>
      </c>
      <c r="N2" s="5">
        <v>288600</v>
      </c>
      <c r="O2" s="7">
        <v>202020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2"/>
  <sheetViews>
    <sheetView workbookViewId="0">
      <selection activeCell="J18" sqref="J18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6" max="6" width="4.796875" bestFit="1" customWidth="1"/>
    <col min="7" max="7" width="5.3984375" bestFit="1" customWidth="1"/>
    <col min="8" max="8" width="4.796875" bestFit="1" customWidth="1"/>
    <col min="9" max="9" width="5.3984375" bestFit="1" customWidth="1"/>
    <col min="10" max="10" width="4.796875" bestFit="1" customWidth="1"/>
    <col min="11" max="11" width="5.39843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31.8" thickBot="1" x14ac:dyDescent="0.45">
      <c r="A2" s="3">
        <v>6</v>
      </c>
      <c r="B2" s="4" t="s">
        <v>11</v>
      </c>
      <c r="C2" s="4" t="s">
        <v>25</v>
      </c>
      <c r="D2" s="4" t="s">
        <v>14</v>
      </c>
      <c r="E2" s="2" t="s">
        <v>23</v>
      </c>
      <c r="F2" s="3">
        <v>84</v>
      </c>
      <c r="G2" s="5">
        <v>8400</v>
      </c>
      <c r="H2" s="3">
        <v>84</v>
      </c>
      <c r="I2" s="5">
        <v>8400</v>
      </c>
      <c r="J2" s="3">
        <v>84</v>
      </c>
      <c r="K2" s="5">
        <v>8400</v>
      </c>
      <c r="L2" s="3">
        <v>0</v>
      </c>
      <c r="M2" s="3">
        <v>0</v>
      </c>
      <c r="N2" s="5">
        <v>8400</v>
      </c>
      <c r="O2" s="7">
        <v>5880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8"/>
  <sheetViews>
    <sheetView showGridLines="0" workbookViewId="0">
      <selection activeCell="F10" sqref="F10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10" t="s">
        <v>26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1" t="s">
        <v>10</v>
      </c>
    </row>
    <row r="2" spans="1:15" ht="18" thickBot="1" x14ac:dyDescent="0.45">
      <c r="A2" s="3">
        <v>1</v>
      </c>
      <c r="B2" s="4" t="s">
        <v>27</v>
      </c>
      <c r="C2" s="4" t="s">
        <v>28</v>
      </c>
      <c r="D2" s="4" t="str">
        <f>VLOOKUP(C2,[1]Sheet1!$B$1:$C$1130,2,FALSE)</f>
        <v>더컴퍼니</v>
      </c>
      <c r="E2" s="2" t="s">
        <v>29</v>
      </c>
      <c r="F2" s="3">
        <v>40</v>
      </c>
      <c r="G2" s="5">
        <v>4000</v>
      </c>
      <c r="H2" s="3">
        <v>0</v>
      </c>
      <c r="I2" s="3">
        <v>0</v>
      </c>
      <c r="J2" s="6">
        <v>40</v>
      </c>
      <c r="K2" s="7">
        <v>4000</v>
      </c>
      <c r="L2" s="3">
        <v>0</v>
      </c>
      <c r="M2" s="3">
        <v>0</v>
      </c>
      <c r="N2" s="5">
        <v>4000</v>
      </c>
      <c r="O2" s="7">
        <v>2800</v>
      </c>
    </row>
    <row r="3" spans="1:15" ht="18" thickBot="1" x14ac:dyDescent="0.45">
      <c r="A3" s="3">
        <v>2</v>
      </c>
      <c r="B3" s="4" t="s">
        <v>27</v>
      </c>
      <c r="C3" s="4" t="s">
        <v>30</v>
      </c>
      <c r="D3" s="4" t="str">
        <f>VLOOKUP(C3,[1]Sheet1!$B$1:$C$1130,2,FALSE)</f>
        <v>더컴퍼니</v>
      </c>
      <c r="E3" s="2" t="s">
        <v>31</v>
      </c>
      <c r="F3" s="3">
        <v>40</v>
      </c>
      <c r="G3" s="5">
        <v>4000</v>
      </c>
      <c r="H3" s="3">
        <v>0</v>
      </c>
      <c r="I3" s="3">
        <v>0</v>
      </c>
      <c r="J3" s="6">
        <v>40</v>
      </c>
      <c r="K3" s="7">
        <v>4000</v>
      </c>
      <c r="L3" s="3">
        <v>0</v>
      </c>
      <c r="M3" s="3">
        <v>0</v>
      </c>
      <c r="N3" s="5">
        <v>4000</v>
      </c>
      <c r="O3" s="7">
        <v>2800</v>
      </c>
    </row>
    <row r="4" spans="1:15" ht="18" thickBot="1" x14ac:dyDescent="0.45">
      <c r="A4" s="3">
        <v>3</v>
      </c>
      <c r="B4" s="4" t="s">
        <v>27</v>
      </c>
      <c r="C4" s="4" t="s">
        <v>32</v>
      </c>
      <c r="D4" s="4" t="str">
        <f>VLOOKUP(C4,[1]Sheet1!$B$1:$C$1130,2,FALSE)</f>
        <v>더컴퍼니</v>
      </c>
      <c r="E4" s="2" t="s">
        <v>33</v>
      </c>
      <c r="F4" s="3">
        <v>1</v>
      </c>
      <c r="G4" s="3">
        <v>100</v>
      </c>
      <c r="H4" s="3">
        <v>0</v>
      </c>
      <c r="I4" s="3">
        <v>0</v>
      </c>
      <c r="J4" s="6">
        <v>1</v>
      </c>
      <c r="K4" s="6">
        <v>100</v>
      </c>
      <c r="L4" s="3">
        <v>0</v>
      </c>
      <c r="M4" s="3">
        <v>0</v>
      </c>
      <c r="N4" s="3">
        <v>100</v>
      </c>
      <c r="O4" s="6">
        <v>70</v>
      </c>
    </row>
    <row r="5" spans="1:15" ht="18" thickBot="1" x14ac:dyDescent="0.45">
      <c r="A5" s="3">
        <v>4</v>
      </c>
      <c r="B5" s="4" t="s">
        <v>27</v>
      </c>
      <c r="C5" s="4" t="s">
        <v>34</v>
      </c>
      <c r="D5" s="4" t="str">
        <f>VLOOKUP(C5,[1]Sheet1!$B$1:$C$1130,2,FALSE)</f>
        <v>더컴퍼니</v>
      </c>
      <c r="E5" s="2" t="s">
        <v>35</v>
      </c>
      <c r="F5" s="3">
        <v>31</v>
      </c>
      <c r="G5" s="5">
        <v>3100</v>
      </c>
      <c r="H5" s="3">
        <v>0</v>
      </c>
      <c r="I5" s="3">
        <v>0</v>
      </c>
      <c r="J5" s="6">
        <v>31</v>
      </c>
      <c r="K5" s="7">
        <v>3100</v>
      </c>
      <c r="L5" s="3">
        <v>0</v>
      </c>
      <c r="M5" s="3">
        <v>0</v>
      </c>
      <c r="N5" s="5">
        <v>3100</v>
      </c>
      <c r="O5" s="7">
        <v>2170</v>
      </c>
    </row>
    <row r="6" spans="1:15" ht="18" thickBot="1" x14ac:dyDescent="0.45">
      <c r="A6" s="3">
        <v>5</v>
      </c>
      <c r="B6" s="4" t="s">
        <v>27</v>
      </c>
      <c r="C6" s="4" t="s">
        <v>36</v>
      </c>
      <c r="D6" s="4" t="str">
        <f>VLOOKUP(C6,[1]Sheet1!$B$1:$C$1130,2,FALSE)</f>
        <v>더컴퍼니</v>
      </c>
      <c r="E6" s="2" t="s">
        <v>37</v>
      </c>
      <c r="F6" s="3">
        <v>156</v>
      </c>
      <c r="G6" s="5">
        <v>15600</v>
      </c>
      <c r="H6" s="3">
        <v>0</v>
      </c>
      <c r="I6" s="3">
        <v>0</v>
      </c>
      <c r="J6" s="6">
        <v>156</v>
      </c>
      <c r="K6" s="7">
        <v>15600</v>
      </c>
      <c r="L6" s="3">
        <v>0</v>
      </c>
      <c r="M6" s="3">
        <v>0</v>
      </c>
      <c r="N6" s="5">
        <v>15600</v>
      </c>
      <c r="O6" s="7">
        <v>10920</v>
      </c>
    </row>
    <row r="7" spans="1:15" ht="18" thickBot="1" x14ac:dyDescent="0.45">
      <c r="A7" s="3">
        <v>6</v>
      </c>
      <c r="B7" s="4" t="s">
        <v>27</v>
      </c>
      <c r="C7" s="4" t="s">
        <v>38</v>
      </c>
      <c r="D7" s="4" t="str">
        <f>VLOOKUP(C7,[1]Sheet1!$B$1:$C$1130,2,FALSE)</f>
        <v>더컴퍼니</v>
      </c>
      <c r="E7" s="2" t="s">
        <v>39</v>
      </c>
      <c r="F7" s="3">
        <v>141</v>
      </c>
      <c r="G7" s="5">
        <v>14100</v>
      </c>
      <c r="H7" s="3">
        <v>0</v>
      </c>
      <c r="I7" s="3">
        <v>0</v>
      </c>
      <c r="J7" s="6">
        <v>141</v>
      </c>
      <c r="K7" s="7">
        <v>14100</v>
      </c>
      <c r="L7" s="3">
        <v>0</v>
      </c>
      <c r="M7" s="3">
        <v>0</v>
      </c>
      <c r="N7" s="5">
        <v>14100</v>
      </c>
      <c r="O7" s="7">
        <v>9870</v>
      </c>
    </row>
    <row r="8" spans="1:15" ht="18" thickBot="1" x14ac:dyDescent="0.45">
      <c r="A8" s="3">
        <v>7</v>
      </c>
      <c r="B8" s="4" t="s">
        <v>27</v>
      </c>
      <c r="C8" s="4" t="s">
        <v>40</v>
      </c>
      <c r="D8" s="4" t="str">
        <f>VLOOKUP(C8,[1]Sheet1!$B$1:$C$1130,2,FALSE)</f>
        <v>더컴퍼니</v>
      </c>
      <c r="E8" s="2" t="s">
        <v>41</v>
      </c>
      <c r="F8" s="3">
        <v>48</v>
      </c>
      <c r="G8" s="5">
        <v>4800</v>
      </c>
      <c r="H8" s="3">
        <v>0</v>
      </c>
      <c r="I8" s="3">
        <v>0</v>
      </c>
      <c r="J8" s="6">
        <v>48</v>
      </c>
      <c r="K8" s="7">
        <v>4800</v>
      </c>
      <c r="L8" s="3">
        <v>0</v>
      </c>
      <c r="M8" s="3">
        <v>0</v>
      </c>
      <c r="N8" s="5">
        <v>4800</v>
      </c>
      <c r="O8" s="7">
        <v>3360</v>
      </c>
    </row>
    <row r="9" spans="1:15" ht="18" thickBot="1" x14ac:dyDescent="0.45">
      <c r="A9" s="3">
        <v>8</v>
      </c>
      <c r="B9" s="4" t="s">
        <v>27</v>
      </c>
      <c r="C9" s="4" t="s">
        <v>42</v>
      </c>
      <c r="D9" s="4" t="str">
        <f>VLOOKUP(C9,[1]Sheet1!$B$1:$C$1130,2,FALSE)</f>
        <v>더컴퍼니</v>
      </c>
      <c r="E9" s="2" t="s">
        <v>43</v>
      </c>
      <c r="F9" s="3">
        <v>97</v>
      </c>
      <c r="G9" s="5">
        <v>9700</v>
      </c>
      <c r="H9" s="3">
        <v>0</v>
      </c>
      <c r="I9" s="3">
        <v>0</v>
      </c>
      <c r="J9" s="6">
        <v>97</v>
      </c>
      <c r="K9" s="7">
        <v>9700</v>
      </c>
      <c r="L9" s="3">
        <v>0</v>
      </c>
      <c r="M9" s="3">
        <v>0</v>
      </c>
      <c r="N9" s="5">
        <v>9700</v>
      </c>
      <c r="O9" s="7">
        <v>6790</v>
      </c>
    </row>
    <row r="10" spans="1:15" ht="18" thickBot="1" x14ac:dyDescent="0.45">
      <c r="A10" s="3">
        <v>9</v>
      </c>
      <c r="B10" s="4" t="s">
        <v>27</v>
      </c>
      <c r="C10" s="4" t="s">
        <v>34</v>
      </c>
      <c r="D10" s="4" t="str">
        <f>VLOOKUP(C10,[1]Sheet1!$B$1:$C$1130,2,FALSE)</f>
        <v>더컴퍼니</v>
      </c>
      <c r="E10" s="2" t="s">
        <v>44</v>
      </c>
      <c r="F10" s="3">
        <v>27</v>
      </c>
      <c r="G10" s="5">
        <v>2700</v>
      </c>
      <c r="H10" s="3">
        <v>0</v>
      </c>
      <c r="I10" s="3">
        <v>0</v>
      </c>
      <c r="J10" s="6">
        <v>27</v>
      </c>
      <c r="K10" s="7">
        <v>2700</v>
      </c>
      <c r="L10" s="3">
        <v>0</v>
      </c>
      <c r="M10" s="3">
        <v>0</v>
      </c>
      <c r="N10" s="5">
        <v>2700</v>
      </c>
      <c r="O10" s="7">
        <v>1890</v>
      </c>
    </row>
    <row r="11" spans="1:15" ht="18" thickBot="1" x14ac:dyDescent="0.45">
      <c r="A11" s="3">
        <v>10</v>
      </c>
      <c r="B11" s="4" t="s">
        <v>27</v>
      </c>
      <c r="C11" s="4" t="s">
        <v>40</v>
      </c>
      <c r="D11" s="4" t="str">
        <f>VLOOKUP(C11,[1]Sheet1!$B$1:$C$1130,2,FALSE)</f>
        <v>더컴퍼니</v>
      </c>
      <c r="E11" s="2" t="s">
        <v>45</v>
      </c>
      <c r="F11" s="3">
        <v>65</v>
      </c>
      <c r="G11" s="5">
        <v>6500</v>
      </c>
      <c r="H11" s="3">
        <v>0</v>
      </c>
      <c r="I11" s="3">
        <v>0</v>
      </c>
      <c r="J11" s="6">
        <v>65</v>
      </c>
      <c r="K11" s="7">
        <v>6500</v>
      </c>
      <c r="L11" s="3">
        <v>0</v>
      </c>
      <c r="M11" s="3">
        <v>0</v>
      </c>
      <c r="N11" s="5">
        <v>6500</v>
      </c>
      <c r="O11" s="7">
        <v>4550</v>
      </c>
    </row>
    <row r="12" spans="1:15" ht="18" thickBot="1" x14ac:dyDescent="0.45">
      <c r="A12" s="3">
        <v>11</v>
      </c>
      <c r="B12" s="4" t="s">
        <v>27</v>
      </c>
      <c r="C12" s="4" t="s">
        <v>46</v>
      </c>
      <c r="D12" s="4" t="str">
        <f>VLOOKUP(C12,[1]Sheet1!$B$1:$C$1130,2,FALSE)</f>
        <v>더컴퍼니</v>
      </c>
      <c r="E12" s="2" t="s">
        <v>47</v>
      </c>
      <c r="F12" s="3">
        <v>33</v>
      </c>
      <c r="G12" s="5">
        <v>3300</v>
      </c>
      <c r="H12" s="3">
        <v>0</v>
      </c>
      <c r="I12" s="3">
        <v>0</v>
      </c>
      <c r="J12" s="6">
        <v>33</v>
      </c>
      <c r="K12" s="7">
        <v>3300</v>
      </c>
      <c r="L12" s="3">
        <v>0</v>
      </c>
      <c r="M12" s="3">
        <v>0</v>
      </c>
      <c r="N12" s="5">
        <v>3300</v>
      </c>
      <c r="O12" s="7">
        <v>2310</v>
      </c>
    </row>
    <row r="13" spans="1:15" ht="18" thickBot="1" x14ac:dyDescent="0.45">
      <c r="A13" s="3">
        <v>12</v>
      </c>
      <c r="B13" s="4" t="s">
        <v>27</v>
      </c>
      <c r="C13" s="4" t="s">
        <v>30</v>
      </c>
      <c r="D13" s="4" t="str">
        <f>VLOOKUP(C13,[1]Sheet1!$B$1:$C$1130,2,FALSE)</f>
        <v>더컴퍼니</v>
      </c>
      <c r="E13" s="2" t="s">
        <v>48</v>
      </c>
      <c r="F13" s="3">
        <v>42</v>
      </c>
      <c r="G13" s="5">
        <v>4200</v>
      </c>
      <c r="H13" s="3">
        <v>0</v>
      </c>
      <c r="I13" s="3">
        <v>0</v>
      </c>
      <c r="J13" s="6">
        <v>42</v>
      </c>
      <c r="K13" s="7">
        <v>4200</v>
      </c>
      <c r="L13" s="3">
        <v>0</v>
      </c>
      <c r="M13" s="3">
        <v>0</v>
      </c>
      <c r="N13" s="5">
        <v>4200</v>
      </c>
      <c r="O13" s="7">
        <v>2940</v>
      </c>
    </row>
    <row r="14" spans="1:15" ht="18" thickBot="1" x14ac:dyDescent="0.45">
      <c r="A14" s="3">
        <v>13</v>
      </c>
      <c r="B14" s="4" t="s">
        <v>27</v>
      </c>
      <c r="C14" s="4" t="s">
        <v>49</v>
      </c>
      <c r="D14" s="4" t="s">
        <v>50</v>
      </c>
      <c r="E14" s="2" t="s">
        <v>51</v>
      </c>
      <c r="F14" s="3">
        <v>11</v>
      </c>
      <c r="G14" s="5">
        <v>1100</v>
      </c>
      <c r="H14" s="3">
        <v>0</v>
      </c>
      <c r="I14" s="3">
        <v>0</v>
      </c>
      <c r="J14" s="6">
        <v>11</v>
      </c>
      <c r="K14" s="7">
        <v>1100</v>
      </c>
      <c r="L14" s="3">
        <v>0</v>
      </c>
      <c r="M14" s="3">
        <v>0</v>
      </c>
      <c r="N14" s="5">
        <v>1100</v>
      </c>
      <c r="O14" s="6">
        <v>770</v>
      </c>
    </row>
    <row r="15" spans="1:15" ht="18" thickBot="1" x14ac:dyDescent="0.45">
      <c r="A15" s="3">
        <v>14</v>
      </c>
      <c r="B15" s="4" t="s">
        <v>27</v>
      </c>
      <c r="C15" s="4" t="s">
        <v>52</v>
      </c>
      <c r="D15" s="4" t="s">
        <v>50</v>
      </c>
      <c r="E15" s="2" t="s">
        <v>53</v>
      </c>
      <c r="F15" s="3">
        <v>5</v>
      </c>
      <c r="G15" s="3">
        <v>500</v>
      </c>
      <c r="H15" s="3">
        <v>0</v>
      </c>
      <c r="I15" s="3">
        <v>0</v>
      </c>
      <c r="J15" s="6">
        <v>5</v>
      </c>
      <c r="K15" s="6">
        <v>500</v>
      </c>
      <c r="L15" s="3">
        <v>0</v>
      </c>
      <c r="M15" s="3">
        <v>0</v>
      </c>
      <c r="N15" s="3">
        <v>500</v>
      </c>
      <c r="O15" s="6">
        <v>350</v>
      </c>
    </row>
    <row r="16" spans="1:15" ht="18" thickBot="1" x14ac:dyDescent="0.45">
      <c r="A16" s="3">
        <v>1</v>
      </c>
      <c r="B16" s="4" t="s">
        <v>27</v>
      </c>
      <c r="C16" s="4" t="s">
        <v>54</v>
      </c>
      <c r="D16" s="4" t="s">
        <v>55</v>
      </c>
      <c r="E16" s="2" t="s">
        <v>56</v>
      </c>
      <c r="F16" s="3">
        <v>6</v>
      </c>
      <c r="G16" s="3">
        <v>600</v>
      </c>
      <c r="H16" s="3">
        <v>0</v>
      </c>
      <c r="I16" s="3">
        <v>0</v>
      </c>
      <c r="J16" s="6">
        <v>6</v>
      </c>
      <c r="K16" s="6">
        <v>600</v>
      </c>
      <c r="L16" s="3">
        <v>0</v>
      </c>
      <c r="M16" s="3">
        <v>0</v>
      </c>
      <c r="N16" s="3">
        <v>600</v>
      </c>
      <c r="O16" s="6">
        <v>420</v>
      </c>
    </row>
    <row r="17" spans="15:15" x14ac:dyDescent="0.4">
      <c r="O17" s="12">
        <f>SUM(O2:O16)</f>
        <v>52010</v>
      </c>
    </row>
    <row r="18" spans="15:15" x14ac:dyDescent="0.4">
      <c r="O18" s="13"/>
    </row>
  </sheetData>
  <phoneticPr fontId="21" type="noConversion"/>
  <pageMargins left="0.75" right="0.75" top="1" bottom="1" header="0.5" footer="0.5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3"/>
  <sheetViews>
    <sheetView workbookViewId="0">
      <selection activeCell="F10" sqref="F10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4" width="8.19921875" bestFit="1" customWidth="1"/>
    <col min="5" max="5" width="9.3984375" bestFit="1" customWidth="1"/>
    <col min="6" max="6" width="4.796875" bestFit="1" customWidth="1"/>
    <col min="7" max="7" width="6.296875" bestFit="1" customWidth="1"/>
    <col min="8" max="8" width="4.796875" bestFit="1" customWidth="1"/>
    <col min="9" max="9" width="6.296875" bestFit="1" customWidth="1"/>
    <col min="10" max="10" width="4.796875" bestFit="1" customWidth="1"/>
    <col min="11" max="11" width="6.2968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10" t="s">
        <v>26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1" t="s">
        <v>10</v>
      </c>
    </row>
    <row r="2" spans="1:15" ht="18" thickBot="1" x14ac:dyDescent="0.45">
      <c r="A2" s="3">
        <v>1</v>
      </c>
      <c r="B2" s="4" t="s">
        <v>27</v>
      </c>
      <c r="C2" s="4" t="s">
        <v>28</v>
      </c>
      <c r="D2" s="4" t="s">
        <v>57</v>
      </c>
      <c r="E2" s="2" t="s">
        <v>29</v>
      </c>
      <c r="F2" s="3">
        <v>40</v>
      </c>
      <c r="G2" s="5">
        <v>4000</v>
      </c>
      <c r="H2" s="3">
        <v>40</v>
      </c>
      <c r="I2" s="5">
        <v>4000</v>
      </c>
      <c r="J2" s="3">
        <v>40</v>
      </c>
      <c r="K2" s="5">
        <v>4000</v>
      </c>
      <c r="L2" s="3">
        <v>0</v>
      </c>
      <c r="M2" s="3">
        <v>0</v>
      </c>
      <c r="N2" s="5">
        <v>4000</v>
      </c>
      <c r="O2" s="7">
        <v>2800</v>
      </c>
    </row>
    <row r="3" spans="1:15" ht="31.8" thickBot="1" x14ac:dyDescent="0.45">
      <c r="A3" s="3">
        <v>2</v>
      </c>
      <c r="B3" s="4" t="s">
        <v>27</v>
      </c>
      <c r="C3" s="4" t="s">
        <v>30</v>
      </c>
      <c r="D3" s="4" t="s">
        <v>57</v>
      </c>
      <c r="E3" s="2" t="s">
        <v>31</v>
      </c>
      <c r="F3" s="3">
        <v>40</v>
      </c>
      <c r="G3" s="5">
        <v>4000</v>
      </c>
      <c r="H3" s="3">
        <v>40</v>
      </c>
      <c r="I3" s="5">
        <v>4000</v>
      </c>
      <c r="J3" s="3">
        <v>40</v>
      </c>
      <c r="K3" s="5">
        <v>4000</v>
      </c>
      <c r="L3" s="3">
        <v>0</v>
      </c>
      <c r="M3" s="3">
        <v>0</v>
      </c>
      <c r="N3" s="5">
        <v>4000</v>
      </c>
      <c r="O3" s="7">
        <v>2800</v>
      </c>
    </row>
    <row r="4" spans="1:15" ht="47.4" thickBot="1" x14ac:dyDescent="0.45">
      <c r="A4" s="3">
        <v>3</v>
      </c>
      <c r="B4" s="4" t="s">
        <v>27</v>
      </c>
      <c r="C4" s="4" t="s">
        <v>32</v>
      </c>
      <c r="D4" s="4" t="s">
        <v>57</v>
      </c>
      <c r="E4" s="2" t="s">
        <v>33</v>
      </c>
      <c r="F4" s="3">
        <v>1</v>
      </c>
      <c r="G4" s="3">
        <v>100</v>
      </c>
      <c r="H4" s="3">
        <v>1</v>
      </c>
      <c r="I4" s="3">
        <v>100</v>
      </c>
      <c r="J4" s="3">
        <v>1</v>
      </c>
      <c r="K4" s="3">
        <v>100</v>
      </c>
      <c r="L4" s="3">
        <v>0</v>
      </c>
      <c r="M4" s="3">
        <v>0</v>
      </c>
      <c r="N4" s="3">
        <v>100</v>
      </c>
      <c r="O4" s="6">
        <v>70</v>
      </c>
    </row>
    <row r="5" spans="1:15" ht="47.4" thickBot="1" x14ac:dyDescent="0.45">
      <c r="A5" s="3">
        <v>4</v>
      </c>
      <c r="B5" s="4" t="s">
        <v>27</v>
      </c>
      <c r="C5" s="4" t="s">
        <v>34</v>
      </c>
      <c r="D5" s="4" t="s">
        <v>57</v>
      </c>
      <c r="E5" s="2" t="s">
        <v>35</v>
      </c>
      <c r="F5" s="3">
        <v>31</v>
      </c>
      <c r="G5" s="5">
        <v>3100</v>
      </c>
      <c r="H5" s="3">
        <v>31</v>
      </c>
      <c r="I5" s="5">
        <v>3100</v>
      </c>
      <c r="J5" s="3">
        <v>31</v>
      </c>
      <c r="K5" s="5">
        <v>3100</v>
      </c>
      <c r="L5" s="3">
        <v>0</v>
      </c>
      <c r="M5" s="3">
        <v>0</v>
      </c>
      <c r="N5" s="5">
        <v>3100</v>
      </c>
      <c r="O5" s="7">
        <v>2170</v>
      </c>
    </row>
    <row r="6" spans="1:15" ht="31.8" thickBot="1" x14ac:dyDescent="0.45">
      <c r="A6" s="3">
        <v>5</v>
      </c>
      <c r="B6" s="4" t="s">
        <v>27</v>
      </c>
      <c r="C6" s="4" t="s">
        <v>36</v>
      </c>
      <c r="D6" s="4" t="s">
        <v>57</v>
      </c>
      <c r="E6" s="2" t="s">
        <v>37</v>
      </c>
      <c r="F6" s="3">
        <v>156</v>
      </c>
      <c r="G6" s="5">
        <v>15600</v>
      </c>
      <c r="H6" s="3">
        <v>156</v>
      </c>
      <c r="I6" s="5">
        <v>15600</v>
      </c>
      <c r="J6" s="3">
        <v>156</v>
      </c>
      <c r="K6" s="5">
        <v>15600</v>
      </c>
      <c r="L6" s="3">
        <v>0</v>
      </c>
      <c r="M6" s="3">
        <v>0</v>
      </c>
      <c r="N6" s="5">
        <v>15600</v>
      </c>
      <c r="O6" s="7">
        <v>10920</v>
      </c>
    </row>
    <row r="7" spans="1:15" ht="47.4" thickBot="1" x14ac:dyDescent="0.45">
      <c r="A7" s="3">
        <v>6</v>
      </c>
      <c r="B7" s="4" t="s">
        <v>27</v>
      </c>
      <c r="C7" s="4" t="s">
        <v>38</v>
      </c>
      <c r="D7" s="4" t="s">
        <v>57</v>
      </c>
      <c r="E7" s="2" t="s">
        <v>39</v>
      </c>
      <c r="F7" s="3">
        <v>141</v>
      </c>
      <c r="G7" s="5">
        <v>14100</v>
      </c>
      <c r="H7" s="3">
        <v>141</v>
      </c>
      <c r="I7" s="5">
        <v>14100</v>
      </c>
      <c r="J7" s="3">
        <v>141</v>
      </c>
      <c r="K7" s="5">
        <v>14100</v>
      </c>
      <c r="L7" s="3">
        <v>0</v>
      </c>
      <c r="M7" s="3">
        <v>0</v>
      </c>
      <c r="N7" s="5">
        <v>14100</v>
      </c>
      <c r="O7" s="7">
        <v>9870</v>
      </c>
    </row>
    <row r="8" spans="1:15" ht="31.8" thickBot="1" x14ac:dyDescent="0.45">
      <c r="A8" s="3">
        <v>7</v>
      </c>
      <c r="B8" s="4" t="s">
        <v>27</v>
      </c>
      <c r="C8" s="4" t="s">
        <v>40</v>
      </c>
      <c r="D8" s="4" t="s">
        <v>57</v>
      </c>
      <c r="E8" s="2" t="s">
        <v>41</v>
      </c>
      <c r="F8" s="3">
        <v>48</v>
      </c>
      <c r="G8" s="5">
        <v>4800</v>
      </c>
      <c r="H8" s="3">
        <v>48</v>
      </c>
      <c r="I8" s="5">
        <v>4800</v>
      </c>
      <c r="J8" s="3">
        <v>48</v>
      </c>
      <c r="K8" s="5">
        <v>4800</v>
      </c>
      <c r="L8" s="3">
        <v>0</v>
      </c>
      <c r="M8" s="3">
        <v>0</v>
      </c>
      <c r="N8" s="5">
        <v>4800</v>
      </c>
      <c r="O8" s="7">
        <v>3360</v>
      </c>
    </row>
    <row r="9" spans="1:15" ht="47.4" thickBot="1" x14ac:dyDescent="0.45">
      <c r="A9" s="3">
        <v>8</v>
      </c>
      <c r="B9" s="4" t="s">
        <v>27</v>
      </c>
      <c r="C9" s="4" t="s">
        <v>42</v>
      </c>
      <c r="D9" s="4" t="s">
        <v>57</v>
      </c>
      <c r="E9" s="2" t="s">
        <v>43</v>
      </c>
      <c r="F9" s="3">
        <v>97</v>
      </c>
      <c r="G9" s="5">
        <v>9700</v>
      </c>
      <c r="H9" s="3">
        <v>97</v>
      </c>
      <c r="I9" s="5">
        <v>9700</v>
      </c>
      <c r="J9" s="3">
        <v>97</v>
      </c>
      <c r="K9" s="5">
        <v>9700</v>
      </c>
      <c r="L9" s="3">
        <v>0</v>
      </c>
      <c r="M9" s="3">
        <v>0</v>
      </c>
      <c r="N9" s="5">
        <v>9700</v>
      </c>
      <c r="O9" s="7">
        <v>6790</v>
      </c>
    </row>
    <row r="10" spans="1:15" ht="31.8" thickBot="1" x14ac:dyDescent="0.45">
      <c r="A10" s="3">
        <v>9</v>
      </c>
      <c r="B10" s="4" t="s">
        <v>27</v>
      </c>
      <c r="C10" s="4" t="s">
        <v>34</v>
      </c>
      <c r="D10" s="4" t="s">
        <v>57</v>
      </c>
      <c r="E10" s="2" t="s">
        <v>44</v>
      </c>
      <c r="F10" s="3">
        <v>27</v>
      </c>
      <c r="G10" s="5">
        <v>2700</v>
      </c>
      <c r="H10" s="3">
        <v>27</v>
      </c>
      <c r="I10" s="5">
        <v>2700</v>
      </c>
      <c r="J10" s="3">
        <v>27</v>
      </c>
      <c r="K10" s="5">
        <v>2700</v>
      </c>
      <c r="L10" s="3">
        <v>0</v>
      </c>
      <c r="M10" s="3">
        <v>0</v>
      </c>
      <c r="N10" s="5">
        <v>2700</v>
      </c>
      <c r="O10" s="7">
        <v>1890</v>
      </c>
    </row>
    <row r="11" spans="1:15" ht="47.4" thickBot="1" x14ac:dyDescent="0.45">
      <c r="A11" s="3">
        <v>10</v>
      </c>
      <c r="B11" s="4" t="s">
        <v>27</v>
      </c>
      <c r="C11" s="4" t="s">
        <v>40</v>
      </c>
      <c r="D11" s="4" t="s">
        <v>57</v>
      </c>
      <c r="E11" s="2" t="s">
        <v>45</v>
      </c>
      <c r="F11" s="3">
        <v>65</v>
      </c>
      <c r="G11" s="5">
        <v>6500</v>
      </c>
      <c r="H11" s="3">
        <v>65</v>
      </c>
      <c r="I11" s="5">
        <v>6500</v>
      </c>
      <c r="J11" s="3">
        <v>65</v>
      </c>
      <c r="K11" s="5">
        <v>6500</v>
      </c>
      <c r="L11" s="3">
        <v>0</v>
      </c>
      <c r="M11" s="3">
        <v>0</v>
      </c>
      <c r="N11" s="5">
        <v>6500</v>
      </c>
      <c r="O11" s="7">
        <v>4550</v>
      </c>
    </row>
    <row r="12" spans="1:15" ht="31.8" thickBot="1" x14ac:dyDescent="0.45">
      <c r="A12" s="3">
        <v>11</v>
      </c>
      <c r="B12" s="4" t="s">
        <v>27</v>
      </c>
      <c r="C12" s="4" t="s">
        <v>46</v>
      </c>
      <c r="D12" s="4" t="s">
        <v>57</v>
      </c>
      <c r="E12" s="2" t="s">
        <v>47</v>
      </c>
      <c r="F12" s="3">
        <v>33</v>
      </c>
      <c r="G12" s="5">
        <v>3300</v>
      </c>
      <c r="H12" s="3">
        <v>33</v>
      </c>
      <c r="I12" s="5">
        <v>3300</v>
      </c>
      <c r="J12" s="3">
        <v>33</v>
      </c>
      <c r="K12" s="5">
        <v>3300</v>
      </c>
      <c r="L12" s="3">
        <v>0</v>
      </c>
      <c r="M12" s="3">
        <v>0</v>
      </c>
      <c r="N12" s="5">
        <v>3300</v>
      </c>
      <c r="O12" s="7">
        <v>2310</v>
      </c>
    </row>
    <row r="13" spans="1:15" ht="47.4" thickBot="1" x14ac:dyDescent="0.45">
      <c r="A13" s="3">
        <v>12</v>
      </c>
      <c r="B13" s="4" t="s">
        <v>27</v>
      </c>
      <c r="C13" s="4" t="s">
        <v>30</v>
      </c>
      <c r="D13" s="4" t="s">
        <v>57</v>
      </c>
      <c r="E13" s="2" t="s">
        <v>48</v>
      </c>
      <c r="F13" s="3">
        <v>42</v>
      </c>
      <c r="G13" s="5">
        <v>4200</v>
      </c>
      <c r="H13" s="3">
        <v>42</v>
      </c>
      <c r="I13" s="5">
        <v>4200</v>
      </c>
      <c r="J13" s="3">
        <v>42</v>
      </c>
      <c r="K13" s="5">
        <v>4200</v>
      </c>
      <c r="L13" s="3">
        <v>0</v>
      </c>
      <c r="M13" s="3">
        <v>0</v>
      </c>
      <c r="N13" s="5">
        <v>4200</v>
      </c>
      <c r="O13" s="7">
        <v>2940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3"/>
  <sheetViews>
    <sheetView workbookViewId="0">
      <selection activeCell="F10" sqref="F10"/>
    </sheetView>
  </sheetViews>
  <sheetFormatPr defaultRowHeight="17.399999999999999" x14ac:dyDescent="0.4"/>
  <cols>
    <col min="1" max="1" width="4.09765625" bestFit="1" customWidth="1"/>
    <col min="2" max="3" width="4.796875" bestFit="1" customWidth="1"/>
    <col min="4" max="4" width="8.19921875" bestFit="1" customWidth="1"/>
    <col min="6" max="6" width="4.796875" bestFit="1" customWidth="1"/>
    <col min="7" max="7" width="5.3984375" bestFit="1" customWidth="1"/>
    <col min="8" max="8" width="4.796875" bestFit="1" customWidth="1"/>
    <col min="9" max="9" width="5.3984375" bestFit="1" customWidth="1"/>
    <col min="10" max="10" width="4.796875" bestFit="1" customWidth="1"/>
    <col min="11" max="11" width="5.39843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10" t="s">
        <v>26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1" t="s">
        <v>10</v>
      </c>
    </row>
    <row r="2" spans="1:15" ht="31.8" thickBot="1" x14ac:dyDescent="0.45">
      <c r="A2" s="3">
        <v>13</v>
      </c>
      <c r="B2" s="4" t="s">
        <v>27</v>
      </c>
      <c r="C2" s="4" t="s">
        <v>49</v>
      </c>
      <c r="D2" s="4" t="s">
        <v>50</v>
      </c>
      <c r="E2" s="2" t="s">
        <v>51</v>
      </c>
      <c r="F2" s="3">
        <v>11</v>
      </c>
      <c r="G2" s="5">
        <v>1100</v>
      </c>
      <c r="H2" s="3">
        <v>11</v>
      </c>
      <c r="I2" s="5">
        <v>1100</v>
      </c>
      <c r="J2" s="3">
        <v>11</v>
      </c>
      <c r="K2" s="5">
        <v>1100</v>
      </c>
      <c r="L2" s="3">
        <v>0</v>
      </c>
      <c r="M2" s="3">
        <v>0</v>
      </c>
      <c r="N2" s="5">
        <v>1100</v>
      </c>
      <c r="O2" s="6">
        <v>770</v>
      </c>
    </row>
    <row r="3" spans="1:15" ht="31.8" thickBot="1" x14ac:dyDescent="0.45">
      <c r="A3" s="3">
        <v>14</v>
      </c>
      <c r="B3" s="4" t="s">
        <v>27</v>
      </c>
      <c r="C3" s="4" t="s">
        <v>52</v>
      </c>
      <c r="D3" s="4" t="s">
        <v>50</v>
      </c>
      <c r="E3" s="2" t="s">
        <v>53</v>
      </c>
      <c r="F3" s="3">
        <v>5</v>
      </c>
      <c r="G3" s="3">
        <v>500</v>
      </c>
      <c r="H3" s="3">
        <v>5</v>
      </c>
      <c r="I3" s="3">
        <v>500</v>
      </c>
      <c r="J3" s="3">
        <v>5</v>
      </c>
      <c r="K3" s="3">
        <v>500</v>
      </c>
      <c r="L3" s="3">
        <v>0</v>
      </c>
      <c r="M3" s="3">
        <v>0</v>
      </c>
      <c r="N3" s="3">
        <v>500</v>
      </c>
      <c r="O3" s="6">
        <v>350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2"/>
  <sheetViews>
    <sheetView workbookViewId="0">
      <selection activeCell="F10" sqref="F10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6.5" bestFit="1" customWidth="1"/>
    <col min="4" max="4" width="8.19921875" bestFit="1" customWidth="1"/>
    <col min="6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10" t="s">
        <v>26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1" t="s">
        <v>10</v>
      </c>
    </row>
    <row r="2" spans="1:15" ht="31.8" thickBot="1" x14ac:dyDescent="0.45">
      <c r="A2" s="3">
        <v>1</v>
      </c>
      <c r="B2" s="4" t="s">
        <v>27</v>
      </c>
      <c r="C2" s="4" t="s">
        <v>54</v>
      </c>
      <c r="D2" s="4" t="s">
        <v>55</v>
      </c>
      <c r="E2" s="2" t="s">
        <v>56</v>
      </c>
      <c r="F2" s="3">
        <v>6</v>
      </c>
      <c r="G2" s="3">
        <v>600</v>
      </c>
      <c r="H2" s="3">
        <v>6</v>
      </c>
      <c r="I2" s="3">
        <v>600</v>
      </c>
      <c r="J2" s="3">
        <v>6</v>
      </c>
      <c r="K2" s="3">
        <v>600</v>
      </c>
      <c r="L2" s="3">
        <v>0</v>
      </c>
      <c r="M2" s="3">
        <v>0</v>
      </c>
      <c r="N2" s="3">
        <v>600</v>
      </c>
      <c r="O2" s="6">
        <v>420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2"/>
  <sheetViews>
    <sheetView workbookViewId="0">
      <selection activeCell="H11" sqref="H11"/>
    </sheetView>
  </sheetViews>
  <sheetFormatPr defaultRowHeight="17.399999999999999" x14ac:dyDescent="0.4"/>
  <cols>
    <col min="1" max="1" width="4.09765625" bestFit="1" customWidth="1"/>
    <col min="2" max="3" width="4.796875" bestFit="1" customWidth="1"/>
    <col min="4" max="5" width="8.19921875" bestFit="1" customWidth="1"/>
    <col min="6" max="6" width="4.796875" bestFit="1" customWidth="1"/>
    <col min="7" max="7" width="5.3984375" bestFit="1" customWidth="1"/>
    <col min="8" max="8" width="4.796875" bestFit="1" customWidth="1"/>
    <col min="9" max="9" width="5.3984375" bestFit="1" customWidth="1"/>
    <col min="10" max="10" width="4.796875" bestFit="1" customWidth="1"/>
    <col min="11" max="11" width="5.3984375" bestFit="1" customWidth="1"/>
    <col min="12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10" t="s">
        <v>58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1" t="s">
        <v>10</v>
      </c>
    </row>
    <row r="2" spans="1:15" ht="31.8" thickBot="1" x14ac:dyDescent="0.45">
      <c r="A2" s="3">
        <v>13</v>
      </c>
      <c r="B2" s="4" t="s">
        <v>27</v>
      </c>
      <c r="C2" s="4" t="s">
        <v>49</v>
      </c>
      <c r="D2" s="4" t="s">
        <v>59</v>
      </c>
      <c r="E2" s="2" t="s">
        <v>51</v>
      </c>
      <c r="F2" s="3">
        <v>11</v>
      </c>
      <c r="G2" s="5">
        <v>1100</v>
      </c>
      <c r="H2" s="3">
        <v>11</v>
      </c>
      <c r="I2" s="5">
        <v>1100</v>
      </c>
      <c r="J2" s="3">
        <v>11</v>
      </c>
      <c r="K2" s="5">
        <v>1100</v>
      </c>
      <c r="L2" s="3">
        <v>0</v>
      </c>
      <c r="M2" s="3">
        <v>0</v>
      </c>
      <c r="N2" s="5">
        <v>1100</v>
      </c>
      <c r="O2" s="6">
        <v>770</v>
      </c>
    </row>
  </sheetData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O2"/>
  <sheetViews>
    <sheetView workbookViewId="0"/>
  </sheetViews>
  <sheetFormatPr defaultRowHeight="17.399999999999999" x14ac:dyDescent="0.4"/>
  <cols>
    <col min="1" max="1" width="4.09765625" bestFit="1" customWidth="1"/>
    <col min="2" max="3" width="4.796875" bestFit="1" customWidth="1"/>
    <col min="4" max="4" width="8.19921875" bestFit="1" customWidth="1"/>
    <col min="6" max="12" width="4.796875" bestFit="1" customWidth="1"/>
    <col min="13" max="13" width="6.5" bestFit="1" customWidth="1"/>
    <col min="14" max="15" width="8.19921875" bestFit="1" customWidth="1"/>
  </cols>
  <sheetData>
    <row r="1" spans="1:15" ht="18" thickBot="1" x14ac:dyDescent="0.45">
      <c r="A1" s="9" t="s">
        <v>0</v>
      </c>
      <c r="B1" s="9" t="s">
        <v>1</v>
      </c>
      <c r="C1" s="9" t="s">
        <v>2</v>
      </c>
      <c r="D1" s="10" t="s">
        <v>58</v>
      </c>
      <c r="E1" s="9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1" t="s">
        <v>10</v>
      </c>
    </row>
    <row r="2" spans="1:15" ht="31.8" thickBot="1" x14ac:dyDescent="0.45">
      <c r="A2" s="3">
        <v>14</v>
      </c>
      <c r="B2" s="4" t="s">
        <v>27</v>
      </c>
      <c r="C2" s="4" t="s">
        <v>52</v>
      </c>
      <c r="D2" s="4" t="s">
        <v>59</v>
      </c>
      <c r="E2" s="2" t="s">
        <v>53</v>
      </c>
      <c r="F2" s="3">
        <v>5</v>
      </c>
      <c r="G2" s="3">
        <v>500</v>
      </c>
      <c r="H2" s="3">
        <v>5</v>
      </c>
      <c r="I2" s="3">
        <v>500</v>
      </c>
      <c r="J2" s="3">
        <v>5</v>
      </c>
      <c r="K2" s="3">
        <v>500</v>
      </c>
      <c r="L2" s="3">
        <v>0</v>
      </c>
      <c r="M2" s="3">
        <v>0</v>
      </c>
      <c r="N2" s="3">
        <v>500</v>
      </c>
      <c r="O2" s="6">
        <v>350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11</vt:i4>
      </vt:variant>
    </vt:vector>
  </HeadingPairs>
  <TitlesOfParts>
    <vt:vector size="24" baseType="lpstr">
      <vt:lpstr>합계(2)</vt:lpstr>
      <vt:lpstr>Nisansui Ziquan</vt:lpstr>
      <vt:lpstr>원기공장</vt:lpstr>
      <vt:lpstr>Lv</vt:lpstr>
      <vt:lpstr>Ice×FANFAN COMIC</vt:lpstr>
      <vt:lpstr>건일</vt:lpstr>
      <vt:lpstr>최도비 수정과</vt:lpstr>
      <vt:lpstr>합계(3)</vt:lpstr>
      <vt:lpstr>더컴퍼니</vt:lpstr>
      <vt:lpstr>스토리위즈</vt:lpstr>
      <vt:lpstr>에필로그</vt:lpstr>
      <vt:lpstr>vvk</vt:lpstr>
      <vt:lpstr>벗우</vt:lpstr>
      <vt:lpstr>'Ice×FANFAN COMIC'!Extract</vt:lpstr>
      <vt:lpstr>Lv!Extract</vt:lpstr>
      <vt:lpstr>'Nisansui Ziquan'!Extract</vt:lpstr>
      <vt:lpstr>vvk!Extract</vt:lpstr>
      <vt:lpstr>건일!Extract</vt:lpstr>
      <vt:lpstr>더컴퍼니!Extract</vt:lpstr>
      <vt:lpstr>벗우!Extract</vt:lpstr>
      <vt:lpstr>스토리위즈!Extract</vt:lpstr>
      <vt:lpstr>에필로그!Extract</vt:lpstr>
      <vt:lpstr>원기공장!Extract</vt:lpstr>
      <vt:lpstr>'최도비 수정과'!Extract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2022-05-09T10:00:42Z</dcterms:modified>
</cp:coreProperties>
</file>