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네이버시리즈\"/>
    </mc:Choice>
  </mc:AlternateContent>
  <bookViews>
    <workbookView xWindow="0" yWindow="0" windowWidth="23040" windowHeight="8952" tabRatio="863"/>
  </bookViews>
  <sheets>
    <sheet name="합계 (4)" sheetId="230" r:id="rId1"/>
  </sheets>
  <definedNames>
    <definedName name="_xlnm._FilterDatabase" localSheetId="0" hidden="1">'합계 (4)'!$A$1:$AM$32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AW155" i="230" l="1"/>
  <c r="AV3" i="230"/>
  <c r="AW3" i="230"/>
  <c r="AV4" i="230"/>
  <c r="AW4" i="230"/>
  <c r="AV5" i="230"/>
  <c r="AW5" i="230"/>
  <c r="AV6" i="230"/>
  <c r="AW6" i="230"/>
  <c r="AV7" i="230"/>
  <c r="AW7" i="230"/>
  <c r="AV8" i="230"/>
  <c r="AW8" i="230"/>
  <c r="AV9" i="230"/>
  <c r="AW9" i="230"/>
  <c r="AV10" i="230"/>
  <c r="AW10" i="230"/>
  <c r="AV11" i="230"/>
  <c r="AW11" i="230"/>
  <c r="AV12" i="230"/>
  <c r="AW12" i="230"/>
  <c r="AV13" i="230"/>
  <c r="AW13" i="230"/>
  <c r="AV14" i="230"/>
  <c r="AW14" i="230"/>
  <c r="AV15" i="230"/>
  <c r="AW15" i="230"/>
  <c r="AV16" i="230"/>
  <c r="AW16" i="230"/>
  <c r="AV17" i="230"/>
  <c r="AW17" i="230"/>
  <c r="AV18" i="230"/>
  <c r="AW18" i="230"/>
  <c r="AV19" i="230"/>
  <c r="AW19" i="230"/>
  <c r="AV20" i="230"/>
  <c r="AW20" i="230"/>
  <c r="AV21" i="230"/>
  <c r="AW21" i="230"/>
  <c r="AV22" i="230"/>
  <c r="AW22" i="230"/>
  <c r="AV23" i="230"/>
  <c r="AW23" i="230"/>
  <c r="AV24" i="230"/>
  <c r="AW24" i="230"/>
  <c r="AV25" i="230"/>
  <c r="AW25" i="230"/>
  <c r="AV26" i="230"/>
  <c r="AW26" i="230"/>
  <c r="AV27" i="230"/>
  <c r="AW27" i="230"/>
  <c r="AV28" i="230"/>
  <c r="AW28" i="230"/>
  <c r="AV29" i="230"/>
  <c r="AW29" i="230"/>
  <c r="AV30" i="230"/>
  <c r="AW30" i="230"/>
  <c r="AV31" i="230"/>
  <c r="AW31" i="230"/>
  <c r="AV32" i="230"/>
  <c r="AW32" i="230"/>
  <c r="AV33" i="230"/>
  <c r="AW33" i="230"/>
  <c r="AV34" i="230"/>
  <c r="AW34" i="230"/>
  <c r="AV35" i="230"/>
  <c r="AW35" i="230"/>
  <c r="AV36" i="230"/>
  <c r="AW36" i="230"/>
  <c r="AV37" i="230"/>
  <c r="AW37" i="230"/>
  <c r="AV38" i="230"/>
  <c r="AW38" i="230"/>
  <c r="AV39" i="230"/>
  <c r="AW39" i="230"/>
  <c r="AV40" i="230"/>
  <c r="AW40" i="230"/>
  <c r="AV41" i="230"/>
  <c r="AW41" i="230"/>
  <c r="AV42" i="230"/>
  <c r="AW42" i="230"/>
  <c r="AV43" i="230"/>
  <c r="AW43" i="230"/>
  <c r="AV44" i="230"/>
  <c r="AW44" i="230"/>
  <c r="AV45" i="230"/>
  <c r="AW45" i="230"/>
  <c r="AV46" i="230"/>
  <c r="AW46" i="230"/>
  <c r="AV47" i="230"/>
  <c r="AW47" i="230"/>
  <c r="AV48" i="230"/>
  <c r="AW48" i="230"/>
  <c r="AV49" i="230"/>
  <c r="AW49" i="230"/>
  <c r="AV50" i="230"/>
  <c r="AW50" i="230"/>
  <c r="AV51" i="230"/>
  <c r="AW51" i="230"/>
  <c r="AV52" i="230"/>
  <c r="AW52" i="230"/>
  <c r="AV53" i="230"/>
  <c r="AW53" i="230"/>
  <c r="AV54" i="230"/>
  <c r="AW54" i="230"/>
  <c r="AV55" i="230"/>
  <c r="AW55" i="230"/>
  <c r="AV56" i="230"/>
  <c r="AW56" i="230"/>
  <c r="AV57" i="230"/>
  <c r="AW57" i="230"/>
  <c r="AV58" i="230"/>
  <c r="AW58" i="230"/>
  <c r="AV59" i="230"/>
  <c r="AW59" i="230"/>
  <c r="AV60" i="230"/>
  <c r="AW60" i="230"/>
  <c r="AV61" i="230"/>
  <c r="AW61" i="230"/>
  <c r="AV62" i="230"/>
  <c r="AW62" i="230"/>
  <c r="AV63" i="230"/>
  <c r="AW63" i="230"/>
  <c r="AV64" i="230"/>
  <c r="AW64" i="230"/>
  <c r="AV65" i="230"/>
  <c r="AW65" i="230"/>
  <c r="AV66" i="230"/>
  <c r="AW66" i="230"/>
  <c r="AV67" i="230"/>
  <c r="AW67" i="230"/>
  <c r="AV68" i="230"/>
  <c r="AW68" i="230"/>
  <c r="AV69" i="230"/>
  <c r="AW69" i="230"/>
  <c r="AV70" i="230"/>
  <c r="AW70" i="230"/>
  <c r="AV71" i="230"/>
  <c r="AW71" i="230"/>
  <c r="AV72" i="230"/>
  <c r="AW72" i="230"/>
  <c r="AV73" i="230"/>
  <c r="AW73" i="230"/>
  <c r="AV74" i="230"/>
  <c r="AW74" i="230"/>
  <c r="AV75" i="230"/>
  <c r="AW75" i="230"/>
  <c r="AV76" i="230"/>
  <c r="AW76" i="230"/>
  <c r="AV77" i="230"/>
  <c r="AW77" i="230"/>
  <c r="AV78" i="230"/>
  <c r="AW78" i="230"/>
  <c r="AV79" i="230"/>
  <c r="AW79" i="230"/>
  <c r="AV80" i="230"/>
  <c r="AW80" i="230"/>
  <c r="AV81" i="230"/>
  <c r="AW81" i="230"/>
  <c r="AV82" i="230"/>
  <c r="AW82" i="230"/>
  <c r="AV83" i="230"/>
  <c r="AW83" i="230"/>
  <c r="AV84" i="230"/>
  <c r="AW84" i="230"/>
  <c r="AV85" i="230"/>
  <c r="AW85" i="230"/>
  <c r="AV86" i="230"/>
  <c r="AW86" i="230"/>
  <c r="AV87" i="230"/>
  <c r="AW87" i="230"/>
  <c r="AV88" i="230"/>
  <c r="AW88" i="230" s="1"/>
  <c r="AV89" i="230"/>
  <c r="AW89" i="230"/>
  <c r="AV90" i="230"/>
  <c r="AW90" i="230"/>
  <c r="AV91" i="230"/>
  <c r="AW91" i="230"/>
  <c r="AV92" i="230"/>
  <c r="AW92" i="230" s="1"/>
  <c r="AV93" i="230"/>
  <c r="AW93" i="230"/>
  <c r="AV94" i="230"/>
  <c r="AW94" i="230"/>
  <c r="AV95" i="230"/>
  <c r="AW95" i="230"/>
  <c r="AV96" i="230"/>
  <c r="AW96" i="230" s="1"/>
  <c r="AV97" i="230"/>
  <c r="AW97" i="230"/>
  <c r="AV98" i="230"/>
  <c r="AW98" i="230"/>
  <c r="AV99" i="230"/>
  <c r="AW99" i="230"/>
  <c r="AV100" i="230"/>
  <c r="AW100" i="230" s="1"/>
  <c r="AV101" i="230"/>
  <c r="AW101" i="230"/>
  <c r="AV102" i="230"/>
  <c r="AW102" i="230"/>
  <c r="AV103" i="230"/>
  <c r="AW103" i="230"/>
  <c r="AV104" i="230"/>
  <c r="AW104" i="230" s="1"/>
  <c r="AV105" i="230"/>
  <c r="AW105" i="230"/>
  <c r="AV106" i="230"/>
  <c r="AW106" i="230"/>
  <c r="AV107" i="230"/>
  <c r="AW107" i="230"/>
  <c r="AV108" i="230"/>
  <c r="AW108" i="230" s="1"/>
  <c r="AV109" i="230"/>
  <c r="AW109" i="230"/>
  <c r="AV110" i="230"/>
  <c r="AW110" i="230"/>
  <c r="AV111" i="230"/>
  <c r="AW111" i="230"/>
  <c r="AV112" i="230"/>
  <c r="AW112" i="230"/>
  <c r="AV113" i="230"/>
  <c r="AW113" i="230"/>
  <c r="AV114" i="230"/>
  <c r="AW114" i="230"/>
  <c r="AV115" i="230"/>
  <c r="AW115" i="230"/>
  <c r="AV116" i="230"/>
  <c r="AW116" i="230"/>
  <c r="AV117" i="230"/>
  <c r="AW117" i="230"/>
  <c r="AV118" i="230"/>
  <c r="AW118" i="230"/>
  <c r="AV119" i="230"/>
  <c r="AW119" i="230"/>
  <c r="AV120" i="230"/>
  <c r="AW120" i="230"/>
  <c r="AV121" i="230"/>
  <c r="AW121" i="230"/>
  <c r="AV122" i="230"/>
  <c r="AW122" i="230"/>
  <c r="AV123" i="230"/>
  <c r="AW123" i="230"/>
  <c r="AV124" i="230"/>
  <c r="AW124" i="230"/>
  <c r="AV125" i="230"/>
  <c r="AW125" i="230"/>
  <c r="AV126" i="230"/>
  <c r="AW126" i="230"/>
  <c r="AV127" i="230"/>
  <c r="AW127" i="230"/>
  <c r="AV128" i="230"/>
  <c r="AW128" i="230"/>
  <c r="AV129" i="230"/>
  <c r="AW129" i="230"/>
  <c r="AV130" i="230"/>
  <c r="AW130" i="230"/>
  <c r="AV131" i="230"/>
  <c r="AW131" i="230"/>
  <c r="AV132" i="230"/>
  <c r="AW132" i="230"/>
  <c r="AV133" i="230"/>
  <c r="AW133" i="230"/>
  <c r="AV134" i="230"/>
  <c r="AW134" i="230"/>
  <c r="AV135" i="230"/>
  <c r="AW135" i="230"/>
  <c r="AV136" i="230"/>
  <c r="AW136" i="230"/>
  <c r="AV137" i="230"/>
  <c r="AW137" i="230"/>
  <c r="AV138" i="230"/>
  <c r="AW138" i="230"/>
  <c r="AV139" i="230"/>
  <c r="AW139" i="230"/>
  <c r="AV140" i="230"/>
  <c r="AW140" i="230"/>
  <c r="AV141" i="230"/>
  <c r="AW141" i="230"/>
  <c r="AV142" i="230"/>
  <c r="AW142" i="230"/>
  <c r="AV143" i="230"/>
  <c r="AW143" i="230"/>
  <c r="AV144" i="230"/>
  <c r="AW144" i="230"/>
  <c r="AV145" i="230"/>
  <c r="AW145" i="230"/>
  <c r="AV146" i="230"/>
  <c r="AW146" i="230"/>
  <c r="AV147" i="230"/>
  <c r="AW147" i="230"/>
  <c r="AV148" i="230"/>
  <c r="AW148" i="230"/>
  <c r="AV149" i="230"/>
  <c r="AW149" i="230"/>
  <c r="AV150" i="230"/>
  <c r="AW150" i="230"/>
  <c r="AV151" i="230"/>
  <c r="AW151" i="230"/>
  <c r="AV152" i="230"/>
  <c r="AW152" i="230"/>
  <c r="AV153" i="230"/>
  <c r="AW153" i="230"/>
  <c r="AV154" i="230"/>
  <c r="AW154" i="230"/>
  <c r="AW2" i="230"/>
  <c r="AV2" i="230"/>
</calcChain>
</file>

<file path=xl/sharedStrings.xml><?xml version="1.0" encoding="utf-8"?>
<sst xmlns="http://schemas.openxmlformats.org/spreadsheetml/2006/main" count="1122" uniqueCount="253">
  <si>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</si>
  <si>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</si>
  <si>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</si>
  <si>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</si>
  <si>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</si>
  <si>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</si>
  <si>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</si>
  <si>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</si>
  <si>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</si>
  <si>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</si>
  <si>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</si>
  <si>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</si>
  <si>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스토리위즈</t>
  </si>
  <si>
    <t>12세 이상 이용가능</t>
  </si>
  <si>
    <t>최종 보스 : 빛을 향해 달리는 그림자 [독점]</t>
  </si>
  <si>
    <t>스토리위즈_1</t>
  </si>
  <si>
    <t>무장</t>
  </si>
  <si>
    <t>회귀의 전설 [단행본]</t>
  </si>
  <si>
    <t>예로나</t>
  </si>
  <si>
    <t>BJ소드마스터 [독점]</t>
  </si>
  <si>
    <t>이동열</t>
  </si>
  <si>
    <t>2020.07.24</t>
  </si>
  <si>
    <t>구유</t>
  </si>
  <si>
    <t>로드 오브 머니</t>
  </si>
  <si>
    <t>2018.08.02</t>
  </si>
  <si>
    <t>SSS급 마왕의 귀환</t>
  </si>
  <si>
    <t>2019.06.14</t>
  </si>
  <si>
    <t>형사의 게임</t>
  </si>
  <si>
    <t>2017.04.11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</si>
  <si>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</si>
  <si>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</si>
  <si>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</si>
  <si>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</si>
  <si>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</si>
  <si>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</si>
  <si>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</si>
  <si>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</si>
  <si>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</si>
  <si>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</si>
  <si>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</si>
  <si>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</si>
  <si>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</si>
  <si>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</si>
  <si>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</si>
  <si>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2021.02.19</t>
  </si>
  <si>
    <t>2021.03.06</t>
  </si>
  <si>
    <t>2021.03.26</t>
  </si>
  <si>
    <t>세상</t>
  </si>
  <si>
    <t>망작 리메이커 [독점]</t>
  </si>
  <si>
    <t>덕킹</t>
  </si>
  <si>
    <t>진문</t>
  </si>
  <si>
    <t>위험한 신혼부부 [독점]</t>
  </si>
  <si>
    <t>박수정(방울마마)</t>
  </si>
  <si>
    <t>2016.07.20</t>
  </si>
  <si>
    <t>2021.08.03</t>
  </si>
  <si>
    <t>회귀자의 슬기로운 복수생활 [독점]</t>
  </si>
  <si>
    <t>구공</t>
  </si>
  <si>
    <t>화산검제 [은천검제 2부 연재]</t>
  </si>
  <si>
    <t>2020.03.24</t>
  </si>
  <si>
    <t>위대한 가문의 망나니가 되다 [독점]</t>
  </si>
  <si>
    <t>바나바다</t>
  </si>
  <si>
    <t>공작가의 남루한 신부</t>
  </si>
  <si>
    <t>무성매직</t>
  </si>
  <si>
    <t>2021.04.08</t>
  </si>
  <si>
    <t>갓 오브 블랙필드 [개정판][단행본]</t>
  </si>
  <si>
    <t>2020.06.24</t>
  </si>
  <si>
    <t>갓 오브 블랙필드</t>
  </si>
  <si>
    <t>2017.02.27</t>
  </si>
  <si>
    <t>청빙</t>
  </si>
  <si>
    <t>그라운드의 지배자</t>
  </si>
  <si>
    <t>2016.05.30</t>
  </si>
  <si>
    <t>나 혼자 스킬융합 [독점]</t>
  </si>
  <si>
    <t>붕어빵</t>
  </si>
  <si>
    <t>도폐풍운록</t>
  </si>
  <si>
    <t>2021.01.29</t>
  </si>
  <si>
    <t>컬러 러쉬 [BL]</t>
  </si>
  <si>
    <t>2021.04.07</t>
  </si>
  <si>
    <t>신입사원이 이렇게 일을 잘했다고? [독점]</t>
  </si>
  <si>
    <t>왕십리글쟁이</t>
  </si>
  <si>
    <t>2022.01.27</t>
  </si>
  <si>
    <t>선유문주</t>
  </si>
  <si>
    <t>로드 오브 머니 [단행본]</t>
  </si>
  <si>
    <t>2019.08.05</t>
  </si>
  <si>
    <t>선유문주 [단행본]</t>
  </si>
  <si>
    <t>컬러 러쉬 [BL][단행본]</t>
  </si>
  <si>
    <t>2021.04.13</t>
  </si>
  <si>
    <t>2022.03.23</t>
  </si>
  <si>
    <t>형사의 게임 [단행본]</t>
  </si>
  <si>
    <t>2017.10.27</t>
  </si>
  <si>
    <t>헌터인데 내공이 좀 많네요</t>
  </si>
  <si>
    <t>돈문어</t>
  </si>
  <si>
    <t>2022.03.25</t>
  </si>
  <si>
    <t>원코인 게이머 아포칼립스</t>
  </si>
  <si>
    <t>이한애비</t>
  </si>
  <si>
    <t>2022.03.30</t>
  </si>
  <si>
    <t>얼굴 천재 교주가 되었다</t>
  </si>
  <si>
    <t>비고</t>
  </si>
  <si>
    <t>N스토어(PC)</t>
  </si>
  <si>
    <t>슈퍼스타의 비밀 어플</t>
  </si>
  <si>
    <t>2022.03.11</t>
  </si>
  <si>
    <t>슈퍼스타의 비밀 어플 [단행본]</t>
  </si>
  <si>
    <t>2022.03.10</t>
  </si>
  <si>
    <t>강호유정 [단행본]</t>
  </si>
  <si>
    <t>131100761</t>
  </si>
  <si>
    <t>2013.11.15</t>
  </si>
  <si>
    <t>기사가문 망나니는 10클래스</t>
  </si>
  <si>
    <t>2020.03.11</t>
  </si>
  <si>
    <t>PC뷰어(PC)</t>
  </si>
  <si>
    <t>N스토어(MW)</t>
  </si>
  <si>
    <t>구원, 그 잔혹함에 대하여 [선공개]</t>
  </si>
  <si>
    <t>한보연</t>
  </si>
  <si>
    <t>블레슈</t>
  </si>
  <si>
    <t>2022.05.03</t>
  </si>
  <si>
    <t>2022.04.27</t>
  </si>
  <si>
    <t>도폐풍운록 [단행본]</t>
  </si>
  <si>
    <t>SSS급 마왕의 귀환 [단행본]</t>
  </si>
  <si>
    <t>2020.03.19</t>
  </si>
  <si>
    <t>2022.04.17</t>
  </si>
  <si>
    <t>우리야, 이리온 [단행본]</t>
  </si>
  <si>
    <t>김온별(러브마인)</t>
  </si>
  <si>
    <t>도서출판 태랑</t>
  </si>
  <si>
    <t>19세 이상 이용가능</t>
  </si>
  <si>
    <t>2021.12.20</t>
  </si>
  <si>
    <t>사랑도 없이 결혼 [단행본]</t>
  </si>
  <si>
    <t>차홍주</t>
  </si>
  <si>
    <t>2020.12.07</t>
  </si>
  <si>
    <t>형사님, 나랑 사귈래? [개정판][단행본]</t>
  </si>
  <si>
    <t>유하영</t>
  </si>
  <si>
    <t>2018.09.21</t>
  </si>
  <si>
    <t>퇴마사(巫者) [BL][단행본]</t>
  </si>
  <si>
    <t>시무(蒔舞)</t>
  </si>
  <si>
    <t>2022.01.21</t>
  </si>
  <si>
    <t>삼국지 호접몽전 [단행본]</t>
  </si>
  <si>
    <t>2020.05.05</t>
  </si>
  <si>
    <t>리얼 머니 [단행본]</t>
  </si>
  <si>
    <t>2020.12.11</t>
  </si>
  <si>
    <t>야쿠자가 사랑을 한다면 2 [개정판][BL][단행본]</t>
  </si>
  <si>
    <t>모리미</t>
  </si>
  <si>
    <t>2022.01.28</t>
  </si>
  <si>
    <t>다정할수록 불순한 [외전 선공개]</t>
  </si>
  <si>
    <t>은지유</t>
  </si>
  <si>
    <t>2022.04.04</t>
  </si>
  <si>
    <t>어쩌다 계약 아내 [선공개]</t>
  </si>
  <si>
    <t>아슈크림</t>
  </si>
  <si>
    <t>2022.03.21</t>
  </si>
  <si>
    <t>우리야, 이리온 외전 [단행본]</t>
  </si>
  <si>
    <t>2022.04.08</t>
  </si>
  <si>
    <t>들이대지 마 외전 [BL][단행본]</t>
  </si>
  <si>
    <t>2021.05.20</t>
  </si>
  <si>
    <t>너를 삼키다 외전 [BL][단행본]</t>
  </si>
  <si>
    <t>라비니안느</t>
  </si>
  <si>
    <t>2021.09.08</t>
  </si>
  <si>
    <t>아래층에 전남편이 산다</t>
  </si>
  <si>
    <t>스내치</t>
  </si>
  <si>
    <t>2021.10.01</t>
  </si>
  <si>
    <t>숨결을 삼키다</t>
  </si>
  <si>
    <t>문스톤</t>
  </si>
  <si>
    <t>2020.08.17</t>
  </si>
  <si>
    <t>야쿠자가 사랑을 한다면 [개정판][BL]</t>
  </si>
  <si>
    <t>2019.12.05</t>
  </si>
  <si>
    <t>결혼의 함정 [선공개]</t>
  </si>
  <si>
    <t>블랙커피</t>
  </si>
  <si>
    <t>2022.01.19</t>
  </si>
  <si>
    <t>우리야, 이리온</t>
  </si>
  <si>
    <t>바랑둥이 내 남자</t>
  </si>
  <si>
    <t>밈스</t>
  </si>
  <si>
    <t>2019.09.06</t>
  </si>
  <si>
    <t>간신이 나라를 살림</t>
  </si>
  <si>
    <t>루이세</t>
  </si>
  <si>
    <t>2020.01.22</t>
  </si>
  <si>
    <t>기어이 사랑</t>
  </si>
  <si>
    <t>2020.01.31</t>
  </si>
  <si>
    <t>사냥:꿈 [BL]</t>
  </si>
  <si>
    <t>2018.02.22</t>
  </si>
  <si>
    <t>신인류 좀비의 아포칼립스 [독점]</t>
  </si>
  <si>
    <t>모험왕선우</t>
  </si>
  <si>
    <t>2021.12.08</t>
  </si>
  <si>
    <t>본능에 눈뜨다 [개정증보판]</t>
  </si>
  <si>
    <t>허니레몬</t>
  </si>
  <si>
    <t>2019.11.15</t>
  </si>
  <si>
    <t>회귀했는데 FFF급 부두술사 [독점]</t>
  </si>
  <si>
    <t>빡선생</t>
  </si>
  <si>
    <t>2021.11.17</t>
  </si>
  <si>
    <t>호랑이 신을 길들여 버렸다</t>
  </si>
  <si>
    <t>부엉이콩</t>
  </si>
  <si>
    <t>2021.11.19</t>
  </si>
  <si>
    <t>전생자가 용병단장으로 살아가는 법 [독점]</t>
  </si>
  <si>
    <t>새우깡조아</t>
  </si>
  <si>
    <t>매혹적인 상사</t>
  </si>
  <si>
    <t>2022.03.04</t>
  </si>
  <si>
    <t>임신부터 할까요?</t>
  </si>
  <si>
    <t>온서</t>
  </si>
  <si>
    <t>욕과 정이 깨어날 때</t>
  </si>
  <si>
    <t>김너울</t>
  </si>
  <si>
    <t>2019.12.27</t>
  </si>
  <si>
    <t>영웅 [개정판][단행본]</t>
  </si>
  <si>
    <t>2020.10.29</t>
  </si>
  <si>
    <t>살 떨리는 동거 [단행본]</t>
  </si>
  <si>
    <t>이과생 둘이 회귀했다 [단행본]</t>
  </si>
  <si>
    <t>하이후</t>
  </si>
  <si>
    <t>2021.01.21</t>
  </si>
  <si>
    <t>문답무용 - 삼국지 유비의 모사가 되었다 [단행본]</t>
  </si>
  <si>
    <t>사냥 [삽화본]</t>
  </si>
  <si>
    <t>2019.11.07</t>
  </si>
  <si>
    <t>적왕의 깊은 밤</t>
  </si>
  <si>
    <t>엘리신</t>
  </si>
  <si>
    <t>2020.11.02</t>
  </si>
  <si>
    <t>중독</t>
  </si>
  <si>
    <t>2019.12.18</t>
  </si>
  <si>
    <t>복수하는 회귀 사서 [독점]</t>
  </si>
  <si>
    <t>백일하</t>
  </si>
  <si>
    <t>2022.04.28</t>
  </si>
  <si>
    <t>사랑을 놓치고</t>
  </si>
  <si>
    <t>2018.11.09</t>
  </si>
  <si>
    <t>유성하소월 [1~83화]</t>
  </si>
  <si>
    <t>se1392001</t>
  </si>
  <si>
    <t>2019.01.31</t>
  </si>
  <si>
    <t>사랑을 놓치고 [단행본]</t>
  </si>
  <si>
    <t>2019.10.11</t>
  </si>
  <si>
    <t>스타의 연애 [개정판][BL][단행본]</t>
  </si>
  <si>
    <t>2019.05.01</t>
  </si>
  <si>
    <t>구애 [단행본]</t>
  </si>
  <si>
    <t>셔틀</t>
  </si>
  <si>
    <t>2019.11.22</t>
  </si>
  <si>
    <t>매혹적인 상사 [단행본]</t>
  </si>
  <si>
    <t>내 남자 길들이기 [단행본]</t>
  </si>
  <si>
    <t>2020.11.16</t>
  </si>
  <si>
    <t>야쿠자가 사랑을 한다면 [개정판][BL][단행본]</t>
  </si>
  <si>
    <t>그땐 미처 [외전증보판][단행본]</t>
  </si>
  <si>
    <t>2020.02.07</t>
  </si>
  <si>
    <t>아래층에 전남편이 산다 [단행본]</t>
  </si>
  <si>
    <t>여왕 아델 [단행본]</t>
  </si>
  <si>
    <t>이린비</t>
  </si>
  <si>
    <t>2020.10.21</t>
  </si>
  <si>
    <t>너는 내 숨결이니까 [단행본]</t>
  </si>
  <si>
    <t>2021.04.09</t>
  </si>
  <si>
    <t>너를 삼키다 [BL][단행본]</t>
  </si>
  <si>
    <t>기어이 사랑 [단행본]</t>
  </si>
  <si>
    <t>마침내, 열애 중 [BL][단행본]</t>
  </si>
  <si>
    <t>김사라</t>
  </si>
  <si>
    <t>2021.04.14</t>
  </si>
  <si>
    <t>선택된 남자 [BL][단행본]</t>
  </si>
  <si>
    <t>2021.05.21</t>
  </si>
  <si>
    <t>친구의 고백 [단행본]</t>
  </si>
  <si>
    <t>빵양이</t>
  </si>
  <si>
    <t>매혹적인 상사 외전 [단행본]</t>
  </si>
  <si>
    <t>아래층에 전남편이 산다 외전 [단행본]</t>
  </si>
  <si>
    <t>야쿠자가 사랑을 한다면 외전 [개정판][BL][단행본]</t>
  </si>
  <si>
    <t>마침내, 열애 중 외전 [BL][단행본]</t>
  </si>
  <si>
    <t>사랑도 없이 결혼</t>
  </si>
  <si>
    <t>아로새긴</t>
  </si>
  <si>
    <t>트리거 [BL]</t>
  </si>
  <si>
    <t>2020.06.05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</si>
</sst>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9" fillId="3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" fontId="22" fillId="0" borderId="0" xfId="0" applyNumberFormat="1" applyFont="1" applyAlignment="1">
      <alignment vertical="center" wrapText="1"/>
    </xf>
    <xf numFmtId="41" fontId="0" fillId="34" borderId="0" xfId="42" applyFont="1" applyFill="1" applyBorder="1">
      <alignment vertical="center"/>
    </xf>
    <xf numFmtId="0" fontId="22" fillId="34" borderId="0" xfId="0" applyFont="1" applyFill="1" applyAlignment="1">
      <alignment horizontal="lef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55"/>
  <sheetViews>
    <sheetView tabSelected="1" zoomScale="81" zoomScaleNormal="81" workbookViewId="0"/>
  </sheetViews>
  <sheetFormatPr defaultColWidth="8.69921875" defaultRowHeight="17.399999999999999" x14ac:dyDescent="0.4"/>
  <cols>
    <col min="1" max="1" width="13.59765625" style="6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6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09765625" style="1" bestFit="1" customWidth="1"/>
    <col min="48" max="48" width="11.69921875" style="1" bestFit="1" customWidth="1"/>
    <col min="49" max="49" width="11.09765625" style="1" bestFit="1" customWidth="1"/>
    <col min="50" max="16384" width="8.69921875" style="1"/>
  </cols>
  <sheetData>
    <row r="1" spans="1:49" ht="38.4" x14ac:dyDescent="0.4">
      <c r="A1" s="5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3" t="s">
        <v>29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35</v>
      </c>
      <c r="Q1" s="13" t="s">
        <v>36</v>
      </c>
      <c r="R1" s="13" t="s">
        <v>37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29</v>
      </c>
      <c r="AC1" s="13" t="s">
        <v>38</v>
      </c>
      <c r="AD1" s="13" t="s">
        <v>39</v>
      </c>
      <c r="AE1" s="13" t="s">
        <v>29</v>
      </c>
      <c r="AF1" s="13" t="s">
        <v>38</v>
      </c>
      <c r="AG1" s="13" t="s">
        <v>39</v>
      </c>
      <c r="AH1" s="13" t="s">
        <v>29</v>
      </c>
      <c r="AI1" s="13" t="s">
        <v>38</v>
      </c>
      <c r="AJ1" s="13" t="s">
        <v>39</v>
      </c>
      <c r="AK1" s="13" t="s">
        <v>29</v>
      </c>
      <c r="AL1" s="13" t="s">
        <v>38</v>
      </c>
      <c r="AM1" s="13" t="s">
        <v>39</v>
      </c>
      <c r="AN1" s="14" t="s">
        <v>40</v>
      </c>
      <c r="AO1" s="13" t="s">
        <v>29</v>
      </c>
      <c r="AP1" s="13" t="s">
        <v>38</v>
      </c>
      <c r="AQ1" s="13" t="s">
        <v>39</v>
      </c>
      <c r="AR1" s="13" t="s">
        <v>29</v>
      </c>
      <c r="AS1" s="13" t="s">
        <v>38</v>
      </c>
      <c r="AT1" s="13" t="s">
        <v>39</v>
      </c>
      <c r="AU1" s="14" t="s">
        <v>41</v>
      </c>
      <c r="AV1" s="15" t="s">
        <v>42</v>
      </c>
      <c r="AW1" s="16" t="s">
        <v>43</v>
      </c>
    </row>
    <row r="2" spans="1:49" ht="19.2" x14ac:dyDescent="0.4">
      <c r="A2" s="7" t="s">
        <v>97</v>
      </c>
      <c r="B2" s="7" t="s">
        <v>17</v>
      </c>
      <c r="C2" s="7">
        <v>414278</v>
      </c>
      <c r="D2" s="8"/>
      <c r="E2" s="7" t="s">
        <v>15</v>
      </c>
      <c r="F2" s="7" t="s">
        <v>9</v>
      </c>
      <c r="G2" s="7" t="s">
        <v>12</v>
      </c>
      <c r="H2" s="9" t="s">
        <v>11</v>
      </c>
      <c r="I2" s="9" t="s">
        <v>44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5</v>
      </c>
      <c r="AF2" s="10">
        <v>16000</v>
      </c>
      <c r="AG2" s="9">
        <v>0</v>
      </c>
      <c r="AH2" s="9">
        <v>0</v>
      </c>
      <c r="AI2" s="9">
        <v>0</v>
      </c>
      <c r="AJ2" s="9">
        <v>0</v>
      </c>
      <c r="AK2" s="9">
        <v>1</v>
      </c>
      <c r="AL2" s="10">
        <v>3840</v>
      </c>
      <c r="AM2" s="9">
        <v>0</v>
      </c>
      <c r="AN2" s="18">
        <v>1152</v>
      </c>
      <c r="AO2" s="9">
        <v>0</v>
      </c>
      <c r="AP2" s="9">
        <v>0</v>
      </c>
      <c r="AQ2" s="9">
        <v>0</v>
      </c>
      <c r="AR2" s="9">
        <v>4</v>
      </c>
      <c r="AS2" s="10">
        <v>12800</v>
      </c>
      <c r="AT2" s="9">
        <v>0</v>
      </c>
      <c r="AU2" s="11">
        <v>32640</v>
      </c>
      <c r="AV2" s="17">
        <f>AU2-AN2</f>
        <v>31488</v>
      </c>
      <c r="AW2" s="1">
        <f>AV2*70%</f>
        <v>22041.599999999999</v>
      </c>
    </row>
    <row r="3" spans="1:49" ht="19.2" x14ac:dyDescent="0.4">
      <c r="A3" s="7" t="s">
        <v>97</v>
      </c>
      <c r="B3" s="7" t="s">
        <v>81</v>
      </c>
      <c r="C3" s="7">
        <v>370935</v>
      </c>
      <c r="D3" s="8"/>
      <c r="E3" s="7" t="s">
        <v>15</v>
      </c>
      <c r="F3" s="7" t="s">
        <v>16</v>
      </c>
      <c r="G3" s="7" t="s">
        <v>12</v>
      </c>
      <c r="H3" s="9" t="s">
        <v>8</v>
      </c>
      <c r="I3" s="9" t="s">
        <v>82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5</v>
      </c>
      <c r="AF3" s="10">
        <v>16000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11">
        <v>16000</v>
      </c>
      <c r="AV3" s="17">
        <f t="shared" ref="AV3:AV66" si="0">AU3-AN3</f>
        <v>16000</v>
      </c>
      <c r="AW3" s="1">
        <f t="shared" ref="AW3:AW66" si="1">AV3*70%</f>
        <v>11200</v>
      </c>
    </row>
    <row r="4" spans="1:49" ht="19.2" x14ac:dyDescent="0.4">
      <c r="A4" s="7" t="s">
        <v>97</v>
      </c>
      <c r="B4" s="7" t="s">
        <v>64</v>
      </c>
      <c r="C4" s="7">
        <v>324335</v>
      </c>
      <c r="D4" s="8"/>
      <c r="E4" s="7" t="s">
        <v>15</v>
      </c>
      <c r="F4" s="7" t="s">
        <v>16</v>
      </c>
      <c r="G4" s="7" t="s">
        <v>12</v>
      </c>
      <c r="H4" s="9" t="s">
        <v>13</v>
      </c>
      <c r="I4" s="9" t="s">
        <v>65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4</v>
      </c>
      <c r="AF4" s="10">
        <v>12800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1</v>
      </c>
      <c r="AS4" s="10">
        <v>3200</v>
      </c>
      <c r="AT4" s="9">
        <v>0</v>
      </c>
      <c r="AU4" s="11">
        <v>16000</v>
      </c>
      <c r="AV4" s="17">
        <f t="shared" si="0"/>
        <v>16000</v>
      </c>
      <c r="AW4" s="1">
        <f t="shared" si="1"/>
        <v>11200</v>
      </c>
    </row>
    <row r="5" spans="1:49" ht="19.2" x14ac:dyDescent="0.4">
      <c r="A5" s="7" t="s">
        <v>97</v>
      </c>
      <c r="B5" s="7" t="s">
        <v>109</v>
      </c>
      <c r="C5" s="7">
        <v>465248</v>
      </c>
      <c r="D5" s="8"/>
      <c r="E5" s="7" t="s">
        <v>15</v>
      </c>
      <c r="F5" s="7" t="s">
        <v>110</v>
      </c>
      <c r="G5" s="7" t="s">
        <v>111</v>
      </c>
      <c r="H5" s="9" t="s">
        <v>13</v>
      </c>
      <c r="I5" s="9" t="s">
        <v>112</v>
      </c>
      <c r="J5" s="9">
        <v>3</v>
      </c>
      <c r="K5" s="9">
        <v>99</v>
      </c>
      <c r="L5" s="9">
        <v>300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98</v>
      </c>
      <c r="AF5" s="10">
        <v>8100</v>
      </c>
      <c r="AG5" s="10">
        <v>1700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14</v>
      </c>
      <c r="AS5" s="10">
        <v>1200</v>
      </c>
      <c r="AT5" s="9">
        <v>200</v>
      </c>
      <c r="AU5" s="11">
        <v>11500</v>
      </c>
      <c r="AV5" s="17">
        <f t="shared" si="0"/>
        <v>11500</v>
      </c>
      <c r="AW5" s="1">
        <f t="shared" si="1"/>
        <v>8049.9999999999991</v>
      </c>
    </row>
    <row r="6" spans="1:49" ht="19.2" x14ac:dyDescent="0.4">
      <c r="A6" s="7" t="s">
        <v>97</v>
      </c>
      <c r="B6" s="7" t="s">
        <v>77</v>
      </c>
      <c r="C6" s="7">
        <v>454534</v>
      </c>
      <c r="D6" s="8"/>
      <c r="E6" s="7" t="s">
        <v>15</v>
      </c>
      <c r="F6" s="7" t="s">
        <v>78</v>
      </c>
      <c r="G6" s="7" t="s">
        <v>12</v>
      </c>
      <c r="H6" s="9" t="s">
        <v>8</v>
      </c>
      <c r="I6" s="9" t="s">
        <v>113</v>
      </c>
      <c r="J6" s="9">
        <v>0</v>
      </c>
      <c r="K6" s="9">
        <v>438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90</v>
      </c>
      <c r="AF6" s="10">
        <v>7800</v>
      </c>
      <c r="AG6" s="10">
        <v>1200</v>
      </c>
      <c r="AH6" s="9">
        <v>0</v>
      </c>
      <c r="AI6" s="9">
        <v>0</v>
      </c>
      <c r="AJ6" s="9">
        <v>0</v>
      </c>
      <c r="AK6" s="9">
        <v>1</v>
      </c>
      <c r="AL6" s="9">
        <v>0</v>
      </c>
      <c r="AM6" s="9">
        <v>100</v>
      </c>
      <c r="AN6" s="9">
        <v>0</v>
      </c>
      <c r="AO6" s="9">
        <v>0</v>
      </c>
      <c r="AP6" s="9">
        <v>0</v>
      </c>
      <c r="AQ6" s="9">
        <v>0</v>
      </c>
      <c r="AR6" s="9">
        <v>17</v>
      </c>
      <c r="AS6" s="10">
        <v>1600</v>
      </c>
      <c r="AT6" s="9">
        <v>100</v>
      </c>
      <c r="AU6" s="11">
        <v>10800</v>
      </c>
      <c r="AV6" s="17">
        <f t="shared" si="0"/>
        <v>10800</v>
      </c>
      <c r="AW6" s="1">
        <f t="shared" si="1"/>
        <v>7559.9999999999991</v>
      </c>
    </row>
    <row r="7" spans="1:49" ht="19.2" x14ac:dyDescent="0.4">
      <c r="A7" s="7" t="s">
        <v>97</v>
      </c>
      <c r="B7" s="7" t="s">
        <v>87</v>
      </c>
      <c r="C7" s="7">
        <v>290890</v>
      </c>
      <c r="D7" s="8"/>
      <c r="E7" s="7" t="s">
        <v>15</v>
      </c>
      <c r="F7" s="7" t="s">
        <v>16</v>
      </c>
      <c r="G7" s="7" t="s">
        <v>12</v>
      </c>
      <c r="H7" s="9" t="s">
        <v>8</v>
      </c>
      <c r="I7" s="9" t="s">
        <v>88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8</v>
      </c>
      <c r="AC7" s="10">
        <v>7200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11">
        <v>7200</v>
      </c>
      <c r="AV7" s="17">
        <f t="shared" si="0"/>
        <v>7200</v>
      </c>
      <c r="AW7" s="1">
        <f t="shared" si="1"/>
        <v>5040</v>
      </c>
    </row>
    <row r="8" spans="1:49" ht="19.2" x14ac:dyDescent="0.4">
      <c r="A8" s="7" t="s">
        <v>97</v>
      </c>
      <c r="B8" s="7" t="s">
        <v>114</v>
      </c>
      <c r="C8" s="7">
        <v>458568</v>
      </c>
      <c r="D8" s="8"/>
      <c r="E8" s="7" t="s">
        <v>15</v>
      </c>
      <c r="F8" s="7" t="s">
        <v>16</v>
      </c>
      <c r="G8" s="7" t="s">
        <v>12</v>
      </c>
      <c r="H8" s="9" t="s">
        <v>8</v>
      </c>
      <c r="I8" s="9" t="s">
        <v>79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2</v>
      </c>
      <c r="AF8" s="10">
        <v>3300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1</v>
      </c>
      <c r="AS8" s="10">
        <v>3100</v>
      </c>
      <c r="AT8" s="9">
        <v>0</v>
      </c>
      <c r="AU8" s="11">
        <v>6400</v>
      </c>
      <c r="AV8" s="17">
        <f t="shared" si="0"/>
        <v>6400</v>
      </c>
      <c r="AW8" s="1">
        <f t="shared" si="1"/>
        <v>4480</v>
      </c>
    </row>
    <row r="9" spans="1:49" ht="19.2" x14ac:dyDescent="0.4">
      <c r="A9" s="7" t="s">
        <v>97</v>
      </c>
      <c r="B9" s="7" t="s">
        <v>115</v>
      </c>
      <c r="C9" s="7">
        <v>392777</v>
      </c>
      <c r="D9" s="8"/>
      <c r="E9" s="7" t="s">
        <v>15</v>
      </c>
      <c r="F9" s="7" t="s">
        <v>22</v>
      </c>
      <c r="G9" s="7" t="s">
        <v>12</v>
      </c>
      <c r="H9" s="9" t="s">
        <v>8</v>
      </c>
      <c r="I9" s="9" t="s">
        <v>116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2</v>
      </c>
      <c r="AF9" s="10">
        <v>6400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11">
        <v>6400</v>
      </c>
      <c r="AV9" s="17">
        <f t="shared" si="0"/>
        <v>6400</v>
      </c>
      <c r="AW9" s="1">
        <f t="shared" si="1"/>
        <v>4480</v>
      </c>
    </row>
    <row r="10" spans="1:49" ht="19.2" x14ac:dyDescent="0.4">
      <c r="A10" s="7" t="s">
        <v>97</v>
      </c>
      <c r="B10" s="7" t="s">
        <v>27</v>
      </c>
      <c r="C10" s="7">
        <v>245889</v>
      </c>
      <c r="D10" s="8"/>
      <c r="E10" s="7" t="s">
        <v>15</v>
      </c>
      <c r="F10" s="7" t="s">
        <v>16</v>
      </c>
      <c r="G10" s="7" t="s">
        <v>12</v>
      </c>
      <c r="H10" s="9" t="s">
        <v>8</v>
      </c>
      <c r="I10" s="9" t="s">
        <v>28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49</v>
      </c>
      <c r="AF10" s="9">
        <v>0</v>
      </c>
      <c r="AG10" s="10">
        <v>4900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11">
        <v>4900</v>
      </c>
      <c r="AV10" s="17">
        <f t="shared" si="0"/>
        <v>4900</v>
      </c>
      <c r="AW10" s="1">
        <f t="shared" si="1"/>
        <v>3430</v>
      </c>
    </row>
    <row r="11" spans="1:49" ht="19.2" x14ac:dyDescent="0.4">
      <c r="A11" s="7" t="s">
        <v>97</v>
      </c>
      <c r="B11" s="7" t="s">
        <v>59</v>
      </c>
      <c r="C11" s="7">
        <v>445688</v>
      </c>
      <c r="D11" s="8"/>
      <c r="E11" s="7" t="s">
        <v>15</v>
      </c>
      <c r="F11" s="7" t="s">
        <v>60</v>
      </c>
      <c r="G11" s="7" t="s">
        <v>12</v>
      </c>
      <c r="H11" s="9" t="s">
        <v>8</v>
      </c>
      <c r="I11" s="9" t="s">
        <v>117</v>
      </c>
      <c r="J11" s="9">
        <v>0</v>
      </c>
      <c r="K11" s="9">
        <v>78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21</v>
      </c>
      <c r="AF11" s="10">
        <v>2100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20</v>
      </c>
      <c r="AS11" s="10">
        <v>1900</v>
      </c>
      <c r="AT11" s="9">
        <v>100</v>
      </c>
      <c r="AU11" s="11">
        <v>4100</v>
      </c>
      <c r="AV11" s="17">
        <f t="shared" si="0"/>
        <v>4100</v>
      </c>
      <c r="AW11" s="1">
        <f t="shared" si="1"/>
        <v>2870</v>
      </c>
    </row>
    <row r="12" spans="1:49" ht="19.2" x14ac:dyDescent="0.4">
      <c r="A12" s="7" t="s">
        <v>97</v>
      </c>
      <c r="B12" s="7" t="s">
        <v>66</v>
      </c>
      <c r="C12" s="7">
        <v>178856</v>
      </c>
      <c r="D12" s="8"/>
      <c r="E12" s="7" t="s">
        <v>15</v>
      </c>
      <c r="F12" s="7" t="s">
        <v>16</v>
      </c>
      <c r="G12" s="7" t="s">
        <v>12</v>
      </c>
      <c r="H12" s="9" t="s">
        <v>13</v>
      </c>
      <c r="I12" s="9" t="s">
        <v>67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15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34</v>
      </c>
      <c r="AF12" s="10">
        <v>3400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4</v>
      </c>
      <c r="AS12" s="9">
        <v>400</v>
      </c>
      <c r="AT12" s="9">
        <v>0</v>
      </c>
      <c r="AU12" s="11">
        <v>3800</v>
      </c>
      <c r="AV12" s="17">
        <f t="shared" si="0"/>
        <v>3800</v>
      </c>
      <c r="AW12" s="1">
        <f t="shared" si="1"/>
        <v>2660</v>
      </c>
    </row>
    <row r="13" spans="1:49" ht="28.8" x14ac:dyDescent="0.4">
      <c r="A13" s="7" t="s">
        <v>97</v>
      </c>
      <c r="B13" s="7" t="s">
        <v>118</v>
      </c>
      <c r="C13" s="7">
        <v>454879</v>
      </c>
      <c r="D13" s="8"/>
      <c r="E13" s="7" t="s">
        <v>15</v>
      </c>
      <c r="F13" s="7" t="s">
        <v>119</v>
      </c>
      <c r="G13" s="7" t="s">
        <v>120</v>
      </c>
      <c r="H13" s="9" t="s">
        <v>121</v>
      </c>
      <c r="I13" s="9" t="s">
        <v>122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1</v>
      </c>
      <c r="AF13" s="10">
        <v>3600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11">
        <v>3600</v>
      </c>
      <c r="AV13" s="17">
        <f t="shared" si="0"/>
        <v>3600</v>
      </c>
      <c r="AW13" s="1">
        <f t="shared" si="1"/>
        <v>2520</v>
      </c>
    </row>
    <row r="14" spans="1:49" ht="19.2" x14ac:dyDescent="0.4">
      <c r="A14" s="7" t="s">
        <v>97</v>
      </c>
      <c r="B14" s="7" t="s">
        <v>123</v>
      </c>
      <c r="C14" s="7">
        <v>418302</v>
      </c>
      <c r="D14" s="8"/>
      <c r="E14" s="7" t="s">
        <v>15</v>
      </c>
      <c r="F14" s="7" t="s">
        <v>124</v>
      </c>
      <c r="G14" s="7" t="s">
        <v>120</v>
      </c>
      <c r="H14" s="9" t="s">
        <v>121</v>
      </c>
      <c r="I14" s="9" t="s">
        <v>125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</v>
      </c>
      <c r="AF14" s="10">
        <v>3500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11">
        <v>3500</v>
      </c>
      <c r="AV14" s="17">
        <f t="shared" si="0"/>
        <v>3500</v>
      </c>
      <c r="AW14" s="1">
        <f t="shared" si="1"/>
        <v>2450</v>
      </c>
    </row>
    <row r="15" spans="1:49" ht="19.2" x14ac:dyDescent="0.4">
      <c r="A15" s="7" t="s">
        <v>97</v>
      </c>
      <c r="B15" s="7" t="s">
        <v>126</v>
      </c>
      <c r="C15" s="7">
        <v>315183</v>
      </c>
      <c r="D15" s="8"/>
      <c r="E15" s="7" t="s">
        <v>15</v>
      </c>
      <c r="F15" s="7" t="s">
        <v>127</v>
      </c>
      <c r="G15" s="7" t="s">
        <v>120</v>
      </c>
      <c r="H15" s="9" t="s">
        <v>121</v>
      </c>
      <c r="I15" s="9" t="s">
        <v>128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</v>
      </c>
      <c r="AF15" s="10">
        <v>3500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11">
        <v>3500</v>
      </c>
      <c r="AV15" s="17">
        <f t="shared" si="0"/>
        <v>3500</v>
      </c>
      <c r="AW15" s="1">
        <f t="shared" si="1"/>
        <v>2450</v>
      </c>
    </row>
    <row r="16" spans="1:49" ht="19.2" x14ac:dyDescent="0.4">
      <c r="A16" s="7" t="s">
        <v>97</v>
      </c>
      <c r="B16" s="7" t="s">
        <v>129</v>
      </c>
      <c r="C16" s="7">
        <v>457958</v>
      </c>
      <c r="D16" s="8"/>
      <c r="E16" s="7" t="s">
        <v>15</v>
      </c>
      <c r="F16" s="7" t="s">
        <v>130</v>
      </c>
      <c r="G16" s="7" t="s">
        <v>120</v>
      </c>
      <c r="H16" s="9" t="s">
        <v>11</v>
      </c>
      <c r="I16" s="9" t="s">
        <v>131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</v>
      </c>
      <c r="AF16" s="10">
        <v>3300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11">
        <v>3300</v>
      </c>
      <c r="AV16" s="17">
        <f t="shared" si="0"/>
        <v>3300</v>
      </c>
      <c r="AW16" s="1">
        <f t="shared" si="1"/>
        <v>2310</v>
      </c>
    </row>
    <row r="17" spans="1:49" ht="19.2" x14ac:dyDescent="0.4">
      <c r="A17" s="7" t="s">
        <v>97</v>
      </c>
      <c r="B17" s="7" t="s">
        <v>132</v>
      </c>
      <c r="C17" s="7">
        <v>395179</v>
      </c>
      <c r="D17" s="8"/>
      <c r="E17" s="7" t="s">
        <v>15</v>
      </c>
      <c r="F17" s="7" t="s">
        <v>68</v>
      </c>
      <c r="G17" s="7" t="s">
        <v>12</v>
      </c>
      <c r="H17" s="9" t="s">
        <v>8</v>
      </c>
      <c r="I17" s="9" t="s">
        <v>133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1</v>
      </c>
      <c r="AF17" s="9">
        <v>0</v>
      </c>
      <c r="AG17" s="10">
        <v>3200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11">
        <v>3200</v>
      </c>
      <c r="AV17" s="17">
        <f t="shared" si="0"/>
        <v>3200</v>
      </c>
      <c r="AW17" s="1">
        <f t="shared" si="1"/>
        <v>2240</v>
      </c>
    </row>
    <row r="18" spans="1:49" ht="19.2" x14ac:dyDescent="0.4">
      <c r="A18" s="7" t="s">
        <v>97</v>
      </c>
      <c r="B18" s="7" t="s">
        <v>83</v>
      </c>
      <c r="C18" s="7">
        <v>458566</v>
      </c>
      <c r="D18" s="8"/>
      <c r="E18" s="7" t="s">
        <v>15</v>
      </c>
      <c r="F18" s="7" t="s">
        <v>16</v>
      </c>
      <c r="G18" s="7" t="s">
        <v>12</v>
      </c>
      <c r="H18" s="9" t="s">
        <v>8</v>
      </c>
      <c r="I18" s="9" t="s">
        <v>79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1</v>
      </c>
      <c r="AF18" s="10">
        <v>3200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11">
        <v>3200</v>
      </c>
      <c r="AV18" s="17">
        <f t="shared" si="0"/>
        <v>3200</v>
      </c>
      <c r="AW18" s="1">
        <f t="shared" si="1"/>
        <v>2240</v>
      </c>
    </row>
    <row r="19" spans="1:49" ht="19.2" x14ac:dyDescent="0.4">
      <c r="A19" s="7" t="s">
        <v>97</v>
      </c>
      <c r="B19" s="7" t="s">
        <v>134</v>
      </c>
      <c r="C19" s="7">
        <v>418689</v>
      </c>
      <c r="D19" s="8"/>
      <c r="E19" s="7" t="s">
        <v>15</v>
      </c>
      <c r="F19" s="7" t="s">
        <v>50</v>
      </c>
      <c r="G19" s="7" t="s">
        <v>12</v>
      </c>
      <c r="H19" s="9" t="s">
        <v>8</v>
      </c>
      <c r="I19" s="9" t="s">
        <v>135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1</v>
      </c>
      <c r="AS19" s="10">
        <v>2300</v>
      </c>
      <c r="AT19" s="9">
        <v>900</v>
      </c>
      <c r="AU19" s="11">
        <v>3200</v>
      </c>
      <c r="AV19" s="17">
        <f t="shared" si="0"/>
        <v>3200</v>
      </c>
      <c r="AW19" s="1">
        <f t="shared" si="1"/>
        <v>2240</v>
      </c>
    </row>
    <row r="20" spans="1:49" ht="19.2" x14ac:dyDescent="0.4">
      <c r="A20" s="7" t="s">
        <v>97</v>
      </c>
      <c r="B20" s="7" t="s">
        <v>136</v>
      </c>
      <c r="C20" s="7">
        <v>458432</v>
      </c>
      <c r="D20" s="8"/>
      <c r="E20" s="7" t="s">
        <v>15</v>
      </c>
      <c r="F20" s="7" t="s">
        <v>137</v>
      </c>
      <c r="G20" s="7" t="s">
        <v>120</v>
      </c>
      <c r="H20" s="9" t="s">
        <v>121</v>
      </c>
      <c r="I20" s="9" t="s">
        <v>138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</v>
      </c>
      <c r="AF20" s="10">
        <v>3000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11">
        <v>3000</v>
      </c>
      <c r="AV20" s="17">
        <f t="shared" si="0"/>
        <v>3000</v>
      </c>
      <c r="AW20" s="1">
        <f t="shared" si="1"/>
        <v>2100</v>
      </c>
    </row>
    <row r="21" spans="1:49" ht="19.2" x14ac:dyDescent="0.4">
      <c r="A21" s="7" t="s">
        <v>97</v>
      </c>
      <c r="B21" s="7" t="s">
        <v>139</v>
      </c>
      <c r="C21" s="7">
        <v>464776</v>
      </c>
      <c r="D21" s="8"/>
      <c r="E21" s="7" t="s">
        <v>15</v>
      </c>
      <c r="F21" s="7" t="s">
        <v>140</v>
      </c>
      <c r="G21" s="7" t="s">
        <v>111</v>
      </c>
      <c r="H21" s="9" t="s">
        <v>13</v>
      </c>
      <c r="I21" s="9" t="s">
        <v>141</v>
      </c>
      <c r="J21" s="9">
        <v>0</v>
      </c>
      <c r="K21" s="9">
        <v>4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28</v>
      </c>
      <c r="AF21" s="10">
        <v>2800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11">
        <v>2800</v>
      </c>
      <c r="AV21" s="17">
        <f t="shared" si="0"/>
        <v>2800</v>
      </c>
      <c r="AW21" s="1">
        <f t="shared" si="1"/>
        <v>1959.9999999999998</v>
      </c>
    </row>
    <row r="22" spans="1:49" ht="19.2" x14ac:dyDescent="0.4">
      <c r="A22" s="7" t="s">
        <v>97</v>
      </c>
      <c r="B22" s="7" t="s">
        <v>55</v>
      </c>
      <c r="C22" s="7">
        <v>442274</v>
      </c>
      <c r="D22" s="8"/>
      <c r="E22" s="7" t="s">
        <v>15</v>
      </c>
      <c r="F22" s="7" t="s">
        <v>56</v>
      </c>
      <c r="G22" s="7" t="s">
        <v>12</v>
      </c>
      <c r="H22" s="9" t="s">
        <v>8</v>
      </c>
      <c r="I22" s="9" t="s">
        <v>94</v>
      </c>
      <c r="J22" s="9">
        <v>0</v>
      </c>
      <c r="K22" s="9">
        <v>91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18</v>
      </c>
      <c r="AF22" s="10">
        <v>1500</v>
      </c>
      <c r="AG22" s="9">
        <v>300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2</v>
      </c>
      <c r="AS22" s="9">
        <v>200</v>
      </c>
      <c r="AT22" s="9">
        <v>0</v>
      </c>
      <c r="AU22" s="11">
        <v>2000</v>
      </c>
      <c r="AV22" s="17">
        <f t="shared" si="0"/>
        <v>2000</v>
      </c>
      <c r="AW22" s="1">
        <f t="shared" si="1"/>
        <v>1400</v>
      </c>
    </row>
    <row r="23" spans="1:49" ht="28.8" x14ac:dyDescent="0.4">
      <c r="A23" s="7" t="s">
        <v>97</v>
      </c>
      <c r="B23" s="7" t="s">
        <v>51</v>
      </c>
      <c r="C23" s="7">
        <v>219203</v>
      </c>
      <c r="D23" s="8"/>
      <c r="E23" s="7" t="s">
        <v>15</v>
      </c>
      <c r="F23" s="7" t="s">
        <v>52</v>
      </c>
      <c r="G23" s="7" t="s">
        <v>12</v>
      </c>
      <c r="H23" s="9" t="s">
        <v>8</v>
      </c>
      <c r="I23" s="9" t="s">
        <v>53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6</v>
      </c>
      <c r="AF23" s="10">
        <v>1800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1</v>
      </c>
      <c r="AP23" s="9">
        <v>100</v>
      </c>
      <c r="AQ23" s="9">
        <v>0</v>
      </c>
      <c r="AR23" s="9">
        <v>0</v>
      </c>
      <c r="AS23" s="9">
        <v>0</v>
      </c>
      <c r="AT23" s="9">
        <v>0</v>
      </c>
      <c r="AU23" s="11">
        <v>1900</v>
      </c>
      <c r="AV23" s="17">
        <f t="shared" si="0"/>
        <v>1900</v>
      </c>
      <c r="AW23" s="1">
        <f t="shared" si="1"/>
        <v>1330</v>
      </c>
    </row>
    <row r="24" spans="1:49" ht="19.2" x14ac:dyDescent="0.4">
      <c r="A24" s="7" t="s">
        <v>97</v>
      </c>
      <c r="B24" s="7" t="s">
        <v>14</v>
      </c>
      <c r="C24" s="7">
        <v>369220</v>
      </c>
      <c r="D24" s="8"/>
      <c r="E24" s="7" t="s">
        <v>15</v>
      </c>
      <c r="F24" s="7" t="s">
        <v>16</v>
      </c>
      <c r="G24" s="7" t="s">
        <v>12</v>
      </c>
      <c r="H24" s="9" t="s">
        <v>8</v>
      </c>
      <c r="I24" s="9" t="s">
        <v>45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13</v>
      </c>
      <c r="AF24" s="9">
        <v>200</v>
      </c>
      <c r="AG24" s="10">
        <v>1100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5</v>
      </c>
      <c r="AS24" s="9">
        <v>500</v>
      </c>
      <c r="AT24" s="9">
        <v>0</v>
      </c>
      <c r="AU24" s="11">
        <v>1800</v>
      </c>
      <c r="AV24" s="17">
        <f t="shared" si="0"/>
        <v>1800</v>
      </c>
      <c r="AW24" s="1">
        <f t="shared" si="1"/>
        <v>1260</v>
      </c>
    </row>
    <row r="25" spans="1:49" ht="19.2" x14ac:dyDescent="0.4">
      <c r="A25" s="7" t="s">
        <v>97</v>
      </c>
      <c r="B25" s="7" t="s">
        <v>57</v>
      </c>
      <c r="C25" s="7">
        <v>379813</v>
      </c>
      <c r="D25" s="8"/>
      <c r="E25" s="7" t="s">
        <v>15</v>
      </c>
      <c r="F25" s="7" t="s">
        <v>16</v>
      </c>
      <c r="G25" s="7" t="s">
        <v>12</v>
      </c>
      <c r="H25" s="9" t="s">
        <v>8</v>
      </c>
      <c r="I25" s="9" t="s">
        <v>58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12</v>
      </c>
      <c r="AF25" s="10">
        <v>1200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11">
        <v>1200</v>
      </c>
      <c r="AV25" s="17">
        <f t="shared" si="0"/>
        <v>1200</v>
      </c>
      <c r="AW25" s="1">
        <f t="shared" si="1"/>
        <v>840</v>
      </c>
    </row>
    <row r="26" spans="1:49" ht="19.2" x14ac:dyDescent="0.4">
      <c r="A26" s="7" t="s">
        <v>97</v>
      </c>
      <c r="B26" s="7" t="s">
        <v>142</v>
      </c>
      <c r="C26" s="7">
        <v>412919</v>
      </c>
      <c r="D26" s="8"/>
      <c r="E26" s="7" t="s">
        <v>15</v>
      </c>
      <c r="F26" s="7" t="s">
        <v>143</v>
      </c>
      <c r="G26" s="7" t="s">
        <v>120</v>
      </c>
      <c r="H26" s="9" t="s">
        <v>11</v>
      </c>
      <c r="I26" s="9" t="s">
        <v>144</v>
      </c>
      <c r="J26" s="9">
        <v>0</v>
      </c>
      <c r="K26" s="9">
        <v>249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12</v>
      </c>
      <c r="AF26" s="9">
        <v>900</v>
      </c>
      <c r="AG26" s="9">
        <v>300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11">
        <v>1200</v>
      </c>
      <c r="AV26" s="17">
        <f t="shared" si="0"/>
        <v>1200</v>
      </c>
      <c r="AW26" s="1">
        <f t="shared" si="1"/>
        <v>840</v>
      </c>
    </row>
    <row r="27" spans="1:49" ht="19.2" x14ac:dyDescent="0.4">
      <c r="A27" s="7" t="s">
        <v>97</v>
      </c>
      <c r="B27" s="7" t="s">
        <v>23</v>
      </c>
      <c r="C27" s="7">
        <v>321812</v>
      </c>
      <c r="D27" s="8"/>
      <c r="E27" s="7" t="s">
        <v>15</v>
      </c>
      <c r="F27" s="7" t="s">
        <v>16</v>
      </c>
      <c r="G27" s="7" t="s">
        <v>12</v>
      </c>
      <c r="H27" s="9" t="s">
        <v>8</v>
      </c>
      <c r="I27" s="9" t="s">
        <v>24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12</v>
      </c>
      <c r="AF27" s="10">
        <v>1200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11">
        <v>1200</v>
      </c>
      <c r="AV27" s="17">
        <f t="shared" si="0"/>
        <v>1200</v>
      </c>
      <c r="AW27" s="1">
        <f t="shared" si="1"/>
        <v>840</v>
      </c>
    </row>
    <row r="28" spans="1:49" ht="28.8" x14ac:dyDescent="0.4">
      <c r="A28" s="7" t="s">
        <v>97</v>
      </c>
      <c r="B28" s="7" t="s">
        <v>145</v>
      </c>
      <c r="C28" s="7">
        <v>464146</v>
      </c>
      <c r="D28" s="8"/>
      <c r="E28" s="7" t="s">
        <v>15</v>
      </c>
      <c r="F28" s="7" t="s">
        <v>119</v>
      </c>
      <c r="G28" s="7" t="s">
        <v>120</v>
      </c>
      <c r="H28" s="9" t="s">
        <v>121</v>
      </c>
      <c r="I28" s="9" t="s">
        <v>146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</v>
      </c>
      <c r="AF28" s="10">
        <v>1100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11">
        <v>1100</v>
      </c>
      <c r="AV28" s="17">
        <f t="shared" si="0"/>
        <v>1100</v>
      </c>
      <c r="AW28" s="1">
        <f t="shared" si="1"/>
        <v>770</v>
      </c>
    </row>
    <row r="29" spans="1:49" ht="19.2" x14ac:dyDescent="0.4">
      <c r="A29" s="7" t="s">
        <v>97</v>
      </c>
      <c r="B29" s="7" t="s">
        <v>147</v>
      </c>
      <c r="C29" s="7">
        <v>431800</v>
      </c>
      <c r="D29" s="8"/>
      <c r="E29" s="7" t="s">
        <v>15</v>
      </c>
      <c r="F29" s="7" t="s">
        <v>137</v>
      </c>
      <c r="G29" s="7" t="s">
        <v>120</v>
      </c>
      <c r="H29" s="9" t="s">
        <v>121</v>
      </c>
      <c r="I29" s="9" t="s">
        <v>148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10">
        <v>1000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11">
        <v>1000</v>
      </c>
      <c r="AV29" s="17">
        <f t="shared" si="0"/>
        <v>1000</v>
      </c>
      <c r="AW29" s="1">
        <f t="shared" si="1"/>
        <v>700</v>
      </c>
    </row>
    <row r="30" spans="1:49" ht="19.2" x14ac:dyDescent="0.4">
      <c r="A30" s="7" t="s">
        <v>97</v>
      </c>
      <c r="B30" s="7" t="s">
        <v>149</v>
      </c>
      <c r="C30" s="7">
        <v>444216</v>
      </c>
      <c r="D30" s="8"/>
      <c r="E30" s="7" t="s">
        <v>15</v>
      </c>
      <c r="F30" s="7" t="s">
        <v>150</v>
      </c>
      <c r="G30" s="7" t="s">
        <v>120</v>
      </c>
      <c r="H30" s="9" t="s">
        <v>121</v>
      </c>
      <c r="I30" s="9" t="s">
        <v>151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</v>
      </c>
      <c r="AF30" s="10">
        <v>1000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11">
        <v>1000</v>
      </c>
      <c r="AV30" s="17">
        <f t="shared" si="0"/>
        <v>1000</v>
      </c>
      <c r="AW30" s="1">
        <f t="shared" si="1"/>
        <v>700</v>
      </c>
    </row>
    <row r="31" spans="1:49" ht="19.2" x14ac:dyDescent="0.4">
      <c r="A31" s="7" t="s">
        <v>97</v>
      </c>
      <c r="B31" s="7" t="s">
        <v>71</v>
      </c>
      <c r="C31" s="7">
        <v>449889</v>
      </c>
      <c r="D31" s="8"/>
      <c r="E31" s="7" t="s">
        <v>15</v>
      </c>
      <c r="F31" s="7" t="s">
        <v>72</v>
      </c>
      <c r="G31" s="7" t="s">
        <v>12</v>
      </c>
      <c r="H31" s="9" t="s">
        <v>8</v>
      </c>
      <c r="I31" s="9" t="s">
        <v>112</v>
      </c>
      <c r="J31" s="9">
        <v>0</v>
      </c>
      <c r="K31" s="9">
        <v>258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9</v>
      </c>
      <c r="AF31" s="9">
        <v>200</v>
      </c>
      <c r="AG31" s="9">
        <v>700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12">
        <v>900</v>
      </c>
      <c r="AV31" s="17">
        <f t="shared" si="0"/>
        <v>900</v>
      </c>
      <c r="AW31" s="1">
        <f t="shared" si="1"/>
        <v>630</v>
      </c>
    </row>
    <row r="32" spans="1:49" ht="19.2" x14ac:dyDescent="0.4">
      <c r="A32" s="7" t="s">
        <v>97</v>
      </c>
      <c r="B32" s="7" t="s">
        <v>152</v>
      </c>
      <c r="C32" s="7">
        <v>431330</v>
      </c>
      <c r="D32" s="8"/>
      <c r="E32" s="7" t="s">
        <v>15</v>
      </c>
      <c r="F32" s="7" t="s">
        <v>153</v>
      </c>
      <c r="G32" s="7" t="s">
        <v>120</v>
      </c>
      <c r="H32" s="9" t="s">
        <v>11</v>
      </c>
      <c r="I32" s="9" t="s">
        <v>154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7</v>
      </c>
      <c r="AF32" s="9">
        <v>0</v>
      </c>
      <c r="AG32" s="9">
        <v>700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12">
        <v>700</v>
      </c>
      <c r="AV32" s="17">
        <f t="shared" si="0"/>
        <v>700</v>
      </c>
      <c r="AW32" s="1">
        <f t="shared" si="1"/>
        <v>489.99999999999994</v>
      </c>
    </row>
    <row r="33" spans="1:49" ht="19.2" x14ac:dyDescent="0.4">
      <c r="A33" s="7" t="s">
        <v>97</v>
      </c>
      <c r="B33" s="7" t="s">
        <v>69</v>
      </c>
      <c r="C33" s="7">
        <v>211158</v>
      </c>
      <c r="D33" s="8"/>
      <c r="E33" s="7" t="s">
        <v>15</v>
      </c>
      <c r="F33" s="7" t="s">
        <v>16</v>
      </c>
      <c r="G33" s="7" t="s">
        <v>12</v>
      </c>
      <c r="H33" s="9" t="s">
        <v>8</v>
      </c>
      <c r="I33" s="9" t="s">
        <v>70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6</v>
      </c>
      <c r="AF33" s="9">
        <v>600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12">
        <v>600</v>
      </c>
      <c r="AV33" s="17">
        <f t="shared" si="0"/>
        <v>600</v>
      </c>
      <c r="AW33" s="1">
        <f t="shared" si="1"/>
        <v>420</v>
      </c>
    </row>
    <row r="34" spans="1:49" ht="19.2" x14ac:dyDescent="0.4">
      <c r="A34" s="7" t="s">
        <v>97</v>
      </c>
      <c r="B34" s="7" t="s">
        <v>155</v>
      </c>
      <c r="C34" s="7">
        <v>407003</v>
      </c>
      <c r="D34" s="8"/>
      <c r="E34" s="7" t="s">
        <v>15</v>
      </c>
      <c r="F34" s="7" t="s">
        <v>156</v>
      </c>
      <c r="G34" s="7" t="s">
        <v>120</v>
      </c>
      <c r="H34" s="9" t="s">
        <v>121</v>
      </c>
      <c r="I34" s="9" t="s">
        <v>157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5</v>
      </c>
      <c r="AF34" s="9">
        <v>500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12">
        <v>500</v>
      </c>
      <c r="AV34" s="17">
        <f t="shared" si="0"/>
        <v>500</v>
      </c>
      <c r="AW34" s="1">
        <f t="shared" si="1"/>
        <v>350</v>
      </c>
    </row>
    <row r="35" spans="1:49" ht="19.2" x14ac:dyDescent="0.4">
      <c r="A35" s="7" t="s">
        <v>97</v>
      </c>
      <c r="B35" s="7" t="s">
        <v>158</v>
      </c>
      <c r="C35" s="7">
        <v>383229</v>
      </c>
      <c r="D35" s="8"/>
      <c r="E35" s="7" t="s">
        <v>15</v>
      </c>
      <c r="F35" s="7" t="s">
        <v>137</v>
      </c>
      <c r="G35" s="7" t="s">
        <v>120</v>
      </c>
      <c r="H35" s="9" t="s">
        <v>11</v>
      </c>
      <c r="I35" s="9" t="s">
        <v>159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</v>
      </c>
      <c r="AF35" s="9">
        <v>200</v>
      </c>
      <c r="AG35" s="9">
        <v>0</v>
      </c>
      <c r="AH35" s="9">
        <v>0</v>
      </c>
      <c r="AI35" s="9">
        <v>0</v>
      </c>
      <c r="AJ35" s="9">
        <v>0</v>
      </c>
      <c r="AK35" s="9">
        <v>1</v>
      </c>
      <c r="AL35" s="9">
        <v>120</v>
      </c>
      <c r="AM35" s="9">
        <v>0</v>
      </c>
      <c r="AN35" s="9">
        <v>36</v>
      </c>
      <c r="AO35" s="9">
        <v>0</v>
      </c>
      <c r="AP35" s="9">
        <v>0</v>
      </c>
      <c r="AQ35" s="9">
        <v>0</v>
      </c>
      <c r="AR35" s="9">
        <v>1</v>
      </c>
      <c r="AS35" s="9">
        <v>100</v>
      </c>
      <c r="AT35" s="9">
        <v>0</v>
      </c>
      <c r="AU35" s="12">
        <v>420</v>
      </c>
      <c r="AV35" s="17">
        <f t="shared" si="0"/>
        <v>384</v>
      </c>
      <c r="AW35" s="1">
        <f t="shared" si="1"/>
        <v>268.79999999999995</v>
      </c>
    </row>
    <row r="36" spans="1:49" ht="19.2" x14ac:dyDescent="0.4">
      <c r="A36" s="7" t="s">
        <v>97</v>
      </c>
      <c r="B36" s="7" t="s">
        <v>61</v>
      </c>
      <c r="C36" s="7">
        <v>429621</v>
      </c>
      <c r="D36" s="8"/>
      <c r="E36" s="7" t="s">
        <v>15</v>
      </c>
      <c r="F36" s="7" t="s">
        <v>62</v>
      </c>
      <c r="G36" s="7" t="s">
        <v>12</v>
      </c>
      <c r="H36" s="9" t="s">
        <v>11</v>
      </c>
      <c r="I36" s="9" t="s">
        <v>63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4</v>
      </c>
      <c r="AF36" s="9">
        <v>400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12">
        <v>400</v>
      </c>
      <c r="AV36" s="17">
        <f t="shared" si="0"/>
        <v>400</v>
      </c>
      <c r="AW36" s="1">
        <f t="shared" si="1"/>
        <v>280</v>
      </c>
    </row>
    <row r="37" spans="1:49" ht="19.2" x14ac:dyDescent="0.4">
      <c r="A37" s="7" t="s">
        <v>97</v>
      </c>
      <c r="B37" s="7" t="s">
        <v>160</v>
      </c>
      <c r="C37" s="7">
        <v>457807</v>
      </c>
      <c r="D37" s="8"/>
      <c r="E37" s="7" t="s">
        <v>15</v>
      </c>
      <c r="F37" s="7" t="s">
        <v>161</v>
      </c>
      <c r="G37" s="7" t="s">
        <v>120</v>
      </c>
      <c r="H37" s="9" t="s">
        <v>11</v>
      </c>
      <c r="I37" s="9" t="s">
        <v>162</v>
      </c>
      <c r="J37" s="9">
        <v>0</v>
      </c>
      <c r="K37" s="9">
        <v>28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4</v>
      </c>
      <c r="AF37" s="9">
        <v>0</v>
      </c>
      <c r="AG37" s="9">
        <v>400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12">
        <v>400</v>
      </c>
      <c r="AV37" s="17">
        <f t="shared" si="0"/>
        <v>400</v>
      </c>
      <c r="AW37" s="1">
        <f t="shared" si="1"/>
        <v>280</v>
      </c>
    </row>
    <row r="38" spans="1:49" ht="28.8" x14ac:dyDescent="0.4">
      <c r="A38" s="7" t="s">
        <v>97</v>
      </c>
      <c r="B38" s="7" t="s">
        <v>163</v>
      </c>
      <c r="C38" s="7">
        <v>393598</v>
      </c>
      <c r="D38" s="8"/>
      <c r="E38" s="7" t="s">
        <v>15</v>
      </c>
      <c r="F38" s="7" t="s">
        <v>119</v>
      </c>
      <c r="G38" s="7" t="s">
        <v>120</v>
      </c>
      <c r="H38" s="9" t="s">
        <v>11</v>
      </c>
      <c r="I38" s="9" t="s">
        <v>146</v>
      </c>
      <c r="J38" s="9">
        <v>0</v>
      </c>
      <c r="K38" s="9">
        <v>4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4</v>
      </c>
      <c r="AF38" s="9">
        <v>0</v>
      </c>
      <c r="AG38" s="9">
        <v>400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12">
        <v>400</v>
      </c>
      <c r="AV38" s="17">
        <f t="shared" si="0"/>
        <v>400</v>
      </c>
      <c r="AW38" s="1">
        <f t="shared" si="1"/>
        <v>280</v>
      </c>
    </row>
    <row r="39" spans="1:49" ht="19.2" x14ac:dyDescent="0.4">
      <c r="A39" s="7" t="s">
        <v>97</v>
      </c>
      <c r="B39" s="7" t="s">
        <v>92</v>
      </c>
      <c r="C39" s="7">
        <v>463946</v>
      </c>
      <c r="D39" s="8"/>
      <c r="E39" s="7" t="s">
        <v>15</v>
      </c>
      <c r="F39" s="7" t="s">
        <v>93</v>
      </c>
      <c r="G39" s="7" t="s">
        <v>12</v>
      </c>
      <c r="H39" s="9" t="s">
        <v>8</v>
      </c>
      <c r="I39" s="9" t="s">
        <v>86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3</v>
      </c>
      <c r="AF39" s="9">
        <v>300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12">
        <v>300</v>
      </c>
      <c r="AV39" s="17">
        <f t="shared" si="0"/>
        <v>300</v>
      </c>
      <c r="AW39" s="1">
        <f t="shared" si="1"/>
        <v>210</v>
      </c>
    </row>
    <row r="40" spans="1:49" ht="19.2" x14ac:dyDescent="0.4">
      <c r="A40" s="7" t="s">
        <v>97</v>
      </c>
      <c r="B40" s="7" t="s">
        <v>164</v>
      </c>
      <c r="C40" s="7">
        <v>369720</v>
      </c>
      <c r="D40" s="8"/>
      <c r="E40" s="7" t="s">
        <v>15</v>
      </c>
      <c r="F40" s="7" t="s">
        <v>165</v>
      </c>
      <c r="G40" s="7" t="s">
        <v>120</v>
      </c>
      <c r="H40" s="9" t="s">
        <v>11</v>
      </c>
      <c r="I40" s="9" t="s">
        <v>166</v>
      </c>
      <c r="J40" s="9">
        <v>0</v>
      </c>
      <c r="K40" s="9">
        <v>4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3</v>
      </c>
      <c r="AF40" s="9">
        <v>200</v>
      </c>
      <c r="AG40" s="9">
        <v>100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12">
        <v>300</v>
      </c>
      <c r="AV40" s="17">
        <f t="shared" si="0"/>
        <v>300</v>
      </c>
      <c r="AW40" s="1">
        <f t="shared" si="1"/>
        <v>210</v>
      </c>
    </row>
    <row r="41" spans="1:49" ht="19.2" x14ac:dyDescent="0.4">
      <c r="A41" s="7" t="s">
        <v>97</v>
      </c>
      <c r="B41" s="7" t="s">
        <v>75</v>
      </c>
      <c r="C41" s="7">
        <v>429496</v>
      </c>
      <c r="D41" s="8"/>
      <c r="E41" s="7" t="s">
        <v>15</v>
      </c>
      <c r="F41" s="7" t="s">
        <v>47</v>
      </c>
      <c r="G41" s="7" t="s">
        <v>12</v>
      </c>
      <c r="H41" s="9" t="s">
        <v>8</v>
      </c>
      <c r="I41" s="9" t="s">
        <v>76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3</v>
      </c>
      <c r="AF41" s="9">
        <v>300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12">
        <v>300</v>
      </c>
      <c r="AV41" s="17">
        <f t="shared" si="0"/>
        <v>300</v>
      </c>
      <c r="AW41" s="1">
        <f t="shared" si="1"/>
        <v>210</v>
      </c>
    </row>
    <row r="42" spans="1:49" ht="19.2" x14ac:dyDescent="0.4">
      <c r="A42" s="7" t="s">
        <v>97</v>
      </c>
      <c r="B42" s="7" t="s">
        <v>167</v>
      </c>
      <c r="C42" s="7">
        <v>386960</v>
      </c>
      <c r="D42" s="8"/>
      <c r="E42" s="7" t="s">
        <v>15</v>
      </c>
      <c r="F42" s="7" t="s">
        <v>168</v>
      </c>
      <c r="G42" s="7" t="s">
        <v>12</v>
      </c>
      <c r="H42" s="9" t="s">
        <v>8</v>
      </c>
      <c r="I42" s="9" t="s">
        <v>169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2</v>
      </c>
      <c r="AF42" s="9">
        <v>200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12">
        <v>200</v>
      </c>
      <c r="AV42" s="17">
        <f t="shared" si="0"/>
        <v>200</v>
      </c>
      <c r="AW42" s="1">
        <f t="shared" si="1"/>
        <v>140</v>
      </c>
    </row>
    <row r="43" spans="1:49" ht="19.2" x14ac:dyDescent="0.4">
      <c r="A43" s="7" t="s">
        <v>97</v>
      </c>
      <c r="B43" s="7" t="s">
        <v>170</v>
      </c>
      <c r="C43" s="7">
        <v>367994</v>
      </c>
      <c r="D43" s="8"/>
      <c r="E43" s="7" t="s">
        <v>15</v>
      </c>
      <c r="F43" s="7" t="s">
        <v>124</v>
      </c>
      <c r="G43" s="7" t="s">
        <v>120</v>
      </c>
      <c r="H43" s="9" t="s">
        <v>11</v>
      </c>
      <c r="I43" s="9" t="s">
        <v>171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2</v>
      </c>
      <c r="AF43" s="9">
        <v>200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12">
        <v>200</v>
      </c>
      <c r="AV43" s="17">
        <f t="shared" si="0"/>
        <v>200</v>
      </c>
      <c r="AW43" s="1">
        <f t="shared" si="1"/>
        <v>140</v>
      </c>
    </row>
    <row r="44" spans="1:49" ht="19.2" x14ac:dyDescent="0.4">
      <c r="A44" s="7" t="s">
        <v>97</v>
      </c>
      <c r="B44" s="7" t="s">
        <v>172</v>
      </c>
      <c r="C44" s="7">
        <v>305522</v>
      </c>
      <c r="D44" s="8"/>
      <c r="E44" s="7" t="s">
        <v>15</v>
      </c>
      <c r="F44" s="7" t="s">
        <v>161</v>
      </c>
      <c r="G44" s="7" t="s">
        <v>120</v>
      </c>
      <c r="H44" s="9" t="s">
        <v>11</v>
      </c>
      <c r="I44" s="9" t="s">
        <v>173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2</v>
      </c>
      <c r="AF44" s="9">
        <v>200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12">
        <v>200</v>
      </c>
      <c r="AV44" s="17">
        <f t="shared" si="0"/>
        <v>200</v>
      </c>
      <c r="AW44" s="1">
        <f t="shared" si="1"/>
        <v>140</v>
      </c>
    </row>
    <row r="45" spans="1:49" ht="19.2" x14ac:dyDescent="0.4">
      <c r="A45" s="7" t="s">
        <v>97</v>
      </c>
      <c r="B45" s="7" t="s">
        <v>19</v>
      </c>
      <c r="C45" s="7">
        <v>387417</v>
      </c>
      <c r="D45" s="8"/>
      <c r="E45" s="7" t="s">
        <v>15</v>
      </c>
      <c r="F45" s="7" t="s">
        <v>20</v>
      </c>
      <c r="G45" s="7" t="s">
        <v>12</v>
      </c>
      <c r="H45" s="9" t="s">
        <v>8</v>
      </c>
      <c r="I45" s="9" t="s">
        <v>21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2</v>
      </c>
      <c r="AF45" s="9">
        <v>200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12">
        <v>200</v>
      </c>
      <c r="AV45" s="17">
        <f t="shared" si="0"/>
        <v>200</v>
      </c>
      <c r="AW45" s="1">
        <f t="shared" si="1"/>
        <v>140</v>
      </c>
    </row>
    <row r="46" spans="1:49" ht="19.2" x14ac:dyDescent="0.4">
      <c r="A46" s="7" t="s">
        <v>97</v>
      </c>
      <c r="B46" s="7" t="s">
        <v>25</v>
      </c>
      <c r="C46" s="7">
        <v>364724</v>
      </c>
      <c r="D46" s="8"/>
      <c r="E46" s="7" t="s">
        <v>15</v>
      </c>
      <c r="F46" s="7" t="s">
        <v>22</v>
      </c>
      <c r="G46" s="7" t="s">
        <v>12</v>
      </c>
      <c r="H46" s="9" t="s">
        <v>8</v>
      </c>
      <c r="I46" s="9" t="s">
        <v>26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2</v>
      </c>
      <c r="AF46" s="9">
        <v>200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12">
        <v>200</v>
      </c>
      <c r="AV46" s="17">
        <f t="shared" si="0"/>
        <v>200</v>
      </c>
      <c r="AW46" s="1">
        <f t="shared" si="1"/>
        <v>140</v>
      </c>
    </row>
    <row r="47" spans="1:49" ht="19.2" x14ac:dyDescent="0.4">
      <c r="A47" s="7" t="s">
        <v>97</v>
      </c>
      <c r="B47" s="7" t="s">
        <v>174</v>
      </c>
      <c r="C47" s="7">
        <v>434847</v>
      </c>
      <c r="D47" s="8"/>
      <c r="E47" s="7" t="s">
        <v>15</v>
      </c>
      <c r="F47" s="7" t="s">
        <v>175</v>
      </c>
      <c r="G47" s="7" t="s">
        <v>12</v>
      </c>
      <c r="H47" s="9" t="s">
        <v>8</v>
      </c>
      <c r="I47" s="9" t="s">
        <v>176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1</v>
      </c>
      <c r="AF47" s="9">
        <v>100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12">
        <v>100</v>
      </c>
      <c r="AV47" s="17">
        <f t="shared" si="0"/>
        <v>100</v>
      </c>
      <c r="AW47" s="1">
        <f t="shared" si="1"/>
        <v>70</v>
      </c>
    </row>
    <row r="48" spans="1:49" ht="19.2" x14ac:dyDescent="0.4">
      <c r="A48" s="7" t="s">
        <v>97</v>
      </c>
      <c r="B48" s="7" t="s">
        <v>177</v>
      </c>
      <c r="C48" s="7">
        <v>363413</v>
      </c>
      <c r="D48" s="8"/>
      <c r="E48" s="7" t="s">
        <v>15</v>
      </c>
      <c r="F48" s="7" t="s">
        <v>178</v>
      </c>
      <c r="G48" s="7" t="s">
        <v>120</v>
      </c>
      <c r="H48" s="9" t="s">
        <v>11</v>
      </c>
      <c r="I48" s="9" t="s">
        <v>179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5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1</v>
      </c>
      <c r="AF48" s="9">
        <v>0</v>
      </c>
      <c r="AG48" s="9">
        <v>100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12">
        <v>100</v>
      </c>
      <c r="AV48" s="17">
        <f t="shared" si="0"/>
        <v>100</v>
      </c>
      <c r="AW48" s="1">
        <f t="shared" si="1"/>
        <v>70</v>
      </c>
    </row>
    <row r="49" spans="1:49" ht="19.2" x14ac:dyDescent="0.4">
      <c r="A49" s="7" t="s">
        <v>97</v>
      </c>
      <c r="B49" s="7" t="s">
        <v>180</v>
      </c>
      <c r="C49" s="7">
        <v>419744</v>
      </c>
      <c r="D49" s="8"/>
      <c r="E49" s="7" t="s">
        <v>15</v>
      </c>
      <c r="F49" s="7" t="s">
        <v>181</v>
      </c>
      <c r="G49" s="7" t="s">
        <v>12</v>
      </c>
      <c r="H49" s="9" t="s">
        <v>8</v>
      </c>
      <c r="I49" s="9" t="s">
        <v>182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1</v>
      </c>
      <c r="AF49" s="9">
        <v>100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12">
        <v>100</v>
      </c>
      <c r="AV49" s="17">
        <f t="shared" si="0"/>
        <v>100</v>
      </c>
      <c r="AW49" s="1">
        <f t="shared" si="1"/>
        <v>70</v>
      </c>
    </row>
    <row r="50" spans="1:49" ht="19.2" x14ac:dyDescent="0.4">
      <c r="A50" s="7" t="s">
        <v>97</v>
      </c>
      <c r="B50" s="7" t="s">
        <v>98</v>
      </c>
      <c r="C50" s="7">
        <v>462353</v>
      </c>
      <c r="D50" s="8"/>
      <c r="E50" s="7" t="s">
        <v>15</v>
      </c>
      <c r="F50" s="7" t="s">
        <v>78</v>
      </c>
      <c r="G50" s="7" t="s">
        <v>12</v>
      </c>
      <c r="H50" s="9" t="s">
        <v>8</v>
      </c>
      <c r="I50" s="9" t="s">
        <v>99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1</v>
      </c>
      <c r="AS50" s="9">
        <v>100</v>
      </c>
      <c r="AT50" s="9">
        <v>0</v>
      </c>
      <c r="AU50" s="12">
        <v>100</v>
      </c>
      <c r="AV50" s="17">
        <f t="shared" si="0"/>
        <v>100</v>
      </c>
      <c r="AW50" s="1">
        <f t="shared" si="1"/>
        <v>70</v>
      </c>
    </row>
    <row r="51" spans="1:49" ht="19.2" x14ac:dyDescent="0.4">
      <c r="A51" s="7" t="s">
        <v>97</v>
      </c>
      <c r="B51" s="7" t="s">
        <v>183</v>
      </c>
      <c r="C51" s="7">
        <v>440303</v>
      </c>
      <c r="D51" s="8"/>
      <c r="E51" s="7" t="s">
        <v>15</v>
      </c>
      <c r="F51" s="7" t="s">
        <v>184</v>
      </c>
      <c r="G51" s="7" t="s">
        <v>12</v>
      </c>
      <c r="H51" s="9" t="s">
        <v>8</v>
      </c>
      <c r="I51" s="9" t="s">
        <v>185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1</v>
      </c>
      <c r="AF51" s="9">
        <v>0</v>
      </c>
      <c r="AG51" s="9">
        <v>100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12">
        <v>100</v>
      </c>
      <c r="AV51" s="17">
        <f t="shared" si="0"/>
        <v>100</v>
      </c>
      <c r="AW51" s="1">
        <f t="shared" si="1"/>
        <v>70</v>
      </c>
    </row>
    <row r="52" spans="1:49" ht="19.2" x14ac:dyDescent="0.4">
      <c r="A52" s="7" t="s">
        <v>97</v>
      </c>
      <c r="B52" s="7" t="s">
        <v>186</v>
      </c>
      <c r="C52" s="7">
        <v>459997</v>
      </c>
      <c r="D52" s="8"/>
      <c r="E52" s="7" t="s">
        <v>15</v>
      </c>
      <c r="F52" s="7" t="s">
        <v>187</v>
      </c>
      <c r="G52" s="7" t="s">
        <v>12</v>
      </c>
      <c r="H52" s="9" t="s">
        <v>8</v>
      </c>
      <c r="I52" s="9" t="s">
        <v>112</v>
      </c>
      <c r="J52" s="9">
        <v>1</v>
      </c>
      <c r="K52" s="9">
        <v>0</v>
      </c>
      <c r="L52" s="9">
        <v>100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12">
        <v>100</v>
      </c>
      <c r="AV52" s="17">
        <f t="shared" si="0"/>
        <v>100</v>
      </c>
      <c r="AW52" s="1">
        <f t="shared" si="1"/>
        <v>70</v>
      </c>
    </row>
    <row r="53" spans="1:49" ht="19.2" x14ac:dyDescent="0.4">
      <c r="A53" s="7" t="s">
        <v>97</v>
      </c>
      <c r="B53" s="7" t="s">
        <v>188</v>
      </c>
      <c r="C53" s="7">
        <v>447222</v>
      </c>
      <c r="D53" s="8"/>
      <c r="E53" s="7" t="s">
        <v>15</v>
      </c>
      <c r="F53" s="7" t="s">
        <v>153</v>
      </c>
      <c r="G53" s="7" t="s">
        <v>120</v>
      </c>
      <c r="H53" s="9" t="s">
        <v>11</v>
      </c>
      <c r="I53" s="9" t="s">
        <v>189</v>
      </c>
      <c r="J53" s="9">
        <v>0</v>
      </c>
      <c r="K53" s="9">
        <v>1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12">
        <v>0</v>
      </c>
      <c r="AV53" s="17">
        <f t="shared" si="0"/>
        <v>0</v>
      </c>
      <c r="AW53" s="1">
        <f t="shared" si="1"/>
        <v>0</v>
      </c>
    </row>
    <row r="54" spans="1:49" ht="19.2" x14ac:dyDescent="0.4">
      <c r="A54" s="7" t="s">
        <v>97</v>
      </c>
      <c r="B54" s="20" t="s">
        <v>190</v>
      </c>
      <c r="C54" s="7">
        <v>428379</v>
      </c>
      <c r="D54" s="8"/>
      <c r="E54" s="7" t="s">
        <v>15</v>
      </c>
      <c r="F54" s="7" t="s">
        <v>191</v>
      </c>
      <c r="G54" s="7" t="s">
        <v>12</v>
      </c>
      <c r="H54" s="9" t="s">
        <v>11</v>
      </c>
      <c r="I54" s="9" t="s">
        <v>46</v>
      </c>
      <c r="J54" s="9">
        <v>0</v>
      </c>
      <c r="K54" s="9">
        <v>4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12">
        <v>0</v>
      </c>
      <c r="AV54" s="17">
        <f t="shared" si="0"/>
        <v>0</v>
      </c>
      <c r="AW54" s="1">
        <f t="shared" si="1"/>
        <v>0</v>
      </c>
    </row>
    <row r="55" spans="1:49" ht="19.2" x14ac:dyDescent="0.4">
      <c r="A55" s="7" t="s">
        <v>107</v>
      </c>
      <c r="B55" s="7" t="s">
        <v>14</v>
      </c>
      <c r="C55" s="7">
        <v>369220</v>
      </c>
      <c r="D55" s="8"/>
      <c r="E55" s="7" t="s">
        <v>15</v>
      </c>
      <c r="F55" s="7" t="s">
        <v>16</v>
      </c>
      <c r="G55" s="7" t="s">
        <v>12</v>
      </c>
      <c r="H55" s="9" t="s">
        <v>8</v>
      </c>
      <c r="I55" s="9" t="s">
        <v>45</v>
      </c>
      <c r="J55" s="9">
        <v>0</v>
      </c>
      <c r="K55" s="9">
        <v>2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9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765</v>
      </c>
      <c r="AF55" s="10">
        <v>73200</v>
      </c>
      <c r="AG55" s="10">
        <v>3300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383</v>
      </c>
      <c r="AS55" s="10">
        <v>38100</v>
      </c>
      <c r="AT55" s="9">
        <v>200</v>
      </c>
      <c r="AU55" s="11">
        <v>114800</v>
      </c>
      <c r="AV55" s="17">
        <f t="shared" si="0"/>
        <v>114800</v>
      </c>
      <c r="AW55" s="1">
        <f t="shared" si="1"/>
        <v>80360</v>
      </c>
    </row>
    <row r="56" spans="1:49" ht="19.2" x14ac:dyDescent="0.4">
      <c r="A56" s="7" t="s">
        <v>107</v>
      </c>
      <c r="B56" s="7" t="s">
        <v>17</v>
      </c>
      <c r="C56" s="7">
        <v>414278</v>
      </c>
      <c r="D56" s="8"/>
      <c r="E56" s="7" t="s">
        <v>15</v>
      </c>
      <c r="F56" s="7" t="s">
        <v>9</v>
      </c>
      <c r="G56" s="7" t="s">
        <v>12</v>
      </c>
      <c r="H56" s="9" t="s">
        <v>11</v>
      </c>
      <c r="I56" s="9" t="s">
        <v>44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16</v>
      </c>
      <c r="AF56" s="10">
        <v>48900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18</v>
      </c>
      <c r="AS56" s="10">
        <v>54300</v>
      </c>
      <c r="AT56" s="10">
        <v>2400</v>
      </c>
      <c r="AU56" s="11">
        <v>105600</v>
      </c>
      <c r="AV56" s="17">
        <f t="shared" si="0"/>
        <v>105600</v>
      </c>
      <c r="AW56" s="1">
        <f t="shared" si="1"/>
        <v>73920</v>
      </c>
    </row>
    <row r="57" spans="1:49" ht="19.2" x14ac:dyDescent="0.4">
      <c r="A57" s="7" t="s">
        <v>107</v>
      </c>
      <c r="B57" s="7" t="s">
        <v>109</v>
      </c>
      <c r="C57" s="7">
        <v>465248</v>
      </c>
      <c r="D57" s="8"/>
      <c r="E57" s="7" t="s">
        <v>15</v>
      </c>
      <c r="F57" s="7" t="s">
        <v>110</v>
      </c>
      <c r="G57" s="7" t="s">
        <v>111</v>
      </c>
      <c r="H57" s="9" t="s">
        <v>13</v>
      </c>
      <c r="I57" s="9" t="s">
        <v>112</v>
      </c>
      <c r="J57" s="9">
        <v>8</v>
      </c>
      <c r="K57" s="9">
        <v>44</v>
      </c>
      <c r="L57" s="9">
        <v>800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823</v>
      </c>
      <c r="AF57" s="10">
        <v>78500</v>
      </c>
      <c r="AG57" s="10">
        <v>3800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10">
        <v>1000</v>
      </c>
      <c r="AN57" s="9">
        <v>0</v>
      </c>
      <c r="AO57" s="9">
        <v>0</v>
      </c>
      <c r="AP57" s="9">
        <v>0</v>
      </c>
      <c r="AQ57" s="9">
        <v>0</v>
      </c>
      <c r="AR57" s="9">
        <v>169</v>
      </c>
      <c r="AS57" s="10">
        <v>16700</v>
      </c>
      <c r="AT57" s="9">
        <v>200</v>
      </c>
      <c r="AU57" s="11">
        <v>101000</v>
      </c>
      <c r="AV57" s="17">
        <f t="shared" si="0"/>
        <v>101000</v>
      </c>
      <c r="AW57" s="1">
        <f t="shared" si="1"/>
        <v>70700</v>
      </c>
    </row>
    <row r="58" spans="1:49" ht="19.2" x14ac:dyDescent="0.4">
      <c r="A58" s="7" t="s">
        <v>107</v>
      </c>
      <c r="B58" s="7" t="s">
        <v>66</v>
      </c>
      <c r="C58" s="7">
        <v>178856</v>
      </c>
      <c r="D58" s="8"/>
      <c r="E58" s="7" t="s">
        <v>15</v>
      </c>
      <c r="F58" s="7" t="s">
        <v>16</v>
      </c>
      <c r="G58" s="7" t="s">
        <v>12</v>
      </c>
      <c r="H58" s="9" t="s">
        <v>13</v>
      </c>
      <c r="I58" s="9" t="s">
        <v>67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185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734</v>
      </c>
      <c r="AF58" s="10">
        <v>72400</v>
      </c>
      <c r="AG58" s="10">
        <v>1000</v>
      </c>
      <c r="AH58" s="9">
        <v>0</v>
      </c>
      <c r="AI58" s="9">
        <v>0</v>
      </c>
      <c r="AJ58" s="9">
        <v>0</v>
      </c>
      <c r="AK58" s="9">
        <v>130</v>
      </c>
      <c r="AL58" s="10">
        <v>15600</v>
      </c>
      <c r="AM58" s="9">
        <v>0</v>
      </c>
      <c r="AN58" s="18">
        <v>4680</v>
      </c>
      <c r="AO58" s="9">
        <v>0</v>
      </c>
      <c r="AP58" s="9">
        <v>0</v>
      </c>
      <c r="AQ58" s="9">
        <v>0</v>
      </c>
      <c r="AR58" s="9">
        <v>46</v>
      </c>
      <c r="AS58" s="10">
        <v>4600</v>
      </c>
      <c r="AT58" s="9">
        <v>0</v>
      </c>
      <c r="AU58" s="11">
        <v>93600</v>
      </c>
      <c r="AV58" s="17">
        <f t="shared" si="0"/>
        <v>88920</v>
      </c>
      <c r="AW58" s="1">
        <f t="shared" si="1"/>
        <v>62243.999999999993</v>
      </c>
    </row>
    <row r="59" spans="1:49" ht="19.2" x14ac:dyDescent="0.4">
      <c r="A59" s="7" t="s">
        <v>107</v>
      </c>
      <c r="B59" s="7" t="s">
        <v>55</v>
      </c>
      <c r="C59" s="7">
        <v>442274</v>
      </c>
      <c r="D59" s="8"/>
      <c r="E59" s="7" t="s">
        <v>15</v>
      </c>
      <c r="F59" s="7" t="s">
        <v>56</v>
      </c>
      <c r="G59" s="7" t="s">
        <v>12</v>
      </c>
      <c r="H59" s="9" t="s">
        <v>8</v>
      </c>
      <c r="I59" s="9" t="s">
        <v>94</v>
      </c>
      <c r="J59" s="9">
        <v>0</v>
      </c>
      <c r="K59" s="9">
        <v>27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534</v>
      </c>
      <c r="AF59" s="10">
        <v>52800</v>
      </c>
      <c r="AG59" s="9">
        <v>600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78</v>
      </c>
      <c r="AS59" s="10">
        <v>7800</v>
      </c>
      <c r="AT59" s="9">
        <v>0</v>
      </c>
      <c r="AU59" s="11">
        <v>61200</v>
      </c>
      <c r="AV59" s="17">
        <f t="shared" si="0"/>
        <v>61200</v>
      </c>
      <c r="AW59" s="1">
        <f t="shared" si="1"/>
        <v>42840</v>
      </c>
    </row>
    <row r="60" spans="1:49" ht="19.2" x14ac:dyDescent="0.4">
      <c r="A60" s="7" t="s">
        <v>107</v>
      </c>
      <c r="B60" s="7" t="s">
        <v>142</v>
      </c>
      <c r="C60" s="7">
        <v>412919</v>
      </c>
      <c r="D60" s="8"/>
      <c r="E60" s="7" t="s">
        <v>15</v>
      </c>
      <c r="F60" s="7" t="s">
        <v>143</v>
      </c>
      <c r="G60" s="7" t="s">
        <v>120</v>
      </c>
      <c r="H60" s="9" t="s">
        <v>11</v>
      </c>
      <c r="I60" s="9" t="s">
        <v>144</v>
      </c>
      <c r="J60" s="9">
        <v>0</v>
      </c>
      <c r="K60" s="9">
        <v>188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489</v>
      </c>
      <c r="AF60" s="10">
        <v>46700</v>
      </c>
      <c r="AG60" s="10">
        <v>2200</v>
      </c>
      <c r="AH60" s="9">
        <v>0</v>
      </c>
      <c r="AI60" s="9">
        <v>0</v>
      </c>
      <c r="AJ60" s="9">
        <v>0</v>
      </c>
      <c r="AK60" s="9">
        <v>46</v>
      </c>
      <c r="AL60" s="10">
        <v>2040</v>
      </c>
      <c r="AM60" s="10">
        <v>2900</v>
      </c>
      <c r="AN60" s="9">
        <v>612</v>
      </c>
      <c r="AO60" s="9">
        <v>0</v>
      </c>
      <c r="AP60" s="9">
        <v>0</v>
      </c>
      <c r="AQ60" s="9">
        <v>0</v>
      </c>
      <c r="AR60" s="9">
        <v>33</v>
      </c>
      <c r="AS60" s="10">
        <v>3300</v>
      </c>
      <c r="AT60" s="9">
        <v>0</v>
      </c>
      <c r="AU60" s="11">
        <v>57140</v>
      </c>
      <c r="AV60" s="17">
        <f t="shared" si="0"/>
        <v>56528</v>
      </c>
      <c r="AW60" s="1">
        <f t="shared" si="1"/>
        <v>39569.599999999999</v>
      </c>
    </row>
    <row r="61" spans="1:49" ht="19.2" x14ac:dyDescent="0.4">
      <c r="A61" s="7" t="s">
        <v>107</v>
      </c>
      <c r="B61" s="7" t="s">
        <v>77</v>
      </c>
      <c r="C61" s="7">
        <v>454534</v>
      </c>
      <c r="D61" s="8"/>
      <c r="E61" s="7" t="s">
        <v>15</v>
      </c>
      <c r="F61" s="7" t="s">
        <v>78</v>
      </c>
      <c r="G61" s="7" t="s">
        <v>12</v>
      </c>
      <c r="H61" s="9" t="s">
        <v>8</v>
      </c>
      <c r="I61" s="9" t="s">
        <v>113</v>
      </c>
      <c r="J61" s="9">
        <v>0</v>
      </c>
      <c r="K61" s="9">
        <v>78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435</v>
      </c>
      <c r="AF61" s="10">
        <v>41000</v>
      </c>
      <c r="AG61" s="10">
        <v>2500</v>
      </c>
      <c r="AH61" s="9">
        <v>0</v>
      </c>
      <c r="AI61" s="9">
        <v>0</v>
      </c>
      <c r="AJ61" s="9">
        <v>0</v>
      </c>
      <c r="AK61" s="9">
        <v>2</v>
      </c>
      <c r="AL61" s="9">
        <v>0</v>
      </c>
      <c r="AM61" s="9">
        <v>200</v>
      </c>
      <c r="AN61" s="9">
        <v>0</v>
      </c>
      <c r="AO61" s="9">
        <v>0</v>
      </c>
      <c r="AP61" s="9">
        <v>0</v>
      </c>
      <c r="AQ61" s="9">
        <v>0</v>
      </c>
      <c r="AR61" s="9">
        <v>115</v>
      </c>
      <c r="AS61" s="10">
        <v>11100</v>
      </c>
      <c r="AT61" s="9">
        <v>400</v>
      </c>
      <c r="AU61" s="11">
        <v>55200</v>
      </c>
      <c r="AV61" s="17">
        <f t="shared" si="0"/>
        <v>55200</v>
      </c>
      <c r="AW61" s="1">
        <f t="shared" si="1"/>
        <v>38640</v>
      </c>
    </row>
    <row r="62" spans="1:49" ht="19.2" x14ac:dyDescent="0.4">
      <c r="A62" s="7" t="s">
        <v>107</v>
      </c>
      <c r="B62" s="7" t="s">
        <v>59</v>
      </c>
      <c r="C62" s="7">
        <v>445688</v>
      </c>
      <c r="D62" s="8"/>
      <c r="E62" s="7" t="s">
        <v>15</v>
      </c>
      <c r="F62" s="7" t="s">
        <v>60</v>
      </c>
      <c r="G62" s="7" t="s">
        <v>12</v>
      </c>
      <c r="H62" s="9" t="s">
        <v>8</v>
      </c>
      <c r="I62" s="9" t="s">
        <v>117</v>
      </c>
      <c r="J62" s="9">
        <v>0</v>
      </c>
      <c r="K62" s="9">
        <v>19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350</v>
      </c>
      <c r="AF62" s="10">
        <v>35000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186</v>
      </c>
      <c r="AS62" s="10">
        <v>18600</v>
      </c>
      <c r="AT62" s="9">
        <v>0</v>
      </c>
      <c r="AU62" s="11">
        <v>53600</v>
      </c>
      <c r="AV62" s="17">
        <f t="shared" si="0"/>
        <v>53600</v>
      </c>
      <c r="AW62" s="1">
        <f t="shared" si="1"/>
        <v>37520</v>
      </c>
    </row>
    <row r="63" spans="1:49" ht="28.8" x14ac:dyDescent="0.4">
      <c r="A63" s="7" t="s">
        <v>107</v>
      </c>
      <c r="B63" s="7" t="s">
        <v>51</v>
      </c>
      <c r="C63" s="7">
        <v>219203</v>
      </c>
      <c r="D63" s="8"/>
      <c r="E63" s="7" t="s">
        <v>15</v>
      </c>
      <c r="F63" s="7" t="s">
        <v>52</v>
      </c>
      <c r="G63" s="7" t="s">
        <v>12</v>
      </c>
      <c r="H63" s="9" t="s">
        <v>8</v>
      </c>
      <c r="I63" s="9" t="s">
        <v>53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86</v>
      </c>
      <c r="AF63" s="10">
        <v>25800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94</v>
      </c>
      <c r="AP63" s="10">
        <v>9400</v>
      </c>
      <c r="AQ63" s="9">
        <v>0</v>
      </c>
      <c r="AR63" s="9">
        <v>0</v>
      </c>
      <c r="AS63" s="9">
        <v>0</v>
      </c>
      <c r="AT63" s="9">
        <v>0</v>
      </c>
      <c r="AU63" s="11">
        <v>35200</v>
      </c>
      <c r="AV63" s="17">
        <f t="shared" si="0"/>
        <v>35200</v>
      </c>
      <c r="AW63" s="1">
        <f t="shared" si="1"/>
        <v>24640</v>
      </c>
    </row>
    <row r="64" spans="1:49" ht="19.2" x14ac:dyDescent="0.4">
      <c r="A64" s="7" t="s">
        <v>107</v>
      </c>
      <c r="B64" s="7" t="s">
        <v>132</v>
      </c>
      <c r="C64" s="7">
        <v>395179</v>
      </c>
      <c r="D64" s="8"/>
      <c r="E64" s="7" t="s">
        <v>15</v>
      </c>
      <c r="F64" s="7" t="s">
        <v>68</v>
      </c>
      <c r="G64" s="7" t="s">
        <v>12</v>
      </c>
      <c r="H64" s="9" t="s">
        <v>8</v>
      </c>
      <c r="I64" s="9" t="s">
        <v>133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6</v>
      </c>
      <c r="AF64" s="10">
        <v>17100</v>
      </c>
      <c r="AG64" s="9">
        <v>0</v>
      </c>
      <c r="AH64" s="9">
        <v>0</v>
      </c>
      <c r="AI64" s="9">
        <v>0</v>
      </c>
      <c r="AJ64" s="9">
        <v>0</v>
      </c>
      <c r="AK64" s="9">
        <v>5</v>
      </c>
      <c r="AL64" s="10">
        <v>17880</v>
      </c>
      <c r="AM64" s="9">
        <v>0</v>
      </c>
      <c r="AN64" s="18">
        <v>5364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11">
        <v>34980</v>
      </c>
      <c r="AV64" s="17">
        <f t="shared" si="0"/>
        <v>29616</v>
      </c>
      <c r="AW64" s="1">
        <f t="shared" si="1"/>
        <v>20731.199999999997</v>
      </c>
    </row>
    <row r="65" spans="1:49" ht="19.2" x14ac:dyDescent="0.4">
      <c r="A65" s="7" t="s">
        <v>107</v>
      </c>
      <c r="B65" s="7" t="s">
        <v>115</v>
      </c>
      <c r="C65" s="7">
        <v>392777</v>
      </c>
      <c r="D65" s="8"/>
      <c r="E65" s="7" t="s">
        <v>15</v>
      </c>
      <c r="F65" s="7" t="s">
        <v>22</v>
      </c>
      <c r="G65" s="7" t="s">
        <v>12</v>
      </c>
      <c r="H65" s="9" t="s">
        <v>8</v>
      </c>
      <c r="I65" s="9" t="s">
        <v>116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10</v>
      </c>
      <c r="AF65" s="10">
        <v>32000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11">
        <v>32000</v>
      </c>
      <c r="AV65" s="17">
        <f t="shared" si="0"/>
        <v>32000</v>
      </c>
      <c r="AW65" s="1">
        <f t="shared" si="1"/>
        <v>22400</v>
      </c>
    </row>
    <row r="66" spans="1:49" ht="19.2" x14ac:dyDescent="0.4">
      <c r="A66" s="7" t="s">
        <v>107</v>
      </c>
      <c r="B66" s="7" t="s">
        <v>81</v>
      </c>
      <c r="C66" s="7">
        <v>370935</v>
      </c>
      <c r="D66" s="8"/>
      <c r="E66" s="7" t="s">
        <v>15</v>
      </c>
      <c r="F66" s="7" t="s">
        <v>16</v>
      </c>
      <c r="G66" s="7" t="s">
        <v>12</v>
      </c>
      <c r="H66" s="9" t="s">
        <v>8</v>
      </c>
      <c r="I66" s="9" t="s">
        <v>82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9</v>
      </c>
      <c r="AF66" s="10">
        <v>28800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11">
        <v>28800</v>
      </c>
      <c r="AV66" s="17">
        <f t="shared" si="0"/>
        <v>28800</v>
      </c>
      <c r="AW66" s="1">
        <f t="shared" si="1"/>
        <v>20160</v>
      </c>
    </row>
    <row r="67" spans="1:49" ht="19.2" x14ac:dyDescent="0.4">
      <c r="A67" s="7" t="s">
        <v>107</v>
      </c>
      <c r="B67" s="7" t="s">
        <v>23</v>
      </c>
      <c r="C67" s="7">
        <v>321812</v>
      </c>
      <c r="D67" s="8"/>
      <c r="E67" s="7" t="s">
        <v>15</v>
      </c>
      <c r="F67" s="7" t="s">
        <v>16</v>
      </c>
      <c r="G67" s="7" t="s">
        <v>12</v>
      </c>
      <c r="H67" s="9" t="s">
        <v>8</v>
      </c>
      <c r="I67" s="9" t="s">
        <v>24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255</v>
      </c>
      <c r="AF67" s="10">
        <v>25500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11">
        <v>25500</v>
      </c>
      <c r="AV67" s="17">
        <f t="shared" ref="AV67:AV130" si="2">AU67-AN67</f>
        <v>25500</v>
      </c>
      <c r="AW67" s="1">
        <f t="shared" ref="AW67:AW130" si="3">AV67*70%</f>
        <v>17850</v>
      </c>
    </row>
    <row r="68" spans="1:49" ht="19.2" x14ac:dyDescent="0.4">
      <c r="A68" s="7" t="s">
        <v>107</v>
      </c>
      <c r="B68" s="7" t="s">
        <v>64</v>
      </c>
      <c r="C68" s="7">
        <v>324335</v>
      </c>
      <c r="D68" s="8"/>
      <c r="E68" s="7" t="s">
        <v>15</v>
      </c>
      <c r="F68" s="7" t="s">
        <v>16</v>
      </c>
      <c r="G68" s="7" t="s">
        <v>12</v>
      </c>
      <c r="H68" s="9" t="s">
        <v>13</v>
      </c>
      <c r="I68" s="9" t="s">
        <v>65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2</v>
      </c>
      <c r="AF68" s="10">
        <v>6400</v>
      </c>
      <c r="AG68" s="9">
        <v>0</v>
      </c>
      <c r="AH68" s="9">
        <v>0</v>
      </c>
      <c r="AI68" s="9">
        <v>0</v>
      </c>
      <c r="AJ68" s="9">
        <v>0</v>
      </c>
      <c r="AK68" s="9">
        <v>1</v>
      </c>
      <c r="AL68" s="10">
        <v>3840</v>
      </c>
      <c r="AM68" s="9">
        <v>0</v>
      </c>
      <c r="AN68" s="18">
        <v>1152</v>
      </c>
      <c r="AO68" s="9">
        <v>0</v>
      </c>
      <c r="AP68" s="9">
        <v>0</v>
      </c>
      <c r="AQ68" s="9">
        <v>0</v>
      </c>
      <c r="AR68" s="9">
        <v>4</v>
      </c>
      <c r="AS68" s="10">
        <v>12800</v>
      </c>
      <c r="AT68" s="9">
        <v>0</v>
      </c>
      <c r="AU68" s="11">
        <v>23040</v>
      </c>
      <c r="AV68" s="17">
        <f t="shared" si="2"/>
        <v>21888</v>
      </c>
      <c r="AW68" s="1">
        <f t="shared" si="3"/>
        <v>15321.599999999999</v>
      </c>
    </row>
    <row r="69" spans="1:49" ht="19.2" x14ac:dyDescent="0.4">
      <c r="A69" s="7" t="s">
        <v>107</v>
      </c>
      <c r="B69" s="7" t="s">
        <v>57</v>
      </c>
      <c r="C69" s="7">
        <v>379813</v>
      </c>
      <c r="D69" s="8"/>
      <c r="E69" s="7" t="s">
        <v>15</v>
      </c>
      <c r="F69" s="7" t="s">
        <v>16</v>
      </c>
      <c r="G69" s="7" t="s">
        <v>12</v>
      </c>
      <c r="H69" s="9" t="s">
        <v>8</v>
      </c>
      <c r="I69" s="9" t="s">
        <v>58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182</v>
      </c>
      <c r="AF69" s="10">
        <v>18200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11">
        <v>18200</v>
      </c>
      <c r="AV69" s="17">
        <f t="shared" si="2"/>
        <v>18200</v>
      </c>
      <c r="AW69" s="1">
        <f t="shared" si="3"/>
        <v>12740</v>
      </c>
    </row>
    <row r="70" spans="1:49" ht="19.2" x14ac:dyDescent="0.4">
      <c r="A70" s="7" t="s">
        <v>107</v>
      </c>
      <c r="B70" s="7" t="s">
        <v>139</v>
      </c>
      <c r="C70" s="7">
        <v>464776</v>
      </c>
      <c r="D70" s="8"/>
      <c r="E70" s="7" t="s">
        <v>15</v>
      </c>
      <c r="F70" s="7" t="s">
        <v>140</v>
      </c>
      <c r="G70" s="7" t="s">
        <v>111</v>
      </c>
      <c r="H70" s="9" t="s">
        <v>13</v>
      </c>
      <c r="I70" s="9" t="s">
        <v>141</v>
      </c>
      <c r="J70" s="9">
        <v>0</v>
      </c>
      <c r="K70" s="9">
        <v>5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108</v>
      </c>
      <c r="AF70" s="10">
        <v>10800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11">
        <v>10800</v>
      </c>
      <c r="AV70" s="17">
        <f t="shared" si="2"/>
        <v>10800</v>
      </c>
      <c r="AW70" s="1">
        <f t="shared" si="3"/>
        <v>7559.9999999999991</v>
      </c>
    </row>
    <row r="71" spans="1:49" ht="19.2" x14ac:dyDescent="0.4">
      <c r="A71" s="7" t="s">
        <v>107</v>
      </c>
      <c r="B71" s="7" t="s">
        <v>114</v>
      </c>
      <c r="C71" s="7">
        <v>458568</v>
      </c>
      <c r="D71" s="8"/>
      <c r="E71" s="7" t="s">
        <v>15</v>
      </c>
      <c r="F71" s="7" t="s">
        <v>16</v>
      </c>
      <c r="G71" s="7" t="s">
        <v>12</v>
      </c>
      <c r="H71" s="9" t="s">
        <v>8</v>
      </c>
      <c r="I71" s="9" t="s">
        <v>79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1</v>
      </c>
      <c r="AF71" s="10">
        <v>3200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2</v>
      </c>
      <c r="AS71" s="10">
        <v>6200</v>
      </c>
      <c r="AT71" s="9">
        <v>200</v>
      </c>
      <c r="AU71" s="11">
        <v>9600</v>
      </c>
      <c r="AV71" s="17">
        <f t="shared" si="2"/>
        <v>9600</v>
      </c>
      <c r="AW71" s="1">
        <f t="shared" si="3"/>
        <v>6720</v>
      </c>
    </row>
    <row r="72" spans="1:49" ht="19.2" x14ac:dyDescent="0.4">
      <c r="A72" s="7" t="s">
        <v>107</v>
      </c>
      <c r="B72" s="7" t="s">
        <v>98</v>
      </c>
      <c r="C72" s="7">
        <v>462353</v>
      </c>
      <c r="D72" s="8"/>
      <c r="E72" s="7" t="s">
        <v>15</v>
      </c>
      <c r="F72" s="7" t="s">
        <v>78</v>
      </c>
      <c r="G72" s="7" t="s">
        <v>12</v>
      </c>
      <c r="H72" s="9" t="s">
        <v>8</v>
      </c>
      <c r="I72" s="9" t="s">
        <v>99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27</v>
      </c>
      <c r="AF72" s="10">
        <v>2600</v>
      </c>
      <c r="AG72" s="9">
        <v>100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57</v>
      </c>
      <c r="AS72" s="10">
        <v>5700</v>
      </c>
      <c r="AT72" s="9">
        <v>0</v>
      </c>
      <c r="AU72" s="11">
        <v>8400</v>
      </c>
      <c r="AV72" s="17">
        <f t="shared" si="2"/>
        <v>8400</v>
      </c>
      <c r="AW72" s="1">
        <f t="shared" si="3"/>
        <v>5880</v>
      </c>
    </row>
    <row r="73" spans="1:49" ht="19.2" x14ac:dyDescent="0.4">
      <c r="A73" s="7" t="s">
        <v>107</v>
      </c>
      <c r="B73" s="7" t="s">
        <v>167</v>
      </c>
      <c r="C73" s="7">
        <v>386960</v>
      </c>
      <c r="D73" s="8"/>
      <c r="E73" s="7" t="s">
        <v>15</v>
      </c>
      <c r="F73" s="7" t="s">
        <v>168</v>
      </c>
      <c r="G73" s="7" t="s">
        <v>12</v>
      </c>
      <c r="H73" s="9" t="s">
        <v>8</v>
      </c>
      <c r="I73" s="9" t="s">
        <v>169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78</v>
      </c>
      <c r="AF73" s="10">
        <v>7800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11">
        <v>7800</v>
      </c>
      <c r="AV73" s="17">
        <f t="shared" si="2"/>
        <v>7800</v>
      </c>
      <c r="AW73" s="1">
        <f t="shared" si="3"/>
        <v>5460</v>
      </c>
    </row>
    <row r="74" spans="1:49" ht="19.2" x14ac:dyDescent="0.4">
      <c r="A74" s="7" t="s">
        <v>107</v>
      </c>
      <c r="B74" s="7" t="s">
        <v>164</v>
      </c>
      <c r="C74" s="7">
        <v>369720</v>
      </c>
      <c r="D74" s="8"/>
      <c r="E74" s="7" t="s">
        <v>15</v>
      </c>
      <c r="F74" s="7" t="s">
        <v>165</v>
      </c>
      <c r="G74" s="7" t="s">
        <v>120</v>
      </c>
      <c r="H74" s="9" t="s">
        <v>11</v>
      </c>
      <c r="I74" s="9" t="s">
        <v>166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69</v>
      </c>
      <c r="AF74" s="10">
        <v>2900</v>
      </c>
      <c r="AG74" s="10">
        <v>4000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2</v>
      </c>
      <c r="AS74" s="9">
        <v>200</v>
      </c>
      <c r="AT74" s="9">
        <v>0</v>
      </c>
      <c r="AU74" s="11">
        <v>7100</v>
      </c>
      <c r="AV74" s="17">
        <f t="shared" si="2"/>
        <v>7100</v>
      </c>
      <c r="AW74" s="1">
        <f t="shared" si="3"/>
        <v>4970</v>
      </c>
    </row>
    <row r="75" spans="1:49" ht="19.2" x14ac:dyDescent="0.4">
      <c r="A75" s="7" t="s">
        <v>107</v>
      </c>
      <c r="B75" s="7" t="s">
        <v>192</v>
      </c>
      <c r="C75" s="7">
        <v>355320</v>
      </c>
      <c r="D75" s="8"/>
      <c r="E75" s="7" t="s">
        <v>15</v>
      </c>
      <c r="F75" s="7" t="s">
        <v>193</v>
      </c>
      <c r="G75" s="7" t="s">
        <v>120</v>
      </c>
      <c r="H75" s="9" t="s">
        <v>11</v>
      </c>
      <c r="I75" s="9" t="s">
        <v>194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66</v>
      </c>
      <c r="AF75" s="10">
        <v>6600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11">
        <v>6600</v>
      </c>
      <c r="AV75" s="17">
        <f t="shared" si="2"/>
        <v>6600</v>
      </c>
      <c r="AW75" s="1">
        <f t="shared" si="3"/>
        <v>4620</v>
      </c>
    </row>
    <row r="76" spans="1:49" ht="19.2" x14ac:dyDescent="0.4">
      <c r="A76" s="7" t="s">
        <v>107</v>
      </c>
      <c r="B76" s="7" t="s">
        <v>100</v>
      </c>
      <c r="C76" s="7">
        <v>462361</v>
      </c>
      <c r="D76" s="8"/>
      <c r="E76" s="7" t="s">
        <v>15</v>
      </c>
      <c r="F76" s="7" t="s">
        <v>78</v>
      </c>
      <c r="G76" s="7" t="s">
        <v>12</v>
      </c>
      <c r="H76" s="9" t="s">
        <v>8</v>
      </c>
      <c r="I76" s="9" t="s">
        <v>101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2</v>
      </c>
      <c r="AF76" s="10">
        <v>6400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11">
        <v>6400</v>
      </c>
      <c r="AV76" s="17">
        <f t="shared" si="2"/>
        <v>6400</v>
      </c>
      <c r="AW76" s="1">
        <f t="shared" si="3"/>
        <v>4480</v>
      </c>
    </row>
    <row r="77" spans="1:49" ht="19.2" x14ac:dyDescent="0.4">
      <c r="A77" s="7" t="s">
        <v>107</v>
      </c>
      <c r="B77" s="7" t="s">
        <v>195</v>
      </c>
      <c r="C77" s="7">
        <v>414343</v>
      </c>
      <c r="D77" s="8"/>
      <c r="E77" s="7" t="s">
        <v>15</v>
      </c>
      <c r="F77" s="7" t="s">
        <v>9</v>
      </c>
      <c r="G77" s="7" t="s">
        <v>12</v>
      </c>
      <c r="H77" s="9" t="s">
        <v>8</v>
      </c>
      <c r="I77" s="9" t="s">
        <v>196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2</v>
      </c>
      <c r="AF77" s="10">
        <v>6400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11">
        <v>6400</v>
      </c>
      <c r="AV77" s="17">
        <f t="shared" si="2"/>
        <v>6400</v>
      </c>
      <c r="AW77" s="1">
        <f t="shared" si="3"/>
        <v>4480</v>
      </c>
    </row>
    <row r="78" spans="1:49" ht="19.2" x14ac:dyDescent="0.4">
      <c r="A78" s="7" t="s">
        <v>107</v>
      </c>
      <c r="B78" s="7" t="s">
        <v>71</v>
      </c>
      <c r="C78" s="7">
        <v>449889</v>
      </c>
      <c r="D78" s="8"/>
      <c r="E78" s="7" t="s">
        <v>15</v>
      </c>
      <c r="F78" s="7" t="s">
        <v>72</v>
      </c>
      <c r="G78" s="7" t="s">
        <v>12</v>
      </c>
      <c r="H78" s="9" t="s">
        <v>8</v>
      </c>
      <c r="I78" s="9" t="s">
        <v>112</v>
      </c>
      <c r="J78" s="9">
        <v>0</v>
      </c>
      <c r="K78" s="9">
        <v>34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57</v>
      </c>
      <c r="AF78" s="10">
        <v>5400</v>
      </c>
      <c r="AG78" s="9">
        <v>300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3</v>
      </c>
      <c r="AS78" s="9">
        <v>200</v>
      </c>
      <c r="AT78" s="9">
        <v>100</v>
      </c>
      <c r="AU78" s="11">
        <v>6000</v>
      </c>
      <c r="AV78" s="17">
        <f t="shared" si="2"/>
        <v>6000</v>
      </c>
      <c r="AW78" s="1">
        <f t="shared" si="3"/>
        <v>4200</v>
      </c>
    </row>
    <row r="79" spans="1:49" ht="19.2" x14ac:dyDescent="0.4">
      <c r="A79" s="7" t="s">
        <v>107</v>
      </c>
      <c r="B79" s="7" t="s">
        <v>87</v>
      </c>
      <c r="C79" s="7">
        <v>290890</v>
      </c>
      <c r="D79" s="8"/>
      <c r="E79" s="7" t="s">
        <v>15</v>
      </c>
      <c r="F79" s="7" t="s">
        <v>16</v>
      </c>
      <c r="G79" s="7" t="s">
        <v>12</v>
      </c>
      <c r="H79" s="9" t="s">
        <v>8</v>
      </c>
      <c r="I79" s="9" t="s">
        <v>88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6</v>
      </c>
      <c r="AC79" s="10">
        <v>5400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11">
        <v>5400</v>
      </c>
      <c r="AV79" s="17">
        <f t="shared" si="2"/>
        <v>5400</v>
      </c>
      <c r="AW79" s="1">
        <f t="shared" si="3"/>
        <v>3779.9999999999995</v>
      </c>
    </row>
    <row r="80" spans="1:49" ht="19.2" x14ac:dyDescent="0.4">
      <c r="A80" s="7" t="s">
        <v>107</v>
      </c>
      <c r="B80" s="7" t="s">
        <v>92</v>
      </c>
      <c r="C80" s="7">
        <v>463946</v>
      </c>
      <c r="D80" s="8"/>
      <c r="E80" s="7" t="s">
        <v>15</v>
      </c>
      <c r="F80" s="7" t="s">
        <v>93</v>
      </c>
      <c r="G80" s="7" t="s">
        <v>12</v>
      </c>
      <c r="H80" s="9" t="s">
        <v>8</v>
      </c>
      <c r="I80" s="9" t="s">
        <v>86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52</v>
      </c>
      <c r="AF80" s="10">
        <v>5200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11">
        <v>5200</v>
      </c>
      <c r="AV80" s="17">
        <f t="shared" si="2"/>
        <v>5200</v>
      </c>
      <c r="AW80" s="1">
        <f t="shared" si="3"/>
        <v>3639.9999999999995</v>
      </c>
    </row>
    <row r="81" spans="1:49" ht="19.2" x14ac:dyDescent="0.4">
      <c r="A81" s="7" t="s">
        <v>107</v>
      </c>
      <c r="B81" s="7" t="s">
        <v>89</v>
      </c>
      <c r="C81" s="7">
        <v>463944</v>
      </c>
      <c r="D81" s="8"/>
      <c r="E81" s="7" t="s">
        <v>15</v>
      </c>
      <c r="F81" s="7" t="s">
        <v>90</v>
      </c>
      <c r="G81" s="7" t="s">
        <v>12</v>
      </c>
      <c r="H81" s="9" t="s">
        <v>13</v>
      </c>
      <c r="I81" s="9" t="s">
        <v>91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50</v>
      </c>
      <c r="AF81" s="10">
        <v>5000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11">
        <v>5000</v>
      </c>
      <c r="AV81" s="17">
        <f t="shared" si="2"/>
        <v>5000</v>
      </c>
      <c r="AW81" s="1">
        <f t="shared" si="3"/>
        <v>3500</v>
      </c>
    </row>
    <row r="82" spans="1:49" ht="19.2" x14ac:dyDescent="0.4">
      <c r="A82" s="7" t="s">
        <v>107</v>
      </c>
      <c r="B82" s="7" t="s">
        <v>186</v>
      </c>
      <c r="C82" s="7">
        <v>459997</v>
      </c>
      <c r="D82" s="8"/>
      <c r="E82" s="7" t="s">
        <v>15</v>
      </c>
      <c r="F82" s="7" t="s">
        <v>187</v>
      </c>
      <c r="G82" s="7" t="s">
        <v>12</v>
      </c>
      <c r="H82" s="9" t="s">
        <v>8</v>
      </c>
      <c r="I82" s="9" t="s">
        <v>112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28</v>
      </c>
      <c r="AF82" s="10">
        <v>2800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15</v>
      </c>
      <c r="AS82" s="10">
        <v>1500</v>
      </c>
      <c r="AT82" s="9">
        <v>0</v>
      </c>
      <c r="AU82" s="11">
        <v>4300</v>
      </c>
      <c r="AV82" s="17">
        <f t="shared" si="2"/>
        <v>4300</v>
      </c>
      <c r="AW82" s="1">
        <f t="shared" si="3"/>
        <v>3010</v>
      </c>
    </row>
    <row r="83" spans="1:49" ht="19.2" x14ac:dyDescent="0.4">
      <c r="A83" s="7" t="s">
        <v>107</v>
      </c>
      <c r="B83" s="7" t="s">
        <v>134</v>
      </c>
      <c r="C83" s="7">
        <v>418689</v>
      </c>
      <c r="D83" s="8"/>
      <c r="E83" s="7" t="s">
        <v>15</v>
      </c>
      <c r="F83" s="7" t="s">
        <v>50</v>
      </c>
      <c r="G83" s="7" t="s">
        <v>12</v>
      </c>
      <c r="H83" s="9" t="s">
        <v>8</v>
      </c>
      <c r="I83" s="9" t="s">
        <v>135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1</v>
      </c>
      <c r="AS83" s="10">
        <v>3200</v>
      </c>
      <c r="AT83" s="9">
        <v>0</v>
      </c>
      <c r="AU83" s="11">
        <v>3200</v>
      </c>
      <c r="AV83" s="17">
        <f t="shared" si="2"/>
        <v>3200</v>
      </c>
      <c r="AW83" s="1">
        <f t="shared" si="3"/>
        <v>2240</v>
      </c>
    </row>
    <row r="84" spans="1:49" ht="19.2" x14ac:dyDescent="0.4">
      <c r="A84" s="7" t="s">
        <v>107</v>
      </c>
      <c r="B84" s="7" t="s">
        <v>197</v>
      </c>
      <c r="C84" s="7">
        <v>428118</v>
      </c>
      <c r="D84" s="8"/>
      <c r="E84" s="7" t="s">
        <v>15</v>
      </c>
      <c r="F84" s="7" t="s">
        <v>143</v>
      </c>
      <c r="G84" s="7" t="s">
        <v>120</v>
      </c>
      <c r="H84" s="9" t="s">
        <v>11</v>
      </c>
      <c r="I84" s="9" t="s">
        <v>76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1</v>
      </c>
      <c r="AF84" s="10">
        <v>3200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11">
        <v>3200</v>
      </c>
      <c r="AV84" s="17">
        <f t="shared" si="2"/>
        <v>3200</v>
      </c>
      <c r="AW84" s="1">
        <f t="shared" si="3"/>
        <v>2240</v>
      </c>
    </row>
    <row r="85" spans="1:49" ht="19.2" x14ac:dyDescent="0.4">
      <c r="A85" s="7" t="s">
        <v>107</v>
      </c>
      <c r="B85" s="7" t="s">
        <v>198</v>
      </c>
      <c r="C85" s="7">
        <v>422374</v>
      </c>
      <c r="D85" s="8"/>
      <c r="E85" s="7" t="s">
        <v>15</v>
      </c>
      <c r="F85" s="7" t="s">
        <v>199</v>
      </c>
      <c r="G85" s="7" t="s">
        <v>12</v>
      </c>
      <c r="H85" s="9" t="s">
        <v>8</v>
      </c>
      <c r="I85" s="9" t="s">
        <v>200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1</v>
      </c>
      <c r="AF85" s="10">
        <v>3200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11">
        <v>3200</v>
      </c>
      <c r="AV85" s="17">
        <f t="shared" si="2"/>
        <v>3200</v>
      </c>
      <c r="AW85" s="1">
        <f t="shared" si="3"/>
        <v>2240</v>
      </c>
    </row>
    <row r="86" spans="1:49" ht="19.2" x14ac:dyDescent="0.4">
      <c r="A86" s="7" t="s">
        <v>107</v>
      </c>
      <c r="B86" s="7" t="s">
        <v>102</v>
      </c>
      <c r="C86" s="7">
        <v>134596</v>
      </c>
      <c r="D86" s="8" t="s">
        <v>103</v>
      </c>
      <c r="E86" s="7" t="s">
        <v>15</v>
      </c>
      <c r="F86" s="7" t="s">
        <v>16</v>
      </c>
      <c r="G86" s="7" t="s">
        <v>12</v>
      </c>
      <c r="H86" s="9" t="s">
        <v>8</v>
      </c>
      <c r="I86" s="9" t="s">
        <v>104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1</v>
      </c>
      <c r="AF86" s="10">
        <v>3200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11">
        <v>3200</v>
      </c>
      <c r="AV86" s="17">
        <f t="shared" si="2"/>
        <v>3200</v>
      </c>
      <c r="AW86" s="1">
        <f t="shared" si="3"/>
        <v>2240</v>
      </c>
    </row>
    <row r="87" spans="1:49" ht="19.2" x14ac:dyDescent="0.4">
      <c r="A87" s="7" t="s">
        <v>107</v>
      </c>
      <c r="B87" s="7" t="s">
        <v>201</v>
      </c>
      <c r="C87" s="7">
        <v>431511</v>
      </c>
      <c r="D87" s="8"/>
      <c r="E87" s="7" t="s">
        <v>15</v>
      </c>
      <c r="F87" s="7" t="s">
        <v>68</v>
      </c>
      <c r="G87" s="7" t="s">
        <v>12</v>
      </c>
      <c r="H87" s="9" t="s">
        <v>8</v>
      </c>
      <c r="I87" s="9" t="s">
        <v>148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1</v>
      </c>
      <c r="AF87" s="10">
        <v>3200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11">
        <v>3200</v>
      </c>
      <c r="AV87" s="17">
        <f t="shared" si="2"/>
        <v>3200</v>
      </c>
      <c r="AW87" s="1">
        <f t="shared" si="3"/>
        <v>2240</v>
      </c>
    </row>
    <row r="88" spans="1:49" ht="19.2" x14ac:dyDescent="0.4">
      <c r="A88" s="7" t="s">
        <v>107</v>
      </c>
      <c r="B88" s="7" t="s">
        <v>160</v>
      </c>
      <c r="C88" s="7">
        <v>457807</v>
      </c>
      <c r="D88" s="8"/>
      <c r="E88" s="7" t="s">
        <v>15</v>
      </c>
      <c r="F88" s="7" t="s">
        <v>161</v>
      </c>
      <c r="G88" s="7" t="s">
        <v>120</v>
      </c>
      <c r="H88" s="9" t="s">
        <v>11</v>
      </c>
      <c r="I88" s="9" t="s">
        <v>162</v>
      </c>
      <c r="J88" s="9">
        <v>0</v>
      </c>
      <c r="K88" s="9">
        <v>11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28</v>
      </c>
      <c r="AF88" s="9">
        <v>500</v>
      </c>
      <c r="AG88" s="10">
        <v>2300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1</v>
      </c>
      <c r="AS88" s="9">
        <v>100</v>
      </c>
      <c r="AT88" s="9">
        <v>0</v>
      </c>
      <c r="AU88" s="11">
        <v>2900</v>
      </c>
      <c r="AV88" s="17">
        <f t="shared" si="2"/>
        <v>2900</v>
      </c>
      <c r="AW88" s="1">
        <f t="shared" si="3"/>
        <v>2029.9999999999998</v>
      </c>
    </row>
    <row r="89" spans="1:49" ht="19.2" x14ac:dyDescent="0.4">
      <c r="A89" s="7" t="s">
        <v>107</v>
      </c>
      <c r="B89" s="7" t="s">
        <v>48</v>
      </c>
      <c r="C89" s="7">
        <v>425414</v>
      </c>
      <c r="D89" s="8"/>
      <c r="E89" s="7" t="s">
        <v>15</v>
      </c>
      <c r="F89" s="7" t="s">
        <v>49</v>
      </c>
      <c r="G89" s="7" t="s">
        <v>12</v>
      </c>
      <c r="H89" s="9" t="s">
        <v>8</v>
      </c>
      <c r="I89" s="9" t="s">
        <v>54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27</v>
      </c>
      <c r="AF89" s="10">
        <v>2700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11">
        <v>2700</v>
      </c>
      <c r="AV89" s="17">
        <f t="shared" si="2"/>
        <v>2700</v>
      </c>
      <c r="AW89" s="1">
        <f t="shared" si="3"/>
        <v>1889.9999999999998</v>
      </c>
    </row>
    <row r="90" spans="1:49" ht="19.2" x14ac:dyDescent="0.4">
      <c r="A90" s="7" t="s">
        <v>107</v>
      </c>
      <c r="B90" s="7" t="s">
        <v>27</v>
      </c>
      <c r="C90" s="7">
        <v>245889</v>
      </c>
      <c r="D90" s="8"/>
      <c r="E90" s="7" t="s">
        <v>15</v>
      </c>
      <c r="F90" s="7" t="s">
        <v>16</v>
      </c>
      <c r="G90" s="7" t="s">
        <v>12</v>
      </c>
      <c r="H90" s="9" t="s">
        <v>8</v>
      </c>
      <c r="I90" s="9" t="s">
        <v>28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27</v>
      </c>
      <c r="AF90" s="9">
        <v>100</v>
      </c>
      <c r="AG90" s="10">
        <v>2600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11">
        <v>2700</v>
      </c>
      <c r="AV90" s="17">
        <f t="shared" si="2"/>
        <v>2700</v>
      </c>
      <c r="AW90" s="1">
        <f t="shared" si="3"/>
        <v>1889.9999999999998</v>
      </c>
    </row>
    <row r="91" spans="1:49" ht="19.2" x14ac:dyDescent="0.4">
      <c r="A91" s="7" t="s">
        <v>107</v>
      </c>
      <c r="B91" s="7" t="s">
        <v>69</v>
      </c>
      <c r="C91" s="7">
        <v>211158</v>
      </c>
      <c r="D91" s="8"/>
      <c r="E91" s="7" t="s">
        <v>15</v>
      </c>
      <c r="F91" s="7" t="s">
        <v>16</v>
      </c>
      <c r="G91" s="7" t="s">
        <v>12</v>
      </c>
      <c r="H91" s="9" t="s">
        <v>8</v>
      </c>
      <c r="I91" s="9" t="s">
        <v>70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23</v>
      </c>
      <c r="AF91" s="10">
        <v>2300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11">
        <v>2300</v>
      </c>
      <c r="AV91" s="17">
        <f t="shared" si="2"/>
        <v>2300</v>
      </c>
      <c r="AW91" s="1">
        <f t="shared" si="3"/>
        <v>1610</v>
      </c>
    </row>
    <row r="92" spans="1:49" ht="19.2" x14ac:dyDescent="0.4">
      <c r="A92" s="7" t="s">
        <v>107</v>
      </c>
      <c r="B92" s="7" t="s">
        <v>73</v>
      </c>
      <c r="C92" s="7">
        <v>423328</v>
      </c>
      <c r="D92" s="8"/>
      <c r="E92" s="7" t="s">
        <v>15</v>
      </c>
      <c r="F92" s="7" t="s">
        <v>16</v>
      </c>
      <c r="G92" s="7" t="s">
        <v>12</v>
      </c>
      <c r="H92" s="9" t="s">
        <v>8</v>
      </c>
      <c r="I92" s="9" t="s">
        <v>74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21</v>
      </c>
      <c r="AF92" s="10">
        <v>2100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2</v>
      </c>
      <c r="AS92" s="9">
        <v>200</v>
      </c>
      <c r="AT92" s="9">
        <v>0</v>
      </c>
      <c r="AU92" s="11">
        <v>2300</v>
      </c>
      <c r="AV92" s="17">
        <f t="shared" si="2"/>
        <v>2300</v>
      </c>
      <c r="AW92" s="1">
        <f t="shared" si="3"/>
        <v>1610</v>
      </c>
    </row>
    <row r="93" spans="1:49" ht="19.2" x14ac:dyDescent="0.4">
      <c r="A93" s="7" t="s">
        <v>107</v>
      </c>
      <c r="B93" s="7" t="s">
        <v>152</v>
      </c>
      <c r="C93" s="7">
        <v>431330</v>
      </c>
      <c r="D93" s="8"/>
      <c r="E93" s="7" t="s">
        <v>15</v>
      </c>
      <c r="F93" s="7" t="s">
        <v>153</v>
      </c>
      <c r="G93" s="7" t="s">
        <v>120</v>
      </c>
      <c r="H93" s="9" t="s">
        <v>11</v>
      </c>
      <c r="I93" s="9" t="s">
        <v>154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21</v>
      </c>
      <c r="AF93" s="9">
        <v>0</v>
      </c>
      <c r="AG93" s="10">
        <v>2100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11">
        <v>2100</v>
      </c>
      <c r="AV93" s="17">
        <f t="shared" si="2"/>
        <v>2100</v>
      </c>
      <c r="AW93" s="1">
        <f t="shared" si="3"/>
        <v>1470</v>
      </c>
    </row>
    <row r="94" spans="1:49" ht="19.2" x14ac:dyDescent="0.4">
      <c r="A94" s="7" t="s">
        <v>107</v>
      </c>
      <c r="B94" s="7" t="s">
        <v>19</v>
      </c>
      <c r="C94" s="7">
        <v>387417</v>
      </c>
      <c r="D94" s="8"/>
      <c r="E94" s="7" t="s">
        <v>15</v>
      </c>
      <c r="F94" s="7" t="s">
        <v>20</v>
      </c>
      <c r="G94" s="7" t="s">
        <v>12</v>
      </c>
      <c r="H94" s="9" t="s">
        <v>8</v>
      </c>
      <c r="I94" s="9" t="s">
        <v>21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21</v>
      </c>
      <c r="AF94" s="10">
        <v>2100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11">
        <v>2100</v>
      </c>
      <c r="AV94" s="17">
        <f t="shared" si="2"/>
        <v>2100</v>
      </c>
      <c r="AW94" s="1">
        <f t="shared" si="3"/>
        <v>1470</v>
      </c>
    </row>
    <row r="95" spans="1:49" ht="19.2" x14ac:dyDescent="0.4">
      <c r="A95" s="7" t="s">
        <v>107</v>
      </c>
      <c r="B95" s="7" t="s">
        <v>170</v>
      </c>
      <c r="C95" s="7">
        <v>367994</v>
      </c>
      <c r="D95" s="8"/>
      <c r="E95" s="7" t="s">
        <v>15</v>
      </c>
      <c r="F95" s="7" t="s">
        <v>124</v>
      </c>
      <c r="G95" s="7" t="s">
        <v>120</v>
      </c>
      <c r="H95" s="9" t="s">
        <v>11</v>
      </c>
      <c r="I95" s="9" t="s">
        <v>171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15</v>
      </c>
      <c r="AF95" s="10">
        <v>1500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11">
        <v>1500</v>
      </c>
      <c r="AV95" s="17">
        <f t="shared" si="2"/>
        <v>1500</v>
      </c>
      <c r="AW95" s="1">
        <f t="shared" si="3"/>
        <v>1050</v>
      </c>
    </row>
    <row r="96" spans="1:49" ht="19.2" x14ac:dyDescent="0.4">
      <c r="A96" s="7" t="s">
        <v>107</v>
      </c>
      <c r="B96" s="7" t="s">
        <v>105</v>
      </c>
      <c r="C96" s="7">
        <v>387942</v>
      </c>
      <c r="D96" s="8"/>
      <c r="E96" s="7" t="s">
        <v>15</v>
      </c>
      <c r="F96" s="7" t="s">
        <v>18</v>
      </c>
      <c r="G96" s="7" t="s">
        <v>12</v>
      </c>
      <c r="H96" s="9" t="s">
        <v>8</v>
      </c>
      <c r="I96" s="9" t="s">
        <v>106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14</v>
      </c>
      <c r="AF96" s="10">
        <v>1400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11">
        <v>1400</v>
      </c>
      <c r="AV96" s="17">
        <f t="shared" si="2"/>
        <v>1400</v>
      </c>
      <c r="AW96" s="1">
        <f t="shared" si="3"/>
        <v>979.99999999999989</v>
      </c>
    </row>
    <row r="97" spans="1:49" ht="19.2" x14ac:dyDescent="0.4">
      <c r="A97" s="7" t="s">
        <v>107</v>
      </c>
      <c r="B97" s="7" t="s">
        <v>80</v>
      </c>
      <c r="C97" s="7">
        <v>458561</v>
      </c>
      <c r="D97" s="8"/>
      <c r="E97" s="7" t="s">
        <v>15</v>
      </c>
      <c r="F97" s="7" t="s">
        <v>16</v>
      </c>
      <c r="G97" s="7" t="s">
        <v>12</v>
      </c>
      <c r="H97" s="9" t="s">
        <v>8</v>
      </c>
      <c r="I97" s="9" t="s">
        <v>79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9</v>
      </c>
      <c r="AF97" s="9">
        <v>900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12">
        <v>900</v>
      </c>
      <c r="AV97" s="17">
        <f t="shared" si="2"/>
        <v>900</v>
      </c>
      <c r="AW97" s="1">
        <f t="shared" si="3"/>
        <v>630</v>
      </c>
    </row>
    <row r="98" spans="1:49" ht="19.2" x14ac:dyDescent="0.4">
      <c r="A98" s="7" t="s">
        <v>107</v>
      </c>
      <c r="B98" s="7" t="s">
        <v>202</v>
      </c>
      <c r="C98" s="7">
        <v>380275</v>
      </c>
      <c r="D98" s="8"/>
      <c r="E98" s="7" t="s">
        <v>15</v>
      </c>
      <c r="F98" s="7" t="s">
        <v>161</v>
      </c>
      <c r="G98" s="7" t="s">
        <v>120</v>
      </c>
      <c r="H98" s="9" t="s">
        <v>121</v>
      </c>
      <c r="I98" s="9" t="s">
        <v>203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8</v>
      </c>
      <c r="AF98" s="9">
        <v>800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12">
        <v>800</v>
      </c>
      <c r="AV98" s="17">
        <f t="shared" si="2"/>
        <v>800</v>
      </c>
      <c r="AW98" s="1">
        <f t="shared" si="3"/>
        <v>560</v>
      </c>
    </row>
    <row r="99" spans="1:49" ht="19.2" x14ac:dyDescent="0.4">
      <c r="A99" s="7" t="s">
        <v>107</v>
      </c>
      <c r="B99" s="7" t="s">
        <v>204</v>
      </c>
      <c r="C99" s="7">
        <v>399034</v>
      </c>
      <c r="D99" s="8"/>
      <c r="E99" s="7" t="s">
        <v>15</v>
      </c>
      <c r="F99" s="7" t="s">
        <v>205</v>
      </c>
      <c r="G99" s="7" t="s">
        <v>120</v>
      </c>
      <c r="H99" s="9" t="s">
        <v>11</v>
      </c>
      <c r="I99" s="9" t="s">
        <v>206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7</v>
      </c>
      <c r="AS99" s="9">
        <v>700</v>
      </c>
      <c r="AT99" s="9">
        <v>0</v>
      </c>
      <c r="AU99" s="12">
        <v>700</v>
      </c>
      <c r="AV99" s="17">
        <f t="shared" si="2"/>
        <v>700</v>
      </c>
      <c r="AW99" s="1">
        <f t="shared" si="3"/>
        <v>489.99999999999994</v>
      </c>
    </row>
    <row r="100" spans="1:49" ht="19.2" x14ac:dyDescent="0.4">
      <c r="A100" s="7" t="s">
        <v>107</v>
      </c>
      <c r="B100" s="7" t="s">
        <v>61</v>
      </c>
      <c r="C100" s="7">
        <v>429621</v>
      </c>
      <c r="D100" s="8"/>
      <c r="E100" s="7" t="s">
        <v>15</v>
      </c>
      <c r="F100" s="7" t="s">
        <v>62</v>
      </c>
      <c r="G100" s="7" t="s">
        <v>12</v>
      </c>
      <c r="H100" s="9" t="s">
        <v>11</v>
      </c>
      <c r="I100" s="9" t="s">
        <v>63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6</v>
      </c>
      <c r="AF100" s="9">
        <v>600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12">
        <v>600</v>
      </c>
      <c r="AV100" s="17">
        <f t="shared" si="2"/>
        <v>600</v>
      </c>
      <c r="AW100" s="1">
        <f t="shared" si="3"/>
        <v>420</v>
      </c>
    </row>
    <row r="101" spans="1:49" ht="19.2" x14ac:dyDescent="0.4">
      <c r="A101" s="7" t="s">
        <v>107</v>
      </c>
      <c r="B101" s="7" t="s">
        <v>207</v>
      </c>
      <c r="C101" s="7">
        <v>384107</v>
      </c>
      <c r="D101" s="8"/>
      <c r="E101" s="7" t="s">
        <v>15</v>
      </c>
      <c r="F101" s="7" t="s">
        <v>156</v>
      </c>
      <c r="G101" s="7" t="s">
        <v>120</v>
      </c>
      <c r="H101" s="9" t="s">
        <v>121</v>
      </c>
      <c r="I101" s="9" t="s">
        <v>208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6</v>
      </c>
      <c r="AF101" s="9">
        <v>600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12">
        <v>600</v>
      </c>
      <c r="AV101" s="17">
        <f t="shared" si="2"/>
        <v>600</v>
      </c>
      <c r="AW101" s="1">
        <f t="shared" si="3"/>
        <v>420</v>
      </c>
    </row>
    <row r="102" spans="1:49" ht="19.2" x14ac:dyDescent="0.4">
      <c r="A102" s="7" t="s">
        <v>107</v>
      </c>
      <c r="B102" s="7" t="s">
        <v>25</v>
      </c>
      <c r="C102" s="7">
        <v>364724</v>
      </c>
      <c r="D102" s="8"/>
      <c r="E102" s="7" t="s">
        <v>15</v>
      </c>
      <c r="F102" s="7" t="s">
        <v>22</v>
      </c>
      <c r="G102" s="7" t="s">
        <v>12</v>
      </c>
      <c r="H102" s="9" t="s">
        <v>8</v>
      </c>
      <c r="I102" s="9" t="s">
        <v>26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4</v>
      </c>
      <c r="AF102" s="9">
        <v>400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12">
        <v>400</v>
      </c>
      <c r="AV102" s="17">
        <f t="shared" si="2"/>
        <v>400</v>
      </c>
      <c r="AW102" s="1">
        <f t="shared" si="3"/>
        <v>280</v>
      </c>
    </row>
    <row r="103" spans="1:49" ht="19.2" x14ac:dyDescent="0.4">
      <c r="A103" s="7" t="s">
        <v>107</v>
      </c>
      <c r="B103" s="7" t="s">
        <v>174</v>
      </c>
      <c r="C103" s="7">
        <v>434847</v>
      </c>
      <c r="D103" s="8"/>
      <c r="E103" s="7" t="s">
        <v>15</v>
      </c>
      <c r="F103" s="7" t="s">
        <v>175</v>
      </c>
      <c r="G103" s="7" t="s">
        <v>12</v>
      </c>
      <c r="H103" s="9" t="s">
        <v>8</v>
      </c>
      <c r="I103" s="9" t="s">
        <v>176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4</v>
      </c>
      <c r="AF103" s="9">
        <v>400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12">
        <v>400</v>
      </c>
      <c r="AV103" s="17">
        <f t="shared" si="2"/>
        <v>400</v>
      </c>
      <c r="AW103" s="1">
        <f t="shared" si="3"/>
        <v>280</v>
      </c>
    </row>
    <row r="104" spans="1:49" ht="19.2" x14ac:dyDescent="0.4">
      <c r="A104" s="7" t="s">
        <v>107</v>
      </c>
      <c r="B104" s="7" t="s">
        <v>180</v>
      </c>
      <c r="C104" s="7">
        <v>419744</v>
      </c>
      <c r="D104" s="8"/>
      <c r="E104" s="7" t="s">
        <v>15</v>
      </c>
      <c r="F104" s="7" t="s">
        <v>181</v>
      </c>
      <c r="G104" s="7" t="s">
        <v>12</v>
      </c>
      <c r="H104" s="9" t="s">
        <v>8</v>
      </c>
      <c r="I104" s="9" t="s">
        <v>182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4</v>
      </c>
      <c r="AF104" s="9">
        <v>300</v>
      </c>
      <c r="AG104" s="9">
        <v>100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12">
        <v>400</v>
      </c>
      <c r="AV104" s="17">
        <f t="shared" si="2"/>
        <v>400</v>
      </c>
      <c r="AW104" s="1">
        <f t="shared" si="3"/>
        <v>280</v>
      </c>
    </row>
    <row r="105" spans="1:49" ht="19.2" x14ac:dyDescent="0.4">
      <c r="A105" s="7" t="s">
        <v>107</v>
      </c>
      <c r="B105" s="7" t="s">
        <v>209</v>
      </c>
      <c r="C105" s="7">
        <v>450457</v>
      </c>
      <c r="D105" s="8"/>
      <c r="E105" s="7" t="s">
        <v>15</v>
      </c>
      <c r="F105" s="7" t="s">
        <v>210</v>
      </c>
      <c r="G105" s="7" t="s">
        <v>12</v>
      </c>
      <c r="H105" s="9" t="s">
        <v>8</v>
      </c>
      <c r="I105" s="9" t="s">
        <v>211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4</v>
      </c>
      <c r="AS105" s="9">
        <v>400</v>
      </c>
      <c r="AT105" s="9">
        <v>0</v>
      </c>
      <c r="AU105" s="12">
        <v>400</v>
      </c>
      <c r="AV105" s="17">
        <f t="shared" si="2"/>
        <v>400</v>
      </c>
      <c r="AW105" s="1">
        <f t="shared" si="3"/>
        <v>280</v>
      </c>
    </row>
    <row r="106" spans="1:49" ht="19.2" x14ac:dyDescent="0.4">
      <c r="A106" s="7" t="s">
        <v>107</v>
      </c>
      <c r="B106" s="7" t="s">
        <v>95</v>
      </c>
      <c r="C106" s="7">
        <v>463949</v>
      </c>
      <c r="D106" s="8"/>
      <c r="E106" s="7" t="s">
        <v>15</v>
      </c>
      <c r="F106" s="7" t="s">
        <v>96</v>
      </c>
      <c r="G106" s="7" t="s">
        <v>12</v>
      </c>
      <c r="H106" s="9" t="s">
        <v>8</v>
      </c>
      <c r="I106" s="9" t="s">
        <v>86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3</v>
      </c>
      <c r="AF106" s="9">
        <v>300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12">
        <v>300</v>
      </c>
      <c r="AV106" s="17">
        <f t="shared" si="2"/>
        <v>300</v>
      </c>
      <c r="AW106" s="1">
        <f t="shared" si="3"/>
        <v>210</v>
      </c>
    </row>
    <row r="107" spans="1:49" ht="19.2" x14ac:dyDescent="0.4">
      <c r="A107" s="7" t="s">
        <v>107</v>
      </c>
      <c r="B107" s="7" t="s">
        <v>212</v>
      </c>
      <c r="C107" s="7">
        <v>328404</v>
      </c>
      <c r="D107" s="8"/>
      <c r="E107" s="7" t="s">
        <v>15</v>
      </c>
      <c r="F107" s="7" t="s">
        <v>124</v>
      </c>
      <c r="G107" s="7" t="s">
        <v>120</v>
      </c>
      <c r="H107" s="9" t="s">
        <v>11</v>
      </c>
      <c r="I107" s="9" t="s">
        <v>213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2</v>
      </c>
      <c r="AS107" s="9">
        <v>200</v>
      </c>
      <c r="AT107" s="9">
        <v>0</v>
      </c>
      <c r="AU107" s="12">
        <v>200</v>
      </c>
      <c r="AV107" s="17">
        <f t="shared" si="2"/>
        <v>200</v>
      </c>
      <c r="AW107" s="1">
        <f t="shared" si="3"/>
        <v>140</v>
      </c>
    </row>
    <row r="108" spans="1:49" ht="19.2" x14ac:dyDescent="0.4">
      <c r="A108" s="7" t="s">
        <v>107</v>
      </c>
      <c r="B108" s="7" t="s">
        <v>214</v>
      </c>
      <c r="C108" s="7">
        <v>351033</v>
      </c>
      <c r="D108" s="8" t="s">
        <v>215</v>
      </c>
      <c r="E108" s="7" t="s">
        <v>15</v>
      </c>
      <c r="F108" s="7" t="s">
        <v>16</v>
      </c>
      <c r="G108" s="7" t="s">
        <v>12</v>
      </c>
      <c r="H108" s="9" t="s">
        <v>8</v>
      </c>
      <c r="I108" s="9" t="s">
        <v>216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2</v>
      </c>
      <c r="AF108" s="9">
        <v>200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12">
        <v>200</v>
      </c>
      <c r="AV108" s="17">
        <f t="shared" si="2"/>
        <v>200</v>
      </c>
      <c r="AW108" s="1">
        <f t="shared" si="3"/>
        <v>140</v>
      </c>
    </row>
    <row r="109" spans="1:49" ht="19.2" x14ac:dyDescent="0.4">
      <c r="A109" s="7" t="s">
        <v>107</v>
      </c>
      <c r="B109" s="7" t="s">
        <v>155</v>
      </c>
      <c r="C109" s="7">
        <v>407003</v>
      </c>
      <c r="D109" s="8"/>
      <c r="E109" s="7" t="s">
        <v>15</v>
      </c>
      <c r="F109" s="7" t="s">
        <v>156</v>
      </c>
      <c r="G109" s="7" t="s">
        <v>120</v>
      </c>
      <c r="H109" s="9" t="s">
        <v>121</v>
      </c>
      <c r="I109" s="9" t="s">
        <v>157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1</v>
      </c>
      <c r="AF109" s="9">
        <v>100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12">
        <v>100</v>
      </c>
      <c r="AV109" s="17">
        <f t="shared" si="2"/>
        <v>100</v>
      </c>
      <c r="AW109" s="1">
        <f t="shared" si="3"/>
        <v>70</v>
      </c>
    </row>
    <row r="110" spans="1:49" ht="28.8" x14ac:dyDescent="0.4">
      <c r="A110" s="7" t="s">
        <v>107</v>
      </c>
      <c r="B110" s="7" t="s">
        <v>163</v>
      </c>
      <c r="C110" s="7">
        <v>393598</v>
      </c>
      <c r="D110" s="8"/>
      <c r="E110" s="7" t="s">
        <v>15</v>
      </c>
      <c r="F110" s="7" t="s">
        <v>119</v>
      </c>
      <c r="G110" s="7" t="s">
        <v>120</v>
      </c>
      <c r="H110" s="9" t="s">
        <v>11</v>
      </c>
      <c r="I110" s="9" t="s">
        <v>146</v>
      </c>
      <c r="J110" s="9">
        <v>0</v>
      </c>
      <c r="K110" s="9">
        <v>2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12">
        <v>0</v>
      </c>
      <c r="AV110" s="17">
        <f t="shared" si="2"/>
        <v>0</v>
      </c>
      <c r="AW110" s="1">
        <f t="shared" si="3"/>
        <v>0</v>
      </c>
    </row>
    <row r="111" spans="1:49" ht="19.2" x14ac:dyDescent="0.4">
      <c r="A111" s="7" t="s">
        <v>107</v>
      </c>
      <c r="B111" s="7" t="s">
        <v>190</v>
      </c>
      <c r="C111" s="7">
        <v>428379</v>
      </c>
      <c r="D111" s="8"/>
      <c r="E111" s="7" t="s">
        <v>15</v>
      </c>
      <c r="F111" s="7" t="s">
        <v>191</v>
      </c>
      <c r="G111" s="7" t="s">
        <v>12</v>
      </c>
      <c r="H111" s="9" t="s">
        <v>11</v>
      </c>
      <c r="I111" s="9" t="s">
        <v>46</v>
      </c>
      <c r="J111" s="9">
        <v>0</v>
      </c>
      <c r="K111" s="9">
        <v>11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12">
        <v>0</v>
      </c>
      <c r="AV111" s="17">
        <f t="shared" si="2"/>
        <v>0</v>
      </c>
      <c r="AW111" s="1">
        <f t="shared" si="3"/>
        <v>0</v>
      </c>
    </row>
    <row r="112" spans="1:49" ht="28.8" x14ac:dyDescent="0.4">
      <c r="A112" s="7" t="s">
        <v>108</v>
      </c>
      <c r="B112" s="7" t="s">
        <v>118</v>
      </c>
      <c r="C112" s="7">
        <v>454879</v>
      </c>
      <c r="D112" s="8"/>
      <c r="E112" s="7" t="s">
        <v>15</v>
      </c>
      <c r="F112" s="7" t="s">
        <v>119</v>
      </c>
      <c r="G112" s="7" t="s">
        <v>120</v>
      </c>
      <c r="H112" s="9" t="s">
        <v>121</v>
      </c>
      <c r="I112" s="9" t="s">
        <v>122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9</v>
      </c>
      <c r="AF112" s="10">
        <v>32400</v>
      </c>
      <c r="AG112" s="9">
        <v>0</v>
      </c>
      <c r="AH112" s="9">
        <v>0</v>
      </c>
      <c r="AI112" s="9">
        <v>0</v>
      </c>
      <c r="AJ112" s="9">
        <v>0</v>
      </c>
      <c r="AK112" s="9">
        <v>2</v>
      </c>
      <c r="AL112" s="10">
        <v>8460</v>
      </c>
      <c r="AM112" s="9">
        <v>0</v>
      </c>
      <c r="AN112" s="18">
        <v>2538</v>
      </c>
      <c r="AO112" s="9">
        <v>0</v>
      </c>
      <c r="AP112" s="9">
        <v>0</v>
      </c>
      <c r="AQ112" s="9">
        <v>0</v>
      </c>
      <c r="AR112" s="9">
        <v>2</v>
      </c>
      <c r="AS112" s="10">
        <v>6300</v>
      </c>
      <c r="AT112" s="9">
        <v>900</v>
      </c>
      <c r="AU112" s="11">
        <v>48060</v>
      </c>
      <c r="AV112" s="17">
        <f t="shared" si="2"/>
        <v>45522</v>
      </c>
      <c r="AW112" s="1">
        <f t="shared" si="3"/>
        <v>31865.399999999998</v>
      </c>
    </row>
    <row r="113" spans="1:49" ht="28.8" x14ac:dyDescent="0.4">
      <c r="A113" s="7" t="s">
        <v>108</v>
      </c>
      <c r="B113" s="7" t="s">
        <v>145</v>
      </c>
      <c r="C113" s="7">
        <v>464146</v>
      </c>
      <c r="D113" s="8"/>
      <c r="E113" s="7" t="s">
        <v>15</v>
      </c>
      <c r="F113" s="7" t="s">
        <v>119</v>
      </c>
      <c r="G113" s="7" t="s">
        <v>120</v>
      </c>
      <c r="H113" s="9" t="s">
        <v>121</v>
      </c>
      <c r="I113" s="9" t="s">
        <v>146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11</v>
      </c>
      <c r="AF113" s="10">
        <v>10800</v>
      </c>
      <c r="AG113" s="9">
        <v>300</v>
      </c>
      <c r="AH113" s="9">
        <v>0</v>
      </c>
      <c r="AI113" s="9">
        <v>0</v>
      </c>
      <c r="AJ113" s="9">
        <v>0</v>
      </c>
      <c r="AK113" s="9">
        <v>1</v>
      </c>
      <c r="AL113" s="9">
        <v>0</v>
      </c>
      <c r="AM113" s="10">
        <v>1000</v>
      </c>
      <c r="AN113" s="9">
        <v>0</v>
      </c>
      <c r="AO113" s="9">
        <v>0</v>
      </c>
      <c r="AP113" s="9">
        <v>0</v>
      </c>
      <c r="AQ113" s="9">
        <v>0</v>
      </c>
      <c r="AR113" s="9">
        <v>1</v>
      </c>
      <c r="AS113" s="10">
        <v>1100</v>
      </c>
      <c r="AT113" s="9">
        <v>0</v>
      </c>
      <c r="AU113" s="11">
        <v>13200</v>
      </c>
      <c r="AV113" s="17">
        <f t="shared" si="2"/>
        <v>13200</v>
      </c>
      <c r="AW113" s="1">
        <f t="shared" si="3"/>
        <v>9240</v>
      </c>
    </row>
    <row r="114" spans="1:49" ht="19.2" x14ac:dyDescent="0.4">
      <c r="A114" s="7" t="s">
        <v>108</v>
      </c>
      <c r="B114" s="7" t="s">
        <v>136</v>
      </c>
      <c r="C114" s="7">
        <v>458432</v>
      </c>
      <c r="D114" s="8"/>
      <c r="E114" s="7" t="s">
        <v>15</v>
      </c>
      <c r="F114" s="7" t="s">
        <v>137</v>
      </c>
      <c r="G114" s="7" t="s">
        <v>120</v>
      </c>
      <c r="H114" s="9" t="s">
        <v>121</v>
      </c>
      <c r="I114" s="9" t="s">
        <v>138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4</v>
      </c>
      <c r="AF114" s="10">
        <v>3400</v>
      </c>
      <c r="AG114" s="10">
        <v>5800</v>
      </c>
      <c r="AH114" s="9">
        <v>0</v>
      </c>
      <c r="AI114" s="9">
        <v>0</v>
      </c>
      <c r="AJ114" s="9">
        <v>0</v>
      </c>
      <c r="AK114" s="9">
        <v>1</v>
      </c>
      <c r="AL114" s="9">
        <v>0</v>
      </c>
      <c r="AM114" s="10">
        <v>2800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11">
        <v>12000</v>
      </c>
      <c r="AV114" s="17">
        <f t="shared" si="2"/>
        <v>12000</v>
      </c>
      <c r="AW114" s="1">
        <f t="shared" si="3"/>
        <v>8400</v>
      </c>
    </row>
    <row r="115" spans="1:49" ht="19.2" x14ac:dyDescent="0.4">
      <c r="A115" s="7" t="s">
        <v>108</v>
      </c>
      <c r="B115" s="7" t="s">
        <v>64</v>
      </c>
      <c r="C115" s="7">
        <v>324335</v>
      </c>
      <c r="D115" s="8"/>
      <c r="E115" s="7" t="s">
        <v>15</v>
      </c>
      <c r="F115" s="7" t="s">
        <v>16</v>
      </c>
      <c r="G115" s="7" t="s">
        <v>12</v>
      </c>
      <c r="H115" s="9" t="s">
        <v>13</v>
      </c>
      <c r="I115" s="9" t="s">
        <v>65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3</v>
      </c>
      <c r="AF115" s="10">
        <v>9600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11">
        <v>9600</v>
      </c>
      <c r="AV115" s="17">
        <f t="shared" si="2"/>
        <v>9600</v>
      </c>
      <c r="AW115" s="1">
        <f t="shared" si="3"/>
        <v>6720</v>
      </c>
    </row>
    <row r="116" spans="1:49" ht="19.2" x14ac:dyDescent="0.4">
      <c r="A116" s="7" t="s">
        <v>108</v>
      </c>
      <c r="B116" s="7" t="s">
        <v>217</v>
      </c>
      <c r="C116" s="7">
        <v>377683</v>
      </c>
      <c r="D116" s="8"/>
      <c r="E116" s="7" t="s">
        <v>15</v>
      </c>
      <c r="F116" s="7" t="s">
        <v>124</v>
      </c>
      <c r="G116" s="7" t="s">
        <v>120</v>
      </c>
      <c r="H116" s="9" t="s">
        <v>121</v>
      </c>
      <c r="I116" s="9" t="s">
        <v>218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3</v>
      </c>
      <c r="AF116" s="10">
        <v>8900</v>
      </c>
      <c r="AG116" s="9">
        <v>100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11">
        <v>9000</v>
      </c>
      <c r="AV116" s="17">
        <f t="shared" si="2"/>
        <v>9000</v>
      </c>
      <c r="AW116" s="1">
        <f t="shared" si="3"/>
        <v>6300</v>
      </c>
    </row>
    <row r="117" spans="1:49" ht="19.2" x14ac:dyDescent="0.4">
      <c r="A117" s="7" t="s">
        <v>108</v>
      </c>
      <c r="B117" s="7" t="s">
        <v>219</v>
      </c>
      <c r="C117" s="7">
        <v>360524</v>
      </c>
      <c r="D117" s="8"/>
      <c r="E117" s="7" t="s">
        <v>15</v>
      </c>
      <c r="F117" s="7" t="s">
        <v>161</v>
      </c>
      <c r="G117" s="7" t="s">
        <v>120</v>
      </c>
      <c r="H117" s="9" t="s">
        <v>121</v>
      </c>
      <c r="I117" s="9" t="s">
        <v>220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2</v>
      </c>
      <c r="AF117" s="10">
        <v>4400</v>
      </c>
      <c r="AG117" s="10">
        <v>3600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11">
        <v>8000</v>
      </c>
      <c r="AV117" s="17">
        <f t="shared" si="2"/>
        <v>8000</v>
      </c>
      <c r="AW117" s="1">
        <f t="shared" si="3"/>
        <v>5600</v>
      </c>
    </row>
    <row r="118" spans="1:49" ht="19.2" x14ac:dyDescent="0.4">
      <c r="A118" s="7" t="s">
        <v>108</v>
      </c>
      <c r="B118" s="7" t="s">
        <v>221</v>
      </c>
      <c r="C118" s="7">
        <v>381684</v>
      </c>
      <c r="D118" s="8"/>
      <c r="E118" s="7" t="s">
        <v>15</v>
      </c>
      <c r="F118" s="7" t="s">
        <v>222</v>
      </c>
      <c r="G118" s="7" t="s">
        <v>120</v>
      </c>
      <c r="H118" s="9" t="s">
        <v>121</v>
      </c>
      <c r="I118" s="9" t="s">
        <v>223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1</v>
      </c>
      <c r="AF118" s="10">
        <v>3800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1</v>
      </c>
      <c r="AS118" s="10">
        <v>3800</v>
      </c>
      <c r="AT118" s="9">
        <v>0</v>
      </c>
      <c r="AU118" s="11">
        <v>7600</v>
      </c>
      <c r="AV118" s="17">
        <f t="shared" si="2"/>
        <v>7600</v>
      </c>
      <c r="AW118" s="1">
        <f t="shared" si="3"/>
        <v>5320</v>
      </c>
    </row>
    <row r="119" spans="1:49" ht="19.2" x14ac:dyDescent="0.4">
      <c r="A119" s="7" t="s">
        <v>108</v>
      </c>
      <c r="B119" s="7" t="s">
        <v>224</v>
      </c>
      <c r="C119" s="7">
        <v>462656</v>
      </c>
      <c r="D119" s="8"/>
      <c r="E119" s="7" t="s">
        <v>15</v>
      </c>
      <c r="F119" s="7" t="s">
        <v>153</v>
      </c>
      <c r="G119" s="7" t="s">
        <v>120</v>
      </c>
      <c r="H119" s="9" t="s">
        <v>121</v>
      </c>
      <c r="I119" s="9" t="s">
        <v>99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1</v>
      </c>
      <c r="AF119" s="10">
        <v>3800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1</v>
      </c>
      <c r="AS119" s="10">
        <v>3800</v>
      </c>
      <c r="AT119" s="9">
        <v>0</v>
      </c>
      <c r="AU119" s="11">
        <v>7600</v>
      </c>
      <c r="AV119" s="17">
        <f t="shared" si="2"/>
        <v>7600</v>
      </c>
      <c r="AW119" s="1">
        <f t="shared" si="3"/>
        <v>5320</v>
      </c>
    </row>
    <row r="120" spans="1:49" ht="19.2" x14ac:dyDescent="0.4">
      <c r="A120" s="7" t="s">
        <v>108</v>
      </c>
      <c r="B120" s="7" t="s">
        <v>225</v>
      </c>
      <c r="C120" s="7">
        <v>416195</v>
      </c>
      <c r="D120" s="8"/>
      <c r="E120" s="7" t="s">
        <v>15</v>
      </c>
      <c r="F120" s="7" t="s">
        <v>165</v>
      </c>
      <c r="G120" s="7" t="s">
        <v>120</v>
      </c>
      <c r="H120" s="9" t="s">
        <v>121</v>
      </c>
      <c r="I120" s="9" t="s">
        <v>226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2</v>
      </c>
      <c r="AF120" s="10">
        <v>7600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11">
        <v>7600</v>
      </c>
      <c r="AV120" s="17">
        <f t="shared" si="2"/>
        <v>7600</v>
      </c>
      <c r="AW120" s="1">
        <f t="shared" si="3"/>
        <v>5320</v>
      </c>
    </row>
    <row r="121" spans="1:49" ht="19.2" x14ac:dyDescent="0.4">
      <c r="A121" s="7" t="s">
        <v>108</v>
      </c>
      <c r="B121" s="7" t="s">
        <v>227</v>
      </c>
      <c r="C121" s="7">
        <v>383234</v>
      </c>
      <c r="D121" s="8"/>
      <c r="E121" s="7" t="s">
        <v>15</v>
      </c>
      <c r="F121" s="7" t="s">
        <v>137</v>
      </c>
      <c r="G121" s="7" t="s">
        <v>120</v>
      </c>
      <c r="H121" s="9" t="s">
        <v>121</v>
      </c>
      <c r="I121" s="9" t="s">
        <v>159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2</v>
      </c>
      <c r="AF121" s="10">
        <v>6000</v>
      </c>
      <c r="AG121" s="9">
        <v>0</v>
      </c>
      <c r="AH121" s="9">
        <v>0</v>
      </c>
      <c r="AI121" s="9">
        <v>0</v>
      </c>
      <c r="AJ121" s="9">
        <v>0</v>
      </c>
      <c r="AK121" s="9">
        <v>1</v>
      </c>
      <c r="AL121" s="9">
        <v>0</v>
      </c>
      <c r="AM121" s="9">
        <v>400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11">
        <v>6400</v>
      </c>
      <c r="AV121" s="17">
        <f t="shared" si="2"/>
        <v>6400</v>
      </c>
      <c r="AW121" s="1">
        <f t="shared" si="3"/>
        <v>4480</v>
      </c>
    </row>
    <row r="122" spans="1:49" ht="19.2" x14ac:dyDescent="0.4">
      <c r="A122" s="7" t="s">
        <v>108</v>
      </c>
      <c r="B122" s="7" t="s">
        <v>228</v>
      </c>
      <c r="C122" s="7">
        <v>388551</v>
      </c>
      <c r="D122" s="8"/>
      <c r="E122" s="7" t="s">
        <v>15</v>
      </c>
      <c r="F122" s="7" t="s">
        <v>222</v>
      </c>
      <c r="G122" s="7" t="s">
        <v>120</v>
      </c>
      <c r="H122" s="9" t="s">
        <v>121</v>
      </c>
      <c r="I122" s="9" t="s">
        <v>229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1</v>
      </c>
      <c r="AF122" s="10">
        <v>4000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11">
        <v>4000</v>
      </c>
      <c r="AV122" s="17">
        <f t="shared" si="2"/>
        <v>4000</v>
      </c>
      <c r="AW122" s="1">
        <f t="shared" si="3"/>
        <v>2800</v>
      </c>
    </row>
    <row r="123" spans="1:49" ht="19.2" x14ac:dyDescent="0.4">
      <c r="A123" s="7" t="s">
        <v>108</v>
      </c>
      <c r="B123" s="7" t="s">
        <v>230</v>
      </c>
      <c r="C123" s="7">
        <v>446880</v>
      </c>
      <c r="D123" s="8"/>
      <c r="E123" s="7" t="s">
        <v>15</v>
      </c>
      <c r="F123" s="7" t="s">
        <v>153</v>
      </c>
      <c r="G123" s="7" t="s">
        <v>120</v>
      </c>
      <c r="H123" s="9" t="s">
        <v>121</v>
      </c>
      <c r="I123" s="9" t="s">
        <v>154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1</v>
      </c>
      <c r="AF123" s="10">
        <v>3500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11">
        <v>3500</v>
      </c>
      <c r="AV123" s="17">
        <f t="shared" si="2"/>
        <v>3500</v>
      </c>
      <c r="AW123" s="1">
        <f t="shared" si="3"/>
        <v>2450</v>
      </c>
    </row>
    <row r="124" spans="1:49" ht="19.2" x14ac:dyDescent="0.4">
      <c r="A124" s="7" t="s">
        <v>108</v>
      </c>
      <c r="B124" s="7" t="s">
        <v>231</v>
      </c>
      <c r="C124" s="7">
        <v>413284</v>
      </c>
      <c r="D124" s="8"/>
      <c r="E124" s="7" t="s">
        <v>15</v>
      </c>
      <c r="F124" s="7" t="s">
        <v>232</v>
      </c>
      <c r="G124" s="7" t="s">
        <v>12</v>
      </c>
      <c r="H124" s="9" t="s">
        <v>8</v>
      </c>
      <c r="I124" s="9" t="s">
        <v>233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1</v>
      </c>
      <c r="AF124" s="9">
        <v>0</v>
      </c>
      <c r="AG124" s="9">
        <v>200</v>
      </c>
      <c r="AH124" s="9">
        <v>0</v>
      </c>
      <c r="AI124" s="9">
        <v>0</v>
      </c>
      <c r="AJ124" s="9">
        <v>0</v>
      </c>
      <c r="AK124" s="9">
        <v>1</v>
      </c>
      <c r="AL124" s="9">
        <v>0</v>
      </c>
      <c r="AM124" s="10">
        <v>3300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11">
        <v>3500</v>
      </c>
      <c r="AV124" s="17">
        <f t="shared" si="2"/>
        <v>3500</v>
      </c>
      <c r="AW124" s="1">
        <f t="shared" si="3"/>
        <v>2450</v>
      </c>
    </row>
    <row r="125" spans="1:49" ht="19.2" x14ac:dyDescent="0.4">
      <c r="A125" s="7" t="s">
        <v>108</v>
      </c>
      <c r="B125" s="7" t="s">
        <v>234</v>
      </c>
      <c r="C125" s="7">
        <v>428126</v>
      </c>
      <c r="D125" s="8"/>
      <c r="E125" s="7" t="s">
        <v>15</v>
      </c>
      <c r="F125" s="7" t="s">
        <v>143</v>
      </c>
      <c r="G125" s="7" t="s">
        <v>120</v>
      </c>
      <c r="H125" s="9" t="s">
        <v>121</v>
      </c>
      <c r="I125" s="9" t="s">
        <v>235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1</v>
      </c>
      <c r="AF125" s="10">
        <v>3500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11">
        <v>3500</v>
      </c>
      <c r="AV125" s="17">
        <f t="shared" si="2"/>
        <v>3500</v>
      </c>
      <c r="AW125" s="1">
        <f t="shared" si="3"/>
        <v>2450</v>
      </c>
    </row>
    <row r="126" spans="1:49" ht="19.2" x14ac:dyDescent="0.4">
      <c r="A126" s="7" t="s">
        <v>108</v>
      </c>
      <c r="B126" s="7" t="s">
        <v>236</v>
      </c>
      <c r="C126" s="7">
        <v>444215</v>
      </c>
      <c r="D126" s="8"/>
      <c r="E126" s="7" t="s">
        <v>15</v>
      </c>
      <c r="F126" s="7" t="s">
        <v>150</v>
      </c>
      <c r="G126" s="7" t="s">
        <v>120</v>
      </c>
      <c r="H126" s="9" t="s">
        <v>121</v>
      </c>
      <c r="I126" s="9" t="s">
        <v>151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1</v>
      </c>
      <c r="AF126" s="10">
        <v>3400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11">
        <v>3400</v>
      </c>
      <c r="AV126" s="17">
        <f t="shared" si="2"/>
        <v>3400</v>
      </c>
      <c r="AW126" s="1">
        <f t="shared" si="3"/>
        <v>2380</v>
      </c>
    </row>
    <row r="127" spans="1:49" ht="19.2" x14ac:dyDescent="0.4">
      <c r="A127" s="7" t="s">
        <v>108</v>
      </c>
      <c r="B127" s="7" t="s">
        <v>158</v>
      </c>
      <c r="C127" s="7">
        <v>383229</v>
      </c>
      <c r="D127" s="8"/>
      <c r="E127" s="7" t="s">
        <v>15</v>
      </c>
      <c r="F127" s="7" t="s">
        <v>137</v>
      </c>
      <c r="G127" s="7" t="s">
        <v>120</v>
      </c>
      <c r="H127" s="9" t="s">
        <v>11</v>
      </c>
      <c r="I127" s="9" t="s">
        <v>159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27</v>
      </c>
      <c r="AF127" s="10">
        <v>1900</v>
      </c>
      <c r="AG127" s="9">
        <v>800</v>
      </c>
      <c r="AH127" s="9">
        <v>0</v>
      </c>
      <c r="AI127" s="9">
        <v>0</v>
      </c>
      <c r="AJ127" s="9">
        <v>0</v>
      </c>
      <c r="AK127" s="9">
        <v>6</v>
      </c>
      <c r="AL127" s="9">
        <v>480</v>
      </c>
      <c r="AM127" s="9">
        <v>200</v>
      </c>
      <c r="AN127" s="9">
        <v>144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11">
        <v>3380</v>
      </c>
      <c r="AV127" s="17">
        <f t="shared" si="2"/>
        <v>3236</v>
      </c>
      <c r="AW127" s="1">
        <f t="shared" si="3"/>
        <v>2265.1999999999998</v>
      </c>
    </row>
    <row r="128" spans="1:49" ht="19.2" x14ac:dyDescent="0.4">
      <c r="A128" s="7" t="s">
        <v>108</v>
      </c>
      <c r="B128" s="7" t="s">
        <v>237</v>
      </c>
      <c r="C128" s="7">
        <v>387972</v>
      </c>
      <c r="D128" s="8"/>
      <c r="E128" s="7" t="s">
        <v>15</v>
      </c>
      <c r="F128" s="7" t="s">
        <v>124</v>
      </c>
      <c r="G128" s="7" t="s">
        <v>120</v>
      </c>
      <c r="H128" s="9" t="s">
        <v>121</v>
      </c>
      <c r="I128" s="9" t="s">
        <v>171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1</v>
      </c>
      <c r="AF128" s="10">
        <v>3200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11">
        <v>3200</v>
      </c>
      <c r="AV128" s="17">
        <f t="shared" si="2"/>
        <v>3200</v>
      </c>
      <c r="AW128" s="1">
        <f t="shared" si="3"/>
        <v>2240</v>
      </c>
    </row>
    <row r="129" spans="1:49" ht="19.2" x14ac:dyDescent="0.4">
      <c r="A129" s="7" t="s">
        <v>108</v>
      </c>
      <c r="B129" s="7" t="s">
        <v>238</v>
      </c>
      <c r="C129" s="7">
        <v>428130</v>
      </c>
      <c r="D129" s="8"/>
      <c r="E129" s="7" t="s">
        <v>15</v>
      </c>
      <c r="F129" s="7" t="s">
        <v>239</v>
      </c>
      <c r="G129" s="7" t="s">
        <v>120</v>
      </c>
      <c r="H129" s="9" t="s">
        <v>121</v>
      </c>
      <c r="I129" s="9" t="s">
        <v>240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1</v>
      </c>
      <c r="AF129" s="10">
        <v>3000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11">
        <v>3000</v>
      </c>
      <c r="AV129" s="17">
        <f t="shared" si="2"/>
        <v>3000</v>
      </c>
      <c r="AW129" s="1">
        <f t="shared" si="3"/>
        <v>2100</v>
      </c>
    </row>
    <row r="130" spans="1:49" ht="19.2" x14ac:dyDescent="0.4">
      <c r="A130" s="7" t="s">
        <v>108</v>
      </c>
      <c r="B130" s="7" t="s">
        <v>241</v>
      </c>
      <c r="C130" s="7">
        <v>431802</v>
      </c>
      <c r="D130" s="8"/>
      <c r="E130" s="7" t="s">
        <v>15</v>
      </c>
      <c r="F130" s="7" t="s">
        <v>137</v>
      </c>
      <c r="G130" s="7" t="s">
        <v>120</v>
      </c>
      <c r="H130" s="9" t="s">
        <v>121</v>
      </c>
      <c r="I130" s="9" t="s">
        <v>242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1</v>
      </c>
      <c r="AL130" s="10">
        <v>2880</v>
      </c>
      <c r="AM130" s="9">
        <v>0</v>
      </c>
      <c r="AN130" s="9">
        <v>864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11">
        <v>2880</v>
      </c>
      <c r="AV130" s="17">
        <f t="shared" si="2"/>
        <v>2016</v>
      </c>
      <c r="AW130" s="1">
        <f t="shared" si="3"/>
        <v>1411.1999999999998</v>
      </c>
    </row>
    <row r="131" spans="1:49" ht="19.2" x14ac:dyDescent="0.4">
      <c r="A131" s="7" t="s">
        <v>108</v>
      </c>
      <c r="B131" s="7" t="s">
        <v>84</v>
      </c>
      <c r="C131" s="7">
        <v>429534</v>
      </c>
      <c r="D131" s="8"/>
      <c r="E131" s="7" t="s">
        <v>15</v>
      </c>
      <c r="F131" s="7" t="s">
        <v>47</v>
      </c>
      <c r="G131" s="7" t="s">
        <v>12</v>
      </c>
      <c r="H131" s="9" t="s">
        <v>8</v>
      </c>
      <c r="I131" s="9" t="s">
        <v>85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1</v>
      </c>
      <c r="AF131" s="10">
        <v>2800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11">
        <v>2800</v>
      </c>
      <c r="AV131" s="17">
        <f t="shared" ref="AV131:AV154" si="4">AU131-AN131</f>
        <v>2800</v>
      </c>
      <c r="AW131" s="1">
        <f t="shared" ref="AW131:AW154" si="5">AV131*70%</f>
        <v>1959.9999999999998</v>
      </c>
    </row>
    <row r="132" spans="1:49" ht="19.2" x14ac:dyDescent="0.4">
      <c r="A132" s="7" t="s">
        <v>108</v>
      </c>
      <c r="B132" s="7" t="s">
        <v>243</v>
      </c>
      <c r="C132" s="7">
        <v>387975</v>
      </c>
      <c r="D132" s="8"/>
      <c r="E132" s="7" t="s">
        <v>15</v>
      </c>
      <c r="F132" s="7" t="s">
        <v>244</v>
      </c>
      <c r="G132" s="7" t="s">
        <v>120</v>
      </c>
      <c r="H132" s="9" t="s">
        <v>121</v>
      </c>
      <c r="I132" s="9" t="s">
        <v>171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1</v>
      </c>
      <c r="AF132" s="10">
        <v>2600</v>
      </c>
      <c r="AG132" s="9">
        <v>200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11">
        <v>2800</v>
      </c>
      <c r="AV132" s="17">
        <f t="shared" si="4"/>
        <v>2800</v>
      </c>
      <c r="AW132" s="1">
        <f t="shared" si="5"/>
        <v>1959.9999999999998</v>
      </c>
    </row>
    <row r="133" spans="1:49" ht="19.2" x14ac:dyDescent="0.4">
      <c r="A133" s="7" t="s">
        <v>108</v>
      </c>
      <c r="B133" s="7" t="s">
        <v>109</v>
      </c>
      <c r="C133" s="7">
        <v>465248</v>
      </c>
      <c r="D133" s="8"/>
      <c r="E133" s="7" t="s">
        <v>15</v>
      </c>
      <c r="F133" s="7" t="s">
        <v>110</v>
      </c>
      <c r="G133" s="7" t="s">
        <v>111</v>
      </c>
      <c r="H133" s="9" t="s">
        <v>13</v>
      </c>
      <c r="I133" s="9" t="s">
        <v>112</v>
      </c>
      <c r="J133" s="9">
        <v>0</v>
      </c>
      <c r="K133" s="9">
        <v>2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18</v>
      </c>
      <c r="AF133" s="10">
        <v>1700</v>
      </c>
      <c r="AG133" s="9">
        <v>100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5</v>
      </c>
      <c r="AS133" s="9">
        <v>500</v>
      </c>
      <c r="AT133" s="9">
        <v>0</v>
      </c>
      <c r="AU133" s="11">
        <v>2300</v>
      </c>
      <c r="AV133" s="17">
        <f t="shared" si="4"/>
        <v>2300</v>
      </c>
      <c r="AW133" s="1">
        <f t="shared" si="5"/>
        <v>1610</v>
      </c>
    </row>
    <row r="134" spans="1:49" ht="19.2" x14ac:dyDescent="0.4">
      <c r="A134" s="7" t="s">
        <v>108</v>
      </c>
      <c r="B134" s="7" t="s">
        <v>245</v>
      </c>
      <c r="C134" s="7">
        <v>462657</v>
      </c>
      <c r="D134" s="8"/>
      <c r="E134" s="7" t="s">
        <v>15</v>
      </c>
      <c r="F134" s="7" t="s">
        <v>153</v>
      </c>
      <c r="G134" s="7" t="s">
        <v>120</v>
      </c>
      <c r="H134" s="9" t="s">
        <v>121</v>
      </c>
      <c r="I134" s="9" t="s">
        <v>99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1</v>
      </c>
      <c r="AF134" s="10">
        <v>1000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1</v>
      </c>
      <c r="AS134" s="10">
        <v>1000</v>
      </c>
      <c r="AT134" s="9">
        <v>0</v>
      </c>
      <c r="AU134" s="11">
        <v>2000</v>
      </c>
      <c r="AV134" s="17">
        <f t="shared" si="4"/>
        <v>2000</v>
      </c>
      <c r="AW134" s="1">
        <f t="shared" si="5"/>
        <v>1400</v>
      </c>
    </row>
    <row r="135" spans="1:49" ht="19.2" x14ac:dyDescent="0.4">
      <c r="A135" s="7" t="s">
        <v>108</v>
      </c>
      <c r="B135" s="7" t="s">
        <v>69</v>
      </c>
      <c r="C135" s="7">
        <v>211158</v>
      </c>
      <c r="D135" s="8"/>
      <c r="E135" s="7" t="s">
        <v>15</v>
      </c>
      <c r="F135" s="7" t="s">
        <v>16</v>
      </c>
      <c r="G135" s="7" t="s">
        <v>12</v>
      </c>
      <c r="H135" s="9" t="s">
        <v>8</v>
      </c>
      <c r="I135" s="9" t="s">
        <v>70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11</v>
      </c>
      <c r="AF135" s="10">
        <v>1100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11">
        <v>1100</v>
      </c>
      <c r="AV135" s="17">
        <f t="shared" si="4"/>
        <v>1100</v>
      </c>
      <c r="AW135" s="1">
        <f t="shared" si="5"/>
        <v>770</v>
      </c>
    </row>
    <row r="136" spans="1:49" ht="19.2" x14ac:dyDescent="0.4">
      <c r="A136" s="7" t="s">
        <v>108</v>
      </c>
      <c r="B136" s="7" t="s">
        <v>149</v>
      </c>
      <c r="C136" s="7">
        <v>444216</v>
      </c>
      <c r="D136" s="8"/>
      <c r="E136" s="7" t="s">
        <v>15</v>
      </c>
      <c r="F136" s="7" t="s">
        <v>150</v>
      </c>
      <c r="G136" s="7" t="s">
        <v>120</v>
      </c>
      <c r="H136" s="9" t="s">
        <v>121</v>
      </c>
      <c r="I136" s="9" t="s">
        <v>151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1</v>
      </c>
      <c r="AF136" s="10">
        <v>1000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11">
        <v>1000</v>
      </c>
      <c r="AV136" s="17">
        <f t="shared" si="4"/>
        <v>1000</v>
      </c>
      <c r="AW136" s="1">
        <f t="shared" si="5"/>
        <v>700</v>
      </c>
    </row>
    <row r="137" spans="1:49" ht="19.2" x14ac:dyDescent="0.4">
      <c r="A137" s="7" t="s">
        <v>108</v>
      </c>
      <c r="B137" s="7" t="s">
        <v>246</v>
      </c>
      <c r="C137" s="7">
        <v>446882</v>
      </c>
      <c r="D137" s="8"/>
      <c r="E137" s="7" t="s">
        <v>15</v>
      </c>
      <c r="F137" s="7" t="s">
        <v>153</v>
      </c>
      <c r="G137" s="7" t="s">
        <v>120</v>
      </c>
      <c r="H137" s="9" t="s">
        <v>121</v>
      </c>
      <c r="I137" s="9" t="s">
        <v>154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1</v>
      </c>
      <c r="AF137" s="10">
        <v>1000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11">
        <v>1000</v>
      </c>
      <c r="AV137" s="17">
        <f t="shared" si="4"/>
        <v>1000</v>
      </c>
      <c r="AW137" s="1">
        <f t="shared" si="5"/>
        <v>700</v>
      </c>
    </row>
    <row r="138" spans="1:49" ht="19.2" x14ac:dyDescent="0.4">
      <c r="A138" s="7" t="s">
        <v>108</v>
      </c>
      <c r="B138" s="7" t="s">
        <v>23</v>
      </c>
      <c r="C138" s="7">
        <v>321812</v>
      </c>
      <c r="D138" s="8"/>
      <c r="E138" s="7" t="s">
        <v>15</v>
      </c>
      <c r="F138" s="7" t="s">
        <v>16</v>
      </c>
      <c r="G138" s="7" t="s">
        <v>12</v>
      </c>
      <c r="H138" s="9" t="s">
        <v>8</v>
      </c>
      <c r="I138" s="9" t="s">
        <v>24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7</v>
      </c>
      <c r="AF138" s="9">
        <v>700</v>
      </c>
      <c r="AG138" s="9">
        <v>0</v>
      </c>
      <c r="AH138" s="9">
        <v>0</v>
      </c>
      <c r="AI138" s="9">
        <v>0</v>
      </c>
      <c r="AJ138" s="9">
        <v>0</v>
      </c>
      <c r="AK138" s="9">
        <v>1</v>
      </c>
      <c r="AL138" s="9">
        <v>120</v>
      </c>
      <c r="AM138" s="9">
        <v>0</v>
      </c>
      <c r="AN138" s="9">
        <v>36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12">
        <v>820</v>
      </c>
      <c r="AV138" s="17">
        <f t="shared" si="4"/>
        <v>784</v>
      </c>
      <c r="AW138" s="1">
        <f t="shared" si="5"/>
        <v>548.79999999999995</v>
      </c>
    </row>
    <row r="139" spans="1:49" ht="19.2" x14ac:dyDescent="0.4">
      <c r="A139" s="7" t="s">
        <v>108</v>
      </c>
      <c r="B139" s="7" t="s">
        <v>77</v>
      </c>
      <c r="C139" s="7">
        <v>454534</v>
      </c>
      <c r="D139" s="8"/>
      <c r="E139" s="7" t="s">
        <v>15</v>
      </c>
      <c r="F139" s="7" t="s">
        <v>78</v>
      </c>
      <c r="G139" s="7" t="s">
        <v>12</v>
      </c>
      <c r="H139" s="9" t="s">
        <v>8</v>
      </c>
      <c r="I139" s="9" t="s">
        <v>113</v>
      </c>
      <c r="J139" s="9">
        <v>0</v>
      </c>
      <c r="K139" s="9">
        <v>36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7</v>
      </c>
      <c r="AF139" s="9">
        <v>600</v>
      </c>
      <c r="AG139" s="9">
        <v>100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12">
        <v>700</v>
      </c>
      <c r="AV139" s="17">
        <f t="shared" si="4"/>
        <v>700</v>
      </c>
      <c r="AW139" s="1">
        <f t="shared" si="5"/>
        <v>489.99999999999994</v>
      </c>
    </row>
    <row r="140" spans="1:49" ht="19.2" x14ac:dyDescent="0.4">
      <c r="A140" s="7" t="s">
        <v>108</v>
      </c>
      <c r="B140" s="7" t="s">
        <v>14</v>
      </c>
      <c r="C140" s="7">
        <v>369220</v>
      </c>
      <c r="D140" s="8"/>
      <c r="E140" s="7" t="s">
        <v>15</v>
      </c>
      <c r="F140" s="7" t="s">
        <v>16</v>
      </c>
      <c r="G140" s="7" t="s">
        <v>12</v>
      </c>
      <c r="H140" s="9" t="s">
        <v>8</v>
      </c>
      <c r="I140" s="9" t="s">
        <v>45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5</v>
      </c>
      <c r="AF140" s="9">
        <v>400</v>
      </c>
      <c r="AG140" s="9">
        <v>100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12">
        <v>500</v>
      </c>
      <c r="AV140" s="17">
        <f t="shared" si="4"/>
        <v>500</v>
      </c>
      <c r="AW140" s="1">
        <f t="shared" si="5"/>
        <v>350</v>
      </c>
    </row>
    <row r="141" spans="1:49" ht="19.2" x14ac:dyDescent="0.4">
      <c r="A141" s="7" t="s">
        <v>108</v>
      </c>
      <c r="B141" s="7" t="s">
        <v>66</v>
      </c>
      <c r="C141" s="7">
        <v>178856</v>
      </c>
      <c r="D141" s="8"/>
      <c r="E141" s="7" t="s">
        <v>15</v>
      </c>
      <c r="F141" s="7" t="s">
        <v>16</v>
      </c>
      <c r="G141" s="7" t="s">
        <v>12</v>
      </c>
      <c r="H141" s="9" t="s">
        <v>13</v>
      </c>
      <c r="I141" s="9" t="s">
        <v>67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7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5</v>
      </c>
      <c r="AF141" s="9">
        <v>400</v>
      </c>
      <c r="AG141" s="9">
        <v>100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12">
        <v>500</v>
      </c>
      <c r="AV141" s="17">
        <f t="shared" si="4"/>
        <v>500</v>
      </c>
      <c r="AW141" s="1">
        <f t="shared" si="5"/>
        <v>350</v>
      </c>
    </row>
    <row r="142" spans="1:49" ht="19.2" x14ac:dyDescent="0.4">
      <c r="A142" s="7" t="s">
        <v>108</v>
      </c>
      <c r="B142" s="7" t="s">
        <v>247</v>
      </c>
      <c r="C142" s="7">
        <v>383236</v>
      </c>
      <c r="D142" s="8"/>
      <c r="E142" s="7" t="s">
        <v>15</v>
      </c>
      <c r="F142" s="7" t="s">
        <v>137</v>
      </c>
      <c r="G142" s="7" t="s">
        <v>120</v>
      </c>
      <c r="H142" s="9" t="s">
        <v>121</v>
      </c>
      <c r="I142" s="9" t="s">
        <v>159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1</v>
      </c>
      <c r="AF142" s="9">
        <v>400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12">
        <v>400</v>
      </c>
      <c r="AV142" s="17">
        <f t="shared" si="4"/>
        <v>400</v>
      </c>
      <c r="AW142" s="1">
        <f t="shared" si="5"/>
        <v>280</v>
      </c>
    </row>
    <row r="143" spans="1:49" ht="28.8" x14ac:dyDescent="0.4">
      <c r="A143" s="7" t="s">
        <v>108</v>
      </c>
      <c r="B143" s="7" t="s">
        <v>163</v>
      </c>
      <c r="C143" s="7">
        <v>393598</v>
      </c>
      <c r="D143" s="8"/>
      <c r="E143" s="7" t="s">
        <v>15</v>
      </c>
      <c r="F143" s="7" t="s">
        <v>119</v>
      </c>
      <c r="G143" s="7" t="s">
        <v>120</v>
      </c>
      <c r="H143" s="9" t="s">
        <v>11</v>
      </c>
      <c r="I143" s="9" t="s">
        <v>146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2</v>
      </c>
      <c r="AF143" s="9">
        <v>200</v>
      </c>
      <c r="AG143" s="9">
        <v>0</v>
      </c>
      <c r="AH143" s="9">
        <v>0</v>
      </c>
      <c r="AI143" s="9">
        <v>0</v>
      </c>
      <c r="AJ143" s="9">
        <v>0</v>
      </c>
      <c r="AK143" s="9">
        <v>1</v>
      </c>
      <c r="AL143" s="9">
        <v>120</v>
      </c>
      <c r="AM143" s="9">
        <v>0</v>
      </c>
      <c r="AN143" s="9">
        <v>36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12">
        <v>320</v>
      </c>
      <c r="AV143" s="17">
        <f t="shared" si="4"/>
        <v>284</v>
      </c>
      <c r="AW143" s="1">
        <f t="shared" si="5"/>
        <v>198.79999999999998</v>
      </c>
    </row>
    <row r="144" spans="1:49" ht="19.2" x14ac:dyDescent="0.4">
      <c r="A144" s="7" t="s">
        <v>108</v>
      </c>
      <c r="B144" s="7" t="s">
        <v>248</v>
      </c>
      <c r="C144" s="7">
        <v>428131</v>
      </c>
      <c r="D144" s="8"/>
      <c r="E144" s="7" t="s">
        <v>15</v>
      </c>
      <c r="F144" s="7" t="s">
        <v>239</v>
      </c>
      <c r="G144" s="7" t="s">
        <v>120</v>
      </c>
      <c r="H144" s="9" t="s">
        <v>121</v>
      </c>
      <c r="I144" s="9" t="s">
        <v>240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1</v>
      </c>
      <c r="AF144" s="9">
        <v>300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12">
        <v>300</v>
      </c>
      <c r="AV144" s="17">
        <f t="shared" si="4"/>
        <v>300</v>
      </c>
      <c r="AW144" s="1">
        <f t="shared" si="5"/>
        <v>210</v>
      </c>
    </row>
    <row r="145" spans="1:49" ht="19.2" x14ac:dyDescent="0.4">
      <c r="A145" s="7" t="s">
        <v>108</v>
      </c>
      <c r="B145" s="7" t="s">
        <v>202</v>
      </c>
      <c r="C145" s="7">
        <v>380275</v>
      </c>
      <c r="D145" s="8"/>
      <c r="E145" s="7" t="s">
        <v>15</v>
      </c>
      <c r="F145" s="7" t="s">
        <v>161</v>
      </c>
      <c r="G145" s="7" t="s">
        <v>120</v>
      </c>
      <c r="H145" s="9" t="s">
        <v>121</v>
      </c>
      <c r="I145" s="9" t="s">
        <v>203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1</v>
      </c>
      <c r="AF145" s="9">
        <v>100</v>
      </c>
      <c r="AG145" s="9">
        <v>0</v>
      </c>
      <c r="AH145" s="9">
        <v>0</v>
      </c>
      <c r="AI145" s="9">
        <v>0</v>
      </c>
      <c r="AJ145" s="9">
        <v>0</v>
      </c>
      <c r="AK145" s="9">
        <v>1</v>
      </c>
      <c r="AL145" s="9">
        <v>120</v>
      </c>
      <c r="AM145" s="9">
        <v>0</v>
      </c>
      <c r="AN145" s="9">
        <v>36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12">
        <v>220</v>
      </c>
      <c r="AV145" s="17">
        <f t="shared" si="4"/>
        <v>184</v>
      </c>
      <c r="AW145" s="1">
        <f t="shared" si="5"/>
        <v>128.79999999999998</v>
      </c>
    </row>
    <row r="146" spans="1:49" ht="19.2" x14ac:dyDescent="0.4">
      <c r="A146" s="7" t="s">
        <v>108</v>
      </c>
      <c r="B146" s="7" t="s">
        <v>139</v>
      </c>
      <c r="C146" s="7">
        <v>464776</v>
      </c>
      <c r="D146" s="8"/>
      <c r="E146" s="7" t="s">
        <v>15</v>
      </c>
      <c r="F146" s="7" t="s">
        <v>140</v>
      </c>
      <c r="G146" s="7" t="s">
        <v>111</v>
      </c>
      <c r="H146" s="9" t="s">
        <v>13</v>
      </c>
      <c r="I146" s="9" t="s">
        <v>141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2</v>
      </c>
      <c r="AF146" s="9">
        <v>200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12">
        <v>200</v>
      </c>
      <c r="AV146" s="17">
        <f t="shared" si="4"/>
        <v>200</v>
      </c>
      <c r="AW146" s="1">
        <f t="shared" si="5"/>
        <v>140</v>
      </c>
    </row>
    <row r="147" spans="1:49" ht="19.2" x14ac:dyDescent="0.4">
      <c r="A147" s="7" t="s">
        <v>108</v>
      </c>
      <c r="B147" s="7" t="s">
        <v>249</v>
      </c>
      <c r="C147" s="7">
        <v>395270</v>
      </c>
      <c r="D147" s="8"/>
      <c r="E147" s="7" t="s">
        <v>15</v>
      </c>
      <c r="F147" s="7" t="s">
        <v>124</v>
      </c>
      <c r="G147" s="7" t="s">
        <v>120</v>
      </c>
      <c r="H147" s="9" t="s">
        <v>11</v>
      </c>
      <c r="I147" s="9" t="s">
        <v>125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2</v>
      </c>
      <c r="AF147" s="9">
        <v>200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12">
        <v>200</v>
      </c>
      <c r="AV147" s="17">
        <f t="shared" si="4"/>
        <v>200</v>
      </c>
      <c r="AW147" s="1">
        <f t="shared" si="5"/>
        <v>140</v>
      </c>
    </row>
    <row r="148" spans="1:49" ht="19.2" x14ac:dyDescent="0.4">
      <c r="A148" s="7" t="s">
        <v>108</v>
      </c>
      <c r="B148" s="7" t="s">
        <v>75</v>
      </c>
      <c r="C148" s="7">
        <v>429496</v>
      </c>
      <c r="D148" s="8"/>
      <c r="E148" s="7" t="s">
        <v>15</v>
      </c>
      <c r="F148" s="7" t="s">
        <v>47</v>
      </c>
      <c r="G148" s="7" t="s">
        <v>12</v>
      </c>
      <c r="H148" s="9" t="s">
        <v>8</v>
      </c>
      <c r="I148" s="9" t="s">
        <v>76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2</v>
      </c>
      <c r="AF148" s="9">
        <v>200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12">
        <v>200</v>
      </c>
      <c r="AV148" s="17">
        <f t="shared" si="4"/>
        <v>200</v>
      </c>
      <c r="AW148" s="1">
        <f t="shared" si="5"/>
        <v>140</v>
      </c>
    </row>
    <row r="149" spans="1:49" ht="19.2" x14ac:dyDescent="0.4">
      <c r="A149" s="7" t="s">
        <v>108</v>
      </c>
      <c r="B149" s="7" t="s">
        <v>250</v>
      </c>
      <c r="C149" s="7">
        <v>383716</v>
      </c>
      <c r="D149" s="8"/>
      <c r="E149" s="7" t="s">
        <v>15</v>
      </c>
      <c r="F149" s="7" t="s">
        <v>153</v>
      </c>
      <c r="G149" s="7" t="s">
        <v>120</v>
      </c>
      <c r="H149" s="9" t="s">
        <v>121</v>
      </c>
      <c r="I149" s="9" t="s">
        <v>208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1</v>
      </c>
      <c r="AL149" s="9">
        <v>120</v>
      </c>
      <c r="AM149" s="9">
        <v>0</v>
      </c>
      <c r="AN149" s="9">
        <v>36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12">
        <v>120</v>
      </c>
      <c r="AV149" s="17">
        <f t="shared" si="4"/>
        <v>84</v>
      </c>
      <c r="AW149" s="1">
        <f t="shared" si="5"/>
        <v>58.8</v>
      </c>
    </row>
    <row r="150" spans="1:49" ht="19.2" x14ac:dyDescent="0.4">
      <c r="A150" s="7" t="s">
        <v>108</v>
      </c>
      <c r="B150" s="7" t="s">
        <v>251</v>
      </c>
      <c r="C150" s="7">
        <v>400251</v>
      </c>
      <c r="D150" s="8"/>
      <c r="E150" s="7" t="s">
        <v>15</v>
      </c>
      <c r="F150" s="7" t="s">
        <v>161</v>
      </c>
      <c r="G150" s="7" t="s">
        <v>120</v>
      </c>
      <c r="H150" s="9" t="s">
        <v>11</v>
      </c>
      <c r="I150" s="9" t="s">
        <v>252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1</v>
      </c>
      <c r="AF150" s="9">
        <v>100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12">
        <v>100</v>
      </c>
      <c r="AV150" s="17">
        <f t="shared" si="4"/>
        <v>100</v>
      </c>
      <c r="AW150" s="1">
        <f t="shared" si="5"/>
        <v>70</v>
      </c>
    </row>
    <row r="151" spans="1:49" ht="19.2" x14ac:dyDescent="0.4">
      <c r="A151" s="7" t="s">
        <v>108</v>
      </c>
      <c r="B151" s="7" t="s">
        <v>167</v>
      </c>
      <c r="C151" s="7">
        <v>386960</v>
      </c>
      <c r="D151" s="8"/>
      <c r="E151" s="7" t="s">
        <v>15</v>
      </c>
      <c r="F151" s="7" t="s">
        <v>168</v>
      </c>
      <c r="G151" s="7" t="s">
        <v>12</v>
      </c>
      <c r="H151" s="9" t="s">
        <v>8</v>
      </c>
      <c r="I151" s="9" t="s">
        <v>169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1</v>
      </c>
      <c r="AF151" s="9">
        <v>100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12">
        <v>100</v>
      </c>
      <c r="AV151" s="17">
        <f t="shared" si="4"/>
        <v>100</v>
      </c>
      <c r="AW151" s="1">
        <f t="shared" si="5"/>
        <v>70</v>
      </c>
    </row>
    <row r="152" spans="1:49" ht="19.2" x14ac:dyDescent="0.4">
      <c r="A152" s="7" t="s">
        <v>108</v>
      </c>
      <c r="B152" s="7" t="s">
        <v>142</v>
      </c>
      <c r="C152" s="7">
        <v>412919</v>
      </c>
      <c r="D152" s="8"/>
      <c r="E152" s="7" t="s">
        <v>15</v>
      </c>
      <c r="F152" s="7" t="s">
        <v>143</v>
      </c>
      <c r="G152" s="7" t="s">
        <v>120</v>
      </c>
      <c r="H152" s="9" t="s">
        <v>11</v>
      </c>
      <c r="I152" s="9" t="s">
        <v>144</v>
      </c>
      <c r="J152" s="9">
        <v>0</v>
      </c>
      <c r="K152" s="9">
        <v>139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1</v>
      </c>
      <c r="AF152" s="9">
        <v>0</v>
      </c>
      <c r="AG152" s="9">
        <v>100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12">
        <v>100</v>
      </c>
      <c r="AV152" s="17">
        <f t="shared" si="4"/>
        <v>100</v>
      </c>
      <c r="AW152" s="1">
        <f t="shared" si="5"/>
        <v>70</v>
      </c>
    </row>
    <row r="153" spans="1:49" ht="28.8" x14ac:dyDescent="0.4">
      <c r="A153" s="7" t="s">
        <v>108</v>
      </c>
      <c r="B153" s="7" t="s">
        <v>51</v>
      </c>
      <c r="C153" s="7">
        <v>219203</v>
      </c>
      <c r="D153" s="8"/>
      <c r="E153" s="7" t="s">
        <v>15</v>
      </c>
      <c r="F153" s="7" t="s">
        <v>52</v>
      </c>
      <c r="G153" s="7" t="s">
        <v>12</v>
      </c>
      <c r="H153" s="9" t="s">
        <v>8</v>
      </c>
      <c r="I153" s="9" t="s">
        <v>53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1</v>
      </c>
      <c r="AC153" s="9">
        <v>0</v>
      </c>
      <c r="AD153" s="9">
        <v>100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12">
        <v>100</v>
      </c>
      <c r="AV153" s="17">
        <f t="shared" si="4"/>
        <v>100</v>
      </c>
      <c r="AW153" s="1">
        <f t="shared" si="5"/>
        <v>70</v>
      </c>
    </row>
    <row r="154" spans="1:49" ht="19.2" x14ac:dyDescent="0.4">
      <c r="A154" s="7" t="s">
        <v>108</v>
      </c>
      <c r="B154" s="7" t="s">
        <v>55</v>
      </c>
      <c r="C154" s="7">
        <v>442274</v>
      </c>
      <c r="D154" s="8"/>
      <c r="E154" s="7" t="s">
        <v>15</v>
      </c>
      <c r="F154" s="7" t="s">
        <v>56</v>
      </c>
      <c r="G154" s="7" t="s">
        <v>12</v>
      </c>
      <c r="H154" s="9" t="s">
        <v>8</v>
      </c>
      <c r="I154" s="9" t="s">
        <v>94</v>
      </c>
      <c r="J154" s="9">
        <v>0</v>
      </c>
      <c r="K154" s="9">
        <v>1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12">
        <v>0</v>
      </c>
      <c r="AV154" s="17">
        <f t="shared" si="4"/>
        <v>0</v>
      </c>
      <c r="AW154" s="1">
        <f t="shared" si="5"/>
        <v>0</v>
      </c>
    </row>
    <row r="155" spans="1:49" x14ac:dyDescent="0.4">
      <c r="AW155" s="19">
        <f>SUM(AW2:AW154)</f>
        <v>909813.8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2022-05-03T11:27:17Z</dcterms:modified>
</cp:coreProperties>
</file>