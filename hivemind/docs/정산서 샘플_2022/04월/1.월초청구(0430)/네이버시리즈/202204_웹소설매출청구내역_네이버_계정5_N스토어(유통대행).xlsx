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4월마감\월초청구\네이버시리즈\"/>
    </mc:Choice>
  </mc:AlternateContent>
  <bookViews>
    <workbookView xWindow="0" yWindow="0" windowWidth="23040" windowHeight="8952" tabRatio="716"/>
  </bookViews>
  <sheets>
    <sheet name="합계 (4)" sheetId="283" r:id="rId1"/>
  </sheets>
  <definedNames>
    <definedName name="_xlnm._FilterDatabase" localSheetId="0" hidden="1">'합계 (4)'!$A$1:$AW$69</definedName>
    <definedName name="_xlnm.Extract" localSheetId="0">'합계 (4)'!#REF!</definedName>
  </definedNames>
  <calcPr calcId="152511"/>
</workbook>
</file>

<file path=xl/calcChain.xml><?xml version="1.0" encoding="utf-8"?>
<calcChain xmlns="http://schemas.openxmlformats.org/spreadsheetml/2006/main">
  <c r="AW79" i="283" l="1"/>
  <c r="AW69" i="283"/>
  <c r="AW70" i="283"/>
  <c r="AW71" i="283"/>
  <c r="AW72" i="283"/>
  <c r="AW73" i="283"/>
  <c r="AW74" i="283"/>
  <c r="AW75" i="283"/>
  <c r="AW76" i="283"/>
  <c r="AW77" i="283"/>
  <c r="AW78" i="283"/>
  <c r="AV69" i="283"/>
  <c r="AV70" i="283"/>
  <c r="AV71" i="283"/>
  <c r="AV72" i="283"/>
  <c r="AV73" i="283"/>
  <c r="AV74" i="283"/>
  <c r="AV75" i="283"/>
  <c r="AV76" i="283"/>
  <c r="AV77" i="283"/>
  <c r="AV78" i="283"/>
  <c r="AV61" i="283" l="1"/>
  <c r="AW61" i="283" s="1"/>
  <c r="AV62" i="283"/>
  <c r="AW62" i="283" s="1"/>
  <c r="AV63" i="283"/>
  <c r="AW63" i="283" s="1"/>
  <c r="AV64" i="283"/>
  <c r="AW64" i="283" s="1"/>
  <c r="AV65" i="283"/>
  <c r="AW65" i="283" s="1"/>
  <c r="AV66" i="283"/>
  <c r="AW66" i="283" s="1"/>
  <c r="AV67" i="283"/>
  <c r="AW67" i="283" s="1"/>
  <c r="AV68" i="283"/>
  <c r="AW68" i="283" s="1"/>
  <c r="AV47" i="283" l="1"/>
  <c r="AW47" i="283" s="1"/>
  <c r="AV48" i="283"/>
  <c r="AW48" i="283" s="1"/>
  <c r="AV49" i="283"/>
  <c r="AW49" i="283" s="1"/>
  <c r="AV50" i="283"/>
  <c r="AW50" i="283" s="1"/>
  <c r="AV51" i="283"/>
  <c r="AW51" i="283" s="1"/>
  <c r="AV52" i="283"/>
  <c r="AW52" i="283" s="1"/>
  <c r="AV53" i="283"/>
  <c r="AW53" i="283" s="1"/>
  <c r="AV54" i="283"/>
  <c r="AW54" i="283" s="1"/>
  <c r="AV55" i="283"/>
  <c r="AW55" i="283" s="1"/>
  <c r="AV56" i="283"/>
  <c r="AW56" i="283" s="1"/>
  <c r="AV57" i="283"/>
  <c r="AW57" i="283" s="1"/>
  <c r="AV58" i="283"/>
  <c r="AW58" i="283" s="1"/>
  <c r="AV59" i="283"/>
  <c r="AW59" i="283" s="1"/>
  <c r="AV60" i="283"/>
  <c r="AW60" i="283" s="1"/>
  <c r="AV3" i="283" l="1"/>
  <c r="AV4" i="283"/>
  <c r="AV5" i="283"/>
  <c r="AV6" i="283"/>
  <c r="AV7" i="283"/>
  <c r="AV8" i="283"/>
  <c r="AV9" i="283"/>
  <c r="AV10" i="283"/>
  <c r="AV11" i="283"/>
  <c r="AV12" i="283"/>
  <c r="AV13" i="283"/>
  <c r="AV14" i="283"/>
  <c r="AV15" i="283"/>
  <c r="AV16" i="283"/>
  <c r="AV17" i="283"/>
  <c r="AV18" i="283"/>
  <c r="AV19" i="283"/>
  <c r="AV20" i="283"/>
  <c r="AV21" i="283"/>
  <c r="AV22" i="283"/>
  <c r="AV23" i="283"/>
  <c r="AV24" i="283"/>
  <c r="AV25" i="283"/>
  <c r="AV26" i="283"/>
  <c r="AV27" i="283"/>
  <c r="AV28" i="283"/>
  <c r="AV29" i="283"/>
  <c r="AV30" i="283"/>
  <c r="AV31" i="283"/>
  <c r="AV32" i="283"/>
  <c r="AV33" i="283"/>
  <c r="AV34" i="283"/>
  <c r="AV35" i="283"/>
  <c r="AV36" i="283"/>
  <c r="AV37" i="283"/>
  <c r="AV38" i="283"/>
  <c r="AV39" i="283"/>
  <c r="AV40" i="283"/>
  <c r="AV41" i="283"/>
  <c r="AV42" i="283"/>
  <c r="AV43" i="283"/>
  <c r="AV44" i="283"/>
  <c r="AV45" i="283"/>
  <c r="AV46" i="283"/>
  <c r="AV2" i="283"/>
  <c r="AW3" i="283" l="1"/>
  <c r="AW4" i="283"/>
  <c r="AW5" i="283"/>
  <c r="AW6" i="283"/>
  <c r="AW7" i="283"/>
  <c r="AW8" i="283"/>
  <c r="AW9" i="283"/>
  <c r="AW10" i="283"/>
  <c r="AW11" i="283"/>
  <c r="AW12" i="283"/>
  <c r="AW13" i="283"/>
  <c r="AW14" i="283"/>
  <c r="AW15" i="283"/>
  <c r="AW16" i="283"/>
  <c r="AW17" i="283"/>
  <c r="AW18" i="283"/>
  <c r="AW19" i="283"/>
  <c r="AW20" i="283"/>
  <c r="AW21" i="283"/>
  <c r="AW22" i="283"/>
  <c r="AW23" i="283"/>
  <c r="AW24" i="283"/>
  <c r="AW25" i="283"/>
  <c r="AW26" i="283"/>
  <c r="AW27" i="283"/>
  <c r="AW28" i="283"/>
  <c r="AW29" i="283"/>
  <c r="AW30" i="283"/>
  <c r="AW31" i="283"/>
  <c r="AW32" i="283"/>
  <c r="AW33" i="283"/>
  <c r="AW34" i="283"/>
  <c r="AW35" i="283"/>
  <c r="AW36" i="283"/>
  <c r="AW37" i="283"/>
  <c r="AW38" i="283"/>
  <c r="AW39" i="283"/>
  <c r="AW40" i="283"/>
  <c r="AW41" i="283"/>
  <c r="AW42" i="283"/>
  <c r="AW43" i="283"/>
  <c r="AW44" i="283"/>
  <c r="AW45" i="283"/>
  <c r="AW46" i="283"/>
  <c r="AW2" i="283" l="1"/>
</calcChain>
</file>

<file path=xl/sharedStrings.xml><?xml version="1.0" encoding="utf-8"?>
<sst xmlns="http://schemas.openxmlformats.org/spreadsheetml/2006/main" count="588" uniqueCount="166">
  <si>
    <t>컨텐츠</t>
  </si>
  <si>
    <t>컨텐츠No</t>
  </si>
  <si>
    <t>공급자코드</t>
  </si>
  <si>
    <t>CP명</t>
  </si>
  <si>
    <t>작가명</t>
  </si>
  <si>
    <t>출판사</t>
  </si>
  <si>
    <t>나이제한</t>
  </si>
  <si>
    <t>서비스일</t>
  </si>
  <si>
    <t>전체이용가</t>
  </si>
  <si>
    <t>15세 이상 이용가능</t>
  </si>
  <si>
    <t>구분</t>
    <phoneticPr fontId="20" type="noConversion"/>
  </si>
  <si>
    <t>건수</t>
  </si>
  <si>
    <t>비정산</t>
  </si>
  <si>
    <t>무료이용권</t>
  </si>
  <si>
    <t>유상쿠키</t>
  </si>
  <si>
    <t>무상쿠키</t>
  </si>
  <si>
    <t>유상i쿠키</t>
  </si>
  <si>
    <t>무상i쿠키</t>
  </si>
  <si>
    <t>유상자동충전쿠키</t>
  </si>
  <si>
    <t>무상자동충전쿠키</t>
  </si>
  <si>
    <t>유상</t>
  </si>
  <si>
    <t>무상</t>
  </si>
  <si>
    <t>i쿠키 수수료</t>
  </si>
  <si>
    <t>합계</t>
  </si>
  <si>
    <t>순매출(합계-수수료)</t>
    <phoneticPr fontId="20" type="noConversion"/>
  </si>
  <si>
    <t>SW 매출</t>
    <phoneticPr fontId="20" type="noConversion"/>
  </si>
  <si>
    <t>스토리위즈_2</t>
  </si>
  <si>
    <t>협행마</t>
  </si>
  <si>
    <t>용가리맛쿠키</t>
  </si>
  <si>
    <t>19세 이상 이용가능</t>
  </si>
  <si>
    <t>2020.04.09</t>
  </si>
  <si>
    <t>대공의 아내 [단행본]</t>
  </si>
  <si>
    <t>문시티</t>
  </si>
  <si>
    <t>2020.01.16</t>
  </si>
  <si>
    <t>더티독 외전 [BL][단행본]</t>
  </si>
  <si>
    <t>최재봉</t>
  </si>
  <si>
    <t>2020.05.18</t>
  </si>
  <si>
    <t>남창목가 [단행본]</t>
  </si>
  <si>
    <t>에필로그</t>
  </si>
  <si>
    <t>사냥꾼은 마왕이 되기 싫다 [독점]</t>
  </si>
  <si>
    <t>강명운</t>
  </si>
  <si>
    <t>백범(白帆)</t>
  </si>
  <si>
    <t>진짜 사나이 [단행본]</t>
  </si>
  <si>
    <t>2021.12.15</t>
  </si>
  <si>
    <t>sJessi</t>
  </si>
  <si>
    <t>기획에 산다</t>
  </si>
  <si>
    <t>2022.01.03</t>
  </si>
  <si>
    <t>너만 보면 두근두근 [단행본]</t>
  </si>
  <si>
    <t>정경하</t>
  </si>
  <si>
    <t>2022.01.14</t>
  </si>
  <si>
    <t>설국연가 [단행본]</t>
  </si>
  <si>
    <t>마뇽</t>
  </si>
  <si>
    <t>2022.01.17</t>
  </si>
  <si>
    <t>분홍의 작약 [단행본]</t>
  </si>
  <si>
    <t>송여희</t>
  </si>
  <si>
    <t>2022.01.12</t>
  </si>
  <si>
    <t>더 캡틴 [단행본]</t>
  </si>
  <si>
    <t>2022.01.21</t>
  </si>
  <si>
    <t>나나코</t>
  </si>
  <si>
    <t>더 캡틴</t>
  </si>
  <si>
    <t>연애의 시작 [단행본]</t>
  </si>
  <si>
    <t>차크</t>
  </si>
  <si>
    <t>2022.02.18</t>
  </si>
  <si>
    <t>키도</t>
  </si>
  <si>
    <t>남창목가 [외전 독점]</t>
  </si>
  <si>
    <t>2019.11.18</t>
  </si>
  <si>
    <t>N스토어(PC)</t>
    <phoneticPr fontId="20" type="noConversion"/>
  </si>
  <si>
    <t>PC뷰어(PC)</t>
    <phoneticPr fontId="20" type="noConversion"/>
  </si>
  <si>
    <t>폭군의 공물 [BL][단행본]</t>
  </si>
  <si>
    <t>여러해살이풀</t>
  </si>
  <si>
    <t>2019.03.08</t>
  </si>
  <si>
    <t>N스토어(MW)</t>
    <phoneticPr fontId="20" type="noConversion"/>
  </si>
  <si>
    <t>이차적 일탈 [단행본]</t>
  </si>
  <si>
    <t>서혜은</t>
  </si>
  <si>
    <t>2022.03.04</t>
  </si>
  <si>
    <t>12세 이상 이용가능</t>
  </si>
  <si>
    <t>법보다 주먹</t>
  </si>
  <si>
    <t>2022.03.16</t>
  </si>
  <si>
    <t>전설이 돼라 [개정판][단행본]</t>
  </si>
  <si>
    <t>2022.03.02</t>
  </si>
  <si>
    <t>악당의 리턴! [단행본]</t>
  </si>
  <si>
    <t>2019.11.26</t>
  </si>
  <si>
    <t>더티독 [BL]</t>
  </si>
  <si>
    <t>2020.04.13</t>
  </si>
  <si>
    <t>전설이 돼라 [개정판]</t>
  </si>
  <si>
    <t>전장의 금기 [단행본]</t>
  </si>
  <si>
    <t>2020.09.13</t>
  </si>
  <si>
    <t>이리 와 봐 [단행본]</t>
  </si>
  <si>
    <t>최강주</t>
  </si>
  <si>
    <t>2018.08.30</t>
  </si>
  <si>
    <t>불건전한 수컷 [단행본]</t>
  </si>
  <si>
    <t>2020.10.31</t>
  </si>
  <si>
    <t>이예즈</t>
  </si>
  <si>
    <t>당신이 있는 풍경 [BL][단행본]</t>
  </si>
  <si>
    <t>김귤</t>
  </si>
  <si>
    <t>2018.06.12</t>
  </si>
  <si>
    <t>이세계 최강 군바리</t>
  </si>
  <si>
    <t>2019.07.31</t>
  </si>
  <si>
    <t>일교차 [단행본]</t>
  </si>
  <si>
    <t>해화</t>
  </si>
  <si>
    <t>밀리오리지널</t>
  </si>
  <si>
    <t>2022.04.08</t>
  </si>
  <si>
    <t>법보다 주먹 [단행본]</t>
  </si>
  <si>
    <t>2022.04.13</t>
  </si>
  <si>
    <t>슈크림 [단행본]</t>
  </si>
  <si>
    <t>송미선</t>
  </si>
  <si>
    <t>2022.04.15</t>
  </si>
  <si>
    <t>정략결혼 [단행본]</t>
  </si>
  <si>
    <t>수련</t>
  </si>
  <si>
    <t>남궁세가 건달공자 [단행본]</t>
  </si>
  <si>
    <t>스토리위즈</t>
  </si>
  <si>
    <t>2019.06.18</t>
  </si>
  <si>
    <t>쉬라즈</t>
  </si>
  <si>
    <t>여우비가 내리던 날 [BL][단행본]</t>
  </si>
  <si>
    <t>블러쉬</t>
  </si>
  <si>
    <t>2020.11.16</t>
  </si>
  <si>
    <t>넘어와 [단행본]</t>
  </si>
  <si>
    <t>2022.04.04</t>
  </si>
  <si>
    <t>이세계 최강 군바리 [단행본]</t>
  </si>
  <si>
    <t>2019.11.04</t>
  </si>
  <si>
    <t>무림병장 [단행본]</t>
  </si>
  <si>
    <t>2021.02.08</t>
  </si>
  <si>
    <t>나는 내 연인의 것 외전 [BL][단행본]</t>
  </si>
  <si>
    <t>SISSI</t>
  </si>
  <si>
    <t>2021.02.01</t>
  </si>
  <si>
    <t>이리 와 봐 외전 [단행본]</t>
  </si>
  <si>
    <t>2018.10.19</t>
  </si>
  <si>
    <t>진짜 사나이</t>
  </si>
  <si>
    <t>집착의 맛</t>
  </si>
  <si>
    <t>2021.12.31</t>
  </si>
  <si>
    <t>스토리아크</t>
  </si>
  <si>
    <t>강호, 미치다</t>
  </si>
  <si>
    <t>2019.09.18</t>
  </si>
  <si>
    <t>신사동 그 사람 [BL][단행본]</t>
  </si>
  <si>
    <t>2021.04.17</t>
  </si>
  <si>
    <t>담군 연사장 [BL][단행본]</t>
  </si>
  <si>
    <t>피모</t>
  </si>
  <si>
    <t>2018.10.16</t>
  </si>
  <si>
    <t>더티독 [BL][단행본]</t>
  </si>
  <si>
    <t>지하철 앤솔로지 [단행본]</t>
  </si>
  <si>
    <t>도큐진</t>
  </si>
  <si>
    <t>스토리위드</t>
  </si>
  <si>
    <t>로맨틱 아이디얼(Romantic Ideal) [BL][단행본]</t>
  </si>
  <si>
    <t>2019.01.24</t>
  </si>
  <si>
    <t>나는 내 연인의 것 [BL][단행본]</t>
  </si>
  <si>
    <t>오늘의 날씨 [BL][단행본]</t>
  </si>
  <si>
    <t>2018.11.23</t>
  </si>
  <si>
    <t>우리의 봄, 나의 개나리 [BL] [단행본]</t>
  </si>
  <si>
    <t>마연(연필깎이)</t>
  </si>
  <si>
    <t>비엘스토리</t>
  </si>
  <si>
    <t>젠장 맞을 사랑 [BL] [단행본]</t>
  </si>
  <si>
    <t>한슬</t>
  </si>
  <si>
    <t>2018.06.28</t>
  </si>
  <si>
    <t>세이브 미(Save Me) [단행본]</t>
  </si>
  <si>
    <t>우유양</t>
  </si>
  <si>
    <t>2022.01.26</t>
  </si>
  <si>
    <t>네이처 너처 (Nature Nurture) [BL] [단행본]</t>
  </si>
  <si>
    <t>2018.05.15</t>
  </si>
  <si>
    <t>붉은 정자-살라댕 [단행본]</t>
  </si>
  <si>
    <t>라벤더블루</t>
  </si>
  <si>
    <t>2022.01.10</t>
  </si>
  <si>
    <t>신사동 그 사람 외전 [BL][단행본]</t>
  </si>
  <si>
    <t>담군 연사장 외전 [BL][단행본]</t>
  </si>
  <si>
    <t>마티네(Matinée) 외전 [BL][단행본]</t>
  </si>
  <si>
    <t>2020.10.30</t>
  </si>
  <si>
    <t>여우비가 내리던 날 외전 [BL][단행본]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</si>
</sst>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6" formatCode="#,##0.00_ "/>
  </numFmts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7"/>
      <color theme="1"/>
      <name val="맑은 고딕"/>
      <family val="3"/>
      <charset val="129"/>
      <scheme val="minor"/>
    </font>
    <font>
      <b/>
      <sz val="7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7"/>
      <color rgb="FFFF0000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0" xfId="0" applyFont="1" applyFill="1" applyBorder="1" applyAlignment="1">
      <alignment vertical="center" wrapText="1"/>
    </xf>
    <xf numFmtId="0" fontId="18" fillId="33" borderId="0" xfId="0" applyFont="1" applyFill="1" applyBorder="1" applyAlignment="1">
      <alignment vertical="center" wrapText="1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3" fontId="18" fillId="0" borderId="0" xfId="0" applyNumberFormat="1" applyFont="1" applyAlignment="1">
      <alignment vertical="center" wrapText="1"/>
    </xf>
    <xf numFmtId="4" fontId="21" fillId="0" borderId="0" xfId="0" applyNumberFormat="1" applyFont="1" applyAlignment="1">
      <alignment vertical="center" wrapText="1"/>
    </xf>
    <xf numFmtId="0" fontId="21" fillId="0" borderId="0" xfId="0" applyFont="1" applyAlignment="1">
      <alignment vertical="center" wrapText="1"/>
    </xf>
    <xf numFmtId="0" fontId="19" fillId="33" borderId="0" xfId="0" applyFont="1" applyFill="1" applyAlignment="1">
      <alignment horizontal="center" vertical="center" wrapText="1"/>
    </xf>
    <xf numFmtId="0" fontId="19" fillId="34" borderId="0" xfId="0" applyFont="1" applyFill="1" applyAlignment="1">
      <alignment horizontal="center" vertical="center" wrapText="1"/>
    </xf>
    <xf numFmtId="176" fontId="0" fillId="0" borderId="0" xfId="0" applyNumberFormat="1">
      <alignment vertical="center"/>
    </xf>
    <xf numFmtId="4" fontId="18" fillId="0" borderId="0" xfId="0" applyNumberFormat="1" applyFont="1" applyAlignment="1">
      <alignment vertical="center" wrapText="1"/>
    </xf>
    <xf numFmtId="41" fontId="0" fillId="34" borderId="0" xfId="42" applyFont="1" applyFill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W79"/>
  <sheetViews>
    <sheetView tabSelected="1" topLeftCell="T1" zoomScale="81" zoomScaleNormal="81" workbookViewId="0">
      <selection activeCell="X16" sqref="X16"/>
    </sheetView>
  </sheetViews>
  <sheetFormatPr defaultRowHeight="17.399999999999999" x14ac:dyDescent="0.4"/>
  <cols>
    <col min="1" max="1" width="12.296875" style="1" customWidth="1"/>
    <col min="2" max="2" width="20" bestFit="1" customWidth="1"/>
    <col min="3" max="3" width="6.5" customWidth="1"/>
    <col min="4" max="4" width="7.19921875" customWidth="1"/>
    <col min="5" max="5" width="10" customWidth="1"/>
    <col min="6" max="6" width="10.296875" customWidth="1"/>
    <col min="7" max="7" width="10" bestFit="1" customWidth="1"/>
    <col min="8" max="8" width="10" customWidth="1"/>
    <col min="9" max="9" width="13.59765625" customWidth="1"/>
    <col min="10" max="10" width="7.3984375" customWidth="1"/>
    <col min="11" max="11" width="4.296875" customWidth="1"/>
    <col min="12" max="12" width="4.796875" customWidth="1"/>
    <col min="13" max="13" width="7.19921875" customWidth="1"/>
    <col min="14" max="14" width="6.69921875" customWidth="1"/>
    <col min="15" max="15" width="6" customWidth="1"/>
    <col min="16" max="17" width="6.296875" customWidth="1"/>
    <col min="18" max="18" width="5" customWidth="1"/>
    <col min="19" max="19" width="4.796875" customWidth="1"/>
    <col min="20" max="20" width="7.19921875" customWidth="1"/>
    <col min="21" max="21" width="6.69921875" customWidth="1"/>
    <col min="22" max="22" width="6" customWidth="1"/>
    <col min="23" max="24" width="6.296875" customWidth="1"/>
    <col min="25" max="25" width="3.59765625" customWidth="1"/>
    <col min="26" max="26" width="5" customWidth="1"/>
    <col min="27" max="28" width="3.59765625" customWidth="1"/>
    <col min="29" max="29" width="5" customWidth="1"/>
    <col min="30" max="30" width="4.296875" customWidth="1"/>
    <col min="31" max="36" width="3.59765625" customWidth="1"/>
    <col min="37" max="37" width="7.8984375" customWidth="1"/>
    <col min="38" max="39" width="12.8984375" bestFit="1" customWidth="1"/>
    <col min="40" max="40" width="12.296875" bestFit="1" customWidth="1"/>
    <col min="47" max="48" width="12.796875" bestFit="1" customWidth="1"/>
    <col min="49" max="49" width="13.5" bestFit="1" customWidth="1"/>
  </cols>
  <sheetData>
    <row r="1" spans="1:49" ht="25.8" customHeight="1" x14ac:dyDescent="0.4">
      <c r="A1" s="2" t="s">
        <v>10</v>
      </c>
      <c r="B1" s="2" t="s">
        <v>0</v>
      </c>
      <c r="C1" s="2" t="s">
        <v>1</v>
      </c>
      <c r="D1" s="3" t="s">
        <v>2</v>
      </c>
      <c r="E1" s="2" t="s">
        <v>3</v>
      </c>
      <c r="F1" s="2" t="s">
        <v>4</v>
      </c>
      <c r="G1" s="2" t="s">
        <v>5</v>
      </c>
      <c r="H1" s="3" t="s">
        <v>6</v>
      </c>
      <c r="I1" s="3" t="s">
        <v>7</v>
      </c>
      <c r="J1" s="10" t="s">
        <v>11</v>
      </c>
      <c r="K1" s="10" t="s">
        <v>12</v>
      </c>
      <c r="L1" s="10" t="s">
        <v>13</v>
      </c>
      <c r="M1" s="10" t="s">
        <v>14</v>
      </c>
      <c r="N1" s="10" t="s">
        <v>15</v>
      </c>
      <c r="O1" s="10" t="s">
        <v>16</v>
      </c>
      <c r="P1" s="10" t="s">
        <v>17</v>
      </c>
      <c r="Q1" s="10" t="s">
        <v>18</v>
      </c>
      <c r="R1" s="10" t="s">
        <v>19</v>
      </c>
      <c r="S1" s="10" t="s">
        <v>11</v>
      </c>
      <c r="T1" s="10" t="s">
        <v>12</v>
      </c>
      <c r="U1" s="10" t="s">
        <v>13</v>
      </c>
      <c r="V1" s="10" t="s">
        <v>14</v>
      </c>
      <c r="W1" s="10" t="s">
        <v>15</v>
      </c>
      <c r="X1" s="10" t="s">
        <v>16</v>
      </c>
      <c r="Y1" s="10" t="s">
        <v>17</v>
      </c>
      <c r="Z1" s="10" t="s">
        <v>18</v>
      </c>
      <c r="AA1" s="10" t="s">
        <v>19</v>
      </c>
      <c r="AB1" s="10" t="s">
        <v>11</v>
      </c>
      <c r="AC1" s="10" t="s">
        <v>20</v>
      </c>
      <c r="AD1" s="10" t="s">
        <v>21</v>
      </c>
      <c r="AE1" s="10" t="s">
        <v>11</v>
      </c>
      <c r="AF1" s="10" t="s">
        <v>20</v>
      </c>
      <c r="AG1" s="10" t="s">
        <v>21</v>
      </c>
      <c r="AH1" s="10" t="s">
        <v>11</v>
      </c>
      <c r="AI1" s="10" t="s">
        <v>20</v>
      </c>
      <c r="AJ1" s="10" t="s">
        <v>21</v>
      </c>
      <c r="AK1" s="10" t="s">
        <v>11</v>
      </c>
      <c r="AL1" s="10" t="s">
        <v>20</v>
      </c>
      <c r="AM1" s="10" t="s">
        <v>21</v>
      </c>
      <c r="AN1" s="11" t="s">
        <v>22</v>
      </c>
      <c r="AO1" s="10" t="s">
        <v>11</v>
      </c>
      <c r="AP1" s="10" t="s">
        <v>20</v>
      </c>
      <c r="AQ1" s="10" t="s">
        <v>21</v>
      </c>
      <c r="AR1" s="10" t="s">
        <v>11</v>
      </c>
      <c r="AS1" s="10" t="s">
        <v>20</v>
      </c>
      <c r="AT1" s="10" t="s">
        <v>21</v>
      </c>
      <c r="AU1" s="11" t="s">
        <v>23</v>
      </c>
      <c r="AV1" s="10" t="s">
        <v>24</v>
      </c>
      <c r="AW1" s="11" t="s">
        <v>25</v>
      </c>
    </row>
    <row r="2" spans="1:49" ht="19.2" x14ac:dyDescent="0.4">
      <c r="A2" s="1" t="s">
        <v>66</v>
      </c>
      <c r="B2" s="4" t="s">
        <v>98</v>
      </c>
      <c r="C2" s="4">
        <v>464786</v>
      </c>
      <c r="D2" s="5"/>
      <c r="E2" s="4" t="s">
        <v>26</v>
      </c>
      <c r="F2" s="4" t="s">
        <v>99</v>
      </c>
      <c r="G2" s="4" t="s">
        <v>100</v>
      </c>
      <c r="H2" s="6" t="s">
        <v>75</v>
      </c>
      <c r="I2" s="6" t="s">
        <v>101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7</v>
      </c>
      <c r="AF2" s="7">
        <v>7500</v>
      </c>
      <c r="AG2" s="7">
        <v>10000</v>
      </c>
      <c r="AH2" s="6">
        <v>0</v>
      </c>
      <c r="AI2" s="6">
        <v>0</v>
      </c>
      <c r="AJ2" s="6">
        <v>0</v>
      </c>
      <c r="AK2" s="6">
        <v>0</v>
      </c>
      <c r="AL2" s="6">
        <v>0</v>
      </c>
      <c r="AM2" s="6">
        <v>0</v>
      </c>
      <c r="AN2" s="6">
        <v>0</v>
      </c>
      <c r="AO2" s="6">
        <v>0</v>
      </c>
      <c r="AP2" s="6">
        <v>0</v>
      </c>
      <c r="AQ2" s="6">
        <v>0</v>
      </c>
      <c r="AR2" s="6">
        <v>0</v>
      </c>
      <c r="AS2" s="6">
        <v>0</v>
      </c>
      <c r="AT2" s="6">
        <v>0</v>
      </c>
      <c r="AU2" s="8">
        <v>17500</v>
      </c>
      <c r="AV2" s="12">
        <f>AU2-AN2</f>
        <v>17500</v>
      </c>
      <c r="AW2">
        <f>AV2*70%</f>
        <v>12250</v>
      </c>
    </row>
    <row r="3" spans="1:49" ht="19.2" x14ac:dyDescent="0.4">
      <c r="A3" s="1" t="s">
        <v>66</v>
      </c>
      <c r="B3" s="4" t="s">
        <v>102</v>
      </c>
      <c r="C3" s="4">
        <v>465998</v>
      </c>
      <c r="D3" s="5"/>
      <c r="E3" s="4" t="s">
        <v>26</v>
      </c>
      <c r="F3" s="4" t="s">
        <v>41</v>
      </c>
      <c r="G3" s="4" t="s">
        <v>38</v>
      </c>
      <c r="H3" s="6" t="s">
        <v>75</v>
      </c>
      <c r="I3" s="6" t="s">
        <v>103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18</v>
      </c>
      <c r="AC3" s="7">
        <v>16100</v>
      </c>
      <c r="AD3" s="6">
        <v>100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  <c r="AK3" s="6">
        <v>0</v>
      </c>
      <c r="AL3" s="6">
        <v>0</v>
      </c>
      <c r="AM3" s="6">
        <v>0</v>
      </c>
      <c r="AN3" s="6">
        <v>0</v>
      </c>
      <c r="AO3" s="6">
        <v>0</v>
      </c>
      <c r="AP3" s="6">
        <v>0</v>
      </c>
      <c r="AQ3" s="6">
        <v>0</v>
      </c>
      <c r="AR3" s="6">
        <v>0</v>
      </c>
      <c r="AS3" s="6">
        <v>0</v>
      </c>
      <c r="AT3" s="6">
        <v>0</v>
      </c>
      <c r="AU3" s="8">
        <v>16200</v>
      </c>
      <c r="AV3" s="12">
        <f t="shared" ref="AV3:AV46" si="0">AU3-AN3</f>
        <v>16200</v>
      </c>
      <c r="AW3">
        <f t="shared" ref="AW3:AW46" si="1">AV3*70%</f>
        <v>11340</v>
      </c>
    </row>
    <row r="4" spans="1:49" ht="19.2" x14ac:dyDescent="0.4">
      <c r="A4" s="1" t="s">
        <v>66</v>
      </c>
      <c r="B4" s="4" t="s">
        <v>76</v>
      </c>
      <c r="C4" s="4">
        <v>451051</v>
      </c>
      <c r="D4" s="5"/>
      <c r="E4" s="4" t="s">
        <v>26</v>
      </c>
      <c r="F4" s="4" t="s">
        <v>41</v>
      </c>
      <c r="G4" s="4" t="s">
        <v>38</v>
      </c>
      <c r="H4" s="6" t="s">
        <v>75</v>
      </c>
      <c r="I4" s="6" t="s">
        <v>77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86</v>
      </c>
      <c r="AF4" s="7">
        <v>8600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  <c r="AR4" s="6">
        <v>7</v>
      </c>
      <c r="AS4" s="6">
        <v>700</v>
      </c>
      <c r="AT4" s="6">
        <v>0</v>
      </c>
      <c r="AU4" s="8">
        <v>9300</v>
      </c>
      <c r="AV4" s="12">
        <f t="shared" si="0"/>
        <v>9300</v>
      </c>
      <c r="AW4">
        <f t="shared" si="1"/>
        <v>6510</v>
      </c>
    </row>
    <row r="5" spans="1:49" ht="19.2" x14ac:dyDescent="0.4">
      <c r="A5" s="1" t="s">
        <v>66</v>
      </c>
      <c r="B5" s="4" t="s">
        <v>104</v>
      </c>
      <c r="C5" s="4">
        <v>464792</v>
      </c>
      <c r="D5" s="5"/>
      <c r="E5" s="4" t="s">
        <v>26</v>
      </c>
      <c r="F5" s="4" t="s">
        <v>105</v>
      </c>
      <c r="G5" s="4" t="s">
        <v>100</v>
      </c>
      <c r="H5" s="6" t="s">
        <v>29</v>
      </c>
      <c r="I5" s="6" t="s">
        <v>106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1</v>
      </c>
      <c r="AF5" s="7">
        <v>2500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2</v>
      </c>
      <c r="AS5" s="7">
        <v>5000</v>
      </c>
      <c r="AT5" s="6">
        <v>0</v>
      </c>
      <c r="AU5" s="8">
        <v>7500</v>
      </c>
      <c r="AV5" s="12">
        <f t="shared" si="0"/>
        <v>7500</v>
      </c>
      <c r="AW5">
        <f t="shared" si="1"/>
        <v>5250</v>
      </c>
    </row>
    <row r="6" spans="1:49" ht="19.2" x14ac:dyDescent="0.4">
      <c r="A6" s="1" t="s">
        <v>66</v>
      </c>
      <c r="B6" s="4" t="s">
        <v>107</v>
      </c>
      <c r="C6" s="4">
        <v>464787</v>
      </c>
      <c r="D6" s="5"/>
      <c r="E6" s="4" t="s">
        <v>26</v>
      </c>
      <c r="F6" s="4" t="s">
        <v>108</v>
      </c>
      <c r="G6" s="4" t="s">
        <v>100</v>
      </c>
      <c r="H6" s="6" t="s">
        <v>29</v>
      </c>
      <c r="I6" s="6" t="s">
        <v>103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3</v>
      </c>
      <c r="AF6" s="7">
        <v>7500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8">
        <v>7500</v>
      </c>
      <c r="AV6" s="12">
        <f t="shared" si="0"/>
        <v>7500</v>
      </c>
      <c r="AW6">
        <f t="shared" si="1"/>
        <v>5250</v>
      </c>
    </row>
    <row r="7" spans="1:49" x14ac:dyDescent="0.4">
      <c r="A7" s="1" t="s">
        <v>66</v>
      </c>
      <c r="B7" s="4" t="s">
        <v>109</v>
      </c>
      <c r="C7" s="4">
        <v>365225</v>
      </c>
      <c r="D7" s="5"/>
      <c r="E7" s="4" t="s">
        <v>26</v>
      </c>
      <c r="F7" s="4" t="s">
        <v>27</v>
      </c>
      <c r="G7" s="4" t="s">
        <v>110</v>
      </c>
      <c r="H7" s="6" t="s">
        <v>8</v>
      </c>
      <c r="I7" s="6" t="s">
        <v>111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5</v>
      </c>
      <c r="AC7" s="7">
        <v>4500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6">
        <v>0</v>
      </c>
      <c r="AQ7" s="6">
        <v>0</v>
      </c>
      <c r="AR7" s="6">
        <v>0</v>
      </c>
      <c r="AS7" s="6">
        <v>0</v>
      </c>
      <c r="AT7" s="6">
        <v>0</v>
      </c>
      <c r="AU7" s="8">
        <v>4500</v>
      </c>
      <c r="AV7" s="12">
        <f t="shared" si="0"/>
        <v>4500</v>
      </c>
      <c r="AW7">
        <f t="shared" si="1"/>
        <v>3150</v>
      </c>
    </row>
    <row r="8" spans="1:49" ht="19.2" x14ac:dyDescent="0.4">
      <c r="A8" s="1" t="s">
        <v>66</v>
      </c>
      <c r="B8" s="4" t="s">
        <v>87</v>
      </c>
      <c r="C8" s="4">
        <v>326776</v>
      </c>
      <c r="D8" s="5"/>
      <c r="E8" s="4" t="s">
        <v>26</v>
      </c>
      <c r="F8" s="4" t="s">
        <v>88</v>
      </c>
      <c r="G8" s="4" t="s">
        <v>112</v>
      </c>
      <c r="H8" s="6" t="s">
        <v>29</v>
      </c>
      <c r="I8" s="6" t="s">
        <v>89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1</v>
      </c>
      <c r="AF8" s="7">
        <v>3800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8">
        <v>3800</v>
      </c>
      <c r="AV8" s="12">
        <f t="shared" si="0"/>
        <v>3800</v>
      </c>
      <c r="AW8">
        <f t="shared" si="1"/>
        <v>2660</v>
      </c>
    </row>
    <row r="9" spans="1:49" ht="19.2" x14ac:dyDescent="0.4">
      <c r="A9" s="1" t="s">
        <v>66</v>
      </c>
      <c r="B9" s="4" t="s">
        <v>60</v>
      </c>
      <c r="C9" s="4">
        <v>459229</v>
      </c>
      <c r="D9" s="5"/>
      <c r="E9" s="4" t="s">
        <v>26</v>
      </c>
      <c r="F9" s="4" t="s">
        <v>61</v>
      </c>
      <c r="G9" s="4" t="s">
        <v>100</v>
      </c>
      <c r="H9" s="6" t="s">
        <v>29</v>
      </c>
      <c r="I9" s="6" t="s">
        <v>62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1</v>
      </c>
      <c r="AF9" s="6">
        <v>0</v>
      </c>
      <c r="AG9" s="7">
        <v>3000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6">
        <v>0</v>
      </c>
      <c r="AQ9" s="6">
        <v>0</v>
      </c>
      <c r="AR9" s="6">
        <v>0</v>
      </c>
      <c r="AS9" s="6">
        <v>0</v>
      </c>
      <c r="AT9" s="6">
        <v>0</v>
      </c>
      <c r="AU9" s="8">
        <v>3000</v>
      </c>
      <c r="AV9" s="12">
        <f t="shared" si="0"/>
        <v>3000</v>
      </c>
      <c r="AW9">
        <f t="shared" si="1"/>
        <v>2100</v>
      </c>
    </row>
    <row r="10" spans="1:49" ht="19.2" x14ac:dyDescent="0.4">
      <c r="A10" s="1" t="s">
        <v>66</v>
      </c>
      <c r="B10" s="4" t="s">
        <v>113</v>
      </c>
      <c r="C10" s="4">
        <v>416220</v>
      </c>
      <c r="D10" s="5"/>
      <c r="E10" s="4" t="s">
        <v>26</v>
      </c>
      <c r="F10" s="4" t="s">
        <v>63</v>
      </c>
      <c r="G10" s="4" t="s">
        <v>114</v>
      </c>
      <c r="H10" s="6" t="s">
        <v>29</v>
      </c>
      <c r="I10" s="6" t="s">
        <v>115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1</v>
      </c>
      <c r="AF10" s="7">
        <v>2800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  <c r="AT10" s="6">
        <v>0</v>
      </c>
      <c r="AU10" s="8">
        <v>2800</v>
      </c>
      <c r="AV10" s="12">
        <f t="shared" si="0"/>
        <v>2800</v>
      </c>
      <c r="AW10">
        <f t="shared" si="1"/>
        <v>1959.9999999999998</v>
      </c>
    </row>
    <row r="11" spans="1:49" x14ac:dyDescent="0.4">
      <c r="A11" s="1" t="s">
        <v>66</v>
      </c>
      <c r="B11" s="4" t="s">
        <v>37</v>
      </c>
      <c r="C11" s="4">
        <v>380954</v>
      </c>
      <c r="D11" s="5"/>
      <c r="E11" s="4" t="s">
        <v>26</v>
      </c>
      <c r="F11" s="4" t="s">
        <v>35</v>
      </c>
      <c r="G11" s="4" t="s">
        <v>110</v>
      </c>
      <c r="H11" s="6" t="s">
        <v>8</v>
      </c>
      <c r="I11" s="6" t="s">
        <v>36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1</v>
      </c>
      <c r="AF11" s="7">
        <v>2500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8">
        <v>2500</v>
      </c>
      <c r="AV11" s="12">
        <f t="shared" si="0"/>
        <v>2500</v>
      </c>
      <c r="AW11">
        <f t="shared" si="1"/>
        <v>1750</v>
      </c>
    </row>
    <row r="12" spans="1:49" ht="19.2" x14ac:dyDescent="0.4">
      <c r="A12" s="1" t="s">
        <v>66</v>
      </c>
      <c r="B12" s="4" t="s">
        <v>50</v>
      </c>
      <c r="C12" s="4">
        <v>457534</v>
      </c>
      <c r="D12" s="5"/>
      <c r="E12" s="4" t="s">
        <v>26</v>
      </c>
      <c r="F12" s="4" t="s">
        <v>51</v>
      </c>
      <c r="G12" s="4" t="s">
        <v>100</v>
      </c>
      <c r="H12" s="6" t="s">
        <v>29</v>
      </c>
      <c r="I12" s="6" t="s">
        <v>52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1</v>
      </c>
      <c r="AS12" s="7">
        <v>2000</v>
      </c>
      <c r="AT12" s="6">
        <v>0</v>
      </c>
      <c r="AU12" s="8">
        <v>2000</v>
      </c>
      <c r="AV12" s="12">
        <f t="shared" si="0"/>
        <v>2000</v>
      </c>
      <c r="AW12">
        <f t="shared" si="1"/>
        <v>1400</v>
      </c>
    </row>
    <row r="13" spans="1:49" ht="19.2" x14ac:dyDescent="0.4">
      <c r="A13" s="1" t="s">
        <v>66</v>
      </c>
      <c r="B13" s="4" t="s">
        <v>116</v>
      </c>
      <c r="C13" s="4">
        <v>464782</v>
      </c>
      <c r="D13" s="5"/>
      <c r="E13" s="4" t="s">
        <v>26</v>
      </c>
      <c r="F13" s="4" t="s">
        <v>54</v>
      </c>
      <c r="G13" s="4" t="s">
        <v>100</v>
      </c>
      <c r="H13" s="6" t="s">
        <v>29</v>
      </c>
      <c r="I13" s="6" t="s">
        <v>117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1</v>
      </c>
      <c r="AF13" s="7">
        <v>2000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  <c r="AU13" s="8">
        <v>2000</v>
      </c>
      <c r="AV13" s="12">
        <f t="shared" si="0"/>
        <v>2000</v>
      </c>
      <c r="AW13">
        <f t="shared" si="1"/>
        <v>1400</v>
      </c>
    </row>
    <row r="14" spans="1:49" ht="19.2" x14ac:dyDescent="0.4">
      <c r="A14" s="1" t="s">
        <v>66</v>
      </c>
      <c r="B14" s="4" t="s">
        <v>72</v>
      </c>
      <c r="C14" s="4">
        <v>461347</v>
      </c>
      <c r="D14" s="5"/>
      <c r="E14" s="4" t="s">
        <v>26</v>
      </c>
      <c r="F14" s="4" t="s">
        <v>73</v>
      </c>
      <c r="G14" s="4" t="s">
        <v>100</v>
      </c>
      <c r="H14" s="6" t="s">
        <v>29</v>
      </c>
      <c r="I14" s="6" t="s">
        <v>74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1</v>
      </c>
      <c r="AF14" s="6">
        <v>0</v>
      </c>
      <c r="AG14" s="7">
        <v>2000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8">
        <v>2000</v>
      </c>
      <c r="AV14" s="12">
        <f t="shared" si="0"/>
        <v>2000</v>
      </c>
      <c r="AW14">
        <f t="shared" si="1"/>
        <v>1400</v>
      </c>
    </row>
    <row r="15" spans="1:49" ht="19.2" x14ac:dyDescent="0.4">
      <c r="A15" s="1" t="s">
        <v>66</v>
      </c>
      <c r="B15" s="4" t="s">
        <v>53</v>
      </c>
      <c r="C15" s="4">
        <v>457239</v>
      </c>
      <c r="D15" s="5"/>
      <c r="E15" s="4" t="s">
        <v>26</v>
      </c>
      <c r="F15" s="4" t="s">
        <v>54</v>
      </c>
      <c r="G15" s="4" t="s">
        <v>100</v>
      </c>
      <c r="H15" s="6" t="s">
        <v>29</v>
      </c>
      <c r="I15" s="6" t="s">
        <v>55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1</v>
      </c>
      <c r="AF15" s="7">
        <v>2000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0</v>
      </c>
      <c r="AP15" s="6">
        <v>0</v>
      </c>
      <c r="AQ15" s="6">
        <v>0</v>
      </c>
      <c r="AR15" s="6">
        <v>0</v>
      </c>
      <c r="AS15" s="6">
        <v>0</v>
      </c>
      <c r="AT15" s="6">
        <v>0</v>
      </c>
      <c r="AU15" s="8">
        <v>2000</v>
      </c>
      <c r="AV15" s="12">
        <f t="shared" si="0"/>
        <v>2000</v>
      </c>
      <c r="AW15">
        <f t="shared" si="1"/>
        <v>1400</v>
      </c>
    </row>
    <row r="16" spans="1:49" ht="19.2" x14ac:dyDescent="0.4">
      <c r="A16" s="1" t="s">
        <v>66</v>
      </c>
      <c r="B16" s="4" t="s">
        <v>42</v>
      </c>
      <c r="C16" s="4">
        <v>453445</v>
      </c>
      <c r="D16" s="5"/>
      <c r="E16" s="4" t="s">
        <v>26</v>
      </c>
      <c r="F16" s="4" t="s">
        <v>41</v>
      </c>
      <c r="G16" s="4" t="s">
        <v>38</v>
      </c>
      <c r="H16" s="6" t="s">
        <v>9</v>
      </c>
      <c r="I16" s="6" t="s">
        <v>43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2</v>
      </c>
      <c r="AC16" s="7">
        <v>1800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8">
        <v>1800</v>
      </c>
      <c r="AV16" s="12">
        <f t="shared" si="0"/>
        <v>1800</v>
      </c>
      <c r="AW16">
        <f t="shared" si="1"/>
        <v>1260</v>
      </c>
    </row>
    <row r="17" spans="1:49" x14ac:dyDescent="0.4">
      <c r="A17" s="1" t="s">
        <v>66</v>
      </c>
      <c r="B17" s="4" t="s">
        <v>118</v>
      </c>
      <c r="C17" s="4">
        <v>379289</v>
      </c>
      <c r="D17" s="5"/>
      <c r="E17" s="4" t="s">
        <v>26</v>
      </c>
      <c r="F17" s="4" t="s">
        <v>27</v>
      </c>
      <c r="G17" s="4" t="s">
        <v>110</v>
      </c>
      <c r="H17" s="6" t="s">
        <v>8</v>
      </c>
      <c r="I17" s="6" t="s">
        <v>119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1</v>
      </c>
      <c r="AC17" s="6">
        <v>900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  <c r="AU17" s="9">
        <v>900</v>
      </c>
      <c r="AV17" s="12">
        <f t="shared" si="0"/>
        <v>900</v>
      </c>
      <c r="AW17">
        <f t="shared" si="1"/>
        <v>630</v>
      </c>
    </row>
    <row r="18" spans="1:49" x14ac:dyDescent="0.4">
      <c r="A18" s="1" t="s">
        <v>66</v>
      </c>
      <c r="B18" s="4" t="s">
        <v>120</v>
      </c>
      <c r="C18" s="4">
        <v>424315</v>
      </c>
      <c r="D18" s="5"/>
      <c r="E18" s="4" t="s">
        <v>26</v>
      </c>
      <c r="F18" s="4" t="s">
        <v>27</v>
      </c>
      <c r="G18" s="4" t="s">
        <v>110</v>
      </c>
      <c r="H18" s="6" t="s">
        <v>8</v>
      </c>
      <c r="I18" s="6" t="s">
        <v>121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1</v>
      </c>
      <c r="AC18" s="6">
        <v>900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  <c r="AT18" s="6">
        <v>0</v>
      </c>
      <c r="AU18" s="9">
        <v>900</v>
      </c>
      <c r="AV18" s="12">
        <f t="shared" si="0"/>
        <v>900</v>
      </c>
      <c r="AW18">
        <f t="shared" si="1"/>
        <v>630</v>
      </c>
    </row>
    <row r="19" spans="1:49" x14ac:dyDescent="0.4">
      <c r="A19" s="1" t="s">
        <v>66</v>
      </c>
      <c r="B19" s="4" t="s">
        <v>85</v>
      </c>
      <c r="C19" s="4">
        <v>408846</v>
      </c>
      <c r="D19" s="5"/>
      <c r="E19" s="4" t="s">
        <v>26</v>
      </c>
      <c r="F19" s="4" t="s">
        <v>27</v>
      </c>
      <c r="G19" s="4" t="s">
        <v>110</v>
      </c>
      <c r="H19" s="6" t="s">
        <v>8</v>
      </c>
      <c r="I19" s="6" t="s">
        <v>86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1</v>
      </c>
      <c r="AC19" s="6">
        <v>900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6">
        <v>0</v>
      </c>
      <c r="AQ19" s="6">
        <v>0</v>
      </c>
      <c r="AR19" s="6">
        <v>0</v>
      </c>
      <c r="AS19" s="6">
        <v>0</v>
      </c>
      <c r="AT19" s="6">
        <v>0</v>
      </c>
      <c r="AU19" s="9">
        <v>900</v>
      </c>
      <c r="AV19" s="12">
        <f t="shared" si="0"/>
        <v>900</v>
      </c>
      <c r="AW19">
        <f t="shared" si="1"/>
        <v>630</v>
      </c>
    </row>
    <row r="20" spans="1:49" ht="19.2" x14ac:dyDescent="0.4">
      <c r="A20" s="1" t="s">
        <v>66</v>
      </c>
      <c r="B20" s="4" t="s">
        <v>78</v>
      </c>
      <c r="C20" s="4">
        <v>461450</v>
      </c>
      <c r="D20" s="5"/>
      <c r="E20" s="4" t="s">
        <v>26</v>
      </c>
      <c r="F20" s="4" t="s">
        <v>41</v>
      </c>
      <c r="G20" s="4" t="s">
        <v>38</v>
      </c>
      <c r="H20" s="6" t="s">
        <v>75</v>
      </c>
      <c r="I20" s="6" t="s">
        <v>79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1</v>
      </c>
      <c r="AC20" s="6">
        <v>900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9">
        <v>900</v>
      </c>
      <c r="AV20" s="12">
        <f t="shared" si="0"/>
        <v>900</v>
      </c>
      <c r="AW20">
        <f t="shared" si="1"/>
        <v>630</v>
      </c>
    </row>
    <row r="21" spans="1:49" ht="19.2" x14ac:dyDescent="0.4">
      <c r="A21" s="1" t="s">
        <v>66</v>
      </c>
      <c r="B21" s="4" t="s">
        <v>122</v>
      </c>
      <c r="C21" s="4">
        <v>423519</v>
      </c>
      <c r="D21" s="5"/>
      <c r="E21" s="4" t="s">
        <v>26</v>
      </c>
      <c r="F21" s="4" t="s">
        <v>123</v>
      </c>
      <c r="G21" s="4" t="s">
        <v>114</v>
      </c>
      <c r="H21" s="6" t="s">
        <v>29</v>
      </c>
      <c r="I21" s="6" t="s">
        <v>124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1</v>
      </c>
      <c r="AF21" s="6">
        <v>600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6">
        <v>0</v>
      </c>
      <c r="AT21" s="6">
        <v>0</v>
      </c>
      <c r="AU21" s="9">
        <v>600</v>
      </c>
      <c r="AV21" s="12">
        <f t="shared" si="0"/>
        <v>600</v>
      </c>
      <c r="AW21">
        <f t="shared" si="1"/>
        <v>420</v>
      </c>
    </row>
    <row r="22" spans="1:49" ht="19.2" x14ac:dyDescent="0.4">
      <c r="A22" s="1" t="s">
        <v>66</v>
      </c>
      <c r="B22" s="4" t="s">
        <v>125</v>
      </c>
      <c r="C22" s="4">
        <v>331754</v>
      </c>
      <c r="D22" s="5"/>
      <c r="E22" s="4" t="s">
        <v>26</v>
      </c>
      <c r="F22" s="4" t="s">
        <v>88</v>
      </c>
      <c r="G22" s="4" t="s">
        <v>112</v>
      </c>
      <c r="H22" s="6" t="s">
        <v>29</v>
      </c>
      <c r="I22" s="6" t="s">
        <v>126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1</v>
      </c>
      <c r="AF22" s="6">
        <v>600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9">
        <v>600</v>
      </c>
      <c r="AV22" s="12">
        <f t="shared" si="0"/>
        <v>600</v>
      </c>
      <c r="AW22">
        <f t="shared" si="1"/>
        <v>420</v>
      </c>
    </row>
    <row r="23" spans="1:49" x14ac:dyDescent="0.4">
      <c r="A23" s="1" t="s">
        <v>66</v>
      </c>
      <c r="B23" s="4" t="s">
        <v>59</v>
      </c>
      <c r="C23" s="4">
        <v>455896</v>
      </c>
      <c r="D23" s="5"/>
      <c r="E23" s="4" t="s">
        <v>26</v>
      </c>
      <c r="F23" s="4" t="s">
        <v>41</v>
      </c>
      <c r="G23" s="4" t="s">
        <v>38</v>
      </c>
      <c r="H23" s="6" t="s">
        <v>8</v>
      </c>
      <c r="I23" s="6" t="s">
        <v>57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3</v>
      </c>
      <c r="AF23" s="6">
        <v>300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9">
        <v>300</v>
      </c>
      <c r="AV23" s="12">
        <f t="shared" si="0"/>
        <v>300</v>
      </c>
      <c r="AW23">
        <f t="shared" si="1"/>
        <v>210</v>
      </c>
    </row>
    <row r="24" spans="1:49" ht="19.2" x14ac:dyDescent="0.4">
      <c r="A24" s="1" t="s">
        <v>66</v>
      </c>
      <c r="B24" s="4" t="s">
        <v>127</v>
      </c>
      <c r="C24" s="4">
        <v>453397</v>
      </c>
      <c r="D24" s="5"/>
      <c r="E24" s="4" t="s">
        <v>26</v>
      </c>
      <c r="F24" s="4" t="s">
        <v>41</v>
      </c>
      <c r="G24" s="4" t="s">
        <v>38</v>
      </c>
      <c r="H24" s="6" t="s">
        <v>9</v>
      </c>
      <c r="I24" s="6" t="s">
        <v>43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2</v>
      </c>
      <c r="AF24" s="6">
        <v>200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9">
        <v>200</v>
      </c>
      <c r="AV24" s="12">
        <f t="shared" si="0"/>
        <v>200</v>
      </c>
      <c r="AW24">
        <f t="shared" si="1"/>
        <v>140</v>
      </c>
    </row>
    <row r="25" spans="1:49" ht="19.2" x14ac:dyDescent="0.4">
      <c r="A25" s="1" t="s">
        <v>66</v>
      </c>
      <c r="B25" s="4" t="s">
        <v>84</v>
      </c>
      <c r="C25" s="4">
        <v>461432</v>
      </c>
      <c r="D25" s="5"/>
      <c r="E25" s="4" t="s">
        <v>26</v>
      </c>
      <c r="F25" s="4" t="s">
        <v>41</v>
      </c>
      <c r="G25" s="4" t="s">
        <v>38</v>
      </c>
      <c r="H25" s="6" t="s">
        <v>75</v>
      </c>
      <c r="I25" s="6" t="s">
        <v>79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2</v>
      </c>
      <c r="AF25" s="6">
        <v>200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6">
        <v>0</v>
      </c>
      <c r="AQ25" s="6">
        <v>0</v>
      </c>
      <c r="AR25" s="6">
        <v>0</v>
      </c>
      <c r="AS25" s="6">
        <v>0</v>
      </c>
      <c r="AT25" s="6">
        <v>0</v>
      </c>
      <c r="AU25" s="9">
        <v>200</v>
      </c>
      <c r="AV25" s="12">
        <f t="shared" si="0"/>
        <v>200</v>
      </c>
      <c r="AW25">
        <f t="shared" si="1"/>
        <v>140</v>
      </c>
    </row>
    <row r="26" spans="1:49" x14ac:dyDescent="0.4">
      <c r="A26" s="1" t="s">
        <v>66</v>
      </c>
      <c r="B26" s="4" t="s">
        <v>45</v>
      </c>
      <c r="C26" s="4">
        <v>451947</v>
      </c>
      <c r="D26" s="5"/>
      <c r="E26" s="4" t="s">
        <v>26</v>
      </c>
      <c r="F26" s="4" t="s">
        <v>41</v>
      </c>
      <c r="G26" s="4" t="s">
        <v>38</v>
      </c>
      <c r="H26" s="6" t="s">
        <v>8</v>
      </c>
      <c r="I26" s="6" t="s">
        <v>43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1</v>
      </c>
      <c r="AF26" s="6">
        <v>100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6">
        <v>0</v>
      </c>
      <c r="AP26" s="6">
        <v>0</v>
      </c>
      <c r="AQ26" s="6">
        <v>0</v>
      </c>
      <c r="AR26" s="6">
        <v>0</v>
      </c>
      <c r="AS26" s="6">
        <v>0</v>
      </c>
      <c r="AT26" s="6">
        <v>0</v>
      </c>
      <c r="AU26" s="9">
        <v>100</v>
      </c>
      <c r="AV26" s="12">
        <f t="shared" si="0"/>
        <v>100</v>
      </c>
      <c r="AW26">
        <f t="shared" si="1"/>
        <v>70</v>
      </c>
    </row>
    <row r="27" spans="1:49" ht="19.2" x14ac:dyDescent="0.4">
      <c r="A27" s="1" t="s">
        <v>66</v>
      </c>
      <c r="B27" s="4" t="s">
        <v>128</v>
      </c>
      <c r="C27" s="4">
        <v>456187</v>
      </c>
      <c r="D27" s="5"/>
      <c r="E27" s="4" t="s">
        <v>26</v>
      </c>
      <c r="F27" s="4" t="s">
        <v>44</v>
      </c>
      <c r="G27" s="4" t="s">
        <v>112</v>
      </c>
      <c r="H27" s="6" t="s">
        <v>9</v>
      </c>
      <c r="I27" s="6" t="s">
        <v>129</v>
      </c>
      <c r="J27" s="6">
        <v>0</v>
      </c>
      <c r="K27" s="6">
        <v>1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6">
        <v>0</v>
      </c>
      <c r="AQ27" s="6">
        <v>0</v>
      </c>
      <c r="AR27" s="6">
        <v>0</v>
      </c>
      <c r="AS27" s="6">
        <v>0</v>
      </c>
      <c r="AT27" s="6">
        <v>0</v>
      </c>
      <c r="AU27" s="9">
        <v>0</v>
      </c>
      <c r="AV27" s="12">
        <f t="shared" si="0"/>
        <v>0</v>
      </c>
      <c r="AW27">
        <f t="shared" si="1"/>
        <v>0</v>
      </c>
    </row>
    <row r="28" spans="1:49" x14ac:dyDescent="0.4">
      <c r="A28" s="1" t="s">
        <v>66</v>
      </c>
      <c r="B28" s="4" t="s">
        <v>39</v>
      </c>
      <c r="C28" s="4">
        <v>440710</v>
      </c>
      <c r="D28" s="5"/>
      <c r="E28" s="4" t="s">
        <v>26</v>
      </c>
      <c r="F28" s="4" t="s">
        <v>40</v>
      </c>
      <c r="G28" s="4" t="s">
        <v>130</v>
      </c>
      <c r="H28" s="6" t="s">
        <v>8</v>
      </c>
      <c r="I28" s="6" t="s">
        <v>46</v>
      </c>
      <c r="J28" s="6">
        <v>0</v>
      </c>
      <c r="K28" s="6">
        <v>28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6">
        <v>0</v>
      </c>
      <c r="AS28" s="6">
        <v>0</v>
      </c>
      <c r="AT28" s="6">
        <v>0</v>
      </c>
      <c r="AU28" s="9">
        <v>0</v>
      </c>
      <c r="AV28" s="12">
        <f t="shared" si="0"/>
        <v>0</v>
      </c>
      <c r="AW28">
        <f t="shared" si="1"/>
        <v>0</v>
      </c>
    </row>
    <row r="29" spans="1:49" ht="19.2" x14ac:dyDescent="0.4">
      <c r="A29" s="1" t="s">
        <v>67</v>
      </c>
      <c r="B29" s="4" t="s">
        <v>76</v>
      </c>
      <c r="C29" s="4">
        <v>451051</v>
      </c>
      <c r="D29" s="5"/>
      <c r="E29" s="4" t="s">
        <v>26</v>
      </c>
      <c r="F29" s="4" t="s">
        <v>41</v>
      </c>
      <c r="G29" s="4" t="s">
        <v>38</v>
      </c>
      <c r="H29" s="6" t="s">
        <v>75</v>
      </c>
      <c r="I29" s="6" t="s">
        <v>77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7">
        <v>2738</v>
      </c>
      <c r="AF29" s="7">
        <v>273800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542</v>
      </c>
      <c r="AS29" s="7">
        <v>54000</v>
      </c>
      <c r="AT29" s="6">
        <v>200</v>
      </c>
      <c r="AU29" s="8">
        <v>328000</v>
      </c>
      <c r="AV29" s="12">
        <f t="shared" si="0"/>
        <v>328000</v>
      </c>
      <c r="AW29">
        <f t="shared" si="1"/>
        <v>229599.99999999997</v>
      </c>
    </row>
    <row r="30" spans="1:49" ht="19.2" x14ac:dyDescent="0.4">
      <c r="A30" s="1" t="s">
        <v>67</v>
      </c>
      <c r="B30" s="4" t="s">
        <v>102</v>
      </c>
      <c r="C30" s="4">
        <v>465998</v>
      </c>
      <c r="D30" s="5"/>
      <c r="E30" s="4" t="s">
        <v>26</v>
      </c>
      <c r="F30" s="4" t="s">
        <v>41</v>
      </c>
      <c r="G30" s="4" t="s">
        <v>38</v>
      </c>
      <c r="H30" s="6" t="s">
        <v>75</v>
      </c>
      <c r="I30" s="6" t="s">
        <v>103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86</v>
      </c>
      <c r="AC30" s="7">
        <v>77400</v>
      </c>
      <c r="AD30" s="6">
        <v>0</v>
      </c>
      <c r="AE30" s="6">
        <v>5</v>
      </c>
      <c r="AF30" s="7">
        <v>10000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5</v>
      </c>
      <c r="AP30" s="7">
        <v>4500</v>
      </c>
      <c r="AQ30" s="6">
        <v>0</v>
      </c>
      <c r="AR30" s="6">
        <v>0</v>
      </c>
      <c r="AS30" s="6">
        <v>0</v>
      </c>
      <c r="AT30" s="6">
        <v>0</v>
      </c>
      <c r="AU30" s="8">
        <v>91900</v>
      </c>
      <c r="AV30" s="12">
        <f t="shared" si="0"/>
        <v>91900</v>
      </c>
      <c r="AW30">
        <f t="shared" si="1"/>
        <v>64329.999999999993</v>
      </c>
    </row>
    <row r="31" spans="1:49" x14ac:dyDescent="0.4">
      <c r="A31" s="1" t="s">
        <v>67</v>
      </c>
      <c r="B31" s="4" t="s">
        <v>37</v>
      </c>
      <c r="C31" s="4">
        <v>380954</v>
      </c>
      <c r="D31" s="5"/>
      <c r="E31" s="4" t="s">
        <v>26</v>
      </c>
      <c r="F31" s="4" t="s">
        <v>35</v>
      </c>
      <c r="G31" s="4" t="s">
        <v>110</v>
      </c>
      <c r="H31" s="6" t="s">
        <v>8</v>
      </c>
      <c r="I31" s="6" t="s">
        <v>36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2</v>
      </c>
      <c r="AC31" s="7">
        <v>1800</v>
      </c>
      <c r="AD31" s="6">
        <v>0</v>
      </c>
      <c r="AE31" s="6">
        <v>23</v>
      </c>
      <c r="AF31" s="7">
        <v>57500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  <c r="AT31" s="6">
        <v>0</v>
      </c>
      <c r="AU31" s="8">
        <v>59300</v>
      </c>
      <c r="AV31" s="12">
        <f t="shared" si="0"/>
        <v>59300</v>
      </c>
      <c r="AW31">
        <f t="shared" si="1"/>
        <v>41510</v>
      </c>
    </row>
    <row r="32" spans="1:49" x14ac:dyDescent="0.4">
      <c r="A32" s="1" t="s">
        <v>67</v>
      </c>
      <c r="B32" s="4" t="s">
        <v>80</v>
      </c>
      <c r="C32" s="4">
        <v>382098</v>
      </c>
      <c r="D32" s="5"/>
      <c r="E32" s="4" t="s">
        <v>26</v>
      </c>
      <c r="F32" s="4" t="s">
        <v>41</v>
      </c>
      <c r="G32" s="4" t="s">
        <v>110</v>
      </c>
      <c r="H32" s="6" t="s">
        <v>8</v>
      </c>
      <c r="I32" s="6" t="s">
        <v>81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9</v>
      </c>
      <c r="AP32" s="7">
        <v>8100</v>
      </c>
      <c r="AQ32" s="6">
        <v>0</v>
      </c>
      <c r="AR32" s="6">
        <v>0</v>
      </c>
      <c r="AS32" s="6">
        <v>0</v>
      </c>
      <c r="AT32" s="6">
        <v>0</v>
      </c>
      <c r="AU32" s="8">
        <v>8100</v>
      </c>
      <c r="AV32" s="12">
        <f t="shared" si="0"/>
        <v>8100</v>
      </c>
      <c r="AW32">
        <f t="shared" si="1"/>
        <v>5670</v>
      </c>
    </row>
    <row r="33" spans="1:49" ht="19.2" x14ac:dyDescent="0.4">
      <c r="A33" s="1" t="s">
        <v>67</v>
      </c>
      <c r="B33" s="4" t="s">
        <v>78</v>
      </c>
      <c r="C33" s="4">
        <v>461450</v>
      </c>
      <c r="D33" s="5"/>
      <c r="E33" s="4" t="s">
        <v>26</v>
      </c>
      <c r="F33" s="4" t="s">
        <v>41</v>
      </c>
      <c r="G33" s="4" t="s">
        <v>38</v>
      </c>
      <c r="H33" s="6" t="s">
        <v>75</v>
      </c>
      <c r="I33" s="6" t="s">
        <v>79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8</v>
      </c>
      <c r="AC33" s="7">
        <v>7200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  <c r="AT33" s="6">
        <v>0</v>
      </c>
      <c r="AU33" s="8">
        <v>7200</v>
      </c>
      <c r="AV33" s="12">
        <f t="shared" si="0"/>
        <v>7200</v>
      </c>
      <c r="AW33">
        <f t="shared" si="1"/>
        <v>5040</v>
      </c>
    </row>
    <row r="34" spans="1:49" x14ac:dyDescent="0.4">
      <c r="A34" s="1" t="s">
        <v>67</v>
      </c>
      <c r="B34" s="4" t="s">
        <v>56</v>
      </c>
      <c r="C34" s="4">
        <v>455900</v>
      </c>
      <c r="D34" s="5"/>
      <c r="E34" s="4" t="s">
        <v>26</v>
      </c>
      <c r="F34" s="4" t="s">
        <v>41</v>
      </c>
      <c r="G34" s="4" t="s">
        <v>38</v>
      </c>
      <c r="H34" s="6" t="s">
        <v>8</v>
      </c>
      <c r="I34" s="6" t="s">
        <v>57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5</v>
      </c>
      <c r="AC34" s="7">
        <v>4500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0</v>
      </c>
      <c r="AP34" s="6">
        <v>0</v>
      </c>
      <c r="AQ34" s="6">
        <v>0</v>
      </c>
      <c r="AR34" s="6">
        <v>0</v>
      </c>
      <c r="AS34" s="6">
        <v>0</v>
      </c>
      <c r="AT34" s="6">
        <v>0</v>
      </c>
      <c r="AU34" s="8">
        <v>4500</v>
      </c>
      <c r="AV34" s="12">
        <f t="shared" si="0"/>
        <v>4500</v>
      </c>
      <c r="AW34">
        <f t="shared" si="1"/>
        <v>3150</v>
      </c>
    </row>
    <row r="35" spans="1:49" ht="19.2" x14ac:dyDescent="0.4">
      <c r="A35" s="1" t="s">
        <v>67</v>
      </c>
      <c r="B35" s="4" t="s">
        <v>127</v>
      </c>
      <c r="C35" s="4">
        <v>453397</v>
      </c>
      <c r="D35" s="5"/>
      <c r="E35" s="4" t="s">
        <v>26</v>
      </c>
      <c r="F35" s="4" t="s">
        <v>41</v>
      </c>
      <c r="G35" s="4" t="s">
        <v>38</v>
      </c>
      <c r="H35" s="6" t="s">
        <v>9</v>
      </c>
      <c r="I35" s="6" t="s">
        <v>43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40</v>
      </c>
      <c r="AF35" s="7">
        <v>4000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  <c r="AT35" s="6">
        <v>0</v>
      </c>
      <c r="AU35" s="8">
        <v>4000</v>
      </c>
      <c r="AV35" s="12">
        <f t="shared" si="0"/>
        <v>4000</v>
      </c>
      <c r="AW35">
        <f t="shared" si="1"/>
        <v>2800</v>
      </c>
    </row>
    <row r="36" spans="1:49" x14ac:dyDescent="0.4">
      <c r="A36" s="1" t="s">
        <v>67</v>
      </c>
      <c r="B36" s="4" t="s">
        <v>85</v>
      </c>
      <c r="C36" s="4">
        <v>408846</v>
      </c>
      <c r="D36" s="5"/>
      <c r="E36" s="4" t="s">
        <v>26</v>
      </c>
      <c r="F36" s="4" t="s">
        <v>27</v>
      </c>
      <c r="G36" s="4" t="s">
        <v>110</v>
      </c>
      <c r="H36" s="6" t="s">
        <v>8</v>
      </c>
      <c r="I36" s="6" t="s">
        <v>86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4</v>
      </c>
      <c r="AC36" s="7">
        <v>3600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  <c r="AO36" s="6">
        <v>0</v>
      </c>
      <c r="AP36" s="6">
        <v>0</v>
      </c>
      <c r="AQ36" s="6">
        <v>0</v>
      </c>
      <c r="AR36" s="6">
        <v>0</v>
      </c>
      <c r="AS36" s="6">
        <v>0</v>
      </c>
      <c r="AT36" s="6">
        <v>0</v>
      </c>
      <c r="AU36" s="8">
        <v>3600</v>
      </c>
      <c r="AV36" s="12">
        <f t="shared" si="0"/>
        <v>3600</v>
      </c>
      <c r="AW36">
        <f t="shared" si="1"/>
        <v>2520</v>
      </c>
    </row>
    <row r="37" spans="1:49" ht="19.2" x14ac:dyDescent="0.4">
      <c r="A37" s="1" t="s">
        <v>67</v>
      </c>
      <c r="B37" s="4" t="s">
        <v>42</v>
      </c>
      <c r="C37" s="4">
        <v>453445</v>
      </c>
      <c r="D37" s="5"/>
      <c r="E37" s="4" t="s">
        <v>26</v>
      </c>
      <c r="F37" s="4" t="s">
        <v>41</v>
      </c>
      <c r="G37" s="4" t="s">
        <v>38</v>
      </c>
      <c r="H37" s="6" t="s">
        <v>9</v>
      </c>
      <c r="I37" s="6" t="s">
        <v>43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4</v>
      </c>
      <c r="AC37" s="7">
        <v>3600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6">
        <v>0</v>
      </c>
      <c r="AU37" s="8">
        <v>3600</v>
      </c>
      <c r="AV37" s="12">
        <f t="shared" si="0"/>
        <v>3600</v>
      </c>
      <c r="AW37">
        <f t="shared" si="1"/>
        <v>2520</v>
      </c>
    </row>
    <row r="38" spans="1:49" x14ac:dyDescent="0.4">
      <c r="A38" s="1" t="s">
        <v>67</v>
      </c>
      <c r="B38" s="4" t="s">
        <v>45</v>
      </c>
      <c r="C38" s="4">
        <v>451947</v>
      </c>
      <c r="D38" s="5"/>
      <c r="E38" s="4" t="s">
        <v>26</v>
      </c>
      <c r="F38" s="4" t="s">
        <v>41</v>
      </c>
      <c r="G38" s="4" t="s">
        <v>38</v>
      </c>
      <c r="H38" s="6" t="s">
        <v>8</v>
      </c>
      <c r="I38" s="6" t="s">
        <v>43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28</v>
      </c>
      <c r="AF38" s="7">
        <v>2800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  <c r="AO38" s="6">
        <v>0</v>
      </c>
      <c r="AP38" s="6">
        <v>0</v>
      </c>
      <c r="AQ38" s="6">
        <v>0</v>
      </c>
      <c r="AR38" s="6">
        <v>0</v>
      </c>
      <c r="AS38" s="6">
        <v>0</v>
      </c>
      <c r="AT38" s="6">
        <v>0</v>
      </c>
      <c r="AU38" s="8">
        <v>2800</v>
      </c>
      <c r="AV38" s="12">
        <f t="shared" si="0"/>
        <v>2800</v>
      </c>
      <c r="AW38">
        <f t="shared" si="1"/>
        <v>1959.9999999999998</v>
      </c>
    </row>
    <row r="39" spans="1:49" x14ac:dyDescent="0.4">
      <c r="A39" s="1" t="s">
        <v>67</v>
      </c>
      <c r="B39" s="4" t="s">
        <v>120</v>
      </c>
      <c r="C39" s="4">
        <v>424315</v>
      </c>
      <c r="D39" s="5"/>
      <c r="E39" s="4" t="s">
        <v>26</v>
      </c>
      <c r="F39" s="4" t="s">
        <v>27</v>
      </c>
      <c r="G39" s="4" t="s">
        <v>110</v>
      </c>
      <c r="H39" s="6" t="s">
        <v>8</v>
      </c>
      <c r="I39" s="6" t="s">
        <v>121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2</v>
      </c>
      <c r="AC39" s="7">
        <v>1800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  <c r="AS39" s="6">
        <v>0</v>
      </c>
      <c r="AT39" s="6">
        <v>0</v>
      </c>
      <c r="AU39" s="8">
        <v>1800</v>
      </c>
      <c r="AV39" s="12">
        <f t="shared" si="0"/>
        <v>1800</v>
      </c>
      <c r="AW39">
        <f t="shared" si="1"/>
        <v>1260</v>
      </c>
    </row>
    <row r="40" spans="1:49" ht="19.2" x14ac:dyDescent="0.4">
      <c r="A40" s="1" t="s">
        <v>67</v>
      </c>
      <c r="B40" s="4" t="s">
        <v>84</v>
      </c>
      <c r="C40" s="4">
        <v>461432</v>
      </c>
      <c r="D40" s="5"/>
      <c r="E40" s="4" t="s">
        <v>26</v>
      </c>
      <c r="F40" s="4" t="s">
        <v>41</v>
      </c>
      <c r="G40" s="4" t="s">
        <v>38</v>
      </c>
      <c r="H40" s="6" t="s">
        <v>75</v>
      </c>
      <c r="I40" s="6" t="s">
        <v>79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8</v>
      </c>
      <c r="AF40" s="6">
        <v>600</v>
      </c>
      <c r="AG40" s="6">
        <v>200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6">
        <v>0</v>
      </c>
      <c r="AP40" s="6">
        <v>0</v>
      </c>
      <c r="AQ40" s="6">
        <v>0</v>
      </c>
      <c r="AR40" s="6">
        <v>0</v>
      </c>
      <c r="AS40" s="6">
        <v>0</v>
      </c>
      <c r="AT40" s="6">
        <v>0</v>
      </c>
      <c r="AU40" s="9">
        <v>800</v>
      </c>
      <c r="AV40" s="12">
        <f t="shared" si="0"/>
        <v>800</v>
      </c>
      <c r="AW40">
        <f t="shared" si="1"/>
        <v>560</v>
      </c>
    </row>
    <row r="41" spans="1:49" x14ac:dyDescent="0.4">
      <c r="A41" s="1" t="s">
        <v>67</v>
      </c>
      <c r="B41" s="4" t="s">
        <v>131</v>
      </c>
      <c r="C41" s="4">
        <v>367415</v>
      </c>
      <c r="D41" s="5"/>
      <c r="E41" s="4" t="s">
        <v>26</v>
      </c>
      <c r="F41" s="4" t="s">
        <v>35</v>
      </c>
      <c r="G41" s="4" t="s">
        <v>110</v>
      </c>
      <c r="H41" s="6" t="s">
        <v>8</v>
      </c>
      <c r="I41" s="6" t="s">
        <v>132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7</v>
      </c>
      <c r="AF41" s="6">
        <v>700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6">
        <v>0</v>
      </c>
      <c r="AT41" s="6">
        <v>0</v>
      </c>
      <c r="AU41" s="9">
        <v>700</v>
      </c>
      <c r="AV41" s="12">
        <f t="shared" si="0"/>
        <v>700</v>
      </c>
      <c r="AW41">
        <f t="shared" si="1"/>
        <v>489.99999999999994</v>
      </c>
    </row>
    <row r="42" spans="1:49" x14ac:dyDescent="0.4">
      <c r="A42" s="1" t="s">
        <v>67</v>
      </c>
      <c r="B42" s="4" t="s">
        <v>64</v>
      </c>
      <c r="C42" s="4">
        <v>369060</v>
      </c>
      <c r="D42" s="5"/>
      <c r="E42" s="4" t="s">
        <v>26</v>
      </c>
      <c r="F42" s="4" t="s">
        <v>35</v>
      </c>
      <c r="G42" s="4" t="s">
        <v>110</v>
      </c>
      <c r="H42" s="6" t="s">
        <v>8</v>
      </c>
      <c r="I42" s="6" t="s">
        <v>65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5</v>
      </c>
      <c r="AF42" s="6">
        <v>500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6">
        <v>0</v>
      </c>
      <c r="AT42" s="6">
        <v>0</v>
      </c>
      <c r="AU42" s="9">
        <v>500</v>
      </c>
      <c r="AV42" s="12">
        <f t="shared" si="0"/>
        <v>500</v>
      </c>
      <c r="AW42">
        <f t="shared" si="1"/>
        <v>350</v>
      </c>
    </row>
    <row r="43" spans="1:49" ht="19.2" x14ac:dyDescent="0.4">
      <c r="A43" s="1" t="s">
        <v>67</v>
      </c>
      <c r="B43" s="4" t="s">
        <v>82</v>
      </c>
      <c r="C43" s="4">
        <v>395341</v>
      </c>
      <c r="D43" s="5"/>
      <c r="E43" s="4" t="s">
        <v>26</v>
      </c>
      <c r="F43" s="4" t="s">
        <v>28</v>
      </c>
      <c r="G43" s="4" t="s">
        <v>114</v>
      </c>
      <c r="H43" s="6" t="s">
        <v>9</v>
      </c>
      <c r="I43" s="6" t="s">
        <v>83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4</v>
      </c>
      <c r="AF43" s="6">
        <v>400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  <c r="AR43" s="6">
        <v>0</v>
      </c>
      <c r="AS43" s="6">
        <v>0</v>
      </c>
      <c r="AT43" s="6">
        <v>0</v>
      </c>
      <c r="AU43" s="9">
        <v>400</v>
      </c>
      <c r="AV43" s="12">
        <f t="shared" si="0"/>
        <v>400</v>
      </c>
      <c r="AW43">
        <f t="shared" si="1"/>
        <v>280</v>
      </c>
    </row>
    <row r="44" spans="1:49" x14ac:dyDescent="0.4">
      <c r="A44" s="1" t="s">
        <v>67</v>
      </c>
      <c r="B44" s="4" t="s">
        <v>96</v>
      </c>
      <c r="C44" s="4">
        <v>361185</v>
      </c>
      <c r="D44" s="5"/>
      <c r="E44" s="4" t="s">
        <v>26</v>
      </c>
      <c r="F44" s="4" t="s">
        <v>27</v>
      </c>
      <c r="G44" s="4" t="s">
        <v>110</v>
      </c>
      <c r="H44" s="6" t="s">
        <v>8</v>
      </c>
      <c r="I44" s="6" t="s">
        <v>97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3</v>
      </c>
      <c r="AF44" s="6">
        <v>300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  <c r="AP44" s="6">
        <v>0</v>
      </c>
      <c r="AQ44" s="6">
        <v>0</v>
      </c>
      <c r="AR44" s="6">
        <v>0</v>
      </c>
      <c r="AS44" s="6">
        <v>0</v>
      </c>
      <c r="AT44" s="6">
        <v>0</v>
      </c>
      <c r="AU44" s="9">
        <v>300</v>
      </c>
      <c r="AV44" s="12">
        <f t="shared" si="0"/>
        <v>300</v>
      </c>
      <c r="AW44">
        <f t="shared" si="1"/>
        <v>210</v>
      </c>
    </row>
    <row r="45" spans="1:49" ht="19.2" x14ac:dyDescent="0.4">
      <c r="A45" s="1" t="s">
        <v>67</v>
      </c>
      <c r="B45" s="4" t="s">
        <v>128</v>
      </c>
      <c r="C45" s="4">
        <v>456187</v>
      </c>
      <c r="D45" s="5"/>
      <c r="E45" s="4" t="s">
        <v>26</v>
      </c>
      <c r="F45" s="4" t="s">
        <v>44</v>
      </c>
      <c r="G45" s="4" t="s">
        <v>112</v>
      </c>
      <c r="H45" s="6" t="s">
        <v>9</v>
      </c>
      <c r="I45" s="6" t="s">
        <v>129</v>
      </c>
      <c r="J45" s="6">
        <v>0</v>
      </c>
      <c r="K45" s="6">
        <v>2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9">
        <v>0</v>
      </c>
      <c r="AV45" s="12">
        <f t="shared" si="0"/>
        <v>0</v>
      </c>
      <c r="AW45">
        <f t="shared" si="1"/>
        <v>0</v>
      </c>
    </row>
    <row r="46" spans="1:49" x14ac:dyDescent="0.4">
      <c r="A46" s="1" t="s">
        <v>67</v>
      </c>
      <c r="B46" s="4" t="s">
        <v>39</v>
      </c>
      <c r="C46" s="4">
        <v>440710</v>
      </c>
      <c r="D46" s="5"/>
      <c r="E46" s="4" t="s">
        <v>26</v>
      </c>
      <c r="F46" s="4" t="s">
        <v>40</v>
      </c>
      <c r="G46" s="4" t="s">
        <v>130</v>
      </c>
      <c r="H46" s="6" t="s">
        <v>8</v>
      </c>
      <c r="I46" s="6" t="s">
        <v>46</v>
      </c>
      <c r="J46" s="6">
        <v>0</v>
      </c>
      <c r="K46" s="6">
        <v>15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  <c r="AO46" s="6">
        <v>0</v>
      </c>
      <c r="AP46" s="6">
        <v>0</v>
      </c>
      <c r="AQ46" s="6">
        <v>0</v>
      </c>
      <c r="AR46" s="6">
        <v>0</v>
      </c>
      <c r="AS46" s="6">
        <v>0</v>
      </c>
      <c r="AT46" s="6">
        <v>0</v>
      </c>
      <c r="AU46" s="9">
        <v>0</v>
      </c>
      <c r="AV46" s="12">
        <f t="shared" si="0"/>
        <v>0</v>
      </c>
      <c r="AW46">
        <f t="shared" si="1"/>
        <v>0</v>
      </c>
    </row>
    <row r="47" spans="1:49" ht="19.2" x14ac:dyDescent="0.4">
      <c r="A47" s="1" t="s">
        <v>71</v>
      </c>
      <c r="B47" s="4" t="s">
        <v>98</v>
      </c>
      <c r="C47" s="4">
        <v>464786</v>
      </c>
      <c r="D47" s="5"/>
      <c r="E47" s="4" t="s">
        <v>26</v>
      </c>
      <c r="F47" s="4" t="s">
        <v>99</v>
      </c>
      <c r="G47" s="4" t="s">
        <v>100</v>
      </c>
      <c r="H47" s="6" t="s">
        <v>75</v>
      </c>
      <c r="I47" s="6" t="s">
        <v>101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17</v>
      </c>
      <c r="AF47" s="7">
        <v>35900</v>
      </c>
      <c r="AG47" s="7">
        <v>6600</v>
      </c>
      <c r="AH47" s="6">
        <v>0</v>
      </c>
      <c r="AI47" s="6">
        <v>0</v>
      </c>
      <c r="AJ47" s="6">
        <v>0</v>
      </c>
      <c r="AK47" s="6">
        <v>4</v>
      </c>
      <c r="AL47" s="6">
        <v>0</v>
      </c>
      <c r="AM47" s="7">
        <v>10000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  <c r="AS47" s="6">
        <v>0</v>
      </c>
      <c r="AT47" s="6">
        <v>0</v>
      </c>
      <c r="AU47" s="8">
        <v>52500</v>
      </c>
      <c r="AV47" s="12">
        <f t="shared" ref="AV47:AV78" si="2">AU47-AN47</f>
        <v>52500</v>
      </c>
      <c r="AW47">
        <f t="shared" ref="AW47:AW78" si="3">AV47*70%</f>
        <v>36750</v>
      </c>
    </row>
    <row r="48" spans="1:49" ht="19.2" x14ac:dyDescent="0.4">
      <c r="A48" s="1" t="s">
        <v>71</v>
      </c>
      <c r="B48" s="4" t="s">
        <v>104</v>
      </c>
      <c r="C48" s="4">
        <v>464792</v>
      </c>
      <c r="D48" s="5"/>
      <c r="E48" s="4" t="s">
        <v>26</v>
      </c>
      <c r="F48" s="4" t="s">
        <v>105</v>
      </c>
      <c r="G48" s="4" t="s">
        <v>100</v>
      </c>
      <c r="H48" s="6" t="s">
        <v>29</v>
      </c>
      <c r="I48" s="6" t="s">
        <v>106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13</v>
      </c>
      <c r="AF48" s="7">
        <v>29400</v>
      </c>
      <c r="AG48" s="7">
        <v>3100</v>
      </c>
      <c r="AH48" s="6">
        <v>0</v>
      </c>
      <c r="AI48" s="6">
        <v>0</v>
      </c>
      <c r="AJ48" s="6">
        <v>0</v>
      </c>
      <c r="AK48" s="6">
        <v>1</v>
      </c>
      <c r="AL48" s="6">
        <v>0</v>
      </c>
      <c r="AM48" s="7">
        <v>2500</v>
      </c>
      <c r="AN48" s="6">
        <v>0</v>
      </c>
      <c r="AO48" s="6">
        <v>0</v>
      </c>
      <c r="AP48" s="6">
        <v>0</v>
      </c>
      <c r="AQ48" s="6">
        <v>0</v>
      </c>
      <c r="AR48" s="6">
        <v>2</v>
      </c>
      <c r="AS48" s="7">
        <v>4200</v>
      </c>
      <c r="AT48" s="6">
        <v>800</v>
      </c>
      <c r="AU48" s="8">
        <v>40000</v>
      </c>
      <c r="AV48" s="12">
        <f t="shared" si="2"/>
        <v>40000</v>
      </c>
      <c r="AW48">
        <f t="shared" si="3"/>
        <v>28000</v>
      </c>
    </row>
    <row r="49" spans="1:49" ht="19.2" x14ac:dyDescent="0.4">
      <c r="A49" s="1" t="s">
        <v>71</v>
      </c>
      <c r="B49" s="4" t="s">
        <v>60</v>
      </c>
      <c r="C49" s="4">
        <v>459229</v>
      </c>
      <c r="D49" s="5"/>
      <c r="E49" s="4" t="s">
        <v>26</v>
      </c>
      <c r="F49" s="4" t="s">
        <v>61</v>
      </c>
      <c r="G49" s="4" t="s">
        <v>100</v>
      </c>
      <c r="H49" s="6" t="s">
        <v>29</v>
      </c>
      <c r="I49" s="6" t="s">
        <v>62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10</v>
      </c>
      <c r="AF49" s="7">
        <v>30000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2</v>
      </c>
      <c r="AS49" s="7">
        <v>6000</v>
      </c>
      <c r="AT49" s="6">
        <v>0</v>
      </c>
      <c r="AU49" s="8">
        <v>36000</v>
      </c>
      <c r="AV49" s="12">
        <f t="shared" si="2"/>
        <v>36000</v>
      </c>
      <c r="AW49">
        <f t="shared" si="3"/>
        <v>25200</v>
      </c>
    </row>
    <row r="50" spans="1:49" ht="19.2" x14ac:dyDescent="0.4">
      <c r="A50" s="1" t="s">
        <v>71</v>
      </c>
      <c r="B50" s="4" t="s">
        <v>107</v>
      </c>
      <c r="C50" s="4">
        <v>464787</v>
      </c>
      <c r="D50" s="5"/>
      <c r="E50" s="4" t="s">
        <v>26</v>
      </c>
      <c r="F50" s="4" t="s">
        <v>108</v>
      </c>
      <c r="G50" s="4" t="s">
        <v>100</v>
      </c>
      <c r="H50" s="6" t="s">
        <v>29</v>
      </c>
      <c r="I50" s="6" t="s">
        <v>103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9</v>
      </c>
      <c r="AF50" s="7">
        <v>22300</v>
      </c>
      <c r="AG50" s="6">
        <v>200</v>
      </c>
      <c r="AH50" s="6">
        <v>0</v>
      </c>
      <c r="AI50" s="6">
        <v>0</v>
      </c>
      <c r="AJ50" s="6">
        <v>0</v>
      </c>
      <c r="AK50" s="6">
        <v>1</v>
      </c>
      <c r="AL50" s="7">
        <v>3000</v>
      </c>
      <c r="AM50" s="6">
        <v>0</v>
      </c>
      <c r="AN50" s="6">
        <v>900</v>
      </c>
      <c r="AO50" s="6">
        <v>0</v>
      </c>
      <c r="AP50" s="6">
        <v>0</v>
      </c>
      <c r="AQ50" s="6">
        <v>0</v>
      </c>
      <c r="AR50" s="6">
        <v>1</v>
      </c>
      <c r="AS50" s="7">
        <v>2500</v>
      </c>
      <c r="AT50" s="6">
        <v>0</v>
      </c>
      <c r="AU50" s="8">
        <v>28000</v>
      </c>
      <c r="AV50" s="12">
        <f t="shared" si="2"/>
        <v>27100</v>
      </c>
      <c r="AW50">
        <f t="shared" si="3"/>
        <v>18970</v>
      </c>
    </row>
    <row r="51" spans="1:49" ht="19.2" x14ac:dyDescent="0.4">
      <c r="A51" s="1" t="s">
        <v>71</v>
      </c>
      <c r="B51" s="4" t="s">
        <v>47</v>
      </c>
      <c r="C51" s="4">
        <v>457533</v>
      </c>
      <c r="D51" s="5"/>
      <c r="E51" s="4" t="s">
        <v>26</v>
      </c>
      <c r="F51" s="4" t="s">
        <v>48</v>
      </c>
      <c r="G51" s="4" t="s">
        <v>100</v>
      </c>
      <c r="H51" s="6" t="s">
        <v>29</v>
      </c>
      <c r="I51" s="6" t="s">
        <v>49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8</v>
      </c>
      <c r="AF51" s="7">
        <v>19000</v>
      </c>
      <c r="AG51" s="7">
        <v>1000</v>
      </c>
      <c r="AH51" s="6">
        <v>0</v>
      </c>
      <c r="AI51" s="6">
        <v>0</v>
      </c>
      <c r="AJ51" s="6">
        <v>0</v>
      </c>
      <c r="AK51" s="6">
        <v>1</v>
      </c>
      <c r="AL51" s="6">
        <v>0</v>
      </c>
      <c r="AM51" s="7">
        <v>2500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6">
        <v>0</v>
      </c>
      <c r="AT51" s="6">
        <v>0</v>
      </c>
      <c r="AU51" s="8">
        <v>22500</v>
      </c>
      <c r="AV51" s="12">
        <f t="shared" si="2"/>
        <v>22500</v>
      </c>
      <c r="AW51">
        <f t="shared" si="3"/>
        <v>15749.999999999998</v>
      </c>
    </row>
    <row r="52" spans="1:49" ht="19.2" x14ac:dyDescent="0.4">
      <c r="A52" s="1" t="s">
        <v>71</v>
      </c>
      <c r="B52" s="4" t="s">
        <v>116</v>
      </c>
      <c r="C52" s="4">
        <v>464782</v>
      </c>
      <c r="D52" s="5"/>
      <c r="E52" s="4" t="s">
        <v>26</v>
      </c>
      <c r="F52" s="4" t="s">
        <v>54</v>
      </c>
      <c r="G52" s="4" t="s">
        <v>100</v>
      </c>
      <c r="H52" s="6" t="s">
        <v>29</v>
      </c>
      <c r="I52" s="6" t="s">
        <v>117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6">
        <v>0</v>
      </c>
      <c r="AC52" s="6">
        <v>0</v>
      </c>
      <c r="AD52" s="6">
        <v>0</v>
      </c>
      <c r="AE52" s="6">
        <v>8</v>
      </c>
      <c r="AF52" s="7">
        <v>16000</v>
      </c>
      <c r="AG52" s="6">
        <v>0</v>
      </c>
      <c r="AH52" s="6">
        <v>0</v>
      </c>
      <c r="AI52" s="6">
        <v>0</v>
      </c>
      <c r="AJ52" s="6">
        <v>0</v>
      </c>
      <c r="AK52" s="6">
        <v>0</v>
      </c>
      <c r="AL52" s="6">
        <v>0</v>
      </c>
      <c r="AM52" s="6">
        <v>0</v>
      </c>
      <c r="AN52" s="6">
        <v>0</v>
      </c>
      <c r="AO52" s="6">
        <v>0</v>
      </c>
      <c r="AP52" s="6">
        <v>0</v>
      </c>
      <c r="AQ52" s="6">
        <v>0</v>
      </c>
      <c r="AR52" s="6">
        <v>3</v>
      </c>
      <c r="AS52" s="7">
        <v>6000</v>
      </c>
      <c r="AT52" s="6">
        <v>0</v>
      </c>
      <c r="AU52" s="8">
        <v>22000</v>
      </c>
      <c r="AV52" s="12">
        <f t="shared" si="2"/>
        <v>22000</v>
      </c>
      <c r="AW52">
        <f t="shared" si="3"/>
        <v>15399.999999999998</v>
      </c>
    </row>
    <row r="53" spans="1:49" ht="19.2" x14ac:dyDescent="0.4">
      <c r="A53" s="1" t="s">
        <v>71</v>
      </c>
      <c r="B53" s="4" t="s">
        <v>87</v>
      </c>
      <c r="C53" s="4">
        <v>326776</v>
      </c>
      <c r="D53" s="5"/>
      <c r="E53" s="4" t="s">
        <v>26</v>
      </c>
      <c r="F53" s="4" t="s">
        <v>88</v>
      </c>
      <c r="G53" s="4" t="s">
        <v>112</v>
      </c>
      <c r="H53" s="6" t="s">
        <v>29</v>
      </c>
      <c r="I53" s="6" t="s">
        <v>89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4</v>
      </c>
      <c r="AF53" s="7">
        <v>15200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0</v>
      </c>
      <c r="AO53" s="6">
        <v>0</v>
      </c>
      <c r="AP53" s="6">
        <v>0</v>
      </c>
      <c r="AQ53" s="6">
        <v>0</v>
      </c>
      <c r="AR53" s="6">
        <v>0</v>
      </c>
      <c r="AS53" s="6">
        <v>0</v>
      </c>
      <c r="AT53" s="6">
        <v>0</v>
      </c>
      <c r="AU53" s="8">
        <v>15200</v>
      </c>
      <c r="AV53" s="12">
        <f t="shared" si="2"/>
        <v>15200</v>
      </c>
      <c r="AW53">
        <f t="shared" si="3"/>
        <v>10640</v>
      </c>
    </row>
    <row r="54" spans="1:49" ht="19.2" x14ac:dyDescent="0.4">
      <c r="A54" s="1" t="s">
        <v>71</v>
      </c>
      <c r="B54" s="4" t="s">
        <v>72</v>
      </c>
      <c r="C54" s="4">
        <v>461347</v>
      </c>
      <c r="D54" s="5"/>
      <c r="E54" s="4" t="s">
        <v>26</v>
      </c>
      <c r="F54" s="4" t="s">
        <v>73</v>
      </c>
      <c r="G54" s="4" t="s">
        <v>100</v>
      </c>
      <c r="H54" s="6" t="s">
        <v>29</v>
      </c>
      <c r="I54" s="6" t="s">
        <v>74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6">
        <v>0</v>
      </c>
      <c r="AC54" s="6">
        <v>0</v>
      </c>
      <c r="AD54" s="6">
        <v>0</v>
      </c>
      <c r="AE54" s="6">
        <v>2</v>
      </c>
      <c r="AF54" s="7">
        <v>4000</v>
      </c>
      <c r="AG54" s="6">
        <v>0</v>
      </c>
      <c r="AH54" s="6">
        <v>0</v>
      </c>
      <c r="AI54" s="6">
        <v>0</v>
      </c>
      <c r="AJ54" s="6">
        <v>0</v>
      </c>
      <c r="AK54" s="6">
        <v>2</v>
      </c>
      <c r="AL54" s="6">
        <v>0</v>
      </c>
      <c r="AM54" s="7">
        <v>4000</v>
      </c>
      <c r="AN54" s="6">
        <v>0</v>
      </c>
      <c r="AO54" s="6">
        <v>0</v>
      </c>
      <c r="AP54" s="6">
        <v>0</v>
      </c>
      <c r="AQ54" s="6">
        <v>0</v>
      </c>
      <c r="AR54" s="6">
        <v>2</v>
      </c>
      <c r="AS54" s="7">
        <v>4000</v>
      </c>
      <c r="AT54" s="6">
        <v>0</v>
      </c>
      <c r="AU54" s="8">
        <v>12000</v>
      </c>
      <c r="AV54" s="12">
        <f t="shared" si="2"/>
        <v>12000</v>
      </c>
      <c r="AW54">
        <f t="shared" si="3"/>
        <v>8400</v>
      </c>
    </row>
    <row r="55" spans="1:49" ht="19.2" x14ac:dyDescent="0.4">
      <c r="A55" s="1" t="s">
        <v>71</v>
      </c>
      <c r="B55" s="4" t="s">
        <v>133</v>
      </c>
      <c r="C55" s="4">
        <v>430442</v>
      </c>
      <c r="D55" s="5"/>
      <c r="E55" s="4" t="s">
        <v>26</v>
      </c>
      <c r="F55" s="4" t="s">
        <v>123</v>
      </c>
      <c r="G55" s="4" t="s">
        <v>114</v>
      </c>
      <c r="H55" s="6" t="s">
        <v>29</v>
      </c>
      <c r="I55" s="6" t="s">
        <v>134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3</v>
      </c>
      <c r="AF55" s="7">
        <v>8400</v>
      </c>
      <c r="AG55" s="6">
        <v>0</v>
      </c>
      <c r="AH55" s="6">
        <v>0</v>
      </c>
      <c r="AI55" s="6">
        <v>0</v>
      </c>
      <c r="AJ55" s="6">
        <v>0</v>
      </c>
      <c r="AK55" s="6">
        <v>0</v>
      </c>
      <c r="AL55" s="6">
        <v>0</v>
      </c>
      <c r="AM55" s="6">
        <v>0</v>
      </c>
      <c r="AN55" s="6">
        <v>0</v>
      </c>
      <c r="AO55" s="6">
        <v>0</v>
      </c>
      <c r="AP55" s="6">
        <v>0</v>
      </c>
      <c r="AQ55" s="6">
        <v>0</v>
      </c>
      <c r="AR55" s="6">
        <v>1</v>
      </c>
      <c r="AS55" s="7">
        <v>2800</v>
      </c>
      <c r="AT55" s="6">
        <v>0</v>
      </c>
      <c r="AU55" s="8">
        <v>11200</v>
      </c>
      <c r="AV55" s="12">
        <f t="shared" si="2"/>
        <v>11200</v>
      </c>
      <c r="AW55">
        <f t="shared" si="3"/>
        <v>7839.9999999999991</v>
      </c>
    </row>
    <row r="56" spans="1:49" ht="19.2" x14ac:dyDescent="0.4">
      <c r="A56" s="1" t="s">
        <v>71</v>
      </c>
      <c r="B56" s="4" t="s">
        <v>31</v>
      </c>
      <c r="C56" s="4">
        <v>387161</v>
      </c>
      <c r="D56" s="5"/>
      <c r="E56" s="4" t="s">
        <v>26</v>
      </c>
      <c r="F56" s="4" t="s">
        <v>32</v>
      </c>
      <c r="G56" s="4" t="s">
        <v>112</v>
      </c>
      <c r="H56" s="6" t="s">
        <v>29</v>
      </c>
      <c r="I56" s="6" t="s">
        <v>33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6">
        <v>0</v>
      </c>
      <c r="X56" s="6">
        <v>0</v>
      </c>
      <c r="Y56" s="6">
        <v>0</v>
      </c>
      <c r="Z56" s="6">
        <v>0</v>
      </c>
      <c r="AA56" s="6">
        <v>0</v>
      </c>
      <c r="AB56" s="6">
        <v>0</v>
      </c>
      <c r="AC56" s="6">
        <v>0</v>
      </c>
      <c r="AD56" s="6">
        <v>0</v>
      </c>
      <c r="AE56" s="6">
        <v>3</v>
      </c>
      <c r="AF56" s="7">
        <v>6400</v>
      </c>
      <c r="AG56" s="7">
        <v>3200</v>
      </c>
      <c r="AH56" s="6">
        <v>0</v>
      </c>
      <c r="AI56" s="6">
        <v>0</v>
      </c>
      <c r="AJ56" s="6">
        <v>0</v>
      </c>
      <c r="AK56" s="6">
        <v>0</v>
      </c>
      <c r="AL56" s="6">
        <v>0</v>
      </c>
      <c r="AM56" s="6">
        <v>0</v>
      </c>
      <c r="AN56" s="6">
        <v>0</v>
      </c>
      <c r="AO56" s="6">
        <v>0</v>
      </c>
      <c r="AP56" s="6">
        <v>0</v>
      </c>
      <c r="AQ56" s="6">
        <v>0</v>
      </c>
      <c r="AR56" s="6">
        <v>0</v>
      </c>
      <c r="AS56" s="6">
        <v>0</v>
      </c>
      <c r="AT56" s="6">
        <v>0</v>
      </c>
      <c r="AU56" s="8">
        <v>9600</v>
      </c>
      <c r="AV56" s="12">
        <f t="shared" si="2"/>
        <v>9600</v>
      </c>
      <c r="AW56">
        <f t="shared" si="3"/>
        <v>6720</v>
      </c>
    </row>
    <row r="57" spans="1:49" ht="19.2" x14ac:dyDescent="0.4">
      <c r="A57" s="1" t="s">
        <v>71</v>
      </c>
      <c r="B57" s="4" t="s">
        <v>135</v>
      </c>
      <c r="C57" s="4">
        <v>331453</v>
      </c>
      <c r="D57" s="5"/>
      <c r="E57" s="4" t="s">
        <v>26</v>
      </c>
      <c r="F57" s="4" t="s">
        <v>136</v>
      </c>
      <c r="G57" s="4" t="s">
        <v>114</v>
      </c>
      <c r="H57" s="6" t="s">
        <v>29</v>
      </c>
      <c r="I57" s="6" t="s">
        <v>137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  <c r="X57" s="6">
        <v>0</v>
      </c>
      <c r="Y57" s="6">
        <v>0</v>
      </c>
      <c r="Z57" s="6">
        <v>0</v>
      </c>
      <c r="AA57" s="6">
        <v>0</v>
      </c>
      <c r="AB57" s="6">
        <v>0</v>
      </c>
      <c r="AC57" s="6">
        <v>0</v>
      </c>
      <c r="AD57" s="6">
        <v>0</v>
      </c>
      <c r="AE57" s="6">
        <v>2</v>
      </c>
      <c r="AF57" s="7">
        <v>9000</v>
      </c>
      <c r="AG57" s="6">
        <v>0</v>
      </c>
      <c r="AH57" s="6">
        <v>0</v>
      </c>
      <c r="AI57" s="6">
        <v>0</v>
      </c>
      <c r="AJ57" s="6">
        <v>0</v>
      </c>
      <c r="AK57" s="6">
        <v>0</v>
      </c>
      <c r="AL57" s="6">
        <v>0</v>
      </c>
      <c r="AM57" s="6">
        <v>0</v>
      </c>
      <c r="AN57" s="6">
        <v>0</v>
      </c>
      <c r="AO57" s="6">
        <v>0</v>
      </c>
      <c r="AP57" s="6">
        <v>0</v>
      </c>
      <c r="AQ57" s="6">
        <v>0</v>
      </c>
      <c r="AR57" s="6">
        <v>0</v>
      </c>
      <c r="AS57" s="6">
        <v>0</v>
      </c>
      <c r="AT57" s="6">
        <v>0</v>
      </c>
      <c r="AU57" s="8">
        <v>9000</v>
      </c>
      <c r="AV57" s="12">
        <f t="shared" si="2"/>
        <v>9000</v>
      </c>
      <c r="AW57">
        <f t="shared" si="3"/>
        <v>6300</v>
      </c>
    </row>
    <row r="58" spans="1:49" ht="19.2" x14ac:dyDescent="0.4">
      <c r="A58" s="1" t="s">
        <v>71</v>
      </c>
      <c r="B58" s="4" t="s">
        <v>138</v>
      </c>
      <c r="C58" s="4">
        <v>395231</v>
      </c>
      <c r="D58" s="5"/>
      <c r="E58" s="4" t="s">
        <v>26</v>
      </c>
      <c r="F58" s="4" t="s">
        <v>28</v>
      </c>
      <c r="G58" s="4" t="s">
        <v>114</v>
      </c>
      <c r="H58" s="6" t="s">
        <v>29</v>
      </c>
      <c r="I58" s="6" t="s">
        <v>30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  <c r="AC58" s="6">
        <v>0</v>
      </c>
      <c r="AD58" s="6">
        <v>0</v>
      </c>
      <c r="AE58" s="6">
        <v>1</v>
      </c>
      <c r="AF58" s="7">
        <v>3500</v>
      </c>
      <c r="AG58" s="6">
        <v>0</v>
      </c>
      <c r="AH58" s="6">
        <v>0</v>
      </c>
      <c r="AI58" s="6">
        <v>0</v>
      </c>
      <c r="AJ58" s="6">
        <v>0</v>
      </c>
      <c r="AK58" s="6">
        <v>1</v>
      </c>
      <c r="AL58" s="7">
        <v>4200</v>
      </c>
      <c r="AM58" s="6">
        <v>0</v>
      </c>
      <c r="AN58" s="13">
        <v>1260</v>
      </c>
      <c r="AO58" s="6">
        <v>0</v>
      </c>
      <c r="AP58" s="6">
        <v>0</v>
      </c>
      <c r="AQ58" s="6">
        <v>0</v>
      </c>
      <c r="AR58" s="6">
        <v>0</v>
      </c>
      <c r="AS58" s="6">
        <v>0</v>
      </c>
      <c r="AT58" s="6">
        <v>0</v>
      </c>
      <c r="AU58" s="8">
        <v>7700</v>
      </c>
      <c r="AV58" s="12">
        <f t="shared" si="2"/>
        <v>6440</v>
      </c>
      <c r="AW58">
        <f t="shared" si="3"/>
        <v>4508</v>
      </c>
    </row>
    <row r="59" spans="1:49" x14ac:dyDescent="0.4">
      <c r="A59" s="1" t="s">
        <v>71</v>
      </c>
      <c r="B59" s="4" t="s">
        <v>139</v>
      </c>
      <c r="C59" s="4">
        <v>465756</v>
      </c>
      <c r="D59" s="5"/>
      <c r="E59" s="4" t="s">
        <v>26</v>
      </c>
      <c r="F59" s="4" t="s">
        <v>140</v>
      </c>
      <c r="G59" s="4" t="s">
        <v>141</v>
      </c>
      <c r="H59" s="6" t="s">
        <v>8</v>
      </c>
      <c r="I59" s="6" t="s">
        <v>103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  <c r="V59" s="6">
        <v>0</v>
      </c>
      <c r="W59" s="6">
        <v>0</v>
      </c>
      <c r="X59" s="6">
        <v>0</v>
      </c>
      <c r="Y59" s="6">
        <v>0</v>
      </c>
      <c r="Z59" s="6">
        <v>0</v>
      </c>
      <c r="AA59" s="6">
        <v>0</v>
      </c>
      <c r="AB59" s="6">
        <v>0</v>
      </c>
      <c r="AC59" s="6">
        <v>0</v>
      </c>
      <c r="AD59" s="6">
        <v>0</v>
      </c>
      <c r="AE59" s="6">
        <v>1</v>
      </c>
      <c r="AF59" s="7">
        <v>5500</v>
      </c>
      <c r="AG59" s="6">
        <v>0</v>
      </c>
      <c r="AH59" s="6">
        <v>0</v>
      </c>
      <c r="AI59" s="6">
        <v>0</v>
      </c>
      <c r="AJ59" s="6">
        <v>0</v>
      </c>
      <c r="AK59" s="6">
        <v>0</v>
      </c>
      <c r="AL59" s="6">
        <v>0</v>
      </c>
      <c r="AM59" s="6">
        <v>0</v>
      </c>
      <c r="AN59" s="6">
        <v>0</v>
      </c>
      <c r="AO59" s="6">
        <v>0</v>
      </c>
      <c r="AP59" s="6">
        <v>0</v>
      </c>
      <c r="AQ59" s="6">
        <v>0</v>
      </c>
      <c r="AR59" s="6">
        <v>0</v>
      </c>
      <c r="AS59" s="6">
        <v>0</v>
      </c>
      <c r="AT59" s="6">
        <v>0</v>
      </c>
      <c r="AU59" s="8">
        <v>5500</v>
      </c>
      <c r="AV59" s="12">
        <f t="shared" si="2"/>
        <v>5500</v>
      </c>
      <c r="AW59">
        <f t="shared" si="3"/>
        <v>3849.9999999999995</v>
      </c>
    </row>
    <row r="60" spans="1:49" ht="19.2" x14ac:dyDescent="0.4">
      <c r="A60" s="1" t="s">
        <v>71</v>
      </c>
      <c r="B60" s="4" t="s">
        <v>68</v>
      </c>
      <c r="C60" s="4">
        <v>355068</v>
      </c>
      <c r="D60" s="5"/>
      <c r="E60" s="4" t="s">
        <v>26</v>
      </c>
      <c r="F60" s="4" t="s">
        <v>69</v>
      </c>
      <c r="G60" s="4" t="s">
        <v>114</v>
      </c>
      <c r="H60" s="6" t="s">
        <v>29</v>
      </c>
      <c r="I60" s="6" t="s">
        <v>70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6">
        <v>0</v>
      </c>
      <c r="V60" s="6">
        <v>0</v>
      </c>
      <c r="W60" s="6">
        <v>0</v>
      </c>
      <c r="X60" s="6">
        <v>0</v>
      </c>
      <c r="Y60" s="6">
        <v>0</v>
      </c>
      <c r="Z60" s="6">
        <v>0</v>
      </c>
      <c r="AA60" s="6">
        <v>0</v>
      </c>
      <c r="AB60" s="6">
        <v>0</v>
      </c>
      <c r="AC60" s="6">
        <v>0</v>
      </c>
      <c r="AD60" s="6">
        <v>0</v>
      </c>
      <c r="AE60" s="6">
        <v>1</v>
      </c>
      <c r="AF60" s="7">
        <v>3600</v>
      </c>
      <c r="AG60" s="6">
        <v>0</v>
      </c>
      <c r="AH60" s="6">
        <v>0</v>
      </c>
      <c r="AI60" s="6">
        <v>0</v>
      </c>
      <c r="AJ60" s="6">
        <v>0</v>
      </c>
      <c r="AK60" s="6">
        <v>0</v>
      </c>
      <c r="AL60" s="6">
        <v>0</v>
      </c>
      <c r="AM60" s="6">
        <v>0</v>
      </c>
      <c r="AN60" s="6">
        <v>0</v>
      </c>
      <c r="AO60" s="6">
        <v>0</v>
      </c>
      <c r="AP60" s="6">
        <v>0</v>
      </c>
      <c r="AQ60" s="6">
        <v>0</v>
      </c>
      <c r="AR60" s="6">
        <v>0</v>
      </c>
      <c r="AS60" s="6">
        <v>0</v>
      </c>
      <c r="AT60" s="6">
        <v>0</v>
      </c>
      <c r="AU60" s="8">
        <v>3600</v>
      </c>
      <c r="AV60" s="12">
        <f t="shared" si="2"/>
        <v>3600</v>
      </c>
      <c r="AW60">
        <f t="shared" si="3"/>
        <v>2520</v>
      </c>
    </row>
    <row r="61" spans="1:49" ht="19.2" x14ac:dyDescent="0.4">
      <c r="A61" s="1" t="s">
        <v>71</v>
      </c>
      <c r="B61" s="4" t="s">
        <v>142</v>
      </c>
      <c r="C61" s="4">
        <v>351091</v>
      </c>
      <c r="D61" s="5"/>
      <c r="E61" s="4" t="s">
        <v>26</v>
      </c>
      <c r="F61" s="4" t="s">
        <v>58</v>
      </c>
      <c r="G61" s="4" t="s">
        <v>114</v>
      </c>
      <c r="H61" s="6" t="s">
        <v>29</v>
      </c>
      <c r="I61" s="6" t="s">
        <v>143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6">
        <v>0</v>
      </c>
      <c r="V61" s="6">
        <v>0</v>
      </c>
      <c r="W61" s="6">
        <v>0</v>
      </c>
      <c r="X61" s="6">
        <v>0</v>
      </c>
      <c r="Y61" s="6">
        <v>0</v>
      </c>
      <c r="Z61" s="6">
        <v>0</v>
      </c>
      <c r="AA61" s="6">
        <v>0</v>
      </c>
      <c r="AB61" s="6">
        <v>0</v>
      </c>
      <c r="AC61" s="6">
        <v>0</v>
      </c>
      <c r="AD61" s="6">
        <v>0</v>
      </c>
      <c r="AE61" s="6">
        <v>0</v>
      </c>
      <c r="AF61" s="6">
        <v>0</v>
      </c>
      <c r="AG61" s="6">
        <v>0</v>
      </c>
      <c r="AH61" s="6">
        <v>0</v>
      </c>
      <c r="AI61" s="6">
        <v>0</v>
      </c>
      <c r="AJ61" s="6">
        <v>0</v>
      </c>
      <c r="AK61" s="6">
        <v>0</v>
      </c>
      <c r="AL61" s="6">
        <v>0</v>
      </c>
      <c r="AM61" s="6">
        <v>0</v>
      </c>
      <c r="AN61" s="6">
        <v>0</v>
      </c>
      <c r="AO61" s="6">
        <v>0</v>
      </c>
      <c r="AP61" s="6">
        <v>0</v>
      </c>
      <c r="AQ61" s="6">
        <v>0</v>
      </c>
      <c r="AR61" s="6">
        <v>1</v>
      </c>
      <c r="AS61" s="7">
        <v>3600</v>
      </c>
      <c r="AT61" s="6">
        <v>0</v>
      </c>
      <c r="AU61" s="8">
        <v>3600</v>
      </c>
      <c r="AV61" s="12">
        <f t="shared" si="2"/>
        <v>3600</v>
      </c>
      <c r="AW61">
        <f t="shared" si="3"/>
        <v>2520</v>
      </c>
    </row>
    <row r="62" spans="1:49" ht="19.2" x14ac:dyDescent="0.4">
      <c r="A62" s="1" t="s">
        <v>71</v>
      </c>
      <c r="B62" s="4" t="s">
        <v>90</v>
      </c>
      <c r="C62" s="4">
        <v>414543</v>
      </c>
      <c r="D62" s="5"/>
      <c r="E62" s="4" t="s">
        <v>26</v>
      </c>
      <c r="F62" s="4" t="s">
        <v>44</v>
      </c>
      <c r="G62" s="4" t="s">
        <v>112</v>
      </c>
      <c r="H62" s="6" t="s">
        <v>29</v>
      </c>
      <c r="I62" s="6" t="s">
        <v>91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  <c r="X62" s="6">
        <v>0</v>
      </c>
      <c r="Y62" s="6">
        <v>0</v>
      </c>
      <c r="Z62" s="6">
        <v>0</v>
      </c>
      <c r="AA62" s="6">
        <v>0</v>
      </c>
      <c r="AB62" s="6">
        <v>0</v>
      </c>
      <c r="AC62" s="6">
        <v>0</v>
      </c>
      <c r="AD62" s="6">
        <v>0</v>
      </c>
      <c r="AE62" s="6">
        <v>1</v>
      </c>
      <c r="AF62" s="7">
        <v>3400</v>
      </c>
      <c r="AG62" s="6">
        <v>0</v>
      </c>
      <c r="AH62" s="6">
        <v>0</v>
      </c>
      <c r="AI62" s="6">
        <v>0</v>
      </c>
      <c r="AJ62" s="6">
        <v>0</v>
      </c>
      <c r="AK62" s="6">
        <v>0</v>
      </c>
      <c r="AL62" s="6">
        <v>0</v>
      </c>
      <c r="AM62" s="6">
        <v>0</v>
      </c>
      <c r="AN62" s="6">
        <v>0</v>
      </c>
      <c r="AO62" s="6">
        <v>0</v>
      </c>
      <c r="AP62" s="6">
        <v>0</v>
      </c>
      <c r="AQ62" s="6">
        <v>0</v>
      </c>
      <c r="AR62" s="6">
        <v>0</v>
      </c>
      <c r="AS62" s="6">
        <v>0</v>
      </c>
      <c r="AT62" s="6">
        <v>0</v>
      </c>
      <c r="AU62" s="8">
        <v>3400</v>
      </c>
      <c r="AV62" s="12">
        <f t="shared" si="2"/>
        <v>3400</v>
      </c>
      <c r="AW62">
        <f t="shared" si="3"/>
        <v>2380</v>
      </c>
    </row>
    <row r="63" spans="1:49" ht="19.2" x14ac:dyDescent="0.4">
      <c r="A63" s="1" t="s">
        <v>71</v>
      </c>
      <c r="B63" s="4" t="s">
        <v>144</v>
      </c>
      <c r="C63" s="4">
        <v>423507</v>
      </c>
      <c r="D63" s="5"/>
      <c r="E63" s="4" t="s">
        <v>26</v>
      </c>
      <c r="F63" s="4" t="s">
        <v>123</v>
      </c>
      <c r="G63" s="4" t="s">
        <v>114</v>
      </c>
      <c r="H63" s="6" t="s">
        <v>29</v>
      </c>
      <c r="I63" s="6" t="s">
        <v>124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  <c r="X63" s="6">
        <v>0</v>
      </c>
      <c r="Y63" s="6">
        <v>0</v>
      </c>
      <c r="Z63" s="6">
        <v>0</v>
      </c>
      <c r="AA63" s="6">
        <v>0</v>
      </c>
      <c r="AB63" s="6">
        <v>0</v>
      </c>
      <c r="AC63" s="6">
        <v>0</v>
      </c>
      <c r="AD63" s="6">
        <v>0</v>
      </c>
      <c r="AE63" s="6">
        <v>1</v>
      </c>
      <c r="AF63" s="7">
        <v>3200</v>
      </c>
      <c r="AG63" s="6">
        <v>0</v>
      </c>
      <c r="AH63" s="6">
        <v>0</v>
      </c>
      <c r="AI63" s="6">
        <v>0</v>
      </c>
      <c r="AJ63" s="6">
        <v>0</v>
      </c>
      <c r="AK63" s="6">
        <v>0</v>
      </c>
      <c r="AL63" s="6">
        <v>0</v>
      </c>
      <c r="AM63" s="6">
        <v>0</v>
      </c>
      <c r="AN63" s="6">
        <v>0</v>
      </c>
      <c r="AO63" s="6">
        <v>0</v>
      </c>
      <c r="AP63" s="6">
        <v>0</v>
      </c>
      <c r="AQ63" s="6">
        <v>0</v>
      </c>
      <c r="AR63" s="6">
        <v>0</v>
      </c>
      <c r="AS63" s="6">
        <v>0</v>
      </c>
      <c r="AT63" s="6">
        <v>0</v>
      </c>
      <c r="AU63" s="8">
        <v>3200</v>
      </c>
      <c r="AV63" s="12">
        <f t="shared" si="2"/>
        <v>3200</v>
      </c>
      <c r="AW63">
        <f t="shared" si="3"/>
        <v>2240</v>
      </c>
    </row>
    <row r="64" spans="1:49" ht="19.2" x14ac:dyDescent="0.4">
      <c r="A64" s="1" t="s">
        <v>71</v>
      </c>
      <c r="B64" s="4" t="s">
        <v>145</v>
      </c>
      <c r="C64" s="4">
        <v>335136</v>
      </c>
      <c r="D64" s="5"/>
      <c r="E64" s="4" t="s">
        <v>26</v>
      </c>
      <c r="F64" s="4" t="s">
        <v>92</v>
      </c>
      <c r="G64" s="4" t="s">
        <v>114</v>
      </c>
      <c r="H64" s="6" t="s">
        <v>29</v>
      </c>
      <c r="I64" s="6" t="s">
        <v>146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  <c r="AC64" s="6">
        <v>0</v>
      </c>
      <c r="AD64" s="6">
        <v>0</v>
      </c>
      <c r="AE64" s="6">
        <v>0</v>
      </c>
      <c r="AF64" s="6">
        <v>0</v>
      </c>
      <c r="AG64" s="6">
        <v>0</v>
      </c>
      <c r="AH64" s="6">
        <v>0</v>
      </c>
      <c r="AI64" s="6">
        <v>0</v>
      </c>
      <c r="AJ64" s="6">
        <v>0</v>
      </c>
      <c r="AK64" s="6">
        <v>0</v>
      </c>
      <c r="AL64" s="6">
        <v>0</v>
      </c>
      <c r="AM64" s="6">
        <v>0</v>
      </c>
      <c r="AN64" s="6">
        <v>0</v>
      </c>
      <c r="AO64" s="6">
        <v>0</v>
      </c>
      <c r="AP64" s="6">
        <v>0</v>
      </c>
      <c r="AQ64" s="6">
        <v>0</v>
      </c>
      <c r="AR64" s="6">
        <v>1</v>
      </c>
      <c r="AS64" s="7">
        <v>3000</v>
      </c>
      <c r="AT64" s="6">
        <v>0</v>
      </c>
      <c r="AU64" s="8">
        <v>3000</v>
      </c>
      <c r="AV64" s="12">
        <f t="shared" si="2"/>
        <v>3000</v>
      </c>
      <c r="AW64">
        <f t="shared" si="3"/>
        <v>2100</v>
      </c>
    </row>
    <row r="65" spans="1:49" ht="19.2" x14ac:dyDescent="0.4">
      <c r="A65" s="1" t="s">
        <v>71</v>
      </c>
      <c r="B65" s="4" t="s">
        <v>93</v>
      </c>
      <c r="C65" s="4">
        <v>317423</v>
      </c>
      <c r="D65" s="5"/>
      <c r="E65" s="4" t="s">
        <v>26</v>
      </c>
      <c r="F65" s="4" t="s">
        <v>94</v>
      </c>
      <c r="G65" s="4" t="s">
        <v>114</v>
      </c>
      <c r="H65" s="6" t="s">
        <v>29</v>
      </c>
      <c r="I65" s="6" t="s">
        <v>95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v>0</v>
      </c>
      <c r="V65" s="6">
        <v>0</v>
      </c>
      <c r="W65" s="6">
        <v>0</v>
      </c>
      <c r="X65" s="6">
        <v>0</v>
      </c>
      <c r="Y65" s="6">
        <v>0</v>
      </c>
      <c r="Z65" s="6">
        <v>0</v>
      </c>
      <c r="AA65" s="6">
        <v>0</v>
      </c>
      <c r="AB65" s="6">
        <v>0</v>
      </c>
      <c r="AC65" s="6">
        <v>0</v>
      </c>
      <c r="AD65" s="6">
        <v>0</v>
      </c>
      <c r="AE65" s="6">
        <v>1</v>
      </c>
      <c r="AF65" s="7">
        <v>2900</v>
      </c>
      <c r="AG65" s="6">
        <v>0</v>
      </c>
      <c r="AH65" s="6">
        <v>0</v>
      </c>
      <c r="AI65" s="6">
        <v>0</v>
      </c>
      <c r="AJ65" s="6">
        <v>0</v>
      </c>
      <c r="AK65" s="6">
        <v>0</v>
      </c>
      <c r="AL65" s="6">
        <v>0</v>
      </c>
      <c r="AM65" s="6">
        <v>0</v>
      </c>
      <c r="AN65" s="6">
        <v>0</v>
      </c>
      <c r="AO65" s="6">
        <v>0</v>
      </c>
      <c r="AP65" s="6">
        <v>0</v>
      </c>
      <c r="AQ65" s="6">
        <v>0</v>
      </c>
      <c r="AR65" s="6">
        <v>0</v>
      </c>
      <c r="AS65" s="6">
        <v>0</v>
      </c>
      <c r="AT65" s="6">
        <v>0</v>
      </c>
      <c r="AU65" s="8">
        <v>2900</v>
      </c>
      <c r="AV65" s="12">
        <f t="shared" si="2"/>
        <v>2900</v>
      </c>
      <c r="AW65">
        <f t="shared" si="3"/>
        <v>2029.9999999999998</v>
      </c>
    </row>
    <row r="66" spans="1:49" ht="19.2" x14ac:dyDescent="0.4">
      <c r="A66" s="1" t="s">
        <v>71</v>
      </c>
      <c r="B66" s="4" t="s">
        <v>147</v>
      </c>
      <c r="C66" s="4">
        <v>317395</v>
      </c>
      <c r="D66" s="5"/>
      <c r="E66" s="4" t="s">
        <v>26</v>
      </c>
      <c r="F66" s="4" t="s">
        <v>148</v>
      </c>
      <c r="G66" s="4" t="s">
        <v>149</v>
      </c>
      <c r="H66" s="6" t="s">
        <v>29</v>
      </c>
      <c r="I66" s="6" t="s">
        <v>95</v>
      </c>
      <c r="J66" s="6">
        <v>0</v>
      </c>
      <c r="K66" s="6">
        <v>0</v>
      </c>
      <c r="L66" s="6">
        <v>0</v>
      </c>
      <c r="M66" s="6">
        <v>0</v>
      </c>
      <c r="N66" s="6">
        <v>0</v>
      </c>
      <c r="O66" s="6">
        <v>0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6">
        <v>0</v>
      </c>
      <c r="V66" s="6">
        <v>0</v>
      </c>
      <c r="W66" s="6">
        <v>0</v>
      </c>
      <c r="X66" s="6">
        <v>0</v>
      </c>
      <c r="Y66" s="6">
        <v>0</v>
      </c>
      <c r="Z66" s="6">
        <v>0</v>
      </c>
      <c r="AA66" s="6">
        <v>0</v>
      </c>
      <c r="AB66" s="6">
        <v>0</v>
      </c>
      <c r="AC66" s="6">
        <v>0</v>
      </c>
      <c r="AD66" s="6">
        <v>0</v>
      </c>
      <c r="AE66" s="6">
        <v>0</v>
      </c>
      <c r="AF66" s="6">
        <v>0</v>
      </c>
      <c r="AG66" s="6">
        <v>0</v>
      </c>
      <c r="AH66" s="6">
        <v>0</v>
      </c>
      <c r="AI66" s="6">
        <v>0</v>
      </c>
      <c r="AJ66" s="6">
        <v>0</v>
      </c>
      <c r="AK66" s="6">
        <v>0</v>
      </c>
      <c r="AL66" s="6">
        <v>0</v>
      </c>
      <c r="AM66" s="6">
        <v>0</v>
      </c>
      <c r="AN66" s="6">
        <v>0</v>
      </c>
      <c r="AO66" s="6">
        <v>0</v>
      </c>
      <c r="AP66" s="6">
        <v>0</v>
      </c>
      <c r="AQ66" s="6">
        <v>0</v>
      </c>
      <c r="AR66" s="6">
        <v>1</v>
      </c>
      <c r="AS66" s="7">
        <v>2800</v>
      </c>
      <c r="AT66" s="6">
        <v>0</v>
      </c>
      <c r="AU66" s="8">
        <v>2800</v>
      </c>
      <c r="AV66" s="12">
        <f t="shared" si="2"/>
        <v>2800</v>
      </c>
      <c r="AW66">
        <f t="shared" si="3"/>
        <v>1959.9999999999998</v>
      </c>
    </row>
    <row r="67" spans="1:49" ht="19.2" x14ac:dyDescent="0.4">
      <c r="A67" s="1" t="s">
        <v>71</v>
      </c>
      <c r="B67" s="4" t="s">
        <v>150</v>
      </c>
      <c r="C67" s="4">
        <v>316505</v>
      </c>
      <c r="D67" s="5"/>
      <c r="E67" s="4" t="s">
        <v>26</v>
      </c>
      <c r="F67" s="4" t="s">
        <v>151</v>
      </c>
      <c r="G67" s="4" t="s">
        <v>114</v>
      </c>
      <c r="H67" s="6" t="s">
        <v>29</v>
      </c>
      <c r="I67" s="6" t="s">
        <v>152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 s="6">
        <v>0</v>
      </c>
      <c r="X67" s="6">
        <v>0</v>
      </c>
      <c r="Y67" s="6">
        <v>0</v>
      </c>
      <c r="Z67" s="6">
        <v>0</v>
      </c>
      <c r="AA67" s="6">
        <v>0</v>
      </c>
      <c r="AB67" s="6">
        <v>0</v>
      </c>
      <c r="AC67" s="6">
        <v>0</v>
      </c>
      <c r="AD67" s="6">
        <v>0</v>
      </c>
      <c r="AE67" s="6">
        <v>1</v>
      </c>
      <c r="AF67" s="7">
        <v>2800</v>
      </c>
      <c r="AG67" s="6">
        <v>0</v>
      </c>
      <c r="AH67" s="6">
        <v>0</v>
      </c>
      <c r="AI67" s="6">
        <v>0</v>
      </c>
      <c r="AJ67" s="6">
        <v>0</v>
      </c>
      <c r="AK67" s="6">
        <v>0</v>
      </c>
      <c r="AL67" s="6">
        <v>0</v>
      </c>
      <c r="AM67" s="6">
        <v>0</v>
      </c>
      <c r="AN67" s="6">
        <v>0</v>
      </c>
      <c r="AO67" s="6">
        <v>0</v>
      </c>
      <c r="AP67" s="6">
        <v>0</v>
      </c>
      <c r="AQ67" s="6">
        <v>0</v>
      </c>
      <c r="AR67" s="6">
        <v>0</v>
      </c>
      <c r="AS67" s="6">
        <v>0</v>
      </c>
      <c r="AT67" s="6">
        <v>0</v>
      </c>
      <c r="AU67" s="8">
        <v>2800</v>
      </c>
      <c r="AV67" s="12">
        <f t="shared" si="2"/>
        <v>2800</v>
      </c>
      <c r="AW67">
        <f t="shared" si="3"/>
        <v>1959.9999999999998</v>
      </c>
    </row>
    <row r="68" spans="1:49" x14ac:dyDescent="0.4">
      <c r="A68" s="1" t="s">
        <v>71</v>
      </c>
      <c r="B68" s="4" t="s">
        <v>153</v>
      </c>
      <c r="C68" s="4">
        <v>457676</v>
      </c>
      <c r="D68" s="5"/>
      <c r="E68" s="4" t="s">
        <v>26</v>
      </c>
      <c r="F68" s="4" t="s">
        <v>154</v>
      </c>
      <c r="G68" s="4" t="s">
        <v>100</v>
      </c>
      <c r="H68" s="6" t="s">
        <v>8</v>
      </c>
      <c r="I68" s="6" t="s">
        <v>155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  <c r="T68" s="6">
        <v>0</v>
      </c>
      <c r="U68" s="6">
        <v>0</v>
      </c>
      <c r="V68" s="6">
        <v>0</v>
      </c>
      <c r="W68" s="6">
        <v>0</v>
      </c>
      <c r="X68" s="6">
        <v>0</v>
      </c>
      <c r="Y68" s="6">
        <v>0</v>
      </c>
      <c r="Z68" s="6">
        <v>0</v>
      </c>
      <c r="AA68" s="6">
        <v>0</v>
      </c>
      <c r="AB68" s="6">
        <v>0</v>
      </c>
      <c r="AC68" s="6">
        <v>0</v>
      </c>
      <c r="AD68" s="6">
        <v>0</v>
      </c>
      <c r="AE68" s="6">
        <v>1</v>
      </c>
      <c r="AF68" s="7">
        <v>2500</v>
      </c>
      <c r="AG68" s="6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6">
        <v>0</v>
      </c>
      <c r="AO68" s="6">
        <v>0</v>
      </c>
      <c r="AP68" s="6">
        <v>0</v>
      </c>
      <c r="AQ68" s="6">
        <v>0</v>
      </c>
      <c r="AR68" s="6">
        <v>0</v>
      </c>
      <c r="AS68" s="6">
        <v>0</v>
      </c>
      <c r="AT68" s="6">
        <v>0</v>
      </c>
      <c r="AU68" s="8">
        <v>2500</v>
      </c>
      <c r="AV68" s="12">
        <f t="shared" si="2"/>
        <v>2500</v>
      </c>
      <c r="AW68">
        <f t="shared" si="3"/>
        <v>1750</v>
      </c>
    </row>
    <row r="69" spans="1:49" ht="19.2" x14ac:dyDescent="0.4">
      <c r="A69" s="1" t="s">
        <v>71</v>
      </c>
      <c r="B69" s="4" t="s">
        <v>156</v>
      </c>
      <c r="C69" s="4">
        <v>314931</v>
      </c>
      <c r="D69" s="5"/>
      <c r="E69" s="4" t="s">
        <v>26</v>
      </c>
      <c r="F69" s="4" t="s">
        <v>148</v>
      </c>
      <c r="G69" s="4" t="s">
        <v>149</v>
      </c>
      <c r="H69" s="6" t="s">
        <v>29</v>
      </c>
      <c r="I69" s="6" t="s">
        <v>157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  <c r="V69" s="6">
        <v>0</v>
      </c>
      <c r="W69" s="6">
        <v>0</v>
      </c>
      <c r="X69" s="6">
        <v>0</v>
      </c>
      <c r="Y69" s="6">
        <v>0</v>
      </c>
      <c r="Z69" s="6">
        <v>0</v>
      </c>
      <c r="AA69" s="6">
        <v>0</v>
      </c>
      <c r="AB69" s="6">
        <v>0</v>
      </c>
      <c r="AC69" s="6">
        <v>0</v>
      </c>
      <c r="AD69" s="6">
        <v>0</v>
      </c>
      <c r="AE69" s="6">
        <v>0</v>
      </c>
      <c r="AF69" s="6">
        <v>0</v>
      </c>
      <c r="AG69" s="6">
        <v>0</v>
      </c>
      <c r="AH69" s="6">
        <v>0</v>
      </c>
      <c r="AI69" s="6">
        <v>0</v>
      </c>
      <c r="AJ69" s="6">
        <v>0</v>
      </c>
      <c r="AK69" s="6">
        <v>0</v>
      </c>
      <c r="AL69" s="6">
        <v>0</v>
      </c>
      <c r="AM69" s="6">
        <v>0</v>
      </c>
      <c r="AN69" s="6">
        <v>0</v>
      </c>
      <c r="AO69" s="6">
        <v>0</v>
      </c>
      <c r="AP69" s="6">
        <v>0</v>
      </c>
      <c r="AQ69" s="6">
        <v>0</v>
      </c>
      <c r="AR69" s="6">
        <v>1</v>
      </c>
      <c r="AS69" s="7">
        <v>1800</v>
      </c>
      <c r="AT69" s="6">
        <v>700</v>
      </c>
      <c r="AU69" s="8">
        <v>2500</v>
      </c>
      <c r="AV69" s="12">
        <f t="shared" si="2"/>
        <v>2500</v>
      </c>
      <c r="AW69">
        <f t="shared" si="3"/>
        <v>1750</v>
      </c>
    </row>
    <row r="70" spans="1:49" ht="19.2" x14ac:dyDescent="0.4">
      <c r="A70" s="1" t="s">
        <v>71</v>
      </c>
      <c r="B70" s="4" t="s">
        <v>158</v>
      </c>
      <c r="C70" s="4">
        <v>457068</v>
      </c>
      <c r="D70" s="5"/>
      <c r="E70" s="4" t="s">
        <v>26</v>
      </c>
      <c r="F70" s="4" t="s">
        <v>159</v>
      </c>
      <c r="G70" s="4" t="s">
        <v>100</v>
      </c>
      <c r="H70" s="6" t="s">
        <v>29</v>
      </c>
      <c r="I70" s="6" t="s">
        <v>160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0</v>
      </c>
      <c r="W70" s="6">
        <v>0</v>
      </c>
      <c r="X70" s="6">
        <v>0</v>
      </c>
      <c r="Y70" s="6">
        <v>0</v>
      </c>
      <c r="Z70" s="6">
        <v>0</v>
      </c>
      <c r="AA70" s="6">
        <v>0</v>
      </c>
      <c r="AB70" s="6">
        <v>0</v>
      </c>
      <c r="AC70" s="6">
        <v>0</v>
      </c>
      <c r="AD70" s="6">
        <v>0</v>
      </c>
      <c r="AE70" s="6">
        <v>0</v>
      </c>
      <c r="AF70" s="6">
        <v>0</v>
      </c>
      <c r="AG70" s="6">
        <v>0</v>
      </c>
      <c r="AH70" s="6">
        <v>0</v>
      </c>
      <c r="AI70" s="6">
        <v>0</v>
      </c>
      <c r="AJ70" s="6">
        <v>0</v>
      </c>
      <c r="AK70" s="6">
        <v>0</v>
      </c>
      <c r="AL70" s="6">
        <v>0</v>
      </c>
      <c r="AM70" s="6">
        <v>0</v>
      </c>
      <c r="AN70" s="6">
        <v>0</v>
      </c>
      <c r="AO70" s="6">
        <v>0</v>
      </c>
      <c r="AP70" s="6">
        <v>0</v>
      </c>
      <c r="AQ70" s="6">
        <v>0</v>
      </c>
      <c r="AR70" s="6">
        <v>1</v>
      </c>
      <c r="AS70" s="7">
        <v>2000</v>
      </c>
      <c r="AT70" s="6">
        <v>500</v>
      </c>
      <c r="AU70" s="8">
        <v>2500</v>
      </c>
      <c r="AV70" s="12">
        <f t="shared" si="2"/>
        <v>2500</v>
      </c>
      <c r="AW70">
        <f t="shared" si="3"/>
        <v>1750</v>
      </c>
    </row>
    <row r="71" spans="1:49" ht="19.2" x14ac:dyDescent="0.4">
      <c r="A71" s="1" t="s">
        <v>71</v>
      </c>
      <c r="B71" s="4" t="s">
        <v>50</v>
      </c>
      <c r="C71" s="4">
        <v>457534</v>
      </c>
      <c r="D71" s="5"/>
      <c r="E71" s="4" t="s">
        <v>26</v>
      </c>
      <c r="F71" s="4" t="s">
        <v>51</v>
      </c>
      <c r="G71" s="4" t="s">
        <v>100</v>
      </c>
      <c r="H71" s="6" t="s">
        <v>29</v>
      </c>
      <c r="I71" s="6" t="s">
        <v>52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  <c r="V71" s="6">
        <v>0</v>
      </c>
      <c r="W71" s="6">
        <v>0</v>
      </c>
      <c r="X71" s="6">
        <v>0</v>
      </c>
      <c r="Y71" s="6">
        <v>0</v>
      </c>
      <c r="Z71" s="6">
        <v>0</v>
      </c>
      <c r="AA71" s="6">
        <v>0</v>
      </c>
      <c r="AB71" s="6">
        <v>0</v>
      </c>
      <c r="AC71" s="6">
        <v>0</v>
      </c>
      <c r="AD71" s="6">
        <v>0</v>
      </c>
      <c r="AE71" s="6">
        <v>1</v>
      </c>
      <c r="AF71" s="7">
        <v>2000</v>
      </c>
      <c r="AG71" s="6">
        <v>0</v>
      </c>
      <c r="AH71" s="6">
        <v>0</v>
      </c>
      <c r="AI71" s="6">
        <v>0</v>
      </c>
      <c r="AJ71" s="6">
        <v>0</v>
      </c>
      <c r="AK71" s="6">
        <v>0</v>
      </c>
      <c r="AL71" s="6">
        <v>0</v>
      </c>
      <c r="AM71" s="6">
        <v>0</v>
      </c>
      <c r="AN71" s="6">
        <v>0</v>
      </c>
      <c r="AO71" s="6">
        <v>0</v>
      </c>
      <c r="AP71" s="6">
        <v>0</v>
      </c>
      <c r="AQ71" s="6">
        <v>0</v>
      </c>
      <c r="AR71" s="6">
        <v>0</v>
      </c>
      <c r="AS71" s="6">
        <v>0</v>
      </c>
      <c r="AT71" s="6">
        <v>0</v>
      </c>
      <c r="AU71" s="8">
        <v>2000</v>
      </c>
      <c r="AV71" s="12">
        <f t="shared" si="2"/>
        <v>2000</v>
      </c>
      <c r="AW71">
        <f t="shared" si="3"/>
        <v>1400</v>
      </c>
    </row>
    <row r="72" spans="1:49" ht="19.2" x14ac:dyDescent="0.4">
      <c r="A72" s="1" t="s">
        <v>71</v>
      </c>
      <c r="B72" s="4" t="s">
        <v>161</v>
      </c>
      <c r="C72" s="4">
        <v>430443</v>
      </c>
      <c r="D72" s="5"/>
      <c r="E72" s="4" t="s">
        <v>26</v>
      </c>
      <c r="F72" s="4" t="s">
        <v>123</v>
      </c>
      <c r="G72" s="4" t="s">
        <v>114</v>
      </c>
      <c r="H72" s="6" t="s">
        <v>29</v>
      </c>
      <c r="I72" s="6" t="s">
        <v>134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6">
        <v>0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  <c r="AB72" s="6">
        <v>0</v>
      </c>
      <c r="AC72" s="6">
        <v>0</v>
      </c>
      <c r="AD72" s="6">
        <v>0</v>
      </c>
      <c r="AE72" s="6">
        <v>1</v>
      </c>
      <c r="AF72" s="7">
        <v>1000</v>
      </c>
      <c r="AG72" s="6">
        <v>0</v>
      </c>
      <c r="AH72" s="6">
        <v>0</v>
      </c>
      <c r="AI72" s="6">
        <v>0</v>
      </c>
      <c r="AJ72" s="6">
        <v>0</v>
      </c>
      <c r="AK72" s="6">
        <v>0</v>
      </c>
      <c r="AL72" s="6">
        <v>0</v>
      </c>
      <c r="AM72" s="6">
        <v>0</v>
      </c>
      <c r="AN72" s="6">
        <v>0</v>
      </c>
      <c r="AO72" s="6">
        <v>0</v>
      </c>
      <c r="AP72" s="6">
        <v>0</v>
      </c>
      <c r="AQ72" s="6">
        <v>0</v>
      </c>
      <c r="AR72" s="6">
        <v>1</v>
      </c>
      <c r="AS72" s="7">
        <v>1000</v>
      </c>
      <c r="AT72" s="6">
        <v>0</v>
      </c>
      <c r="AU72" s="8">
        <v>2000</v>
      </c>
      <c r="AV72" s="12">
        <f t="shared" si="2"/>
        <v>2000</v>
      </c>
      <c r="AW72">
        <f t="shared" si="3"/>
        <v>1400</v>
      </c>
    </row>
    <row r="73" spans="1:49" ht="19.2" x14ac:dyDescent="0.4">
      <c r="A73" s="1" t="s">
        <v>71</v>
      </c>
      <c r="B73" s="4" t="s">
        <v>162</v>
      </c>
      <c r="C73" s="4">
        <v>331454</v>
      </c>
      <c r="D73" s="5"/>
      <c r="E73" s="4" t="s">
        <v>26</v>
      </c>
      <c r="F73" s="4" t="s">
        <v>136</v>
      </c>
      <c r="G73" s="4" t="s">
        <v>114</v>
      </c>
      <c r="H73" s="6" t="s">
        <v>29</v>
      </c>
      <c r="I73" s="6" t="s">
        <v>137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  <c r="V73" s="6">
        <v>0</v>
      </c>
      <c r="W73" s="6">
        <v>0</v>
      </c>
      <c r="X73" s="6">
        <v>0</v>
      </c>
      <c r="Y73" s="6">
        <v>0</v>
      </c>
      <c r="Z73" s="6">
        <v>0</v>
      </c>
      <c r="AA73" s="6">
        <v>0</v>
      </c>
      <c r="AB73" s="6">
        <v>0</v>
      </c>
      <c r="AC73" s="6">
        <v>0</v>
      </c>
      <c r="AD73" s="6">
        <v>0</v>
      </c>
      <c r="AE73" s="6">
        <v>1</v>
      </c>
      <c r="AF73" s="6">
        <v>800</v>
      </c>
      <c r="AG73" s="6">
        <v>0</v>
      </c>
      <c r="AH73" s="6">
        <v>0</v>
      </c>
      <c r="AI73" s="6">
        <v>0</v>
      </c>
      <c r="AJ73" s="6">
        <v>0</v>
      </c>
      <c r="AK73" s="6">
        <v>0</v>
      </c>
      <c r="AL73" s="6">
        <v>0</v>
      </c>
      <c r="AM73" s="6">
        <v>0</v>
      </c>
      <c r="AN73" s="6">
        <v>0</v>
      </c>
      <c r="AO73" s="6">
        <v>0</v>
      </c>
      <c r="AP73" s="6">
        <v>0</v>
      </c>
      <c r="AQ73" s="6">
        <v>0</v>
      </c>
      <c r="AR73" s="6">
        <v>0</v>
      </c>
      <c r="AS73" s="6">
        <v>0</v>
      </c>
      <c r="AT73" s="6">
        <v>0</v>
      </c>
      <c r="AU73" s="9">
        <v>800</v>
      </c>
      <c r="AV73" s="12">
        <f t="shared" si="2"/>
        <v>800</v>
      </c>
      <c r="AW73">
        <f t="shared" si="3"/>
        <v>560</v>
      </c>
    </row>
    <row r="74" spans="1:49" ht="19.2" x14ac:dyDescent="0.4">
      <c r="A74" s="1" t="s">
        <v>71</v>
      </c>
      <c r="B74" s="4" t="s">
        <v>125</v>
      </c>
      <c r="C74" s="4">
        <v>331754</v>
      </c>
      <c r="D74" s="5"/>
      <c r="E74" s="4" t="s">
        <v>26</v>
      </c>
      <c r="F74" s="4" t="s">
        <v>88</v>
      </c>
      <c r="G74" s="4" t="s">
        <v>112</v>
      </c>
      <c r="H74" s="6" t="s">
        <v>29</v>
      </c>
      <c r="I74" s="6" t="s">
        <v>126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  <c r="U74" s="6">
        <v>0</v>
      </c>
      <c r="V74" s="6">
        <v>0</v>
      </c>
      <c r="W74" s="6">
        <v>0</v>
      </c>
      <c r="X74" s="6">
        <v>0</v>
      </c>
      <c r="Y74" s="6">
        <v>0</v>
      </c>
      <c r="Z74" s="6">
        <v>0</v>
      </c>
      <c r="AA74" s="6">
        <v>0</v>
      </c>
      <c r="AB74" s="6">
        <v>0</v>
      </c>
      <c r="AC74" s="6">
        <v>0</v>
      </c>
      <c r="AD74" s="6">
        <v>0</v>
      </c>
      <c r="AE74" s="6">
        <v>1</v>
      </c>
      <c r="AF74" s="6">
        <v>600</v>
      </c>
      <c r="AG74" s="6">
        <v>0</v>
      </c>
      <c r="AH74" s="6">
        <v>0</v>
      </c>
      <c r="AI74" s="6">
        <v>0</v>
      </c>
      <c r="AJ74" s="6">
        <v>0</v>
      </c>
      <c r="AK74" s="6">
        <v>0</v>
      </c>
      <c r="AL74" s="6">
        <v>0</v>
      </c>
      <c r="AM74" s="6">
        <v>0</v>
      </c>
      <c r="AN74" s="6">
        <v>0</v>
      </c>
      <c r="AO74" s="6">
        <v>0</v>
      </c>
      <c r="AP74" s="6">
        <v>0</v>
      </c>
      <c r="AQ74" s="6">
        <v>0</v>
      </c>
      <c r="AR74" s="6">
        <v>0</v>
      </c>
      <c r="AS74" s="6">
        <v>0</v>
      </c>
      <c r="AT74" s="6">
        <v>0</v>
      </c>
      <c r="AU74" s="9">
        <v>600</v>
      </c>
      <c r="AV74" s="12">
        <f t="shared" si="2"/>
        <v>600</v>
      </c>
      <c r="AW74">
        <f t="shared" si="3"/>
        <v>420</v>
      </c>
    </row>
    <row r="75" spans="1:49" ht="19.2" x14ac:dyDescent="0.4">
      <c r="A75" s="1" t="s">
        <v>71</v>
      </c>
      <c r="B75" s="4" t="s">
        <v>163</v>
      </c>
      <c r="C75" s="4">
        <v>414537</v>
      </c>
      <c r="D75" s="5"/>
      <c r="E75" s="4" t="s">
        <v>26</v>
      </c>
      <c r="F75" s="4" t="s">
        <v>123</v>
      </c>
      <c r="G75" s="4" t="s">
        <v>114</v>
      </c>
      <c r="H75" s="6" t="s">
        <v>29</v>
      </c>
      <c r="I75" s="6" t="s">
        <v>164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6">
        <v>0</v>
      </c>
      <c r="S75" s="6">
        <v>0</v>
      </c>
      <c r="T75" s="6">
        <v>0</v>
      </c>
      <c r="U75" s="6">
        <v>0</v>
      </c>
      <c r="V75" s="6">
        <v>0</v>
      </c>
      <c r="W75" s="6">
        <v>0</v>
      </c>
      <c r="X75" s="6">
        <v>0</v>
      </c>
      <c r="Y75" s="6">
        <v>0</v>
      </c>
      <c r="Z75" s="6">
        <v>0</v>
      </c>
      <c r="AA75" s="6">
        <v>0</v>
      </c>
      <c r="AB75" s="6">
        <v>0</v>
      </c>
      <c r="AC75" s="6">
        <v>0</v>
      </c>
      <c r="AD75" s="6">
        <v>0</v>
      </c>
      <c r="AE75" s="6">
        <v>1</v>
      </c>
      <c r="AF75" s="6">
        <v>500</v>
      </c>
      <c r="AG75" s="6">
        <v>0</v>
      </c>
      <c r="AH75" s="6">
        <v>0</v>
      </c>
      <c r="AI75" s="6">
        <v>0</v>
      </c>
      <c r="AJ75" s="6">
        <v>0</v>
      </c>
      <c r="AK75" s="6">
        <v>0</v>
      </c>
      <c r="AL75" s="6">
        <v>0</v>
      </c>
      <c r="AM75" s="6">
        <v>0</v>
      </c>
      <c r="AN75" s="6">
        <v>0</v>
      </c>
      <c r="AO75" s="6">
        <v>0</v>
      </c>
      <c r="AP75" s="6">
        <v>0</v>
      </c>
      <c r="AQ75" s="6">
        <v>0</v>
      </c>
      <c r="AR75" s="6">
        <v>0</v>
      </c>
      <c r="AS75" s="6">
        <v>0</v>
      </c>
      <c r="AT75" s="6">
        <v>0</v>
      </c>
      <c r="AU75" s="9">
        <v>500</v>
      </c>
      <c r="AV75" s="12">
        <f t="shared" si="2"/>
        <v>500</v>
      </c>
      <c r="AW75">
        <f t="shared" si="3"/>
        <v>350</v>
      </c>
    </row>
    <row r="76" spans="1:49" ht="19.2" x14ac:dyDescent="0.4">
      <c r="A76" s="1" t="s">
        <v>71</v>
      </c>
      <c r="B76" s="4" t="s">
        <v>34</v>
      </c>
      <c r="C76" s="4">
        <v>395237</v>
      </c>
      <c r="D76" s="5"/>
      <c r="E76" s="4" t="s">
        <v>26</v>
      </c>
      <c r="F76" s="4" t="s">
        <v>28</v>
      </c>
      <c r="G76" s="4" t="s">
        <v>114</v>
      </c>
      <c r="H76" s="6" t="s">
        <v>29</v>
      </c>
      <c r="I76" s="6" t="s">
        <v>30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6">
        <v>0</v>
      </c>
      <c r="U76" s="6">
        <v>0</v>
      </c>
      <c r="V76" s="6">
        <v>0</v>
      </c>
      <c r="W76" s="6">
        <v>0</v>
      </c>
      <c r="X76" s="6">
        <v>0</v>
      </c>
      <c r="Y76" s="6">
        <v>0</v>
      </c>
      <c r="Z76" s="6">
        <v>0</v>
      </c>
      <c r="AA76" s="6">
        <v>0</v>
      </c>
      <c r="AB76" s="6">
        <v>0</v>
      </c>
      <c r="AC76" s="6">
        <v>0</v>
      </c>
      <c r="AD76" s="6">
        <v>0</v>
      </c>
      <c r="AE76" s="6">
        <v>1</v>
      </c>
      <c r="AF76" s="6">
        <v>200</v>
      </c>
      <c r="AG76" s="6">
        <v>0</v>
      </c>
      <c r="AH76" s="6">
        <v>0</v>
      </c>
      <c r="AI76" s="6">
        <v>0</v>
      </c>
      <c r="AJ76" s="6">
        <v>0</v>
      </c>
      <c r="AK76" s="6">
        <v>1</v>
      </c>
      <c r="AL76" s="6">
        <v>240</v>
      </c>
      <c r="AM76" s="6">
        <v>0</v>
      </c>
      <c r="AN76" s="6">
        <v>72</v>
      </c>
      <c r="AO76" s="6">
        <v>0</v>
      </c>
      <c r="AP76" s="6">
        <v>0</v>
      </c>
      <c r="AQ76" s="6">
        <v>0</v>
      </c>
      <c r="AR76" s="6">
        <v>0</v>
      </c>
      <c r="AS76" s="6">
        <v>0</v>
      </c>
      <c r="AT76" s="6">
        <v>0</v>
      </c>
      <c r="AU76" s="9">
        <v>440</v>
      </c>
      <c r="AV76" s="12">
        <f t="shared" si="2"/>
        <v>368</v>
      </c>
      <c r="AW76">
        <f t="shared" si="3"/>
        <v>257.59999999999997</v>
      </c>
    </row>
    <row r="77" spans="1:49" ht="19.2" x14ac:dyDescent="0.4">
      <c r="A77" s="1" t="s">
        <v>71</v>
      </c>
      <c r="B77" s="4" t="s">
        <v>165</v>
      </c>
      <c r="C77" s="4">
        <v>416222</v>
      </c>
      <c r="D77" s="5"/>
      <c r="E77" s="4" t="s">
        <v>26</v>
      </c>
      <c r="F77" s="4" t="s">
        <v>63</v>
      </c>
      <c r="G77" s="4" t="s">
        <v>114</v>
      </c>
      <c r="H77" s="6" t="s">
        <v>29</v>
      </c>
      <c r="I77" s="6" t="s">
        <v>115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>
        <v>0</v>
      </c>
      <c r="U77" s="6">
        <v>0</v>
      </c>
      <c r="V77" s="6">
        <v>0</v>
      </c>
      <c r="W77" s="6">
        <v>0</v>
      </c>
      <c r="X77" s="6">
        <v>0</v>
      </c>
      <c r="Y77" s="6">
        <v>0</v>
      </c>
      <c r="Z77" s="6">
        <v>0</v>
      </c>
      <c r="AA77" s="6">
        <v>0</v>
      </c>
      <c r="AB77" s="6">
        <v>0</v>
      </c>
      <c r="AC77" s="6">
        <v>0</v>
      </c>
      <c r="AD77" s="6">
        <v>0</v>
      </c>
      <c r="AE77" s="6">
        <v>1</v>
      </c>
      <c r="AF77" s="6">
        <v>300</v>
      </c>
      <c r="AG77" s="6">
        <v>0</v>
      </c>
      <c r="AH77" s="6">
        <v>0</v>
      </c>
      <c r="AI77" s="6">
        <v>0</v>
      </c>
      <c r="AJ77" s="6">
        <v>0</v>
      </c>
      <c r="AK77" s="6">
        <v>0</v>
      </c>
      <c r="AL77" s="6">
        <v>0</v>
      </c>
      <c r="AM77" s="6">
        <v>0</v>
      </c>
      <c r="AN77" s="6">
        <v>0</v>
      </c>
      <c r="AO77" s="6">
        <v>0</v>
      </c>
      <c r="AP77" s="6">
        <v>0</v>
      </c>
      <c r="AQ77" s="6">
        <v>0</v>
      </c>
      <c r="AR77" s="6">
        <v>0</v>
      </c>
      <c r="AS77" s="6">
        <v>0</v>
      </c>
      <c r="AT77" s="6">
        <v>0</v>
      </c>
      <c r="AU77" s="9">
        <v>300</v>
      </c>
      <c r="AV77" s="12">
        <f t="shared" si="2"/>
        <v>300</v>
      </c>
      <c r="AW77">
        <f t="shared" si="3"/>
        <v>210</v>
      </c>
    </row>
    <row r="78" spans="1:49" ht="19.2" x14ac:dyDescent="0.4">
      <c r="A78" s="1" t="s">
        <v>71</v>
      </c>
      <c r="B78" s="4" t="s">
        <v>76</v>
      </c>
      <c r="C78" s="4">
        <v>451051</v>
      </c>
      <c r="D78" s="5"/>
      <c r="E78" s="4" t="s">
        <v>26</v>
      </c>
      <c r="F78" s="4" t="s">
        <v>41</v>
      </c>
      <c r="G78" s="4" t="s">
        <v>38</v>
      </c>
      <c r="H78" s="6" t="s">
        <v>75</v>
      </c>
      <c r="I78" s="6" t="s">
        <v>77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6">
        <v>0</v>
      </c>
      <c r="U78" s="6">
        <v>0</v>
      </c>
      <c r="V78" s="6">
        <v>0</v>
      </c>
      <c r="W78" s="6">
        <v>0</v>
      </c>
      <c r="X78" s="6">
        <v>0</v>
      </c>
      <c r="Y78" s="6">
        <v>0</v>
      </c>
      <c r="Z78" s="6">
        <v>0</v>
      </c>
      <c r="AA78" s="6">
        <v>0</v>
      </c>
      <c r="AB78" s="6">
        <v>0</v>
      </c>
      <c r="AC78" s="6">
        <v>0</v>
      </c>
      <c r="AD78" s="6">
        <v>0</v>
      </c>
      <c r="AE78" s="6">
        <v>1</v>
      </c>
      <c r="AF78" s="6">
        <v>100</v>
      </c>
      <c r="AG78" s="6">
        <v>0</v>
      </c>
      <c r="AH78" s="6">
        <v>0</v>
      </c>
      <c r="AI78" s="6">
        <v>0</v>
      </c>
      <c r="AJ78" s="6">
        <v>0</v>
      </c>
      <c r="AK78" s="6">
        <v>0</v>
      </c>
      <c r="AL78" s="6">
        <v>0</v>
      </c>
      <c r="AM78" s="6">
        <v>0</v>
      </c>
      <c r="AN78" s="6">
        <v>0</v>
      </c>
      <c r="AO78" s="6">
        <v>0</v>
      </c>
      <c r="AP78" s="6">
        <v>0</v>
      </c>
      <c r="AQ78" s="6">
        <v>0</v>
      </c>
      <c r="AR78" s="6">
        <v>0</v>
      </c>
      <c r="AS78" s="6">
        <v>0</v>
      </c>
      <c r="AT78" s="6">
        <v>0</v>
      </c>
      <c r="AU78" s="9">
        <v>100</v>
      </c>
      <c r="AV78" s="12">
        <f t="shared" si="2"/>
        <v>100</v>
      </c>
      <c r="AW78">
        <f t="shared" si="3"/>
        <v>70</v>
      </c>
    </row>
    <row r="79" spans="1:49" x14ac:dyDescent="0.4">
      <c r="AW79" s="14">
        <f>SUM(AW2:AW78)</f>
        <v>641205.6</v>
      </c>
    </row>
  </sheetData>
  <phoneticPr fontId="20" type="noConversion"/>
  <pageMargins left="0.75" right="0.75" top="1" bottom="1" header="0.5" footer="0.5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 (4)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dc:creator>Administrator</dc:creator>
  <cp:lastModifiedBy>storywiz</cp:lastModifiedBy>
  <dcterms:created xsi:type="dcterms:W3CDTF">2019-02-07T01:40:45Z</dcterms:created>
  <dcterms:modified xsi:type="dcterms:W3CDTF">2022-05-03T10:12:58Z</dcterms:modified>
</cp:coreProperties>
</file>