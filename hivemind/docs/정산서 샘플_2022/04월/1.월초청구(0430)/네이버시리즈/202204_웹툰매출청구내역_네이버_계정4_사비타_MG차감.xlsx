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\네이버시리즈\"/>
    </mc:Choice>
  </mc:AlternateContent>
  <bookViews>
    <workbookView xWindow="0" yWindow="0" windowWidth="23040" windowHeight="8952" tabRatio="656"/>
  </bookViews>
  <sheets>
    <sheet name="합계 (4)" sheetId="64" r:id="rId1"/>
  </sheets>
  <definedNames>
    <definedName name="_xlnm._FilterDatabase" localSheetId="0" hidden="1">'합계 (4)'!$B$1:$AN$1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D36" i="64" l="1"/>
  <c r="C38" i="64"/>
  <c r="D35" i="64" l="1"/>
  <c r="C35" i="64"/>
  <c r="D34" i="64"/>
  <c r="AU8" i="64" l="1"/>
  <c r="AV7" i="64" l="1"/>
  <c r="AW7" i="64" s="1"/>
  <c r="B38" i="64" l="1"/>
  <c r="AV3" i="64"/>
  <c r="AV4" i="64"/>
  <c r="AW4" i="64" s="1"/>
  <c r="AV5" i="64"/>
  <c r="AW5" i="64" s="1"/>
  <c r="AV6" i="64"/>
  <c r="AW6" i="64" s="1"/>
  <c r="AV2" i="64"/>
  <c r="AW2" i="64" s="1"/>
  <c r="AW3" i="64" l="1"/>
  <c r="D12" i="64"/>
  <c r="AW8" i="64" l="1"/>
  <c r="C33" i="64" s="1"/>
  <c r="D13" i="64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s="1"/>
  <c r="D30" i="64" l="1"/>
  <c r="D31" i="64" s="1"/>
  <c r="D32" i="64" s="1"/>
  <c r="D33" i="64" s="1"/>
</calcChain>
</file>

<file path=xl/comments1.xml><?xml version="1.0" encoding="utf-8"?>
<comments xmlns="http://schemas.openxmlformats.org/spreadsheetml/2006/main">
  <authors>
    <author>storywiz</author>
  </authors>
  <commentList>
    <comment ref="A4" authorId="0" shapeId="0">
      <text>
        <r>
          <rPr>
            <b/>
            <sz val="9"/>
            <color indexed="81"/>
            <rFont val="돋움"/>
            <family val="3"/>
            <charset val="129"/>
          </rPr>
          <t>웹툰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노란색
</t>
        </r>
      </text>
    </comment>
    <comment ref="A5" authorId="0" shapeId="0">
      <text>
        <r>
          <rPr>
            <b/>
            <sz val="9"/>
            <color indexed="81"/>
            <rFont val="돋움"/>
            <family val="3"/>
            <charset val="129"/>
          </rPr>
          <t>정산내역</t>
        </r>
        <r>
          <rPr>
            <b/>
            <sz val="9"/>
            <color indexed="81"/>
            <rFont val="Tahoma"/>
            <family val="2"/>
          </rPr>
          <t xml:space="preserve">2
</t>
        </r>
      </text>
    </comment>
  </commentList>
</comments>
</file>

<file path=xl/sharedStrings.xml><?xml version="1.0" encoding="utf-8"?>
<sst xmlns="http://schemas.openxmlformats.org/spreadsheetml/2006/main" count="109" uniqueCount="54">
  <si>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</si>
  <si>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</si>
  <si>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</si>
  <si>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</si>
  <si>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</si>
  <si>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</si>
  <si>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</si>
  <si>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</si>
  <si>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</si>
  <si>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</si>
  <si>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</si>
  <si>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</si>
  <si>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</si>
  <si>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</si>
  <si>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</si>
  <si>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</si>
  <si>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</si>
  <si>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</si>
  <si>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</si>
  <si>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</si>
  <si>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</si>
  <si>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구분</t>
    <phoneticPr fontId="20" type="noConversion"/>
  </si>
  <si>
    <t>순매출(합계-수수료)</t>
    <phoneticPr fontId="20" type="noConversion"/>
  </si>
  <si>
    <t>sw 매출</t>
    <phoneticPr fontId="20" type="noConversion"/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</si>
  <si>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</si>
  <si>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</si>
  <si>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</si>
  <si>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</si>
  <si>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>합계</t>
    <phoneticPr fontId="20" type="noConversion"/>
  </si>
  <si>
    <t>&lt;사비타&gt; MG차감내역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</si>
  <si>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</si>
  <si>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</si>
  <si>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</si>
  <si>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</si>
  <si>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 xml:space="preserve"> 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</si>
  <si>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</si>
  <si>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</si>
  <si>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</si>
  <si>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</si>
  <si>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</si>
  <si>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시리즈APP</t>
    <phoneticPr fontId="20" type="noConversion"/>
  </si>
  <si>
    <t>시리즈완전판APP</t>
    <phoneticPr fontId="20" type="noConversion"/>
  </si>
  <si>
    <t>시리즈IOS</t>
    <phoneticPr fontId="20" type="noConversion"/>
  </si>
  <si>
    <t>N스토어PC</t>
    <phoneticPr fontId="20" type="noConversion"/>
  </si>
  <si>
    <t>PC뷰어</t>
    <phoneticPr fontId="20" type="noConversion"/>
  </si>
  <si>
    <t>N스토어MW</t>
    <phoneticPr fontId="20" type="noConversion"/>
  </si>
  <si>
    <t>사랑은 비를 타고 [독점]</t>
  </si>
  <si>
    <t>스토리위즈_사랑은비를타고_MG</t>
  </si>
  <si>
    <t>예리</t>
  </si>
  <si>
    <t>스토리위즈</t>
  </si>
  <si>
    <t>전체이용가</t>
  </si>
  <si>
    <t>2022.04.27</t>
  </si>
  <si>
    <t>22.03(JP/US/FR)</t>
    <phoneticPr fontId="20" type="noConversion"/>
  </si>
  <si>
    <t>22.04(JP/FR/DE)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</si>
</sst>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9" fillId="33" borderId="0" xfId="0" applyFont="1" applyFill="1" applyAlignment="1">
      <alignment horizontal="center" vertical="center" wrapText="1"/>
    </xf>
    <xf numFmtId="0" fontId="22" fillId="33" borderId="0" xfId="0" applyFont="1" applyFill="1" applyBorder="1" applyAlignment="1">
      <alignment vertical="center" wrapText="1"/>
    </xf>
    <xf numFmtId="0" fontId="23" fillId="0" borderId="0" xfId="0" applyFont="1" applyBorder="1">
      <alignment vertical="center"/>
    </xf>
    <xf numFmtId="41" fontId="19" fillId="34" borderId="0" xfId="1" applyFont="1" applyFill="1" applyBorder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176" fontId="18" fillId="0" borderId="0" xfId="0" applyNumberFormat="1" applyFont="1" applyBorder="1">
      <alignment vertical="center"/>
    </xf>
    <xf numFmtId="0" fontId="23" fillId="0" borderId="10" xfId="0" applyFont="1" applyBorder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>
      <alignment vertical="center"/>
    </xf>
    <xf numFmtId="41" fontId="18" fillId="0" borderId="10" xfId="0" applyNumberFormat="1" applyFont="1" applyBorder="1">
      <alignment vertical="center"/>
    </xf>
    <xf numFmtId="0" fontId="23" fillId="0" borderId="10" xfId="0" applyFont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1" applyFont="1" applyBorder="1">
      <alignment vertical="center"/>
    </xf>
    <xf numFmtId="0" fontId="24" fillId="0" borderId="0" xfId="0" applyFont="1" applyBorder="1">
      <alignment vertical="center"/>
    </xf>
    <xf numFmtId="3" fontId="25" fillId="0" borderId="0" xfId="0" applyNumberFormat="1" applyFont="1">
      <alignment vertical="center"/>
    </xf>
    <xf numFmtId="3" fontId="18" fillId="0" borderId="0" xfId="0" applyNumberFormat="1" applyFont="1" applyBorder="1">
      <alignment vertical="center"/>
    </xf>
    <xf numFmtId="4" fontId="18" fillId="0" borderId="0" xfId="0" applyNumberFormat="1" applyFont="1" applyBorder="1">
      <alignment vertical="center"/>
    </xf>
    <xf numFmtId="41" fontId="18" fillId="34" borderId="0" xfId="0" applyNumberFormat="1" applyFont="1" applyFill="1" applyBorder="1">
      <alignment vertical="center"/>
    </xf>
    <xf numFmtId="0" fontId="23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1" applyFont="1" applyFill="1" applyBorder="1">
      <alignment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1" applyFont="1" applyFill="1" applyBorder="1">
      <alignment vertical="center"/>
    </xf>
    <xf numFmtId="0" fontId="23" fillId="0" borderId="10" xfId="0" quotePrefix="1" applyFont="1" applyFill="1" applyBorder="1" applyAlignment="1">
      <alignment horizontal="center" vertical="center"/>
    </xf>
    <xf numFmtId="0" fontId="23" fillId="36" borderId="10" xfId="0" quotePrefix="1" applyFont="1" applyFill="1" applyBorder="1" applyAlignment="1">
      <alignment horizontal="center" vertical="center"/>
    </xf>
    <xf numFmtId="0" fontId="26" fillId="37" borderId="0" xfId="0" applyFont="1" applyFill="1" applyBorder="1">
      <alignment vertical="center"/>
    </xf>
    <xf numFmtId="0" fontId="18" fillId="37" borderId="0" xfId="0" applyFont="1" applyFill="1" applyAlignment="1">
      <alignment horizontal="left" vertical="center" wrapText="1"/>
    </xf>
    <xf numFmtId="49" fontId="18" fillId="37" borderId="0" xfId="0" applyNumberFormat="1" applyFont="1" applyFill="1" applyAlignment="1">
      <alignment vertical="center" wrapText="1"/>
    </xf>
    <xf numFmtId="0" fontId="18" fillId="37" borderId="0" xfId="0" applyFont="1" applyFill="1" applyAlignment="1">
      <alignment vertical="center" wrapText="1"/>
    </xf>
    <xf numFmtId="3" fontId="18" fillId="37" borderId="0" xfId="0" applyNumberFormat="1" applyFont="1" applyFill="1" applyAlignment="1">
      <alignment vertical="center" wrapText="1"/>
    </xf>
    <xf numFmtId="4" fontId="21" fillId="37" borderId="0" xfId="0" applyNumberFormat="1" applyFont="1" applyFill="1" applyAlignment="1">
      <alignment vertical="center" wrapText="1"/>
    </xf>
    <xf numFmtId="176" fontId="18" fillId="37" borderId="0" xfId="0" applyNumberFormat="1" applyFont="1" applyFill="1" applyBorder="1">
      <alignment vertical="center"/>
    </xf>
    <xf numFmtId="41" fontId="18" fillId="37" borderId="0" xfId="1" applyFont="1" applyFill="1" applyBorder="1">
      <alignment vertical="center"/>
    </xf>
    <xf numFmtId="4" fontId="18" fillId="37" borderId="0" xfId="0" applyNumberFormat="1" applyFont="1" applyFill="1" applyAlignment="1">
      <alignment vertical="center" wrapText="1"/>
    </xf>
    <xf numFmtId="0" fontId="26" fillId="38" borderId="0" xfId="0" applyFont="1" applyFill="1" applyBorder="1">
      <alignment vertical="center"/>
    </xf>
    <xf numFmtId="0" fontId="18" fillId="38" borderId="0" xfId="0" applyFont="1" applyFill="1" applyAlignment="1">
      <alignment horizontal="left" vertical="center" wrapText="1"/>
    </xf>
    <xf numFmtId="49" fontId="18" fillId="38" borderId="0" xfId="0" applyNumberFormat="1" applyFont="1" applyFill="1" applyAlignment="1">
      <alignment vertical="center" wrapText="1"/>
    </xf>
    <xf numFmtId="0" fontId="18" fillId="38" borderId="0" xfId="0" applyFont="1" applyFill="1" applyAlignment="1">
      <alignment vertical="center" wrapText="1"/>
    </xf>
    <xf numFmtId="4" fontId="21" fillId="38" borderId="0" xfId="0" applyNumberFormat="1" applyFont="1" applyFill="1" applyAlignment="1">
      <alignment vertical="center" wrapText="1"/>
    </xf>
    <xf numFmtId="176" fontId="18" fillId="38" borderId="0" xfId="0" applyNumberFormat="1" applyFont="1" applyFill="1" applyBorder="1">
      <alignment vertical="center"/>
    </xf>
    <xf numFmtId="41" fontId="18" fillId="38" borderId="0" xfId="1" applyFont="1" applyFill="1" applyBorder="1">
      <alignment vertical="center"/>
    </xf>
    <xf numFmtId="3" fontId="18" fillId="38" borderId="0" xfId="0" applyNumberFormat="1" applyFont="1" applyFill="1" applyAlignment="1">
      <alignment vertical="center" wrapText="1"/>
    </xf>
    <xf numFmtId="0" fontId="21" fillId="38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W38"/>
  <sheetViews>
    <sheetView tabSelected="1" topLeftCell="A4" zoomScale="94" zoomScaleNormal="94" workbookViewId="0">
      <selection activeCell="A9" sqref="A9"/>
    </sheetView>
  </sheetViews>
  <sheetFormatPr defaultColWidth="8.69921875" defaultRowHeight="10.8" x14ac:dyDescent="0.4"/>
  <cols>
    <col min="1" max="1" width="10" style="7" customWidth="1"/>
    <col min="2" max="2" width="13.19921875" style="4" customWidth="1"/>
    <col min="3" max="3" width="10.19921875" style="3" customWidth="1"/>
    <col min="4" max="4" width="10.69921875" style="3" customWidth="1"/>
    <col min="5" max="5" width="11.5" style="3" customWidth="1"/>
    <col min="6" max="6" width="7.19921875" style="3" customWidth="1"/>
    <col min="7" max="7" width="10" style="3" customWidth="1"/>
    <col min="8" max="8" width="12.796875" style="3" customWidth="1"/>
    <col min="9" max="9" width="10" style="3" bestFit="1" customWidth="1"/>
    <col min="10" max="10" width="13.59765625" style="3" customWidth="1"/>
    <col min="11" max="11" width="7.3984375" style="3" customWidth="1"/>
    <col min="12" max="12" width="4.296875" style="3" customWidth="1"/>
    <col min="13" max="13" width="4.796875" style="3" customWidth="1"/>
    <col min="14" max="14" width="7.19921875" style="3" customWidth="1"/>
    <col min="15" max="15" width="6.69921875" style="3" customWidth="1"/>
    <col min="16" max="16" width="6" style="3" customWidth="1"/>
    <col min="17" max="18" width="6.296875" style="3" customWidth="1"/>
    <col min="19" max="19" width="5" style="3" customWidth="1"/>
    <col min="20" max="20" width="4.796875" style="3" customWidth="1"/>
    <col min="21" max="21" width="7.19921875" style="3" customWidth="1"/>
    <col min="22" max="22" width="6.69921875" style="3" customWidth="1"/>
    <col min="23" max="23" width="6" style="3" customWidth="1"/>
    <col min="24" max="25" width="6.296875" style="3" customWidth="1"/>
    <col min="26" max="26" width="3.59765625" style="3" customWidth="1"/>
    <col min="27" max="27" width="5" style="3" customWidth="1"/>
    <col min="28" max="29" width="3.59765625" style="3" customWidth="1"/>
    <col min="30" max="30" width="5" style="3" customWidth="1"/>
    <col min="31" max="31" width="4.296875" style="3" customWidth="1"/>
    <col min="32" max="37" width="3.59765625" style="3" customWidth="1"/>
    <col min="38" max="38" width="7.8984375" style="3" customWidth="1"/>
    <col min="39" max="39" width="8.09765625" style="3" customWidth="1"/>
    <col min="40" max="40" width="8.5" style="3" customWidth="1"/>
    <col min="41" max="41" width="12.69921875" style="3" customWidth="1"/>
    <col min="42" max="47" width="8.69921875" style="3"/>
    <col min="48" max="48" width="9.09765625" style="3" bestFit="1" customWidth="1"/>
    <col min="49" max="49" width="8.796875" style="3" bestFit="1" customWidth="1"/>
    <col min="50" max="16384" width="8.69921875" style="3"/>
  </cols>
  <sheetData>
    <row r="1" spans="1:49" customFormat="1" ht="24.6" customHeight="1" x14ac:dyDescent="0.4">
      <c r="A1" s="6" t="s">
        <v>21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8</v>
      </c>
      <c r="T1" s="5" t="s">
        <v>9</v>
      </c>
      <c r="U1" s="5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5" t="s">
        <v>8</v>
      </c>
      <c r="AC1" s="5" t="s">
        <v>17</v>
      </c>
      <c r="AD1" s="5" t="s">
        <v>18</v>
      </c>
      <c r="AE1" s="5" t="s">
        <v>8</v>
      </c>
      <c r="AF1" s="5" t="s">
        <v>17</v>
      </c>
      <c r="AG1" s="5" t="s">
        <v>18</v>
      </c>
      <c r="AH1" s="5" t="s">
        <v>8</v>
      </c>
      <c r="AI1" s="5" t="s">
        <v>17</v>
      </c>
      <c r="AJ1" s="5" t="s">
        <v>18</v>
      </c>
      <c r="AK1" s="5" t="s">
        <v>8</v>
      </c>
      <c r="AL1" s="5" t="s">
        <v>17</v>
      </c>
      <c r="AM1" s="5" t="s">
        <v>18</v>
      </c>
      <c r="AN1" s="8" t="s">
        <v>19</v>
      </c>
      <c r="AO1" s="5" t="s">
        <v>8</v>
      </c>
      <c r="AP1" s="5" t="s">
        <v>17</v>
      </c>
      <c r="AQ1" s="5" t="s">
        <v>18</v>
      </c>
      <c r="AR1" s="5" t="s">
        <v>8</v>
      </c>
      <c r="AS1" s="5" t="s">
        <v>17</v>
      </c>
      <c r="AT1" s="5" t="s">
        <v>18</v>
      </c>
      <c r="AU1" s="9" t="s">
        <v>20</v>
      </c>
      <c r="AV1" s="5" t="s">
        <v>22</v>
      </c>
      <c r="AW1" s="5" t="s">
        <v>23</v>
      </c>
    </row>
    <row r="2" spans="1:49" ht="25.05" customHeight="1" x14ac:dyDescent="0.4">
      <c r="A2" s="34" t="s">
        <v>40</v>
      </c>
      <c r="B2" s="35" t="s">
        <v>46</v>
      </c>
      <c r="C2" s="35">
        <v>423644</v>
      </c>
      <c r="D2" s="36"/>
      <c r="E2" s="35" t="s">
        <v>47</v>
      </c>
      <c r="F2" s="35" t="s">
        <v>48</v>
      </c>
      <c r="G2" s="35" t="s">
        <v>49</v>
      </c>
      <c r="H2" s="37" t="s">
        <v>50</v>
      </c>
      <c r="I2" s="37" t="s">
        <v>51</v>
      </c>
      <c r="J2" s="37">
        <v>0</v>
      </c>
      <c r="K2" s="38">
        <v>13517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>
        <v>0</v>
      </c>
      <c r="R2" s="37">
        <v>0</v>
      </c>
      <c r="S2" s="37">
        <v>0</v>
      </c>
      <c r="T2" s="37">
        <v>0</v>
      </c>
      <c r="U2" s="37">
        <v>0</v>
      </c>
      <c r="V2" s="37">
        <v>0</v>
      </c>
      <c r="W2" s="37">
        <v>0</v>
      </c>
      <c r="X2" s="37">
        <v>0</v>
      </c>
      <c r="Y2" s="37">
        <v>0</v>
      </c>
      <c r="Z2" s="37">
        <v>0</v>
      </c>
      <c r="AA2" s="37">
        <v>0</v>
      </c>
      <c r="AB2" s="38">
        <v>3335</v>
      </c>
      <c r="AC2" s="38">
        <v>490200</v>
      </c>
      <c r="AD2" s="38">
        <v>176600</v>
      </c>
      <c r="AE2" s="37">
        <v>259</v>
      </c>
      <c r="AF2" s="38">
        <v>85000</v>
      </c>
      <c r="AG2" s="38">
        <v>18400</v>
      </c>
      <c r="AH2" s="37">
        <v>3</v>
      </c>
      <c r="AI2" s="37">
        <v>720</v>
      </c>
      <c r="AJ2" s="37">
        <v>0</v>
      </c>
      <c r="AK2" s="37">
        <v>0</v>
      </c>
      <c r="AL2" s="37">
        <v>0</v>
      </c>
      <c r="AM2" s="37">
        <v>0</v>
      </c>
      <c r="AN2" s="37">
        <v>216</v>
      </c>
      <c r="AO2" s="37">
        <v>156</v>
      </c>
      <c r="AP2" s="38">
        <v>30600</v>
      </c>
      <c r="AQ2" s="37">
        <v>400</v>
      </c>
      <c r="AR2" s="37">
        <v>36</v>
      </c>
      <c r="AS2" s="38">
        <v>14000</v>
      </c>
      <c r="AT2" s="37">
        <v>200</v>
      </c>
      <c r="AU2" s="39">
        <v>816120</v>
      </c>
      <c r="AV2" s="40">
        <f>AU2-AN2</f>
        <v>815904</v>
      </c>
      <c r="AW2" s="41">
        <f>AV2*60%</f>
        <v>489542.39999999997</v>
      </c>
    </row>
    <row r="3" spans="1:49" ht="25.05" customHeight="1" x14ac:dyDescent="0.4">
      <c r="A3" s="34" t="s">
        <v>41</v>
      </c>
      <c r="B3" s="35" t="s">
        <v>46</v>
      </c>
      <c r="C3" s="35">
        <v>423644</v>
      </c>
      <c r="D3" s="36"/>
      <c r="E3" s="35" t="s">
        <v>47</v>
      </c>
      <c r="F3" s="35" t="s">
        <v>48</v>
      </c>
      <c r="G3" s="35" t="s">
        <v>49</v>
      </c>
      <c r="H3" s="37" t="s">
        <v>50</v>
      </c>
      <c r="I3" s="37" t="s">
        <v>51</v>
      </c>
      <c r="J3" s="37">
        <v>0</v>
      </c>
      <c r="K3" s="38">
        <v>7898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  <c r="AA3" s="37">
        <v>0</v>
      </c>
      <c r="AB3" s="38">
        <v>1792</v>
      </c>
      <c r="AC3" s="38">
        <v>260700</v>
      </c>
      <c r="AD3" s="38">
        <v>97600</v>
      </c>
      <c r="AE3" s="37">
        <v>138</v>
      </c>
      <c r="AF3" s="38">
        <v>42800</v>
      </c>
      <c r="AG3" s="38">
        <v>12100</v>
      </c>
      <c r="AH3" s="37">
        <v>1</v>
      </c>
      <c r="AI3" s="37">
        <v>0</v>
      </c>
      <c r="AJ3" s="37">
        <v>200</v>
      </c>
      <c r="AK3" s="37">
        <v>0</v>
      </c>
      <c r="AL3" s="37">
        <v>0</v>
      </c>
      <c r="AM3" s="37">
        <v>0</v>
      </c>
      <c r="AN3" s="37">
        <v>0</v>
      </c>
      <c r="AO3" s="37">
        <v>224</v>
      </c>
      <c r="AP3" s="38">
        <v>44500</v>
      </c>
      <c r="AQ3" s="37">
        <v>200</v>
      </c>
      <c r="AR3" s="37">
        <v>14</v>
      </c>
      <c r="AS3" s="38">
        <v>5100</v>
      </c>
      <c r="AT3" s="37">
        <v>400</v>
      </c>
      <c r="AU3" s="39">
        <v>463600</v>
      </c>
      <c r="AV3" s="40">
        <f t="shared" ref="AV3:AV6" si="0">AU3-AN3</f>
        <v>463600</v>
      </c>
      <c r="AW3" s="41">
        <f t="shared" ref="AW3:AW6" si="1">AV3*60%</f>
        <v>278160</v>
      </c>
    </row>
    <row r="4" spans="1:49" ht="25.05" customHeight="1" x14ac:dyDescent="0.4">
      <c r="A4" s="34" t="s">
        <v>42</v>
      </c>
      <c r="B4" s="35" t="s">
        <v>46</v>
      </c>
      <c r="C4" s="35">
        <v>423644</v>
      </c>
      <c r="D4" s="36"/>
      <c r="E4" s="35" t="s">
        <v>47</v>
      </c>
      <c r="F4" s="35" t="s">
        <v>48</v>
      </c>
      <c r="G4" s="35" t="s">
        <v>49</v>
      </c>
      <c r="H4" s="37" t="s">
        <v>50</v>
      </c>
      <c r="I4" s="37" t="s">
        <v>51</v>
      </c>
      <c r="J4" s="37">
        <v>0</v>
      </c>
      <c r="K4" s="38">
        <v>4256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  <c r="AA4" s="37">
        <v>0</v>
      </c>
      <c r="AB4" s="37">
        <v>469</v>
      </c>
      <c r="AC4" s="38">
        <v>82100</v>
      </c>
      <c r="AD4" s="38">
        <v>10900</v>
      </c>
      <c r="AE4" s="37">
        <v>1</v>
      </c>
      <c r="AF4" s="37">
        <v>400</v>
      </c>
      <c r="AG4" s="37">
        <v>0</v>
      </c>
      <c r="AH4" s="37">
        <v>479</v>
      </c>
      <c r="AI4" s="38">
        <v>67704</v>
      </c>
      <c r="AJ4" s="38">
        <v>39500</v>
      </c>
      <c r="AK4" s="37">
        <v>62</v>
      </c>
      <c r="AL4" s="38">
        <v>28800</v>
      </c>
      <c r="AM4" s="37">
        <v>800</v>
      </c>
      <c r="AN4" s="42">
        <v>28951.200000000001</v>
      </c>
      <c r="AO4" s="37">
        <v>109</v>
      </c>
      <c r="AP4" s="38">
        <v>21700</v>
      </c>
      <c r="AQ4" s="37">
        <v>0</v>
      </c>
      <c r="AR4" s="37">
        <v>0</v>
      </c>
      <c r="AS4" s="37">
        <v>0</v>
      </c>
      <c r="AT4" s="37">
        <v>0</v>
      </c>
      <c r="AU4" s="39">
        <v>251904</v>
      </c>
      <c r="AV4" s="40">
        <f t="shared" si="0"/>
        <v>222952.8</v>
      </c>
      <c r="AW4" s="41">
        <f t="shared" si="1"/>
        <v>133771.68</v>
      </c>
    </row>
    <row r="5" spans="1:49" ht="25.05" customHeight="1" x14ac:dyDescent="0.4">
      <c r="A5" s="43" t="s">
        <v>43</v>
      </c>
      <c r="B5" s="44" t="s">
        <v>46</v>
      </c>
      <c r="C5" s="44">
        <v>423644</v>
      </c>
      <c r="D5" s="45"/>
      <c r="E5" s="44" t="s">
        <v>47</v>
      </c>
      <c r="F5" s="44" t="s">
        <v>48</v>
      </c>
      <c r="G5" s="44" t="s">
        <v>49</v>
      </c>
      <c r="H5" s="46" t="s">
        <v>50</v>
      </c>
      <c r="I5" s="46" t="s">
        <v>51</v>
      </c>
      <c r="J5" s="46">
        <v>0</v>
      </c>
      <c r="K5" s="46">
        <v>18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0</v>
      </c>
      <c r="X5" s="46">
        <v>0</v>
      </c>
      <c r="Y5" s="46">
        <v>0</v>
      </c>
      <c r="Z5" s="46">
        <v>0</v>
      </c>
      <c r="AA5" s="46">
        <v>0</v>
      </c>
      <c r="AB5" s="46">
        <v>4</v>
      </c>
      <c r="AC5" s="46">
        <v>800</v>
      </c>
      <c r="AD5" s="46">
        <v>0</v>
      </c>
      <c r="AE5" s="46">
        <v>1</v>
      </c>
      <c r="AF5" s="46">
        <v>400</v>
      </c>
      <c r="AG5" s="46">
        <v>0</v>
      </c>
      <c r="AH5" s="46">
        <v>1</v>
      </c>
      <c r="AI5" s="46">
        <v>240</v>
      </c>
      <c r="AJ5" s="46">
        <v>0</v>
      </c>
      <c r="AK5" s="46">
        <v>0</v>
      </c>
      <c r="AL5" s="46">
        <v>0</v>
      </c>
      <c r="AM5" s="46">
        <v>0</v>
      </c>
      <c r="AN5" s="46">
        <v>72</v>
      </c>
      <c r="AO5" s="46">
        <v>0</v>
      </c>
      <c r="AP5" s="46">
        <v>0</v>
      </c>
      <c r="AQ5" s="46">
        <v>0</v>
      </c>
      <c r="AR5" s="46">
        <v>0</v>
      </c>
      <c r="AS5" s="46">
        <v>0</v>
      </c>
      <c r="AT5" s="46">
        <v>0</v>
      </c>
      <c r="AU5" s="47">
        <v>1440</v>
      </c>
      <c r="AV5" s="48">
        <f t="shared" si="0"/>
        <v>1368</v>
      </c>
      <c r="AW5" s="49">
        <f t="shared" si="1"/>
        <v>820.8</v>
      </c>
    </row>
    <row r="6" spans="1:49" ht="25.05" customHeight="1" x14ac:dyDescent="0.4">
      <c r="A6" s="43" t="s">
        <v>44</v>
      </c>
      <c r="B6" s="44" t="s">
        <v>46</v>
      </c>
      <c r="C6" s="44">
        <v>423644</v>
      </c>
      <c r="D6" s="45"/>
      <c r="E6" s="44" t="s">
        <v>47</v>
      </c>
      <c r="F6" s="44" t="s">
        <v>48</v>
      </c>
      <c r="G6" s="44" t="s">
        <v>49</v>
      </c>
      <c r="H6" s="46" t="s">
        <v>50</v>
      </c>
      <c r="I6" s="46" t="s">
        <v>51</v>
      </c>
      <c r="J6" s="46">
        <v>0</v>
      </c>
      <c r="K6" s="46">
        <v>13</v>
      </c>
      <c r="L6" s="46">
        <v>0</v>
      </c>
      <c r="M6" s="46">
        <v>0</v>
      </c>
      <c r="N6" s="46">
        <v>0</v>
      </c>
      <c r="O6" s="46">
        <v>0</v>
      </c>
      <c r="P6" s="46">
        <v>0</v>
      </c>
      <c r="Q6" s="46">
        <v>0</v>
      </c>
      <c r="R6" s="46">
        <v>0</v>
      </c>
      <c r="S6" s="46">
        <v>0</v>
      </c>
      <c r="T6" s="46">
        <v>0</v>
      </c>
      <c r="U6" s="46">
        <v>0</v>
      </c>
      <c r="V6" s="46">
        <v>0</v>
      </c>
      <c r="W6" s="46">
        <v>0</v>
      </c>
      <c r="X6" s="46">
        <v>0</v>
      </c>
      <c r="Y6" s="46">
        <v>0</v>
      </c>
      <c r="Z6" s="46">
        <v>0</v>
      </c>
      <c r="AA6" s="46">
        <v>0</v>
      </c>
      <c r="AB6" s="46">
        <v>13</v>
      </c>
      <c r="AC6" s="50">
        <v>2600</v>
      </c>
      <c r="AD6" s="46">
        <v>0</v>
      </c>
      <c r="AE6" s="46">
        <v>4</v>
      </c>
      <c r="AF6" s="50">
        <v>1600</v>
      </c>
      <c r="AG6" s="46">
        <v>0</v>
      </c>
      <c r="AH6" s="46">
        <v>0</v>
      </c>
      <c r="AI6" s="46">
        <v>0</v>
      </c>
      <c r="AJ6" s="46">
        <v>0</v>
      </c>
      <c r="AK6" s="46">
        <v>0</v>
      </c>
      <c r="AL6" s="46">
        <v>0</v>
      </c>
      <c r="AM6" s="46">
        <v>0</v>
      </c>
      <c r="AN6" s="46">
        <v>0</v>
      </c>
      <c r="AO6" s="46">
        <v>0</v>
      </c>
      <c r="AP6" s="46">
        <v>0</v>
      </c>
      <c r="AQ6" s="46">
        <v>0</v>
      </c>
      <c r="AR6" s="46">
        <v>0</v>
      </c>
      <c r="AS6" s="46">
        <v>0</v>
      </c>
      <c r="AT6" s="46">
        <v>0</v>
      </c>
      <c r="AU6" s="47">
        <v>4200</v>
      </c>
      <c r="AV6" s="48">
        <f t="shared" si="0"/>
        <v>4200</v>
      </c>
      <c r="AW6" s="49">
        <f t="shared" si="1"/>
        <v>2520</v>
      </c>
    </row>
    <row r="7" spans="1:49" ht="25.05" customHeight="1" x14ac:dyDescent="0.4">
      <c r="A7" s="43" t="s">
        <v>45</v>
      </c>
      <c r="B7" s="44" t="s">
        <v>46</v>
      </c>
      <c r="C7" s="44">
        <v>423644</v>
      </c>
      <c r="D7" s="45"/>
      <c r="E7" s="44" t="s">
        <v>47</v>
      </c>
      <c r="F7" s="44" t="s">
        <v>48</v>
      </c>
      <c r="G7" s="44" t="s">
        <v>49</v>
      </c>
      <c r="H7" s="46" t="s">
        <v>50</v>
      </c>
      <c r="I7" s="46" t="s">
        <v>51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3</v>
      </c>
      <c r="AC7" s="46">
        <v>600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0</v>
      </c>
      <c r="AL7" s="46">
        <v>0</v>
      </c>
      <c r="AM7" s="46">
        <v>0</v>
      </c>
      <c r="AN7" s="46">
        <v>0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51">
        <v>600</v>
      </c>
      <c r="AV7" s="48">
        <f t="shared" ref="AV7" si="2">AU7-AN7</f>
        <v>600</v>
      </c>
      <c r="AW7" s="49">
        <f t="shared" ref="AW7" si="3">AV7*60%</f>
        <v>360</v>
      </c>
    </row>
    <row r="8" spans="1:49" x14ac:dyDescent="0.4">
      <c r="AU8" s="23">
        <f>SUM(AU2:AU7)</f>
        <v>1537864</v>
      </c>
      <c r="AV8" s="10"/>
      <c r="AW8" s="24">
        <f>SUM(AW2:AW7)</f>
        <v>905174.87999999989</v>
      </c>
    </row>
    <row r="10" spans="1:49" ht="15.6" x14ac:dyDescent="0.4">
      <c r="A10" s="20" t="s">
        <v>29</v>
      </c>
      <c r="AU10" s="21"/>
      <c r="AW10" s="21"/>
    </row>
    <row r="11" spans="1:49" x14ac:dyDescent="0.4">
      <c r="A11" s="16" t="s">
        <v>24</v>
      </c>
      <c r="B11" s="17" t="s">
        <v>25</v>
      </c>
      <c r="C11" s="17" t="s">
        <v>26</v>
      </c>
      <c r="D11" s="17" t="s">
        <v>27</v>
      </c>
      <c r="J11" s="3" t="s">
        <v>34</v>
      </c>
    </row>
    <row r="12" spans="1:49" x14ac:dyDescent="0.4">
      <c r="A12" s="15">
        <v>21.02</v>
      </c>
      <c r="B12" s="18">
        <v>30000000</v>
      </c>
      <c r="C12" s="14">
        <v>472077</v>
      </c>
      <c r="D12" s="19">
        <f>B12-C12</f>
        <v>29527923</v>
      </c>
    </row>
    <row r="13" spans="1:49" x14ac:dyDescent="0.4">
      <c r="A13" s="15">
        <v>21.03</v>
      </c>
      <c r="B13" s="18"/>
      <c r="C13" s="14">
        <v>408648</v>
      </c>
      <c r="D13" s="19">
        <f t="shared" ref="D13:D28" si="4">D12-C13</f>
        <v>29119275</v>
      </c>
    </row>
    <row r="14" spans="1:49" x14ac:dyDescent="0.4">
      <c r="A14" s="15">
        <v>21.04</v>
      </c>
      <c r="B14" s="18"/>
      <c r="C14" s="14">
        <v>160198.56</v>
      </c>
      <c r="D14" s="19">
        <f t="shared" si="4"/>
        <v>28959076.440000001</v>
      </c>
    </row>
    <row r="15" spans="1:49" x14ac:dyDescent="0.4">
      <c r="A15" s="15">
        <v>21.05</v>
      </c>
      <c r="B15" s="18"/>
      <c r="C15" s="14">
        <v>121166</v>
      </c>
      <c r="D15" s="19">
        <f t="shared" si="4"/>
        <v>28837910.440000001</v>
      </c>
    </row>
    <row r="16" spans="1:49" x14ac:dyDescent="0.4">
      <c r="A16" s="15">
        <v>21.06</v>
      </c>
      <c r="B16" s="18"/>
      <c r="C16" s="14">
        <v>290693</v>
      </c>
      <c r="D16" s="19">
        <f t="shared" si="4"/>
        <v>28547217.440000001</v>
      </c>
    </row>
    <row r="17" spans="1:49" x14ac:dyDescent="0.4">
      <c r="A17" s="25" t="s">
        <v>30</v>
      </c>
      <c r="B17" s="26"/>
      <c r="C17" s="27">
        <v>1204515</v>
      </c>
      <c r="D17" s="28">
        <f t="shared" si="4"/>
        <v>27342702.440000001</v>
      </c>
    </row>
    <row r="18" spans="1:49" x14ac:dyDescent="0.4">
      <c r="A18" s="15">
        <v>21.07</v>
      </c>
      <c r="B18" s="18"/>
      <c r="C18" s="14">
        <v>188088</v>
      </c>
      <c r="D18" s="19">
        <f t="shared" si="4"/>
        <v>27154614.440000001</v>
      </c>
      <c r="AU18" s="22"/>
      <c r="AW18" s="22"/>
    </row>
    <row r="19" spans="1:49" x14ac:dyDescent="0.4">
      <c r="A19" s="15">
        <v>21.08</v>
      </c>
      <c r="B19" s="18"/>
      <c r="C19" s="14">
        <v>118512</v>
      </c>
      <c r="D19" s="19">
        <f t="shared" si="4"/>
        <v>27036102.440000001</v>
      </c>
      <c r="AU19" s="22"/>
      <c r="AW19" s="22"/>
    </row>
    <row r="20" spans="1:49" x14ac:dyDescent="0.4">
      <c r="A20" s="25" t="s">
        <v>31</v>
      </c>
      <c r="B20" s="26"/>
      <c r="C20" s="27">
        <v>844621</v>
      </c>
      <c r="D20" s="28">
        <f t="shared" si="4"/>
        <v>26191481.440000001</v>
      </c>
      <c r="AU20" s="22"/>
      <c r="AW20" s="22"/>
    </row>
    <row r="21" spans="1:49" x14ac:dyDescent="0.4">
      <c r="A21" s="15">
        <v>21.09</v>
      </c>
      <c r="B21" s="18"/>
      <c r="C21" s="14">
        <v>322027</v>
      </c>
      <c r="D21" s="19">
        <f t="shared" si="4"/>
        <v>25869454.440000001</v>
      </c>
      <c r="AU21" s="22"/>
      <c r="AW21" s="22"/>
    </row>
    <row r="22" spans="1:49" x14ac:dyDescent="0.4">
      <c r="A22" s="25" t="s">
        <v>32</v>
      </c>
      <c r="B22" s="26"/>
      <c r="C22" s="27">
        <v>552842</v>
      </c>
      <c r="D22" s="28">
        <f t="shared" si="4"/>
        <v>25316612.440000001</v>
      </c>
      <c r="AU22" s="22"/>
      <c r="AW22" s="22"/>
    </row>
    <row r="23" spans="1:49" x14ac:dyDescent="0.4">
      <c r="A23" s="32" t="s">
        <v>33</v>
      </c>
      <c r="B23" s="29"/>
      <c r="C23" s="30">
        <v>91790.399999999994</v>
      </c>
      <c r="D23" s="31">
        <f t="shared" si="4"/>
        <v>25224822.040000003</v>
      </c>
      <c r="AU23" s="22"/>
      <c r="AW23" s="22"/>
    </row>
    <row r="24" spans="1:49" x14ac:dyDescent="0.4">
      <c r="A24" s="33" t="s">
        <v>35</v>
      </c>
      <c r="B24" s="26"/>
      <c r="C24" s="27">
        <v>605653</v>
      </c>
      <c r="D24" s="28">
        <f t="shared" si="4"/>
        <v>24619169.040000003</v>
      </c>
      <c r="AU24" s="22"/>
      <c r="AW24" s="22"/>
    </row>
    <row r="25" spans="1:49" x14ac:dyDescent="0.4">
      <c r="A25" s="33" t="s">
        <v>36</v>
      </c>
      <c r="B25" s="26"/>
      <c r="C25" s="27">
        <v>547220</v>
      </c>
      <c r="D25" s="28">
        <f t="shared" si="4"/>
        <v>24071949.040000003</v>
      </c>
      <c r="AU25" s="22"/>
      <c r="AW25" s="22"/>
    </row>
    <row r="26" spans="1:49" x14ac:dyDescent="0.4">
      <c r="A26" s="32">
        <v>21.11</v>
      </c>
      <c r="B26" s="29"/>
      <c r="C26" s="30">
        <v>25450</v>
      </c>
      <c r="D26" s="31">
        <f t="shared" si="4"/>
        <v>24046499.040000003</v>
      </c>
      <c r="AU26" s="22"/>
      <c r="AW26" s="22"/>
    </row>
    <row r="27" spans="1:49" x14ac:dyDescent="0.4">
      <c r="A27" s="33" t="s">
        <v>37</v>
      </c>
      <c r="B27" s="26"/>
      <c r="C27" s="27">
        <v>457391</v>
      </c>
      <c r="D27" s="28">
        <f t="shared" si="4"/>
        <v>23589108.040000003</v>
      </c>
      <c r="AU27" s="22"/>
      <c r="AW27" s="22"/>
    </row>
    <row r="28" spans="1:49" x14ac:dyDescent="0.4">
      <c r="A28" s="32">
        <v>21.12</v>
      </c>
      <c r="B28" s="29"/>
      <c r="C28" s="30">
        <v>23400</v>
      </c>
      <c r="D28" s="31">
        <f t="shared" si="4"/>
        <v>23565708.040000003</v>
      </c>
      <c r="AU28" s="22"/>
      <c r="AW28" s="22"/>
    </row>
    <row r="29" spans="1:49" x14ac:dyDescent="0.4">
      <c r="A29" s="33" t="s">
        <v>38</v>
      </c>
      <c r="B29" s="26"/>
      <c r="C29" s="27">
        <v>477210</v>
      </c>
      <c r="D29" s="28">
        <f t="shared" ref="D29:D30" si="5">D28-C29</f>
        <v>23088498.040000003</v>
      </c>
      <c r="AU29" s="22"/>
      <c r="AW29" s="22"/>
    </row>
    <row r="30" spans="1:49" x14ac:dyDescent="0.4">
      <c r="A30" s="32">
        <v>22.01</v>
      </c>
      <c r="B30" s="29"/>
      <c r="C30" s="30">
        <v>260419.20000000001</v>
      </c>
      <c r="D30" s="31">
        <f t="shared" si="5"/>
        <v>22828078.840000004</v>
      </c>
      <c r="AU30" s="22"/>
      <c r="AW30" s="22"/>
    </row>
    <row r="31" spans="1:49" x14ac:dyDescent="0.4">
      <c r="A31" s="33" t="s">
        <v>39</v>
      </c>
      <c r="B31" s="26"/>
      <c r="C31" s="27">
        <v>295476</v>
      </c>
      <c r="D31" s="28">
        <f t="shared" ref="D31:D36" si="6">D30-C31</f>
        <v>22532602.840000004</v>
      </c>
      <c r="AU31" s="22"/>
      <c r="AW31" s="22"/>
    </row>
    <row r="32" spans="1:49" x14ac:dyDescent="0.4">
      <c r="A32" s="32">
        <v>22.02</v>
      </c>
      <c r="B32" s="29"/>
      <c r="C32" s="30">
        <v>482780.27999999991</v>
      </c>
      <c r="D32" s="31">
        <f t="shared" si="6"/>
        <v>22049822.560000002</v>
      </c>
      <c r="AU32" s="22"/>
      <c r="AW32" s="22"/>
    </row>
    <row r="33" spans="1:49" x14ac:dyDescent="0.4">
      <c r="A33" s="32">
        <v>22.03</v>
      </c>
      <c r="B33" s="29"/>
      <c r="C33" s="30">
        <f>AW8</f>
        <v>905174.87999999989</v>
      </c>
      <c r="D33" s="31">
        <f t="shared" si="6"/>
        <v>21144647.680000003</v>
      </c>
      <c r="AU33" s="22"/>
      <c r="AW33" s="22"/>
    </row>
    <row r="34" spans="1:49" x14ac:dyDescent="0.4">
      <c r="A34" s="33" t="s">
        <v>52</v>
      </c>
      <c r="B34" s="26"/>
      <c r="C34" s="27">
        <v>113872</v>
      </c>
      <c r="D34" s="28">
        <f t="shared" si="6"/>
        <v>21030775.680000003</v>
      </c>
      <c r="AU34" s="22"/>
      <c r="AW34" s="22"/>
    </row>
    <row r="35" spans="1:49" x14ac:dyDescent="0.4">
      <c r="A35" s="32">
        <v>22.04</v>
      </c>
      <c r="B35" s="12"/>
      <c r="C35" s="14">
        <f>AW8</f>
        <v>905174.87999999989</v>
      </c>
      <c r="D35" s="31">
        <f t="shared" si="6"/>
        <v>20125600.800000004</v>
      </c>
    </row>
    <row r="36" spans="1:49" x14ac:dyDescent="0.4">
      <c r="A36" s="33" t="s">
        <v>53</v>
      </c>
      <c r="B36" s="26"/>
      <c r="C36" s="27">
        <v>169682</v>
      </c>
      <c r="D36" s="28">
        <f t="shared" si="6"/>
        <v>19955918.800000004</v>
      </c>
      <c r="AU36" s="22"/>
      <c r="AW36" s="22"/>
    </row>
    <row r="37" spans="1:49" x14ac:dyDescent="0.4">
      <c r="A37" s="11"/>
      <c r="B37" s="12"/>
      <c r="C37" s="13"/>
      <c r="D37" s="13"/>
    </row>
    <row r="38" spans="1:49" x14ac:dyDescent="0.4">
      <c r="A38" s="16" t="s">
        <v>28</v>
      </c>
      <c r="B38" s="18">
        <f>SUM(B12:B35)</f>
        <v>30000000</v>
      </c>
      <c r="C38" s="18">
        <f>SUM(C12:C36)</f>
        <v>10044081.199999999</v>
      </c>
      <c r="D38" s="18"/>
    </row>
  </sheetData>
  <phoneticPr fontId="20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2022-05-07T06:46:13Z</dcterms:modified>
</cp:coreProperties>
</file>