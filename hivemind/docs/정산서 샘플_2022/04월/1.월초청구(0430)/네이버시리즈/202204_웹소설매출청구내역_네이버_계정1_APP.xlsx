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(0430)\네이버시리즈\"/>
    </mc:Choice>
  </mc:AlternateContent>
  <bookViews>
    <workbookView xWindow="0" yWindow="0" windowWidth="23040" windowHeight="8952" tabRatio="766"/>
  </bookViews>
  <sheets>
    <sheet name="합계 (4)" sheetId="412" r:id="rId1"/>
  </sheets>
  <definedNames>
    <definedName name="_xlnm._FilterDatabase" localSheetId="0" hidden="1">'합계 (4)'!$A$1:$AM$1</definedName>
    <definedName name="_xlnm.Extract" localSheetId="0">'합계 (4)'!#REF!</definedName>
  </definedNames>
  <calcPr calcId="152511"/>
</workbook>
</file>

<file path=xl/calcChain.xml><?xml version="1.0" encoding="utf-8"?>
<calcChain xmlns="http://schemas.openxmlformats.org/spreadsheetml/2006/main">
  <c r="AW124" i="412" l="1"/>
  <c r="AW3" i="412"/>
  <c r="AW4" i="412"/>
  <c r="AW5" i="412"/>
  <c r="AW6" i="412"/>
  <c r="AW7" i="412"/>
  <c r="AW8" i="412"/>
  <c r="AW9" i="412"/>
  <c r="AW10" i="412"/>
  <c r="AW11" i="412"/>
  <c r="AW12" i="412"/>
  <c r="AW13" i="412"/>
  <c r="AW14" i="412"/>
  <c r="AW15" i="412"/>
  <c r="AW16" i="412"/>
  <c r="AW17" i="412"/>
  <c r="AW18" i="412"/>
  <c r="AW19" i="412"/>
  <c r="AW20" i="412"/>
  <c r="AW21" i="412"/>
  <c r="AW22" i="412"/>
  <c r="AW23" i="412"/>
  <c r="AW24" i="412"/>
  <c r="AW25" i="412"/>
  <c r="AW26" i="412"/>
  <c r="AW27" i="412"/>
  <c r="AW28" i="412"/>
  <c r="AW29" i="412"/>
  <c r="AW30" i="412"/>
  <c r="AW31" i="412"/>
  <c r="AW32" i="412"/>
  <c r="AW33" i="412"/>
  <c r="AW34" i="412"/>
  <c r="AW35" i="412"/>
  <c r="AW36" i="412"/>
  <c r="AW37" i="412"/>
  <c r="AW38" i="412"/>
  <c r="AW39" i="412"/>
  <c r="AW40" i="412"/>
  <c r="AW41" i="412"/>
  <c r="AW42" i="412"/>
  <c r="AW43" i="412"/>
  <c r="AW44" i="412"/>
  <c r="AW45" i="412"/>
  <c r="AW46" i="412"/>
  <c r="AW47" i="412"/>
  <c r="AW48" i="412"/>
  <c r="AW49" i="412"/>
  <c r="AW50" i="412"/>
  <c r="AW51" i="412"/>
  <c r="AW52" i="412"/>
  <c r="AW53" i="412"/>
  <c r="AW54" i="412"/>
  <c r="AW55" i="412"/>
  <c r="AW56" i="412"/>
  <c r="AW57" i="412"/>
  <c r="AW58" i="412"/>
  <c r="AW59" i="412"/>
  <c r="AW60" i="412"/>
  <c r="AW61" i="412"/>
  <c r="AW62" i="412"/>
  <c r="AW63" i="412"/>
  <c r="AW64" i="412"/>
  <c r="AW65" i="412"/>
  <c r="AW66" i="412"/>
  <c r="AW67" i="412"/>
  <c r="AW68" i="412"/>
  <c r="AW69" i="412"/>
  <c r="AW70" i="412"/>
  <c r="AW71" i="412"/>
  <c r="AW72" i="412"/>
  <c r="AW73" i="412"/>
  <c r="AW74" i="412"/>
  <c r="AW75" i="412"/>
  <c r="AW76" i="412"/>
  <c r="AW77" i="412"/>
  <c r="AW78" i="412"/>
  <c r="AW79" i="412"/>
  <c r="AW80" i="412"/>
  <c r="AW81" i="412"/>
  <c r="AW82" i="412"/>
  <c r="AW83" i="412"/>
  <c r="AW84" i="412"/>
  <c r="AW85" i="412"/>
  <c r="AW86" i="412"/>
  <c r="AW87" i="412"/>
  <c r="AW88" i="412"/>
  <c r="AW89" i="412"/>
  <c r="AW90" i="412"/>
  <c r="AW91" i="412"/>
  <c r="AW92" i="412"/>
  <c r="AW93" i="412"/>
  <c r="AW94" i="412"/>
  <c r="AW95" i="412"/>
  <c r="AW96" i="412"/>
  <c r="AW97" i="412"/>
  <c r="AW98" i="412"/>
  <c r="AW99" i="412"/>
  <c r="AW100" i="412"/>
  <c r="AW101" i="412"/>
  <c r="AW102" i="412"/>
  <c r="AW103" i="412"/>
  <c r="AW104" i="412"/>
  <c r="AW105" i="412"/>
  <c r="AW106" i="412"/>
  <c r="AW107" i="412"/>
  <c r="AW108" i="412"/>
  <c r="AW109" i="412"/>
  <c r="AW110" i="412"/>
  <c r="AW111" i="412"/>
  <c r="AW112" i="412"/>
  <c r="AW113" i="412"/>
  <c r="AW114" i="412"/>
  <c r="AW115" i="412"/>
  <c r="AW116" i="412"/>
  <c r="AW117" i="412"/>
  <c r="AW118" i="412"/>
  <c r="AW119" i="412"/>
  <c r="AW120" i="412"/>
  <c r="AW121" i="412"/>
  <c r="AW122" i="412"/>
  <c r="AW123" i="412"/>
  <c r="AW2" i="412"/>
  <c r="AV3" i="412"/>
  <c r="AV4" i="412"/>
  <c r="AV5" i="412"/>
  <c r="AV6" i="412"/>
  <c r="AV7" i="412"/>
  <c r="AV8" i="412"/>
  <c r="AV9" i="412"/>
  <c r="AV10" i="412"/>
  <c r="AV11" i="412"/>
  <c r="AV12" i="412"/>
  <c r="AV13" i="412"/>
  <c r="AV14" i="412"/>
  <c r="AV15" i="412"/>
  <c r="AV16" i="412"/>
  <c r="AV17" i="412"/>
  <c r="AV18" i="412"/>
  <c r="AV19" i="412"/>
  <c r="AV20" i="412"/>
  <c r="AV21" i="412"/>
  <c r="AV22" i="412"/>
  <c r="AV23" i="412"/>
  <c r="AV24" i="412"/>
  <c r="AV25" i="412"/>
  <c r="AV26" i="412"/>
  <c r="AV27" i="412"/>
  <c r="AV28" i="412"/>
  <c r="AV29" i="412"/>
  <c r="AV30" i="412"/>
  <c r="AV31" i="412"/>
  <c r="AV32" i="412"/>
  <c r="AV33" i="412"/>
  <c r="AV34" i="412"/>
  <c r="AV35" i="412"/>
  <c r="AV36" i="412"/>
  <c r="AV37" i="412"/>
  <c r="AV38" i="412"/>
  <c r="AV39" i="412"/>
  <c r="AV40" i="412"/>
  <c r="AV41" i="412"/>
  <c r="AV42" i="412"/>
  <c r="AV43" i="412"/>
  <c r="AV44" i="412"/>
  <c r="AV45" i="412"/>
  <c r="AV46" i="412"/>
  <c r="AV47" i="412"/>
  <c r="AV48" i="412"/>
  <c r="AV49" i="412"/>
  <c r="AV50" i="412"/>
  <c r="AV51" i="412"/>
  <c r="AV52" i="412"/>
  <c r="AV53" i="412"/>
  <c r="AV54" i="412"/>
  <c r="AV55" i="412"/>
  <c r="AV56" i="412"/>
  <c r="AV57" i="412"/>
  <c r="AV58" i="412"/>
  <c r="AV59" i="412"/>
  <c r="AV60" i="412"/>
  <c r="AV61" i="412"/>
  <c r="AV62" i="412"/>
  <c r="AV63" i="412"/>
  <c r="AV64" i="412"/>
  <c r="AV65" i="412"/>
  <c r="AV66" i="412"/>
  <c r="AV67" i="412"/>
  <c r="AV68" i="412"/>
  <c r="AV69" i="412"/>
  <c r="AV70" i="412"/>
  <c r="AV71" i="412"/>
  <c r="AV72" i="412"/>
  <c r="AV73" i="412"/>
  <c r="AV74" i="412"/>
  <c r="AV75" i="412"/>
  <c r="AV76" i="412"/>
  <c r="AV77" i="412"/>
  <c r="AV78" i="412"/>
  <c r="AV79" i="412"/>
  <c r="AV80" i="412"/>
  <c r="AV81" i="412"/>
  <c r="AV82" i="412"/>
  <c r="AV83" i="412"/>
  <c r="AV84" i="412"/>
  <c r="AV85" i="412"/>
  <c r="AV86" i="412"/>
  <c r="AV87" i="412"/>
  <c r="AV88" i="412"/>
  <c r="AV89" i="412"/>
  <c r="AV90" i="412"/>
  <c r="AV91" i="412"/>
  <c r="AV92" i="412"/>
  <c r="AV93" i="412"/>
  <c r="AV94" i="412"/>
  <c r="AV95" i="412"/>
  <c r="AV96" i="412"/>
  <c r="AV97" i="412"/>
  <c r="AV98" i="412"/>
  <c r="AV99" i="412"/>
  <c r="AV100" i="412"/>
  <c r="AV101" i="412"/>
  <c r="AV102" i="412"/>
  <c r="AV103" i="412"/>
  <c r="AV104" i="412"/>
  <c r="AV105" i="412"/>
  <c r="AV106" i="412"/>
  <c r="AV107" i="412"/>
  <c r="AV108" i="412"/>
  <c r="AV109" i="412"/>
  <c r="AV110" i="412"/>
  <c r="AV111" i="412"/>
  <c r="AV112" i="412"/>
  <c r="AV113" i="412"/>
  <c r="AV114" i="412"/>
  <c r="AV115" i="412"/>
  <c r="AV116" i="412"/>
  <c r="AV117" i="412"/>
  <c r="AV118" i="412"/>
  <c r="AV119" i="412"/>
  <c r="AV120" i="412"/>
  <c r="AV121" i="412"/>
  <c r="AV122" i="412"/>
  <c r="AV123" i="412"/>
  <c r="AV2" i="412"/>
</calcChain>
</file>

<file path=xl/sharedStrings.xml><?xml version="1.0" encoding="utf-8"?>
<sst xmlns="http://schemas.openxmlformats.org/spreadsheetml/2006/main" count="903" uniqueCount="158">
  <si>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</si>
  <si>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</si>
  <si>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</si>
  <si>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</si>
  <si>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</si>
  <si>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</si>
  <si>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</si>
  <si>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</si>
  <si>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전체이용가</t>
  </si>
  <si>
    <t>15세 이상 이용가능</t>
  </si>
  <si>
    <t>구분</t>
    <phoneticPr fontId="20" type="noConversion"/>
  </si>
  <si>
    <t>2018.02.21</t>
  </si>
  <si>
    <t>12세 이상 이용가능</t>
  </si>
  <si>
    <t>스토리위즈</t>
  </si>
  <si>
    <t>권용찬</t>
  </si>
  <si>
    <t>김광수</t>
  </si>
  <si>
    <t>회귀의 전설</t>
  </si>
  <si>
    <t>다크메이지 [단행본]</t>
  </si>
  <si>
    <t>김정률</t>
  </si>
  <si>
    <t>2014.10.23</t>
  </si>
  <si>
    <t>소드엠페러 [단행본]</t>
  </si>
  <si>
    <t>2014.10.22</t>
  </si>
  <si>
    <t>트루베니아 연대기 [단행본]</t>
  </si>
  <si>
    <t>21세기 대마법사</t>
  </si>
  <si>
    <t>주식회사 스토리위즈</t>
  </si>
  <si>
    <t>2020.09.16</t>
  </si>
  <si>
    <t>마계대공 연대기 [단행본]</t>
  </si>
  <si>
    <t>2014.08.20</t>
  </si>
  <si>
    <t>21세기 대마법사 [단행본]</t>
  </si>
  <si>
    <t>2014.07.24</t>
  </si>
  <si>
    <t>소드엠페러</t>
  </si>
  <si>
    <t>2020.12.18</t>
  </si>
  <si>
    <t>마신부활 [독점]</t>
  </si>
  <si>
    <t>만렙도끼</t>
  </si>
  <si>
    <t>하프블러드 [단행본]</t>
  </si>
  <si>
    <t>2014.10.21</t>
  </si>
  <si>
    <t>마왕 데이몬 [단행본]</t>
  </si>
  <si>
    <t>소드마스터의 환생 [독점]</t>
  </si>
  <si>
    <t>파란영</t>
  </si>
  <si>
    <t>2019.05.22</t>
  </si>
  <si>
    <t>데이몬 [단행본]</t>
  </si>
  <si>
    <t>2014.10.20</t>
  </si>
  <si>
    <t>블레이드헌터 [단행본]</t>
  </si>
  <si>
    <t>아나크레온 [단행본]</t>
  </si>
  <si>
    <t>2014.11.18</t>
  </si>
  <si>
    <t>만인지상 [단행본]</t>
  </si>
  <si>
    <t>전혁</t>
  </si>
  <si>
    <t>2015.05.27</t>
  </si>
  <si>
    <t>2020.08.12</t>
  </si>
  <si>
    <t>검령천하: 나의 검 너의 노래 [독점]</t>
  </si>
  <si>
    <t>금시조</t>
  </si>
  <si>
    <t>2020.08.10</t>
  </si>
  <si>
    <t>스피릿 소드 [단행본]</t>
  </si>
  <si>
    <t>2017.03.23</t>
  </si>
  <si>
    <t>마스터 K [단행본]</t>
  </si>
  <si>
    <t>2014.07.02</t>
  </si>
  <si>
    <t>스피릿 소드</t>
  </si>
  <si>
    <t>2016.07.06</t>
  </si>
  <si>
    <t>스트라이커</t>
  </si>
  <si>
    <t>독고진</t>
  </si>
  <si>
    <t>2016.05.25</t>
  </si>
  <si>
    <t>아나크레온</t>
  </si>
  <si>
    <t>2014.10.29</t>
  </si>
  <si>
    <t>월풍 [단행본]</t>
  </si>
  <si>
    <t>철중쟁쟁 [단행본]</t>
  </si>
  <si>
    <t>2016.03.17</t>
  </si>
  <si>
    <t>하프블러드</t>
  </si>
  <si>
    <t>트루베니아 연대기</t>
  </si>
  <si>
    <t>2020.10.13</t>
  </si>
  <si>
    <t>신궁전설 [단행본]</t>
  </si>
  <si>
    <t>2015.05.28</t>
  </si>
  <si>
    <t>신마협도 [단행본]</t>
  </si>
  <si>
    <t>2017.08.22</t>
  </si>
  <si>
    <t>화산지애 [단행본]</t>
  </si>
  <si>
    <t>2015.03.05</t>
  </si>
  <si>
    <t>데이몬</t>
  </si>
  <si>
    <t>2020.10.27</t>
  </si>
  <si>
    <t>절대비만 [단행본]</t>
  </si>
  <si>
    <t>2020.08.07</t>
  </si>
  <si>
    <t>영웅[개정판]</t>
  </si>
  <si>
    <t>2016.04.13</t>
  </si>
  <si>
    <t>칼 [단행본]</t>
  </si>
  <si>
    <t>상계무적 [단행본]</t>
  </si>
  <si>
    <t>2015.07.03</t>
  </si>
  <si>
    <t>천조를 가진 남자</t>
  </si>
  <si>
    <t>두경</t>
  </si>
  <si>
    <t>2017.11.15</t>
  </si>
  <si>
    <t>용중신권 [단행본]</t>
  </si>
  <si>
    <t>2020.09.11</t>
  </si>
  <si>
    <t>천조를 가진 남자 [단행본]</t>
  </si>
  <si>
    <t>스트라이커 [완전판] [단행본]</t>
  </si>
  <si>
    <t>2016.11.29</t>
  </si>
  <si>
    <t>절륜공자 [단행본]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</si>
  <si>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</si>
  <si>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</si>
  <si>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</si>
  <si>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</si>
  <si>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</si>
  <si>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</si>
  <si>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</si>
  <si>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</si>
  <si>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</si>
  <si>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</si>
  <si>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</si>
  <si>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</si>
  <si>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</si>
  <si>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순매출(합계-수수료)</t>
    <phoneticPr fontId="20" type="noConversion"/>
  </si>
  <si>
    <t>2021.02.20</t>
  </si>
  <si>
    <t>용중신권</t>
  </si>
  <si>
    <t>절륜공자</t>
  </si>
  <si>
    <t>게이트 헌터</t>
  </si>
  <si>
    <t>2016.12.25</t>
  </si>
  <si>
    <t>2021.08.12</t>
  </si>
  <si>
    <t>바람의 기사, 아르테온 [단행본]</t>
  </si>
  <si>
    <t>2014.11.27</t>
  </si>
  <si>
    <t>레이드 만물상점</t>
  </si>
  <si>
    <t>2016.01.22</t>
  </si>
  <si>
    <t>절대비만</t>
  </si>
  <si>
    <t>레이드 만물상점[완전판] [단행본]</t>
  </si>
  <si>
    <t>2016.06.16</t>
  </si>
  <si>
    <t>프리 나이트 [단행본]</t>
  </si>
  <si>
    <t>2014.10.01</t>
  </si>
  <si>
    <t>철중쟁쟁</t>
  </si>
  <si>
    <t>화산지애</t>
  </si>
  <si>
    <t>2020.09.07</t>
  </si>
  <si>
    <t>스포트라이트</t>
  </si>
  <si>
    <t>2018.03.29</t>
  </si>
  <si>
    <t>신마협도</t>
  </si>
  <si>
    <t>게이트 헌터 [완전판] [단행본]</t>
  </si>
  <si>
    <t>2017.04.26</t>
  </si>
  <si>
    <t>포르트무스</t>
  </si>
  <si>
    <t>2019.10.01</t>
  </si>
  <si>
    <t>신규무사</t>
  </si>
  <si>
    <t>2018.11.06</t>
  </si>
  <si>
    <t>검산도해</t>
  </si>
  <si>
    <t>2020.04.28</t>
  </si>
  <si>
    <t>바람의 기사, 아르테온</t>
  </si>
  <si>
    <t>2020.09.08</t>
  </si>
  <si>
    <t>시리즈APP</t>
    <phoneticPr fontId="20" type="noConversion"/>
  </si>
  <si>
    <t>시리즈IOS</t>
    <phoneticPr fontId="20" type="noConversion"/>
  </si>
  <si>
    <t>시리즈APP</t>
    <phoneticPr fontId="20" type="noConversion"/>
  </si>
  <si>
    <t>시리즈APP</t>
    <phoneticPr fontId="20" type="noConversion"/>
  </si>
  <si>
    <t>시리즈APP</t>
    <phoneticPr fontId="20" type="noConversion"/>
  </si>
  <si>
    <t>상왕 진우몽 [단행본]</t>
  </si>
  <si>
    <t>시리즈APP</t>
    <phoneticPr fontId="20" type="noConversion"/>
  </si>
  <si>
    <t>신룡전설 [단행본]</t>
  </si>
  <si>
    <t>가람검</t>
  </si>
  <si>
    <t>2016.03.02</t>
  </si>
  <si>
    <t>완전판APP</t>
  </si>
  <si>
    <t>시리즈IOS</t>
    <phoneticPr fontId="20" type="noConversion"/>
  </si>
  <si>
    <t>시리즈IOS</t>
    <phoneticPr fontId="20" type="noConversion"/>
  </si>
  <si>
    <t>독종무쌍 [단행본]</t>
  </si>
  <si>
    <t>2015.04.17</t>
  </si>
  <si>
    <t>신을 죽이러 갑니다</t>
  </si>
  <si>
    <t>2018.08.24</t>
  </si>
  <si>
    <t>수적왕 [단행본]</t>
  </si>
  <si>
    <t>2016.03.15</t>
  </si>
  <si>
    <t>SW 매출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</si>
</sst>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#,##0.0_ "/>
    <numFmt numFmtId="177" formatCode="#,##0.00_ 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176" fontId="0" fillId="0" borderId="0" xfId="0" applyNumberFormat="1">
      <alignment vertical="center"/>
    </xf>
    <xf numFmtId="41" fontId="0" fillId="0" borderId="0" xfId="42" applyFont="1">
      <alignment vertical="center"/>
    </xf>
    <xf numFmtId="41" fontId="0" fillId="34" borderId="0" xfId="42" applyFont="1" applyFill="1">
      <alignment vertical="center"/>
    </xf>
    <xf numFmtId="177" fontId="0" fillId="0" borderId="0" xfId="0" applyNumberFormat="1">
      <alignment vertical="center"/>
    </xf>
    <xf numFmtId="41" fontId="0" fillId="0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130"/>
  <sheetViews>
    <sheetView tabSelected="1" zoomScaleNormal="100" workbookViewId="0"/>
  </sheetViews>
  <sheetFormatPr defaultRowHeight="17.399999999999999" x14ac:dyDescent="0.4"/>
  <cols>
    <col min="1" max="1" width="9.39843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296875" customWidth="1"/>
    <col min="7" max="7" width="10" bestFit="1" customWidth="1"/>
    <col min="8" max="8" width="13.59765625" customWidth="1"/>
    <col min="9" max="9" width="7.3984375" customWidth="1"/>
    <col min="10" max="10" width="4.296875" customWidth="1"/>
    <col min="11" max="11" width="4.796875" customWidth="1"/>
    <col min="12" max="12" width="7.19921875" customWidth="1"/>
    <col min="13" max="13" width="6.69921875" customWidth="1"/>
    <col min="14" max="14" width="6" customWidth="1"/>
    <col min="15" max="16" width="6.296875" customWidth="1"/>
    <col min="17" max="17" width="5" customWidth="1"/>
    <col min="18" max="18" width="4.796875" customWidth="1"/>
    <col min="19" max="19" width="7.19921875" customWidth="1"/>
    <col min="20" max="20" width="6.69921875" customWidth="1"/>
    <col min="21" max="21" width="6" customWidth="1"/>
    <col min="22" max="23" width="6.296875" customWidth="1"/>
    <col min="24" max="24" width="3.59765625" customWidth="1"/>
    <col min="25" max="25" width="5" customWidth="1"/>
    <col min="26" max="27" width="3.59765625" customWidth="1"/>
    <col min="28" max="28" width="5" customWidth="1"/>
    <col min="29" max="29" width="4.296875" customWidth="1"/>
    <col min="30" max="35" width="3.59765625" customWidth="1"/>
    <col min="36" max="36" width="12.796875" bestFit="1" customWidth="1"/>
    <col min="37" max="38" width="12.8984375" bestFit="1" customWidth="1"/>
    <col min="39" max="39" width="15.69921875" bestFit="1" customWidth="1"/>
    <col min="47" max="47" width="13.8984375" bestFit="1" customWidth="1"/>
    <col min="48" max="48" width="13.5" bestFit="1" customWidth="1"/>
    <col min="49" max="49" width="13.3984375" style="15" customWidth="1"/>
  </cols>
  <sheetData>
    <row r="1" spans="1:49" ht="38.4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6</v>
      </c>
      <c r="I1" s="3" t="s">
        <v>7</v>
      </c>
      <c r="J1" s="12" t="s">
        <v>93</v>
      </c>
      <c r="K1" s="12" t="s">
        <v>94</v>
      </c>
      <c r="L1" s="12" t="s">
        <v>95</v>
      </c>
      <c r="M1" s="12" t="s">
        <v>96</v>
      </c>
      <c r="N1" s="12" t="s">
        <v>97</v>
      </c>
      <c r="O1" s="12" t="s">
        <v>98</v>
      </c>
      <c r="P1" s="12" t="s">
        <v>99</v>
      </c>
      <c r="Q1" s="12" t="s">
        <v>100</v>
      </c>
      <c r="R1" s="12" t="s">
        <v>101</v>
      </c>
      <c r="S1" s="12" t="s">
        <v>93</v>
      </c>
      <c r="T1" s="12" t="s">
        <v>94</v>
      </c>
      <c r="U1" s="12" t="s">
        <v>95</v>
      </c>
      <c r="V1" s="12" t="s">
        <v>96</v>
      </c>
      <c r="W1" s="12" t="s">
        <v>97</v>
      </c>
      <c r="X1" s="12" t="s">
        <v>98</v>
      </c>
      <c r="Y1" s="12" t="s">
        <v>99</v>
      </c>
      <c r="Z1" s="12" t="s">
        <v>100</v>
      </c>
      <c r="AA1" s="12" t="s">
        <v>101</v>
      </c>
      <c r="AB1" s="12" t="s">
        <v>93</v>
      </c>
      <c r="AC1" s="12" t="s">
        <v>102</v>
      </c>
      <c r="AD1" s="12" t="s">
        <v>103</v>
      </c>
      <c r="AE1" s="12" t="s">
        <v>93</v>
      </c>
      <c r="AF1" s="12" t="s">
        <v>102</v>
      </c>
      <c r="AG1" s="12" t="s">
        <v>103</v>
      </c>
      <c r="AH1" s="12" t="s">
        <v>93</v>
      </c>
      <c r="AI1" s="12" t="s">
        <v>102</v>
      </c>
      <c r="AJ1" s="12" t="s">
        <v>103</v>
      </c>
      <c r="AK1" s="12" t="s">
        <v>93</v>
      </c>
      <c r="AL1" s="12" t="s">
        <v>102</v>
      </c>
      <c r="AM1" s="12" t="s">
        <v>103</v>
      </c>
      <c r="AN1" s="13" t="s">
        <v>104</v>
      </c>
      <c r="AO1" s="12" t="s">
        <v>93</v>
      </c>
      <c r="AP1" s="12" t="s">
        <v>102</v>
      </c>
      <c r="AQ1" s="12" t="s">
        <v>103</v>
      </c>
      <c r="AR1" s="12" t="s">
        <v>93</v>
      </c>
      <c r="AS1" s="12" t="s">
        <v>102</v>
      </c>
      <c r="AT1" s="12" t="s">
        <v>103</v>
      </c>
      <c r="AU1" s="13" t="s">
        <v>105</v>
      </c>
      <c r="AV1" s="12" t="s">
        <v>106</v>
      </c>
      <c r="AW1" s="12" t="s">
        <v>157</v>
      </c>
    </row>
    <row r="2" spans="1:49" x14ac:dyDescent="0.4">
      <c r="A2" s="5" t="s">
        <v>140</v>
      </c>
      <c r="B2" s="5" t="s">
        <v>16</v>
      </c>
      <c r="C2" s="5">
        <v>355332</v>
      </c>
      <c r="D2" s="6"/>
      <c r="E2" s="5" t="s">
        <v>13</v>
      </c>
      <c r="F2" s="5" t="s">
        <v>15</v>
      </c>
      <c r="G2" s="5" t="s">
        <v>13</v>
      </c>
      <c r="H2" s="7" t="s">
        <v>9</v>
      </c>
      <c r="I2" s="7" t="s">
        <v>112</v>
      </c>
      <c r="J2" s="7">
        <v>3</v>
      </c>
      <c r="K2" s="7">
        <v>286</v>
      </c>
      <c r="L2" s="7">
        <v>300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26</v>
      </c>
      <c r="T2" s="8">
        <v>5203</v>
      </c>
      <c r="U2" s="7">
        <v>0</v>
      </c>
      <c r="V2" s="8">
        <v>2100</v>
      </c>
      <c r="W2" s="7">
        <v>500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8">
        <v>83064</v>
      </c>
      <c r="AF2" s="8">
        <v>7276300</v>
      </c>
      <c r="AG2" s="8">
        <v>1030100</v>
      </c>
      <c r="AH2" s="7">
        <v>0</v>
      </c>
      <c r="AI2" s="7">
        <v>0</v>
      </c>
      <c r="AJ2" s="7">
        <v>0</v>
      </c>
      <c r="AK2" s="7">
        <v>33</v>
      </c>
      <c r="AL2" s="7">
        <v>840</v>
      </c>
      <c r="AM2" s="8">
        <v>2600</v>
      </c>
      <c r="AN2" s="7">
        <v>252</v>
      </c>
      <c r="AO2" s="7">
        <v>0</v>
      </c>
      <c r="AP2" s="7">
        <v>0</v>
      </c>
      <c r="AQ2" s="7">
        <v>0</v>
      </c>
      <c r="AR2" s="8">
        <v>10504</v>
      </c>
      <c r="AS2" s="8">
        <v>1024400</v>
      </c>
      <c r="AT2" s="8">
        <v>26000</v>
      </c>
      <c r="AU2" s="10">
        <v>9363140</v>
      </c>
      <c r="AV2" s="17">
        <f>AU2-AN2</f>
        <v>9362888</v>
      </c>
      <c r="AW2" s="18">
        <f>AV2*70%</f>
        <v>6554021.5999999996</v>
      </c>
    </row>
    <row r="3" spans="1:49" x14ac:dyDescent="0.4">
      <c r="A3" s="5" t="s">
        <v>138</v>
      </c>
      <c r="B3" s="5" t="s">
        <v>17</v>
      </c>
      <c r="C3" s="5">
        <v>159260</v>
      </c>
      <c r="D3" s="6"/>
      <c r="E3" s="5" t="s">
        <v>13</v>
      </c>
      <c r="F3" s="5" t="s">
        <v>18</v>
      </c>
      <c r="G3" s="5" t="s">
        <v>13</v>
      </c>
      <c r="H3" s="7" t="s">
        <v>8</v>
      </c>
      <c r="I3" s="7" t="s">
        <v>19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377</v>
      </c>
      <c r="AC3" s="8">
        <v>311600</v>
      </c>
      <c r="AD3" s="8">
        <v>26300</v>
      </c>
      <c r="AE3" s="7">
        <v>99</v>
      </c>
      <c r="AF3" s="8">
        <v>288700</v>
      </c>
      <c r="AG3" s="8">
        <v>20000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49</v>
      </c>
      <c r="AP3" s="8">
        <v>42000</v>
      </c>
      <c r="AQ3" s="8">
        <v>1700</v>
      </c>
      <c r="AR3" s="7">
        <v>4</v>
      </c>
      <c r="AS3" s="8">
        <v>11300</v>
      </c>
      <c r="AT3" s="7">
        <v>0</v>
      </c>
      <c r="AU3" s="10">
        <v>701600</v>
      </c>
      <c r="AV3" s="17">
        <f t="shared" ref="AV3:AV66" si="0">AU3-AN3</f>
        <v>701600</v>
      </c>
      <c r="AW3" s="18">
        <f t="shared" ref="AW3:AW66" si="1">AV3*70%</f>
        <v>491119.99999999994</v>
      </c>
    </row>
    <row r="4" spans="1:49" x14ac:dyDescent="0.4">
      <c r="A4" s="5" t="s">
        <v>141</v>
      </c>
      <c r="B4" s="5" t="s">
        <v>20</v>
      </c>
      <c r="C4" s="5">
        <v>161539</v>
      </c>
      <c r="D4" s="6"/>
      <c r="E4" s="5" t="s">
        <v>13</v>
      </c>
      <c r="F4" s="5" t="s">
        <v>18</v>
      </c>
      <c r="G4" s="5" t="s">
        <v>13</v>
      </c>
      <c r="H4" s="7" t="s">
        <v>8</v>
      </c>
      <c r="I4" s="7" t="s">
        <v>21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358</v>
      </c>
      <c r="AC4" s="8">
        <v>299600</v>
      </c>
      <c r="AD4" s="8">
        <v>22600</v>
      </c>
      <c r="AE4" s="7">
        <v>91</v>
      </c>
      <c r="AF4" s="8">
        <v>258700</v>
      </c>
      <c r="AG4" s="8">
        <v>31300</v>
      </c>
      <c r="AH4" s="7">
        <v>0</v>
      </c>
      <c r="AI4" s="7">
        <v>0</v>
      </c>
      <c r="AJ4" s="7">
        <v>0</v>
      </c>
      <c r="AK4" s="7">
        <v>7</v>
      </c>
      <c r="AL4" s="8">
        <v>24480</v>
      </c>
      <c r="AM4" s="7">
        <v>0</v>
      </c>
      <c r="AN4" s="9">
        <v>7344</v>
      </c>
      <c r="AO4" s="7">
        <v>21</v>
      </c>
      <c r="AP4" s="8">
        <v>18700</v>
      </c>
      <c r="AQ4" s="7">
        <v>200</v>
      </c>
      <c r="AR4" s="7">
        <v>11</v>
      </c>
      <c r="AS4" s="8">
        <v>32000</v>
      </c>
      <c r="AT4" s="8">
        <v>3200</v>
      </c>
      <c r="AU4" s="10">
        <v>690780</v>
      </c>
      <c r="AV4" s="17">
        <f t="shared" si="0"/>
        <v>683436</v>
      </c>
      <c r="AW4" s="18">
        <f t="shared" si="1"/>
        <v>478405.19999999995</v>
      </c>
    </row>
    <row r="5" spans="1:49" x14ac:dyDescent="0.4">
      <c r="A5" s="5" t="s">
        <v>138</v>
      </c>
      <c r="B5" s="5" t="s">
        <v>22</v>
      </c>
      <c r="C5" s="5">
        <v>159270</v>
      </c>
      <c r="D5" s="6"/>
      <c r="E5" s="5" t="s">
        <v>13</v>
      </c>
      <c r="F5" s="5" t="s">
        <v>18</v>
      </c>
      <c r="G5" s="5" t="s">
        <v>13</v>
      </c>
      <c r="H5" s="7" t="s">
        <v>12</v>
      </c>
      <c r="I5" s="7" t="s">
        <v>21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135</v>
      </c>
      <c r="AC5" s="8">
        <v>106600</v>
      </c>
      <c r="AD5" s="8">
        <v>14200</v>
      </c>
      <c r="AE5" s="7">
        <v>32</v>
      </c>
      <c r="AF5" s="8">
        <v>101600</v>
      </c>
      <c r="AG5" s="7">
        <v>800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34</v>
      </c>
      <c r="AP5" s="8">
        <v>30200</v>
      </c>
      <c r="AQ5" s="7">
        <v>200</v>
      </c>
      <c r="AR5" s="7">
        <v>0</v>
      </c>
      <c r="AS5" s="7">
        <v>0</v>
      </c>
      <c r="AT5" s="7">
        <v>0</v>
      </c>
      <c r="AU5" s="10">
        <v>253600</v>
      </c>
      <c r="AV5" s="17">
        <f t="shared" si="0"/>
        <v>253600</v>
      </c>
      <c r="AW5" s="18">
        <f t="shared" si="1"/>
        <v>177520</v>
      </c>
    </row>
    <row r="6" spans="1:49" x14ac:dyDescent="0.4">
      <c r="A6" s="5" t="s">
        <v>141</v>
      </c>
      <c r="B6" s="5" t="s">
        <v>36</v>
      </c>
      <c r="C6" s="5">
        <v>159258</v>
      </c>
      <c r="D6" s="6"/>
      <c r="E6" s="5" t="s">
        <v>13</v>
      </c>
      <c r="F6" s="5" t="s">
        <v>18</v>
      </c>
      <c r="G6" s="5" t="s">
        <v>13</v>
      </c>
      <c r="H6" s="7" t="s">
        <v>8</v>
      </c>
      <c r="I6" s="7" t="s">
        <v>35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167</v>
      </c>
      <c r="AC6" s="8">
        <v>138200</v>
      </c>
      <c r="AD6" s="8">
        <v>12100</v>
      </c>
      <c r="AE6" s="7">
        <v>19</v>
      </c>
      <c r="AF6" s="8">
        <v>23700</v>
      </c>
      <c r="AG6" s="8">
        <v>37100</v>
      </c>
      <c r="AH6" s="7">
        <v>11</v>
      </c>
      <c r="AI6" s="8">
        <v>11880</v>
      </c>
      <c r="AJ6" s="7">
        <v>0</v>
      </c>
      <c r="AK6" s="7">
        <v>0</v>
      </c>
      <c r="AL6" s="7">
        <v>0</v>
      </c>
      <c r="AM6" s="7">
        <v>0</v>
      </c>
      <c r="AN6" s="9">
        <v>3564</v>
      </c>
      <c r="AO6" s="7">
        <v>25</v>
      </c>
      <c r="AP6" s="8">
        <v>22300</v>
      </c>
      <c r="AQ6" s="7">
        <v>200</v>
      </c>
      <c r="AR6" s="7">
        <v>0</v>
      </c>
      <c r="AS6" s="7">
        <v>0</v>
      </c>
      <c r="AT6" s="7">
        <v>0</v>
      </c>
      <c r="AU6" s="10">
        <v>245480</v>
      </c>
      <c r="AV6" s="17">
        <f t="shared" si="0"/>
        <v>241916</v>
      </c>
      <c r="AW6" s="18">
        <f t="shared" si="1"/>
        <v>169341.19999999998</v>
      </c>
    </row>
    <row r="7" spans="1:49" x14ac:dyDescent="0.4">
      <c r="A7" s="5" t="s">
        <v>138</v>
      </c>
      <c r="B7" s="5" t="s">
        <v>26</v>
      </c>
      <c r="C7" s="5">
        <v>165741</v>
      </c>
      <c r="D7" s="6"/>
      <c r="E7" s="5" t="s">
        <v>13</v>
      </c>
      <c r="F7" s="5" t="s">
        <v>15</v>
      </c>
      <c r="G7" s="5" t="s">
        <v>13</v>
      </c>
      <c r="H7" s="7" t="s">
        <v>8</v>
      </c>
      <c r="I7" s="7" t="s">
        <v>27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110</v>
      </c>
      <c r="AC7" s="8">
        <v>94200</v>
      </c>
      <c r="AD7" s="8">
        <v>4800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29</v>
      </c>
      <c r="AS7" s="8">
        <v>90800</v>
      </c>
      <c r="AT7" s="8">
        <v>2000</v>
      </c>
      <c r="AU7" s="10">
        <v>191800</v>
      </c>
      <c r="AV7" s="17">
        <f t="shared" si="0"/>
        <v>191800</v>
      </c>
      <c r="AW7" s="18">
        <f t="shared" si="1"/>
        <v>134260</v>
      </c>
    </row>
    <row r="8" spans="1:49" x14ac:dyDescent="0.4">
      <c r="A8" s="5" t="s">
        <v>142</v>
      </c>
      <c r="B8" s="5" t="s">
        <v>34</v>
      </c>
      <c r="C8" s="5">
        <v>159268</v>
      </c>
      <c r="D8" s="6"/>
      <c r="E8" s="5" t="s">
        <v>13</v>
      </c>
      <c r="F8" s="5" t="s">
        <v>18</v>
      </c>
      <c r="G8" s="5" t="s">
        <v>13</v>
      </c>
      <c r="H8" s="7" t="s">
        <v>8</v>
      </c>
      <c r="I8" s="7" t="s">
        <v>35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79</v>
      </c>
      <c r="AC8" s="8">
        <v>70900</v>
      </c>
      <c r="AD8" s="7">
        <v>0</v>
      </c>
      <c r="AE8" s="7">
        <v>31</v>
      </c>
      <c r="AF8" s="8">
        <v>94700</v>
      </c>
      <c r="AG8" s="8">
        <v>4500</v>
      </c>
      <c r="AH8" s="7">
        <v>3</v>
      </c>
      <c r="AI8" s="8">
        <v>2400</v>
      </c>
      <c r="AJ8" s="7">
        <v>0</v>
      </c>
      <c r="AK8" s="7">
        <v>0</v>
      </c>
      <c r="AL8" s="7">
        <v>0</v>
      </c>
      <c r="AM8" s="7">
        <v>0</v>
      </c>
      <c r="AN8" s="7">
        <v>720</v>
      </c>
      <c r="AO8" s="7">
        <v>20</v>
      </c>
      <c r="AP8" s="8">
        <v>17800</v>
      </c>
      <c r="AQ8" s="7">
        <v>200</v>
      </c>
      <c r="AR8" s="7">
        <v>0</v>
      </c>
      <c r="AS8" s="7">
        <v>0</v>
      </c>
      <c r="AT8" s="7">
        <v>0</v>
      </c>
      <c r="AU8" s="10">
        <v>190500</v>
      </c>
      <c r="AV8" s="17">
        <f t="shared" si="0"/>
        <v>189780</v>
      </c>
      <c r="AW8" s="18">
        <f t="shared" si="1"/>
        <v>132846</v>
      </c>
    </row>
    <row r="9" spans="1:49" ht="19.2" x14ac:dyDescent="0.4">
      <c r="A9" s="5" t="s">
        <v>138</v>
      </c>
      <c r="B9" s="5" t="s">
        <v>23</v>
      </c>
      <c r="C9" s="5">
        <v>409392</v>
      </c>
      <c r="D9" s="6"/>
      <c r="E9" s="5" t="s">
        <v>13</v>
      </c>
      <c r="F9" s="5" t="s">
        <v>15</v>
      </c>
      <c r="G9" s="5" t="s">
        <v>24</v>
      </c>
      <c r="H9" s="7" t="s">
        <v>8</v>
      </c>
      <c r="I9" s="7" t="s">
        <v>25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88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8">
        <v>1621</v>
      </c>
      <c r="AF9" s="8">
        <v>161800</v>
      </c>
      <c r="AG9" s="7">
        <v>300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80</v>
      </c>
      <c r="AS9" s="8">
        <v>8000</v>
      </c>
      <c r="AT9" s="7">
        <v>0</v>
      </c>
      <c r="AU9" s="10">
        <v>170100</v>
      </c>
      <c r="AV9" s="17">
        <f t="shared" si="0"/>
        <v>170100</v>
      </c>
      <c r="AW9" s="18">
        <f t="shared" si="1"/>
        <v>119069.99999999999</v>
      </c>
    </row>
    <row r="10" spans="1:49" x14ac:dyDescent="0.4">
      <c r="A10" s="5" t="s">
        <v>138</v>
      </c>
      <c r="B10" s="5" t="s">
        <v>40</v>
      </c>
      <c r="C10" s="5">
        <v>159255</v>
      </c>
      <c r="D10" s="6"/>
      <c r="E10" s="5" t="s">
        <v>13</v>
      </c>
      <c r="F10" s="5" t="s">
        <v>18</v>
      </c>
      <c r="G10" s="5" t="s">
        <v>13</v>
      </c>
      <c r="H10" s="7" t="s">
        <v>9</v>
      </c>
      <c r="I10" s="7" t="s">
        <v>41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126</v>
      </c>
      <c r="AC10" s="8">
        <v>96400</v>
      </c>
      <c r="AD10" s="8">
        <v>16200</v>
      </c>
      <c r="AE10" s="7">
        <v>5</v>
      </c>
      <c r="AF10" s="8">
        <v>16000</v>
      </c>
      <c r="AG10" s="7">
        <v>0</v>
      </c>
      <c r="AH10" s="7">
        <v>4</v>
      </c>
      <c r="AI10" s="8">
        <v>4320</v>
      </c>
      <c r="AJ10" s="7">
        <v>0</v>
      </c>
      <c r="AK10" s="7">
        <v>0</v>
      </c>
      <c r="AL10" s="7">
        <v>0</v>
      </c>
      <c r="AM10" s="7">
        <v>0</v>
      </c>
      <c r="AN10" s="9">
        <v>1296</v>
      </c>
      <c r="AO10" s="7">
        <v>21</v>
      </c>
      <c r="AP10" s="8">
        <v>18200</v>
      </c>
      <c r="AQ10" s="7">
        <v>600</v>
      </c>
      <c r="AR10" s="7">
        <v>2</v>
      </c>
      <c r="AS10" s="8">
        <v>6400</v>
      </c>
      <c r="AT10" s="7">
        <v>0</v>
      </c>
      <c r="AU10" s="10">
        <v>158120</v>
      </c>
      <c r="AV10" s="17">
        <f t="shared" si="0"/>
        <v>156824</v>
      </c>
      <c r="AW10" s="18">
        <f t="shared" si="1"/>
        <v>109776.79999999999</v>
      </c>
    </row>
    <row r="11" spans="1:49" x14ac:dyDescent="0.4">
      <c r="A11" s="5" t="s">
        <v>142</v>
      </c>
      <c r="B11" s="5" t="s">
        <v>42</v>
      </c>
      <c r="C11" s="5">
        <v>159266</v>
      </c>
      <c r="D11" s="6"/>
      <c r="E11" s="5" t="s">
        <v>13</v>
      </c>
      <c r="F11" s="5" t="s">
        <v>18</v>
      </c>
      <c r="G11" s="5" t="s">
        <v>13</v>
      </c>
      <c r="H11" s="7" t="s">
        <v>8</v>
      </c>
      <c r="I11" s="7" t="s">
        <v>35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103</v>
      </c>
      <c r="AC11" s="8">
        <v>85400</v>
      </c>
      <c r="AD11" s="8">
        <v>6700</v>
      </c>
      <c r="AE11" s="7">
        <v>8</v>
      </c>
      <c r="AF11" s="8">
        <v>25600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26</v>
      </c>
      <c r="AP11" s="8">
        <v>22900</v>
      </c>
      <c r="AQ11" s="7">
        <v>200</v>
      </c>
      <c r="AR11" s="7">
        <v>0</v>
      </c>
      <c r="AS11" s="7">
        <v>0</v>
      </c>
      <c r="AT11" s="7">
        <v>0</v>
      </c>
      <c r="AU11" s="10">
        <v>140800</v>
      </c>
      <c r="AV11" s="17">
        <f t="shared" si="0"/>
        <v>140800</v>
      </c>
      <c r="AW11" s="18">
        <f t="shared" si="1"/>
        <v>98560</v>
      </c>
    </row>
    <row r="12" spans="1:49" x14ac:dyDescent="0.4">
      <c r="A12" s="5" t="s">
        <v>138</v>
      </c>
      <c r="B12" s="5" t="s">
        <v>28</v>
      </c>
      <c r="C12" s="5">
        <v>161447</v>
      </c>
      <c r="D12" s="6"/>
      <c r="E12" s="5" t="s">
        <v>13</v>
      </c>
      <c r="F12" s="5" t="s">
        <v>15</v>
      </c>
      <c r="G12" s="5" t="s">
        <v>13</v>
      </c>
      <c r="H12" s="7" t="s">
        <v>8</v>
      </c>
      <c r="I12" s="7" t="s">
        <v>29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84</v>
      </c>
      <c r="AC12" s="8">
        <v>60200</v>
      </c>
      <c r="AD12" s="8">
        <v>15400</v>
      </c>
      <c r="AE12" s="7">
        <v>14</v>
      </c>
      <c r="AF12" s="8">
        <v>44800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8</v>
      </c>
      <c r="AP12" s="8">
        <v>7200</v>
      </c>
      <c r="AQ12" s="7">
        <v>0</v>
      </c>
      <c r="AR12" s="7">
        <v>0</v>
      </c>
      <c r="AS12" s="7">
        <v>0</v>
      </c>
      <c r="AT12" s="7">
        <v>0</v>
      </c>
      <c r="AU12" s="10">
        <v>127600</v>
      </c>
      <c r="AV12" s="17">
        <f t="shared" si="0"/>
        <v>127600</v>
      </c>
      <c r="AW12" s="18">
        <f t="shared" si="1"/>
        <v>89320</v>
      </c>
    </row>
    <row r="13" spans="1:49" x14ac:dyDescent="0.4">
      <c r="A13" s="5" t="s">
        <v>141</v>
      </c>
      <c r="B13" s="5" t="s">
        <v>43</v>
      </c>
      <c r="C13" s="5">
        <v>173863</v>
      </c>
      <c r="D13" s="6"/>
      <c r="E13" s="5" t="s">
        <v>13</v>
      </c>
      <c r="F13" s="5" t="s">
        <v>18</v>
      </c>
      <c r="G13" s="5" t="s">
        <v>13</v>
      </c>
      <c r="H13" s="7" t="s">
        <v>8</v>
      </c>
      <c r="I13" s="7" t="s">
        <v>44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123</v>
      </c>
      <c r="AC13" s="8">
        <v>108700</v>
      </c>
      <c r="AD13" s="8">
        <v>2000</v>
      </c>
      <c r="AE13" s="7">
        <v>3</v>
      </c>
      <c r="AF13" s="8">
        <v>9600</v>
      </c>
      <c r="AG13" s="7">
        <v>0</v>
      </c>
      <c r="AH13" s="7">
        <v>2</v>
      </c>
      <c r="AI13" s="8">
        <v>2160</v>
      </c>
      <c r="AJ13" s="7">
        <v>0</v>
      </c>
      <c r="AK13" s="7">
        <v>0</v>
      </c>
      <c r="AL13" s="7">
        <v>0</v>
      </c>
      <c r="AM13" s="7">
        <v>0</v>
      </c>
      <c r="AN13" s="7">
        <v>648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10">
        <v>122460</v>
      </c>
      <c r="AV13" s="17">
        <f t="shared" si="0"/>
        <v>121812</v>
      </c>
      <c r="AW13" s="18">
        <f t="shared" si="1"/>
        <v>85268.4</v>
      </c>
    </row>
    <row r="14" spans="1:49" x14ac:dyDescent="0.4">
      <c r="A14" s="5" t="s">
        <v>141</v>
      </c>
      <c r="B14" s="5" t="s">
        <v>30</v>
      </c>
      <c r="C14" s="5">
        <v>418829</v>
      </c>
      <c r="D14" s="6"/>
      <c r="E14" s="5" t="s">
        <v>13</v>
      </c>
      <c r="F14" s="5" t="s">
        <v>18</v>
      </c>
      <c r="G14" s="5" t="s">
        <v>13</v>
      </c>
      <c r="H14" s="7" t="s">
        <v>8</v>
      </c>
      <c r="I14" s="7" t="s">
        <v>31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48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8">
        <v>1070</v>
      </c>
      <c r="AF14" s="8">
        <v>74200</v>
      </c>
      <c r="AG14" s="8">
        <v>32800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10</v>
      </c>
      <c r="AS14" s="8">
        <v>1000</v>
      </c>
      <c r="AT14" s="7">
        <v>0</v>
      </c>
      <c r="AU14" s="10">
        <v>108000</v>
      </c>
      <c r="AV14" s="17">
        <f t="shared" si="0"/>
        <v>108000</v>
      </c>
      <c r="AW14" s="18">
        <f t="shared" si="1"/>
        <v>75600</v>
      </c>
    </row>
    <row r="15" spans="1:49" x14ac:dyDescent="0.4">
      <c r="A15" s="5" t="s">
        <v>141</v>
      </c>
      <c r="B15" s="5" t="s">
        <v>52</v>
      </c>
      <c r="C15" s="5">
        <v>268655</v>
      </c>
      <c r="D15" s="6"/>
      <c r="E15" s="5" t="s">
        <v>13</v>
      </c>
      <c r="F15" s="5" t="s">
        <v>18</v>
      </c>
      <c r="G15" s="5" t="s">
        <v>13</v>
      </c>
      <c r="H15" s="7" t="s">
        <v>8</v>
      </c>
      <c r="I15" s="7" t="s">
        <v>53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1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49</v>
      </c>
      <c r="AC15" s="8">
        <v>41700</v>
      </c>
      <c r="AD15" s="8">
        <v>2400</v>
      </c>
      <c r="AE15" s="7">
        <v>16</v>
      </c>
      <c r="AF15" s="8">
        <v>50400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4</v>
      </c>
      <c r="AS15" s="8">
        <v>10400</v>
      </c>
      <c r="AT15" s="7">
        <v>0</v>
      </c>
      <c r="AU15" s="10">
        <v>104900</v>
      </c>
      <c r="AV15" s="17">
        <f t="shared" si="0"/>
        <v>104900</v>
      </c>
      <c r="AW15" s="18">
        <f t="shared" si="1"/>
        <v>73430</v>
      </c>
    </row>
    <row r="16" spans="1:49" x14ac:dyDescent="0.4">
      <c r="A16" s="5" t="s">
        <v>141</v>
      </c>
      <c r="B16" s="5" t="s">
        <v>37</v>
      </c>
      <c r="C16" s="5">
        <v>326544</v>
      </c>
      <c r="D16" s="6"/>
      <c r="E16" s="5" t="s">
        <v>13</v>
      </c>
      <c r="F16" s="5" t="s">
        <v>38</v>
      </c>
      <c r="G16" s="5" t="s">
        <v>13</v>
      </c>
      <c r="H16" s="7" t="s">
        <v>8</v>
      </c>
      <c r="I16" s="7" t="s">
        <v>39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1</v>
      </c>
      <c r="T16" s="7">
        <v>14</v>
      </c>
      <c r="U16" s="7">
        <v>0</v>
      </c>
      <c r="V16" s="7">
        <v>100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990</v>
      </c>
      <c r="AF16" s="8">
        <v>98500</v>
      </c>
      <c r="AG16" s="7">
        <v>500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10">
        <v>99100</v>
      </c>
      <c r="AV16" s="17">
        <f t="shared" si="0"/>
        <v>99100</v>
      </c>
      <c r="AW16" s="18">
        <f t="shared" si="1"/>
        <v>69370</v>
      </c>
    </row>
    <row r="17" spans="1:49" ht="19.2" x14ac:dyDescent="0.4">
      <c r="A17" s="5" t="s">
        <v>138</v>
      </c>
      <c r="B17" s="5" t="s">
        <v>75</v>
      </c>
      <c r="C17" s="5">
        <v>413545</v>
      </c>
      <c r="D17" s="6"/>
      <c r="E17" s="5" t="s">
        <v>13</v>
      </c>
      <c r="F17" s="5" t="s">
        <v>18</v>
      </c>
      <c r="G17" s="5" t="s">
        <v>24</v>
      </c>
      <c r="H17" s="7" t="s">
        <v>9</v>
      </c>
      <c r="I17" s="7" t="s">
        <v>76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20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861</v>
      </c>
      <c r="AF17" s="8">
        <v>68500</v>
      </c>
      <c r="AG17" s="8">
        <v>17600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60</v>
      </c>
      <c r="AS17" s="8">
        <v>5800</v>
      </c>
      <c r="AT17" s="7">
        <v>200</v>
      </c>
      <c r="AU17" s="10">
        <v>92100</v>
      </c>
      <c r="AV17" s="17">
        <f t="shared" si="0"/>
        <v>92100</v>
      </c>
      <c r="AW17" s="18">
        <f t="shared" si="1"/>
        <v>64469.999999999993</v>
      </c>
    </row>
    <row r="18" spans="1:49" x14ac:dyDescent="0.4">
      <c r="A18" s="5" t="s">
        <v>141</v>
      </c>
      <c r="B18" s="5" t="s">
        <v>45</v>
      </c>
      <c r="C18" s="5">
        <v>192737</v>
      </c>
      <c r="D18" s="6"/>
      <c r="E18" s="5" t="s">
        <v>13</v>
      </c>
      <c r="F18" s="5" t="s">
        <v>46</v>
      </c>
      <c r="G18" s="5" t="s">
        <v>13</v>
      </c>
      <c r="H18" s="7" t="s">
        <v>8</v>
      </c>
      <c r="I18" s="7" t="s">
        <v>47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91</v>
      </c>
      <c r="AC18" s="8">
        <v>75300</v>
      </c>
      <c r="AD18" s="8">
        <v>6400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12</v>
      </c>
      <c r="AP18" s="8">
        <v>9000</v>
      </c>
      <c r="AQ18" s="8">
        <v>1100</v>
      </c>
      <c r="AR18" s="7">
        <v>0</v>
      </c>
      <c r="AS18" s="7">
        <v>0</v>
      </c>
      <c r="AT18" s="7">
        <v>0</v>
      </c>
      <c r="AU18" s="10">
        <v>91800</v>
      </c>
      <c r="AV18" s="17">
        <f t="shared" si="0"/>
        <v>91800</v>
      </c>
      <c r="AW18" s="18">
        <f t="shared" si="1"/>
        <v>64259.999999999993</v>
      </c>
    </row>
    <row r="19" spans="1:49" ht="19.2" x14ac:dyDescent="0.4">
      <c r="A19" s="5" t="s">
        <v>138</v>
      </c>
      <c r="B19" s="5" t="s">
        <v>67</v>
      </c>
      <c r="C19" s="5">
        <v>408054</v>
      </c>
      <c r="D19" s="6"/>
      <c r="E19" s="5" t="s">
        <v>13</v>
      </c>
      <c r="F19" s="5" t="s">
        <v>18</v>
      </c>
      <c r="G19" s="5" t="s">
        <v>24</v>
      </c>
      <c r="H19" s="7" t="s">
        <v>12</v>
      </c>
      <c r="I19" s="7" t="s">
        <v>68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68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425</v>
      </c>
      <c r="AF19" s="8">
        <v>30300</v>
      </c>
      <c r="AG19" s="8">
        <v>12200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337</v>
      </c>
      <c r="AS19" s="8">
        <v>32600</v>
      </c>
      <c r="AT19" s="8">
        <v>1100</v>
      </c>
      <c r="AU19" s="10">
        <v>76200</v>
      </c>
      <c r="AV19" s="17">
        <f t="shared" si="0"/>
        <v>76200</v>
      </c>
      <c r="AW19" s="18">
        <f t="shared" si="1"/>
        <v>53340</v>
      </c>
    </row>
    <row r="20" spans="1:49" x14ac:dyDescent="0.4">
      <c r="A20" s="5" t="s">
        <v>141</v>
      </c>
      <c r="B20" s="5" t="s">
        <v>69</v>
      </c>
      <c r="C20" s="5">
        <v>192729</v>
      </c>
      <c r="D20" s="6"/>
      <c r="E20" s="5" t="s">
        <v>13</v>
      </c>
      <c r="F20" s="5" t="s">
        <v>46</v>
      </c>
      <c r="G20" s="5" t="s">
        <v>13</v>
      </c>
      <c r="H20" s="7" t="s">
        <v>8</v>
      </c>
      <c r="I20" s="7" t="s">
        <v>70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65</v>
      </c>
      <c r="AC20" s="8">
        <v>54900</v>
      </c>
      <c r="AD20" s="8">
        <v>2100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20</v>
      </c>
      <c r="AP20" s="8">
        <v>17300</v>
      </c>
      <c r="AQ20" s="7">
        <v>400</v>
      </c>
      <c r="AR20" s="7">
        <v>0</v>
      </c>
      <c r="AS20" s="7">
        <v>0</v>
      </c>
      <c r="AT20" s="7">
        <v>0</v>
      </c>
      <c r="AU20" s="10">
        <v>74700</v>
      </c>
      <c r="AV20" s="17">
        <f t="shared" si="0"/>
        <v>74700</v>
      </c>
      <c r="AW20" s="18">
        <f t="shared" si="1"/>
        <v>52290</v>
      </c>
    </row>
    <row r="21" spans="1:49" x14ac:dyDescent="0.4">
      <c r="A21" s="5" t="s">
        <v>141</v>
      </c>
      <c r="B21" s="5" t="s">
        <v>58</v>
      </c>
      <c r="C21" s="5">
        <v>215737</v>
      </c>
      <c r="D21" s="6"/>
      <c r="E21" s="5" t="s">
        <v>13</v>
      </c>
      <c r="F21" s="5" t="s">
        <v>59</v>
      </c>
      <c r="G21" s="5" t="s">
        <v>13</v>
      </c>
      <c r="H21" s="7" t="s">
        <v>8</v>
      </c>
      <c r="I21" s="7" t="s">
        <v>60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50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583</v>
      </c>
      <c r="AF21" s="8">
        <v>48700</v>
      </c>
      <c r="AG21" s="8">
        <v>9600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88</v>
      </c>
      <c r="AS21" s="8">
        <v>8700</v>
      </c>
      <c r="AT21" s="7">
        <v>100</v>
      </c>
      <c r="AU21" s="10">
        <v>67100</v>
      </c>
      <c r="AV21" s="17">
        <f t="shared" si="0"/>
        <v>67100</v>
      </c>
      <c r="AW21" s="18">
        <f t="shared" si="1"/>
        <v>46970</v>
      </c>
    </row>
    <row r="22" spans="1:49" ht="19.2" x14ac:dyDescent="0.4">
      <c r="A22" s="5" t="s">
        <v>138</v>
      </c>
      <c r="B22" s="5" t="s">
        <v>122</v>
      </c>
      <c r="C22" s="5">
        <v>408617</v>
      </c>
      <c r="D22" s="6"/>
      <c r="E22" s="5" t="s">
        <v>13</v>
      </c>
      <c r="F22" s="5" t="s">
        <v>14</v>
      </c>
      <c r="G22" s="5" t="s">
        <v>24</v>
      </c>
      <c r="H22" s="7" t="s">
        <v>12</v>
      </c>
      <c r="I22" s="7" t="s">
        <v>68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12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654</v>
      </c>
      <c r="AF22" s="8">
        <v>56100</v>
      </c>
      <c r="AG22" s="8">
        <v>9300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10">
        <v>65400</v>
      </c>
      <c r="AV22" s="17">
        <f t="shared" si="0"/>
        <v>65400</v>
      </c>
      <c r="AW22" s="18">
        <f t="shared" si="1"/>
        <v>45780</v>
      </c>
    </row>
    <row r="23" spans="1:49" x14ac:dyDescent="0.4">
      <c r="A23" s="5" t="s">
        <v>141</v>
      </c>
      <c r="B23" s="5" t="s">
        <v>56</v>
      </c>
      <c r="C23" s="5">
        <v>194565</v>
      </c>
      <c r="D23" s="6"/>
      <c r="E23" s="5" t="s">
        <v>13</v>
      </c>
      <c r="F23" s="5" t="s">
        <v>18</v>
      </c>
      <c r="G23" s="5" t="s">
        <v>13</v>
      </c>
      <c r="H23" s="7" t="s">
        <v>8</v>
      </c>
      <c r="I23" s="7" t="s">
        <v>57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21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454</v>
      </c>
      <c r="AF23" s="8">
        <v>37900</v>
      </c>
      <c r="AG23" s="8">
        <v>7500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1</v>
      </c>
      <c r="AS23" s="7">
        <v>100</v>
      </c>
      <c r="AT23" s="7">
        <v>0</v>
      </c>
      <c r="AU23" s="10">
        <v>45500</v>
      </c>
      <c r="AV23" s="17">
        <f t="shared" si="0"/>
        <v>45500</v>
      </c>
      <c r="AW23" s="18">
        <f t="shared" si="1"/>
        <v>31849.999999999996</v>
      </c>
    </row>
    <row r="24" spans="1:49" x14ac:dyDescent="0.4">
      <c r="A24" s="5" t="s">
        <v>142</v>
      </c>
      <c r="B24" s="5" t="s">
        <v>63</v>
      </c>
      <c r="C24" s="5">
        <v>192732</v>
      </c>
      <c r="D24" s="6"/>
      <c r="E24" s="5" t="s">
        <v>13</v>
      </c>
      <c r="F24" s="5" t="s">
        <v>46</v>
      </c>
      <c r="G24" s="5" t="s">
        <v>13</v>
      </c>
      <c r="H24" s="7" t="s">
        <v>8</v>
      </c>
      <c r="I24" s="7" t="s">
        <v>47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31</v>
      </c>
      <c r="AC24" s="8">
        <v>27900</v>
      </c>
      <c r="AD24" s="7">
        <v>0</v>
      </c>
      <c r="AE24" s="7">
        <v>3</v>
      </c>
      <c r="AF24" s="8">
        <v>9600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8</v>
      </c>
      <c r="AP24" s="8">
        <v>7000</v>
      </c>
      <c r="AQ24" s="7">
        <v>200</v>
      </c>
      <c r="AR24" s="7">
        <v>0</v>
      </c>
      <c r="AS24" s="7">
        <v>0</v>
      </c>
      <c r="AT24" s="7">
        <v>0</v>
      </c>
      <c r="AU24" s="10">
        <v>44700</v>
      </c>
      <c r="AV24" s="17">
        <f t="shared" si="0"/>
        <v>44700</v>
      </c>
      <c r="AW24" s="18">
        <f t="shared" si="1"/>
        <v>31289.999999999996</v>
      </c>
    </row>
    <row r="25" spans="1:49" x14ac:dyDescent="0.4">
      <c r="A25" s="5" t="s">
        <v>141</v>
      </c>
      <c r="B25" s="5" t="s">
        <v>125</v>
      </c>
      <c r="C25" s="5">
        <v>308470</v>
      </c>
      <c r="D25" s="6"/>
      <c r="E25" s="5" t="s">
        <v>13</v>
      </c>
      <c r="F25" s="5" t="s">
        <v>46</v>
      </c>
      <c r="G25" s="5" t="s">
        <v>13</v>
      </c>
      <c r="H25" s="7" t="s">
        <v>8</v>
      </c>
      <c r="I25" s="7" t="s">
        <v>126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20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329</v>
      </c>
      <c r="AF25" s="8">
        <v>32100</v>
      </c>
      <c r="AG25" s="7">
        <v>800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6</v>
      </c>
      <c r="AS25" s="7">
        <v>600</v>
      </c>
      <c r="AT25" s="7">
        <v>0</v>
      </c>
      <c r="AU25" s="10">
        <v>33500</v>
      </c>
      <c r="AV25" s="17">
        <f t="shared" si="0"/>
        <v>33500</v>
      </c>
      <c r="AW25" s="18">
        <f t="shared" si="1"/>
        <v>23450</v>
      </c>
    </row>
    <row r="26" spans="1:49" x14ac:dyDescent="0.4">
      <c r="A26" s="5" t="s">
        <v>141</v>
      </c>
      <c r="B26" s="5" t="s">
        <v>127</v>
      </c>
      <c r="C26" s="5">
        <v>406732</v>
      </c>
      <c r="D26" s="6"/>
      <c r="E26" s="5" t="s">
        <v>13</v>
      </c>
      <c r="F26" s="5" t="s">
        <v>14</v>
      </c>
      <c r="G26" s="5" t="s">
        <v>13</v>
      </c>
      <c r="H26" s="7" t="s">
        <v>8</v>
      </c>
      <c r="I26" s="7" t="s">
        <v>48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283</v>
      </c>
      <c r="AF26" s="8">
        <v>28300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10">
        <v>28300</v>
      </c>
      <c r="AV26" s="17">
        <f t="shared" si="0"/>
        <v>28300</v>
      </c>
      <c r="AW26" s="18">
        <f t="shared" si="1"/>
        <v>19810</v>
      </c>
    </row>
    <row r="27" spans="1:49" x14ac:dyDescent="0.4">
      <c r="A27" s="5" t="s">
        <v>141</v>
      </c>
      <c r="B27" s="5" t="s">
        <v>54</v>
      </c>
      <c r="C27" s="5">
        <v>159483</v>
      </c>
      <c r="D27" s="6"/>
      <c r="E27" s="5" t="s">
        <v>13</v>
      </c>
      <c r="F27" s="5" t="s">
        <v>15</v>
      </c>
      <c r="G27" s="5" t="s">
        <v>13</v>
      </c>
      <c r="H27" s="7" t="s">
        <v>8</v>
      </c>
      <c r="I27" s="7" t="s">
        <v>55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27</v>
      </c>
      <c r="AC27" s="8">
        <v>22500</v>
      </c>
      <c r="AD27" s="8">
        <v>1800</v>
      </c>
      <c r="AE27" s="7">
        <v>1</v>
      </c>
      <c r="AF27" s="8">
        <v>3200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10">
        <v>27500</v>
      </c>
      <c r="AV27" s="17">
        <f t="shared" si="0"/>
        <v>27500</v>
      </c>
      <c r="AW27" s="18">
        <f t="shared" si="1"/>
        <v>19250</v>
      </c>
    </row>
    <row r="28" spans="1:49" x14ac:dyDescent="0.4">
      <c r="A28" s="5" t="s">
        <v>138</v>
      </c>
      <c r="B28" s="5" t="s">
        <v>118</v>
      </c>
      <c r="C28" s="5">
        <v>238494</v>
      </c>
      <c r="D28" s="6"/>
      <c r="E28" s="5" t="s">
        <v>13</v>
      </c>
      <c r="F28" s="5" t="s">
        <v>46</v>
      </c>
      <c r="G28" s="5" t="s">
        <v>13</v>
      </c>
      <c r="H28" s="7" t="s">
        <v>8</v>
      </c>
      <c r="I28" s="7" t="s">
        <v>119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20</v>
      </c>
      <c r="AC28" s="8">
        <v>17400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7</v>
      </c>
      <c r="AP28" s="8">
        <v>5400</v>
      </c>
      <c r="AQ28" s="7">
        <v>600</v>
      </c>
      <c r="AR28" s="7">
        <v>0</v>
      </c>
      <c r="AS28" s="7">
        <v>0</v>
      </c>
      <c r="AT28" s="7">
        <v>0</v>
      </c>
      <c r="AU28" s="10">
        <v>23400</v>
      </c>
      <c r="AV28" s="17">
        <f t="shared" si="0"/>
        <v>23400</v>
      </c>
      <c r="AW28" s="18">
        <f t="shared" si="1"/>
        <v>16379.999999999998</v>
      </c>
    </row>
    <row r="29" spans="1:49" x14ac:dyDescent="0.4">
      <c r="A29" s="5" t="s">
        <v>141</v>
      </c>
      <c r="B29" s="5" t="s">
        <v>32</v>
      </c>
      <c r="C29" s="5">
        <v>404358</v>
      </c>
      <c r="D29" s="6"/>
      <c r="E29" s="5" t="s">
        <v>13</v>
      </c>
      <c r="F29" s="5" t="s">
        <v>33</v>
      </c>
      <c r="G29" s="5" t="s">
        <v>13</v>
      </c>
      <c r="H29" s="7" t="s">
        <v>8</v>
      </c>
      <c r="I29" s="7" t="s">
        <v>107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4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226</v>
      </c>
      <c r="AF29" s="8">
        <v>19100</v>
      </c>
      <c r="AG29" s="8">
        <v>3500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3</v>
      </c>
      <c r="AS29" s="7">
        <v>300</v>
      </c>
      <c r="AT29" s="7">
        <v>0</v>
      </c>
      <c r="AU29" s="10">
        <v>22900</v>
      </c>
      <c r="AV29" s="17">
        <f t="shared" si="0"/>
        <v>22900</v>
      </c>
      <c r="AW29" s="18">
        <f t="shared" si="1"/>
        <v>16029.999999999998</v>
      </c>
    </row>
    <row r="30" spans="1:49" x14ac:dyDescent="0.4">
      <c r="A30" s="5" t="s">
        <v>144</v>
      </c>
      <c r="B30" s="5" t="s">
        <v>151</v>
      </c>
      <c r="C30" s="5">
        <v>189476</v>
      </c>
      <c r="D30" s="6"/>
      <c r="E30" s="5" t="s">
        <v>13</v>
      </c>
      <c r="F30" s="5" t="s">
        <v>46</v>
      </c>
      <c r="G30" s="5" t="s">
        <v>13</v>
      </c>
      <c r="H30" s="7" t="s">
        <v>8</v>
      </c>
      <c r="I30" s="7" t="s">
        <v>152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11</v>
      </c>
      <c r="AC30" s="8">
        <v>9900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14</v>
      </c>
      <c r="AP30" s="8">
        <v>12400</v>
      </c>
      <c r="AQ30" s="7">
        <v>200</v>
      </c>
      <c r="AR30" s="7">
        <v>0</v>
      </c>
      <c r="AS30" s="7">
        <v>0</v>
      </c>
      <c r="AT30" s="7">
        <v>0</v>
      </c>
      <c r="AU30" s="10">
        <v>22500</v>
      </c>
      <c r="AV30" s="17">
        <f t="shared" si="0"/>
        <v>22500</v>
      </c>
      <c r="AW30" s="18">
        <f t="shared" si="1"/>
        <v>15749.999999999998</v>
      </c>
    </row>
    <row r="31" spans="1:49" x14ac:dyDescent="0.4">
      <c r="A31" s="5" t="s">
        <v>141</v>
      </c>
      <c r="B31" s="5" t="s">
        <v>84</v>
      </c>
      <c r="C31" s="5">
        <v>287064</v>
      </c>
      <c r="D31" s="6"/>
      <c r="E31" s="5" t="s">
        <v>13</v>
      </c>
      <c r="F31" s="5" t="s">
        <v>85</v>
      </c>
      <c r="G31" s="5" t="s">
        <v>13</v>
      </c>
      <c r="H31" s="7" t="s">
        <v>8</v>
      </c>
      <c r="I31" s="7" t="s">
        <v>86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207</v>
      </c>
      <c r="AF31" s="8">
        <v>20500</v>
      </c>
      <c r="AG31" s="7">
        <v>200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10">
        <v>20700</v>
      </c>
      <c r="AV31" s="17">
        <f t="shared" si="0"/>
        <v>20700</v>
      </c>
      <c r="AW31" s="18">
        <f t="shared" si="1"/>
        <v>14489.999999999998</v>
      </c>
    </row>
    <row r="32" spans="1:49" x14ac:dyDescent="0.4">
      <c r="A32" s="5" t="s">
        <v>141</v>
      </c>
      <c r="B32" s="5" t="s">
        <v>134</v>
      </c>
      <c r="C32" s="5">
        <v>395747</v>
      </c>
      <c r="D32" s="6"/>
      <c r="E32" s="5" t="s">
        <v>13</v>
      </c>
      <c r="F32" s="5" t="s">
        <v>14</v>
      </c>
      <c r="G32" s="5" t="s">
        <v>13</v>
      </c>
      <c r="H32" s="7" t="s">
        <v>8</v>
      </c>
      <c r="I32" s="7" t="s">
        <v>135</v>
      </c>
      <c r="J32" s="7">
        <v>0</v>
      </c>
      <c r="K32" s="7">
        <v>5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180</v>
      </c>
      <c r="AF32" s="8">
        <v>17000</v>
      </c>
      <c r="AG32" s="8">
        <v>1000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10">
        <v>18000</v>
      </c>
      <c r="AV32" s="17">
        <f t="shared" si="0"/>
        <v>18000</v>
      </c>
      <c r="AW32" s="18">
        <f t="shared" si="1"/>
        <v>12600</v>
      </c>
    </row>
    <row r="33" spans="1:49" x14ac:dyDescent="0.4">
      <c r="A33" s="5" t="s">
        <v>138</v>
      </c>
      <c r="B33" s="5" t="s">
        <v>61</v>
      </c>
      <c r="C33" s="5">
        <v>99966</v>
      </c>
      <c r="D33" s="6"/>
      <c r="E33" s="5" t="s">
        <v>13</v>
      </c>
      <c r="F33" s="5" t="s">
        <v>18</v>
      </c>
      <c r="G33" s="5" t="s">
        <v>13</v>
      </c>
      <c r="H33" s="7" t="s">
        <v>12</v>
      </c>
      <c r="I33" s="7" t="s">
        <v>62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176</v>
      </c>
      <c r="AF33" s="8">
        <v>13000</v>
      </c>
      <c r="AG33" s="8">
        <v>4600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10">
        <v>17600</v>
      </c>
      <c r="AV33" s="17">
        <f t="shared" si="0"/>
        <v>17600</v>
      </c>
      <c r="AW33" s="18">
        <f t="shared" si="1"/>
        <v>12320</v>
      </c>
    </row>
    <row r="34" spans="1:49" x14ac:dyDescent="0.4">
      <c r="A34" s="5" t="s">
        <v>138</v>
      </c>
      <c r="B34" s="5" t="s">
        <v>79</v>
      </c>
      <c r="C34" s="5">
        <v>227013</v>
      </c>
      <c r="D34" s="6"/>
      <c r="E34" s="5" t="s">
        <v>13</v>
      </c>
      <c r="F34" s="5" t="s">
        <v>15</v>
      </c>
      <c r="G34" s="5" t="s">
        <v>13</v>
      </c>
      <c r="H34" s="7" t="s">
        <v>8</v>
      </c>
      <c r="I34" s="7" t="s">
        <v>80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5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176</v>
      </c>
      <c r="AF34" s="8">
        <v>17600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10">
        <v>17600</v>
      </c>
      <c r="AV34" s="17">
        <f t="shared" si="0"/>
        <v>17600</v>
      </c>
      <c r="AW34" s="18">
        <f t="shared" si="1"/>
        <v>12320</v>
      </c>
    </row>
    <row r="35" spans="1:49" ht="19.2" x14ac:dyDescent="0.4">
      <c r="A35" s="5" t="s">
        <v>142</v>
      </c>
      <c r="B35" s="5" t="s">
        <v>108</v>
      </c>
      <c r="C35" s="5">
        <v>408450</v>
      </c>
      <c r="D35" s="6"/>
      <c r="E35" s="5" t="s">
        <v>13</v>
      </c>
      <c r="F35" s="5" t="s">
        <v>14</v>
      </c>
      <c r="G35" s="5" t="s">
        <v>24</v>
      </c>
      <c r="H35" s="7" t="s">
        <v>8</v>
      </c>
      <c r="I35" s="7" t="s">
        <v>88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175</v>
      </c>
      <c r="AF35" s="8">
        <v>17500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10">
        <v>17500</v>
      </c>
      <c r="AV35" s="17">
        <f t="shared" si="0"/>
        <v>17500</v>
      </c>
      <c r="AW35" s="18">
        <f t="shared" si="1"/>
        <v>12250</v>
      </c>
    </row>
    <row r="36" spans="1:49" ht="19.2" x14ac:dyDescent="0.4">
      <c r="A36" s="5" t="s">
        <v>138</v>
      </c>
      <c r="B36" s="5" t="s">
        <v>92</v>
      </c>
      <c r="C36" s="5">
        <v>406370</v>
      </c>
      <c r="D36" s="6"/>
      <c r="E36" s="5" t="s">
        <v>13</v>
      </c>
      <c r="F36" s="5" t="s">
        <v>46</v>
      </c>
      <c r="G36" s="5" t="s">
        <v>24</v>
      </c>
      <c r="H36" s="7" t="s">
        <v>9</v>
      </c>
      <c r="I36" s="7" t="s">
        <v>78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11</v>
      </c>
      <c r="AC36" s="8">
        <v>9900</v>
      </c>
      <c r="AD36" s="7">
        <v>0</v>
      </c>
      <c r="AE36" s="7">
        <v>2</v>
      </c>
      <c r="AF36" s="8">
        <v>6400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1</v>
      </c>
      <c r="AP36" s="7">
        <v>900</v>
      </c>
      <c r="AQ36" s="7">
        <v>0</v>
      </c>
      <c r="AR36" s="7">
        <v>0</v>
      </c>
      <c r="AS36" s="7">
        <v>0</v>
      </c>
      <c r="AT36" s="7">
        <v>0</v>
      </c>
      <c r="AU36" s="10">
        <v>17200</v>
      </c>
      <c r="AV36" s="17">
        <f t="shared" si="0"/>
        <v>17200</v>
      </c>
      <c r="AW36" s="18">
        <f t="shared" si="1"/>
        <v>12040</v>
      </c>
    </row>
    <row r="37" spans="1:49" x14ac:dyDescent="0.4">
      <c r="A37" s="5" t="s">
        <v>142</v>
      </c>
      <c r="B37" s="5" t="s">
        <v>64</v>
      </c>
      <c r="C37" s="5">
        <v>229857</v>
      </c>
      <c r="D37" s="6"/>
      <c r="E37" s="5" t="s">
        <v>13</v>
      </c>
      <c r="F37" s="5" t="s">
        <v>14</v>
      </c>
      <c r="G37" s="5" t="s">
        <v>13</v>
      </c>
      <c r="H37" s="7" t="s">
        <v>12</v>
      </c>
      <c r="I37" s="7" t="s">
        <v>65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19</v>
      </c>
      <c r="AC37" s="8">
        <v>14900</v>
      </c>
      <c r="AD37" s="8">
        <v>2200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10">
        <v>17100</v>
      </c>
      <c r="AV37" s="17">
        <f t="shared" si="0"/>
        <v>17100</v>
      </c>
      <c r="AW37" s="18">
        <f t="shared" si="1"/>
        <v>11970</v>
      </c>
    </row>
    <row r="38" spans="1:49" x14ac:dyDescent="0.4">
      <c r="A38" s="5" t="s">
        <v>138</v>
      </c>
      <c r="B38" s="5" t="s">
        <v>81</v>
      </c>
      <c r="C38" s="5">
        <v>285994</v>
      </c>
      <c r="D38" s="6"/>
      <c r="E38" s="5" t="s">
        <v>13</v>
      </c>
      <c r="F38" s="5" t="s">
        <v>14</v>
      </c>
      <c r="G38" s="5" t="s">
        <v>13</v>
      </c>
      <c r="H38" s="7" t="s">
        <v>8</v>
      </c>
      <c r="I38" s="7" t="s">
        <v>72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19</v>
      </c>
      <c r="AC38" s="8">
        <v>11700</v>
      </c>
      <c r="AD38" s="8">
        <v>5400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10">
        <v>17100</v>
      </c>
      <c r="AV38" s="17">
        <f t="shared" si="0"/>
        <v>17100</v>
      </c>
      <c r="AW38" s="18">
        <f t="shared" si="1"/>
        <v>11970</v>
      </c>
    </row>
    <row r="39" spans="1:49" x14ac:dyDescent="0.4">
      <c r="A39" s="5" t="s">
        <v>142</v>
      </c>
      <c r="B39" s="5" t="s">
        <v>145</v>
      </c>
      <c r="C39" s="5">
        <v>227856</v>
      </c>
      <c r="D39" s="6"/>
      <c r="E39" s="5" t="s">
        <v>13</v>
      </c>
      <c r="F39" s="5" t="s">
        <v>146</v>
      </c>
      <c r="G39" s="5" t="s">
        <v>13</v>
      </c>
      <c r="H39" s="7" t="s">
        <v>8</v>
      </c>
      <c r="I39" s="7" t="s">
        <v>147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5</v>
      </c>
      <c r="AF39" s="8">
        <v>16000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10">
        <v>16000</v>
      </c>
      <c r="AV39" s="17">
        <f t="shared" si="0"/>
        <v>16000</v>
      </c>
      <c r="AW39" s="18">
        <f t="shared" si="1"/>
        <v>11200</v>
      </c>
    </row>
    <row r="40" spans="1:49" x14ac:dyDescent="0.4">
      <c r="A40" s="5" t="s">
        <v>141</v>
      </c>
      <c r="B40" s="5" t="s">
        <v>113</v>
      </c>
      <c r="C40" s="5">
        <v>174583</v>
      </c>
      <c r="D40" s="6"/>
      <c r="E40" s="5" t="s">
        <v>13</v>
      </c>
      <c r="F40" s="5" t="s">
        <v>15</v>
      </c>
      <c r="G40" s="5" t="s">
        <v>13</v>
      </c>
      <c r="H40" s="7" t="s">
        <v>8</v>
      </c>
      <c r="I40" s="7" t="s">
        <v>114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14</v>
      </c>
      <c r="AC40" s="8">
        <v>12600</v>
      </c>
      <c r="AD40" s="7">
        <v>0</v>
      </c>
      <c r="AE40" s="7">
        <v>1</v>
      </c>
      <c r="AF40" s="7">
        <v>0</v>
      </c>
      <c r="AG40" s="8">
        <v>3200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10">
        <v>15800</v>
      </c>
      <c r="AV40" s="17">
        <f t="shared" si="0"/>
        <v>15800</v>
      </c>
      <c r="AW40" s="18">
        <f t="shared" si="1"/>
        <v>11060</v>
      </c>
    </row>
    <row r="41" spans="1:49" x14ac:dyDescent="0.4">
      <c r="A41" s="5" t="s">
        <v>141</v>
      </c>
      <c r="B41" s="5" t="s">
        <v>73</v>
      </c>
      <c r="C41" s="5">
        <v>183137</v>
      </c>
      <c r="D41" s="6"/>
      <c r="E41" s="5" t="s">
        <v>13</v>
      </c>
      <c r="F41" s="5" t="s">
        <v>15</v>
      </c>
      <c r="G41" s="5" t="s">
        <v>13</v>
      </c>
      <c r="H41" s="7" t="s">
        <v>8</v>
      </c>
      <c r="I41" s="7" t="s">
        <v>74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10</v>
      </c>
      <c r="AC41" s="8">
        <v>9000</v>
      </c>
      <c r="AD41" s="7">
        <v>0</v>
      </c>
      <c r="AE41" s="7">
        <v>2</v>
      </c>
      <c r="AF41" s="8">
        <v>6400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10">
        <v>15400</v>
      </c>
      <c r="AV41" s="17">
        <f t="shared" si="0"/>
        <v>15400</v>
      </c>
      <c r="AW41" s="18">
        <f t="shared" si="1"/>
        <v>10780</v>
      </c>
    </row>
    <row r="42" spans="1:49" x14ac:dyDescent="0.4">
      <c r="A42" s="5" t="s">
        <v>141</v>
      </c>
      <c r="B42" s="5" t="s">
        <v>71</v>
      </c>
      <c r="C42" s="5">
        <v>285993</v>
      </c>
      <c r="D42" s="6"/>
      <c r="E42" s="5" t="s">
        <v>13</v>
      </c>
      <c r="F42" s="5" t="s">
        <v>14</v>
      </c>
      <c r="G42" s="5" t="s">
        <v>13</v>
      </c>
      <c r="H42" s="7" t="s">
        <v>8</v>
      </c>
      <c r="I42" s="7" t="s">
        <v>72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5</v>
      </c>
      <c r="AC42" s="8">
        <v>3600</v>
      </c>
      <c r="AD42" s="7">
        <v>200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12</v>
      </c>
      <c r="AP42" s="8">
        <v>10400</v>
      </c>
      <c r="AQ42" s="7">
        <v>200</v>
      </c>
      <c r="AR42" s="7">
        <v>0</v>
      </c>
      <c r="AS42" s="7">
        <v>0</v>
      </c>
      <c r="AT42" s="7">
        <v>0</v>
      </c>
      <c r="AU42" s="10">
        <v>14400</v>
      </c>
      <c r="AV42" s="17">
        <f t="shared" si="0"/>
        <v>14400</v>
      </c>
      <c r="AW42" s="18">
        <f t="shared" si="1"/>
        <v>10080</v>
      </c>
    </row>
    <row r="43" spans="1:49" x14ac:dyDescent="0.4">
      <c r="A43" s="5" t="s">
        <v>141</v>
      </c>
      <c r="B43" s="5" t="s">
        <v>110</v>
      </c>
      <c r="C43" s="5">
        <v>249762</v>
      </c>
      <c r="D43" s="6"/>
      <c r="E43" s="5" t="s">
        <v>13</v>
      </c>
      <c r="F43" s="5" t="s">
        <v>14</v>
      </c>
      <c r="G43" s="5" t="s">
        <v>13</v>
      </c>
      <c r="H43" s="7" t="s">
        <v>8</v>
      </c>
      <c r="I43" s="7" t="s">
        <v>111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130</v>
      </c>
      <c r="AF43" s="8">
        <v>10900</v>
      </c>
      <c r="AG43" s="8">
        <v>2100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4</v>
      </c>
      <c r="AS43" s="7">
        <v>400</v>
      </c>
      <c r="AT43" s="7">
        <v>0</v>
      </c>
      <c r="AU43" s="10">
        <v>13400</v>
      </c>
      <c r="AV43" s="17">
        <f t="shared" si="0"/>
        <v>13400</v>
      </c>
      <c r="AW43" s="18">
        <f t="shared" si="1"/>
        <v>9380</v>
      </c>
    </row>
    <row r="44" spans="1:49" x14ac:dyDescent="0.4">
      <c r="A44" s="5" t="s">
        <v>141</v>
      </c>
      <c r="B44" s="5" t="s">
        <v>120</v>
      </c>
      <c r="C44" s="5">
        <v>169151</v>
      </c>
      <c r="D44" s="6"/>
      <c r="E44" s="5" t="s">
        <v>13</v>
      </c>
      <c r="F44" s="5" t="s">
        <v>15</v>
      </c>
      <c r="G44" s="5" t="s">
        <v>13</v>
      </c>
      <c r="H44" s="7" t="s">
        <v>8</v>
      </c>
      <c r="I44" s="7" t="s">
        <v>121</v>
      </c>
      <c r="J44" s="7">
        <v>2</v>
      </c>
      <c r="K44" s="7">
        <v>0</v>
      </c>
      <c r="L44" s="7">
        <v>0</v>
      </c>
      <c r="M44" s="8">
        <v>1800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6</v>
      </c>
      <c r="AC44" s="8">
        <v>4700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7</v>
      </c>
      <c r="AP44" s="8">
        <v>5900</v>
      </c>
      <c r="AQ44" s="7">
        <v>200</v>
      </c>
      <c r="AR44" s="7">
        <v>0</v>
      </c>
      <c r="AS44" s="7">
        <v>0</v>
      </c>
      <c r="AT44" s="7">
        <v>0</v>
      </c>
      <c r="AU44" s="10">
        <v>12600</v>
      </c>
      <c r="AV44" s="17">
        <f t="shared" si="0"/>
        <v>12600</v>
      </c>
      <c r="AW44" s="18">
        <f t="shared" si="1"/>
        <v>8820</v>
      </c>
    </row>
    <row r="45" spans="1:49" x14ac:dyDescent="0.4">
      <c r="A45" s="5" t="s">
        <v>141</v>
      </c>
      <c r="B45" s="5" t="s">
        <v>77</v>
      </c>
      <c r="C45" s="5">
        <v>192728</v>
      </c>
      <c r="D45" s="6"/>
      <c r="E45" s="5" t="s">
        <v>13</v>
      </c>
      <c r="F45" s="5" t="s">
        <v>46</v>
      </c>
      <c r="G45" s="5" t="s">
        <v>13</v>
      </c>
      <c r="H45" s="7" t="s">
        <v>8</v>
      </c>
      <c r="I45" s="7" t="s">
        <v>47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14</v>
      </c>
      <c r="AC45" s="8">
        <v>12600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10">
        <v>12600</v>
      </c>
      <c r="AV45" s="17">
        <f t="shared" si="0"/>
        <v>12600</v>
      </c>
      <c r="AW45" s="18">
        <f t="shared" si="1"/>
        <v>8820</v>
      </c>
    </row>
    <row r="46" spans="1:49" x14ac:dyDescent="0.4">
      <c r="A46" s="5" t="s">
        <v>141</v>
      </c>
      <c r="B46" s="5" t="s">
        <v>143</v>
      </c>
      <c r="C46" s="5">
        <v>285988</v>
      </c>
      <c r="D46" s="6"/>
      <c r="E46" s="5" t="s">
        <v>13</v>
      </c>
      <c r="F46" s="5" t="s">
        <v>14</v>
      </c>
      <c r="G46" s="5" t="s">
        <v>13</v>
      </c>
      <c r="H46" s="7" t="s">
        <v>8</v>
      </c>
      <c r="I46" s="7" t="s">
        <v>72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14</v>
      </c>
      <c r="AC46" s="8">
        <v>12600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10">
        <v>12600</v>
      </c>
      <c r="AV46" s="17">
        <f t="shared" si="0"/>
        <v>12600</v>
      </c>
      <c r="AW46" s="18">
        <f t="shared" si="1"/>
        <v>8820</v>
      </c>
    </row>
    <row r="47" spans="1:49" x14ac:dyDescent="0.4">
      <c r="A47" s="5" t="s">
        <v>141</v>
      </c>
      <c r="B47" s="5" t="s">
        <v>90</v>
      </c>
      <c r="C47" s="5">
        <v>258201</v>
      </c>
      <c r="D47" s="6"/>
      <c r="E47" s="5" t="s">
        <v>13</v>
      </c>
      <c r="F47" s="5" t="s">
        <v>59</v>
      </c>
      <c r="G47" s="5" t="s">
        <v>13</v>
      </c>
      <c r="H47" s="7" t="s">
        <v>8</v>
      </c>
      <c r="I47" s="7" t="s">
        <v>91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5</v>
      </c>
      <c r="AC47" s="8">
        <v>3600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10</v>
      </c>
      <c r="AP47" s="8">
        <v>7900</v>
      </c>
      <c r="AQ47" s="7">
        <v>200</v>
      </c>
      <c r="AR47" s="7">
        <v>0</v>
      </c>
      <c r="AS47" s="7">
        <v>0</v>
      </c>
      <c r="AT47" s="7">
        <v>0</v>
      </c>
      <c r="AU47" s="10">
        <v>11700</v>
      </c>
      <c r="AV47" s="17">
        <f t="shared" si="0"/>
        <v>11700</v>
      </c>
      <c r="AW47" s="18">
        <f t="shared" si="1"/>
        <v>8189.9999999999991</v>
      </c>
    </row>
    <row r="48" spans="1:49" ht="19.2" x14ac:dyDescent="0.4">
      <c r="A48" s="5" t="s">
        <v>141</v>
      </c>
      <c r="B48" s="5" t="s">
        <v>117</v>
      </c>
      <c r="C48" s="5">
        <v>409391</v>
      </c>
      <c r="D48" s="6"/>
      <c r="E48" s="5" t="s">
        <v>13</v>
      </c>
      <c r="F48" s="5" t="s">
        <v>46</v>
      </c>
      <c r="G48" s="5" t="s">
        <v>24</v>
      </c>
      <c r="H48" s="7" t="s">
        <v>8</v>
      </c>
      <c r="I48" s="7" t="s">
        <v>25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10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117</v>
      </c>
      <c r="AF48" s="8">
        <v>9500</v>
      </c>
      <c r="AG48" s="8">
        <v>2200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10">
        <v>11700</v>
      </c>
      <c r="AV48" s="17">
        <f t="shared" si="0"/>
        <v>11700</v>
      </c>
      <c r="AW48" s="18">
        <f t="shared" si="1"/>
        <v>8189.9999999999991</v>
      </c>
    </row>
    <row r="49" spans="1:49" x14ac:dyDescent="0.4">
      <c r="A49" s="5" t="s">
        <v>141</v>
      </c>
      <c r="B49" s="5" t="s">
        <v>66</v>
      </c>
      <c r="C49" s="5">
        <v>418830</v>
      </c>
      <c r="D49" s="6"/>
      <c r="E49" s="5" t="s">
        <v>13</v>
      </c>
      <c r="F49" s="5" t="s">
        <v>18</v>
      </c>
      <c r="G49" s="5" t="s">
        <v>13</v>
      </c>
      <c r="H49" s="7" t="s">
        <v>8</v>
      </c>
      <c r="I49" s="7" t="s">
        <v>31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117</v>
      </c>
      <c r="AF49" s="7">
        <v>800</v>
      </c>
      <c r="AG49" s="8">
        <v>10900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10">
        <v>11700</v>
      </c>
      <c r="AV49" s="17">
        <f t="shared" si="0"/>
        <v>11700</v>
      </c>
      <c r="AW49" s="18">
        <f t="shared" si="1"/>
        <v>8189.9999999999991</v>
      </c>
    </row>
    <row r="50" spans="1:49" x14ac:dyDescent="0.4">
      <c r="A50" s="5" t="s">
        <v>138</v>
      </c>
      <c r="B50" s="5" t="s">
        <v>87</v>
      </c>
      <c r="C50" s="5">
        <v>285990</v>
      </c>
      <c r="D50" s="6"/>
      <c r="E50" s="5" t="s">
        <v>13</v>
      </c>
      <c r="F50" s="5" t="s">
        <v>14</v>
      </c>
      <c r="G50" s="5" t="s">
        <v>13</v>
      </c>
      <c r="H50" s="7" t="s">
        <v>8</v>
      </c>
      <c r="I50" s="7" t="s">
        <v>72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12</v>
      </c>
      <c r="AC50" s="8">
        <v>10800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10">
        <v>10800</v>
      </c>
      <c r="AV50" s="17">
        <f t="shared" si="0"/>
        <v>10800</v>
      </c>
      <c r="AW50" s="18">
        <f t="shared" si="1"/>
        <v>7559.9999999999991</v>
      </c>
    </row>
    <row r="51" spans="1:49" ht="19.2" x14ac:dyDescent="0.4">
      <c r="A51" s="5" t="s">
        <v>141</v>
      </c>
      <c r="B51" s="5" t="s">
        <v>109</v>
      </c>
      <c r="C51" s="5">
        <v>408317</v>
      </c>
      <c r="D51" s="6"/>
      <c r="E51" s="5" t="s">
        <v>13</v>
      </c>
      <c r="F51" s="5" t="s">
        <v>46</v>
      </c>
      <c r="G51" s="5" t="s">
        <v>24</v>
      </c>
      <c r="H51" s="7" t="s">
        <v>9</v>
      </c>
      <c r="I51" s="7" t="s">
        <v>68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94</v>
      </c>
      <c r="AF51" s="8">
        <v>9300</v>
      </c>
      <c r="AG51" s="7">
        <v>100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10">
        <v>9400</v>
      </c>
      <c r="AV51" s="17">
        <f t="shared" si="0"/>
        <v>9400</v>
      </c>
      <c r="AW51" s="18">
        <f t="shared" si="1"/>
        <v>6580</v>
      </c>
    </row>
    <row r="52" spans="1:49" x14ac:dyDescent="0.4">
      <c r="A52" s="5" t="s">
        <v>138</v>
      </c>
      <c r="B52" s="5" t="s">
        <v>49</v>
      </c>
      <c r="C52" s="5">
        <v>388417</v>
      </c>
      <c r="D52" s="6"/>
      <c r="E52" s="5" t="s">
        <v>13</v>
      </c>
      <c r="F52" s="5" t="s">
        <v>50</v>
      </c>
      <c r="G52" s="5" t="s">
        <v>13</v>
      </c>
      <c r="H52" s="7" t="s">
        <v>8</v>
      </c>
      <c r="I52" s="7" t="s">
        <v>51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5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79</v>
      </c>
      <c r="AF52" s="8">
        <v>4600</v>
      </c>
      <c r="AG52" s="8">
        <v>3300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10">
        <v>7900</v>
      </c>
      <c r="AV52" s="17">
        <f t="shared" si="0"/>
        <v>7900</v>
      </c>
      <c r="AW52" s="18">
        <f t="shared" si="1"/>
        <v>5530</v>
      </c>
    </row>
    <row r="53" spans="1:49" x14ac:dyDescent="0.4">
      <c r="A53" s="5" t="s">
        <v>141</v>
      </c>
      <c r="B53" s="5" t="s">
        <v>115</v>
      </c>
      <c r="C53" s="5">
        <v>210381</v>
      </c>
      <c r="D53" s="6"/>
      <c r="E53" s="5" t="s">
        <v>13</v>
      </c>
      <c r="F53" s="5" t="s">
        <v>46</v>
      </c>
      <c r="G53" s="5" t="s">
        <v>13</v>
      </c>
      <c r="H53" s="7" t="s">
        <v>8</v>
      </c>
      <c r="I53" s="7" t="s">
        <v>116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5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16</v>
      </c>
      <c r="AF53" s="8">
        <v>1600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45</v>
      </c>
      <c r="AS53" s="8">
        <v>2700</v>
      </c>
      <c r="AT53" s="8">
        <v>1800</v>
      </c>
      <c r="AU53" s="10">
        <v>6100</v>
      </c>
      <c r="AV53" s="17">
        <f t="shared" si="0"/>
        <v>6100</v>
      </c>
      <c r="AW53" s="18">
        <f t="shared" si="1"/>
        <v>4270</v>
      </c>
    </row>
    <row r="54" spans="1:49" x14ac:dyDescent="0.4">
      <c r="A54" s="5" t="s">
        <v>141</v>
      </c>
      <c r="B54" s="5" t="s">
        <v>130</v>
      </c>
      <c r="C54" s="5">
        <v>376036</v>
      </c>
      <c r="D54" s="6"/>
      <c r="E54" s="5" t="s">
        <v>13</v>
      </c>
      <c r="F54" s="5" t="s">
        <v>15</v>
      </c>
      <c r="G54" s="5" t="s">
        <v>13</v>
      </c>
      <c r="H54" s="7" t="s">
        <v>8</v>
      </c>
      <c r="I54" s="7" t="s">
        <v>131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5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58</v>
      </c>
      <c r="AF54" s="8">
        <v>5800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10">
        <v>5800</v>
      </c>
      <c r="AV54" s="17">
        <f t="shared" si="0"/>
        <v>5800</v>
      </c>
      <c r="AW54" s="18">
        <f t="shared" si="1"/>
        <v>4059.9999999999995</v>
      </c>
    </row>
    <row r="55" spans="1:49" x14ac:dyDescent="0.4">
      <c r="A55" s="5" t="s">
        <v>141</v>
      </c>
      <c r="B55" s="5" t="s">
        <v>82</v>
      </c>
      <c r="C55" s="5">
        <v>196917</v>
      </c>
      <c r="D55" s="6"/>
      <c r="E55" s="5" t="s">
        <v>13</v>
      </c>
      <c r="F55" s="5" t="s">
        <v>46</v>
      </c>
      <c r="G55" s="5" t="s">
        <v>13</v>
      </c>
      <c r="H55" s="7" t="s">
        <v>8</v>
      </c>
      <c r="I55" s="7" t="s">
        <v>83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6</v>
      </c>
      <c r="AC55" s="8">
        <v>5400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10">
        <v>5400</v>
      </c>
      <c r="AV55" s="17">
        <f t="shared" si="0"/>
        <v>5400</v>
      </c>
      <c r="AW55" s="18">
        <f t="shared" si="1"/>
        <v>3779.9999999999995</v>
      </c>
    </row>
    <row r="56" spans="1:49" x14ac:dyDescent="0.4">
      <c r="A56" s="5" t="s">
        <v>141</v>
      </c>
      <c r="B56" s="5" t="s">
        <v>153</v>
      </c>
      <c r="C56" s="5">
        <v>300910</v>
      </c>
      <c r="D56" s="6"/>
      <c r="E56" s="5" t="s">
        <v>13</v>
      </c>
      <c r="F56" s="5" t="s">
        <v>59</v>
      </c>
      <c r="G56" s="5" t="s">
        <v>13</v>
      </c>
      <c r="H56" s="7" t="s">
        <v>8</v>
      </c>
      <c r="I56" s="7" t="s">
        <v>154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36</v>
      </c>
      <c r="AF56" s="8">
        <v>3500</v>
      </c>
      <c r="AG56" s="7">
        <v>100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10">
        <v>3600</v>
      </c>
      <c r="AV56" s="17">
        <f t="shared" si="0"/>
        <v>3600</v>
      </c>
      <c r="AW56" s="18">
        <f t="shared" si="1"/>
        <v>2520</v>
      </c>
    </row>
    <row r="57" spans="1:49" x14ac:dyDescent="0.4">
      <c r="A57" s="5" t="s">
        <v>141</v>
      </c>
      <c r="B57" s="5" t="s">
        <v>89</v>
      </c>
      <c r="C57" s="5">
        <v>305089</v>
      </c>
      <c r="D57" s="6"/>
      <c r="E57" s="5" t="s">
        <v>13</v>
      </c>
      <c r="F57" s="5" t="s">
        <v>85</v>
      </c>
      <c r="G57" s="5" t="s">
        <v>13</v>
      </c>
      <c r="H57" s="7" t="s">
        <v>8</v>
      </c>
      <c r="I57" s="7" t="s">
        <v>11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2</v>
      </c>
      <c r="AC57" s="8">
        <v>1800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1</v>
      </c>
      <c r="AP57" s="7">
        <v>900</v>
      </c>
      <c r="AQ57" s="7">
        <v>0</v>
      </c>
      <c r="AR57" s="7">
        <v>0</v>
      </c>
      <c r="AS57" s="7">
        <v>0</v>
      </c>
      <c r="AT57" s="7">
        <v>0</v>
      </c>
      <c r="AU57" s="10">
        <v>2700</v>
      </c>
      <c r="AV57" s="17">
        <f t="shared" si="0"/>
        <v>2700</v>
      </c>
      <c r="AW57" s="18">
        <f t="shared" si="1"/>
        <v>1889.9999999999998</v>
      </c>
    </row>
    <row r="58" spans="1:49" x14ac:dyDescent="0.4">
      <c r="A58" s="5" t="s">
        <v>141</v>
      </c>
      <c r="B58" s="5" t="s">
        <v>155</v>
      </c>
      <c r="C58" s="5">
        <v>229599</v>
      </c>
      <c r="D58" s="6"/>
      <c r="E58" s="5" t="s">
        <v>13</v>
      </c>
      <c r="F58" s="5" t="s">
        <v>14</v>
      </c>
      <c r="G58" s="5" t="s">
        <v>13</v>
      </c>
      <c r="H58" s="7" t="s">
        <v>8</v>
      </c>
      <c r="I58" s="7" t="s">
        <v>156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2</v>
      </c>
      <c r="AC58" s="8">
        <v>1800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10">
        <v>1800</v>
      </c>
      <c r="AV58" s="17">
        <f t="shared" si="0"/>
        <v>1800</v>
      </c>
      <c r="AW58" s="18">
        <f t="shared" si="1"/>
        <v>1260</v>
      </c>
    </row>
    <row r="59" spans="1:49" x14ac:dyDescent="0.4">
      <c r="A59" s="5" t="s">
        <v>141</v>
      </c>
      <c r="B59" s="5" t="s">
        <v>132</v>
      </c>
      <c r="C59" s="5">
        <v>332843</v>
      </c>
      <c r="D59" s="6"/>
      <c r="E59" s="5" t="s">
        <v>13</v>
      </c>
      <c r="F59" s="5" t="s">
        <v>14</v>
      </c>
      <c r="G59" s="5" t="s">
        <v>13</v>
      </c>
      <c r="H59" s="7" t="s">
        <v>8</v>
      </c>
      <c r="I59" s="7" t="s">
        <v>133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14</v>
      </c>
      <c r="AF59" s="8">
        <v>1400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10">
        <v>1400</v>
      </c>
      <c r="AV59" s="17">
        <f t="shared" si="0"/>
        <v>1400</v>
      </c>
      <c r="AW59" s="18">
        <f t="shared" si="1"/>
        <v>979.99999999999989</v>
      </c>
    </row>
    <row r="60" spans="1:49" x14ac:dyDescent="0.4">
      <c r="A60" s="5" t="s">
        <v>142</v>
      </c>
      <c r="B60" s="5" t="s">
        <v>128</v>
      </c>
      <c r="C60" s="5">
        <v>272304</v>
      </c>
      <c r="D60" s="6"/>
      <c r="E60" s="5" t="s">
        <v>13</v>
      </c>
      <c r="F60" s="5" t="s">
        <v>14</v>
      </c>
      <c r="G60" s="5" t="s">
        <v>13</v>
      </c>
      <c r="H60" s="7" t="s">
        <v>8</v>
      </c>
      <c r="I60" s="7" t="s">
        <v>129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1</v>
      </c>
      <c r="AC60" s="7">
        <v>900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11">
        <v>900</v>
      </c>
      <c r="AV60" s="17">
        <f t="shared" si="0"/>
        <v>900</v>
      </c>
      <c r="AW60" s="18">
        <f t="shared" si="1"/>
        <v>630</v>
      </c>
    </row>
    <row r="61" spans="1:49" ht="19.2" x14ac:dyDescent="0.4">
      <c r="A61" s="5" t="s">
        <v>141</v>
      </c>
      <c r="B61" s="5" t="s">
        <v>123</v>
      </c>
      <c r="C61" s="5">
        <v>408050</v>
      </c>
      <c r="D61" s="6"/>
      <c r="E61" s="5" t="s">
        <v>13</v>
      </c>
      <c r="F61" s="5" t="s">
        <v>15</v>
      </c>
      <c r="G61" s="5" t="s">
        <v>24</v>
      </c>
      <c r="H61" s="7" t="s">
        <v>8</v>
      </c>
      <c r="I61" s="7" t="s">
        <v>124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1</v>
      </c>
      <c r="AF61" s="7">
        <v>0</v>
      </c>
      <c r="AG61" s="7">
        <v>100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11">
        <v>100</v>
      </c>
      <c r="AV61" s="17">
        <f t="shared" si="0"/>
        <v>100</v>
      </c>
      <c r="AW61" s="18">
        <f t="shared" si="1"/>
        <v>70</v>
      </c>
    </row>
    <row r="62" spans="1:49" ht="19.2" x14ac:dyDescent="0.4">
      <c r="A62" s="5" t="s">
        <v>138</v>
      </c>
      <c r="B62" s="5" t="s">
        <v>136</v>
      </c>
      <c r="C62" s="5">
        <v>408056</v>
      </c>
      <c r="D62" s="6"/>
      <c r="E62" s="5" t="s">
        <v>13</v>
      </c>
      <c r="F62" s="5" t="s">
        <v>15</v>
      </c>
      <c r="G62" s="5" t="s">
        <v>24</v>
      </c>
      <c r="H62" s="7" t="s">
        <v>8</v>
      </c>
      <c r="I62" s="7" t="s">
        <v>137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1</v>
      </c>
      <c r="AF62" s="7">
        <v>100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11">
        <v>100</v>
      </c>
      <c r="AV62" s="17">
        <f t="shared" si="0"/>
        <v>100</v>
      </c>
      <c r="AW62" s="18">
        <f t="shared" si="1"/>
        <v>70</v>
      </c>
    </row>
    <row r="63" spans="1:49" x14ac:dyDescent="0.4">
      <c r="A63" s="5" t="s">
        <v>148</v>
      </c>
      <c r="B63" s="5" t="s">
        <v>16</v>
      </c>
      <c r="C63" s="5">
        <v>355332</v>
      </c>
      <c r="D63" s="6"/>
      <c r="E63" s="5" t="s">
        <v>13</v>
      </c>
      <c r="F63" s="5" t="s">
        <v>15</v>
      </c>
      <c r="G63" s="5" t="s">
        <v>13</v>
      </c>
      <c r="H63" s="7" t="s">
        <v>9</v>
      </c>
      <c r="I63" s="7" t="s">
        <v>112</v>
      </c>
      <c r="J63" s="7">
        <v>0</v>
      </c>
      <c r="K63" s="7">
        <v>18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422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8">
        <v>5863</v>
      </c>
      <c r="AF63" s="8">
        <v>558400</v>
      </c>
      <c r="AG63" s="8">
        <v>27900</v>
      </c>
      <c r="AH63" s="7">
        <v>0</v>
      </c>
      <c r="AI63" s="7">
        <v>0</v>
      </c>
      <c r="AJ63" s="7">
        <v>0</v>
      </c>
      <c r="AK63" s="7">
        <v>31</v>
      </c>
      <c r="AL63" s="7">
        <v>0</v>
      </c>
      <c r="AM63" s="8">
        <v>3100</v>
      </c>
      <c r="AN63" s="7">
        <v>0</v>
      </c>
      <c r="AO63" s="7">
        <v>0</v>
      </c>
      <c r="AP63" s="7">
        <v>0</v>
      </c>
      <c r="AQ63" s="7">
        <v>0</v>
      </c>
      <c r="AR63" s="7">
        <v>33</v>
      </c>
      <c r="AS63" s="8">
        <v>2900</v>
      </c>
      <c r="AT63" s="7">
        <v>400</v>
      </c>
      <c r="AU63" s="10">
        <v>592700</v>
      </c>
      <c r="AV63" s="17">
        <f t="shared" si="0"/>
        <v>592700</v>
      </c>
      <c r="AW63" s="18">
        <f t="shared" si="1"/>
        <v>414890</v>
      </c>
    </row>
    <row r="64" spans="1:49" x14ac:dyDescent="0.4">
      <c r="A64" s="5" t="s">
        <v>148</v>
      </c>
      <c r="B64" s="5" t="s">
        <v>22</v>
      </c>
      <c r="C64" s="5">
        <v>159270</v>
      </c>
      <c r="D64" s="6"/>
      <c r="E64" s="5" t="s">
        <v>13</v>
      </c>
      <c r="F64" s="5" t="s">
        <v>18</v>
      </c>
      <c r="G64" s="5" t="s">
        <v>13</v>
      </c>
      <c r="H64" s="7" t="s">
        <v>12</v>
      </c>
      <c r="I64" s="7" t="s">
        <v>21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9</v>
      </c>
      <c r="AF64" s="8">
        <v>28800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11</v>
      </c>
      <c r="AS64" s="8">
        <v>34300</v>
      </c>
      <c r="AT64" s="7">
        <v>900</v>
      </c>
      <c r="AU64" s="10">
        <v>64000</v>
      </c>
      <c r="AV64" s="17">
        <f t="shared" si="0"/>
        <v>64000</v>
      </c>
      <c r="AW64" s="18">
        <f t="shared" si="1"/>
        <v>44800</v>
      </c>
    </row>
    <row r="65" spans="1:49" x14ac:dyDescent="0.4">
      <c r="A65" s="5" t="s">
        <v>148</v>
      </c>
      <c r="B65" s="5" t="s">
        <v>17</v>
      </c>
      <c r="C65" s="5">
        <v>159260</v>
      </c>
      <c r="D65" s="6"/>
      <c r="E65" s="5" t="s">
        <v>13</v>
      </c>
      <c r="F65" s="5" t="s">
        <v>18</v>
      </c>
      <c r="G65" s="5" t="s">
        <v>13</v>
      </c>
      <c r="H65" s="7" t="s">
        <v>8</v>
      </c>
      <c r="I65" s="7" t="s">
        <v>19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16</v>
      </c>
      <c r="AC65" s="8">
        <v>13900</v>
      </c>
      <c r="AD65" s="7">
        <v>0</v>
      </c>
      <c r="AE65" s="7">
        <v>5</v>
      </c>
      <c r="AF65" s="8">
        <v>13500</v>
      </c>
      <c r="AG65" s="7">
        <v>400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4</v>
      </c>
      <c r="AP65" s="8">
        <v>3200</v>
      </c>
      <c r="AQ65" s="7">
        <v>0</v>
      </c>
      <c r="AR65" s="7">
        <v>10</v>
      </c>
      <c r="AS65" s="8">
        <v>30000</v>
      </c>
      <c r="AT65" s="7">
        <v>900</v>
      </c>
      <c r="AU65" s="10">
        <v>61900</v>
      </c>
      <c r="AV65" s="17">
        <f t="shared" si="0"/>
        <v>61900</v>
      </c>
      <c r="AW65" s="18">
        <f t="shared" si="1"/>
        <v>43330</v>
      </c>
    </row>
    <row r="66" spans="1:49" x14ac:dyDescent="0.4">
      <c r="A66" s="5" t="s">
        <v>148</v>
      </c>
      <c r="B66" s="5" t="s">
        <v>20</v>
      </c>
      <c r="C66" s="5">
        <v>161539</v>
      </c>
      <c r="D66" s="6"/>
      <c r="E66" s="5" t="s">
        <v>13</v>
      </c>
      <c r="F66" s="5" t="s">
        <v>18</v>
      </c>
      <c r="G66" s="5" t="s">
        <v>13</v>
      </c>
      <c r="H66" s="7" t="s">
        <v>8</v>
      </c>
      <c r="I66" s="7" t="s">
        <v>21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17</v>
      </c>
      <c r="AC66" s="8">
        <v>15300</v>
      </c>
      <c r="AD66" s="7">
        <v>0</v>
      </c>
      <c r="AE66" s="7">
        <v>12</v>
      </c>
      <c r="AF66" s="8">
        <v>38400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1</v>
      </c>
      <c r="AP66" s="7">
        <v>900</v>
      </c>
      <c r="AQ66" s="7">
        <v>0</v>
      </c>
      <c r="AR66" s="7">
        <v>0</v>
      </c>
      <c r="AS66" s="7">
        <v>0</v>
      </c>
      <c r="AT66" s="7">
        <v>0</v>
      </c>
      <c r="AU66" s="10">
        <v>54600</v>
      </c>
      <c r="AV66" s="17">
        <f t="shared" si="0"/>
        <v>54600</v>
      </c>
      <c r="AW66" s="18">
        <f t="shared" si="1"/>
        <v>38220</v>
      </c>
    </row>
    <row r="67" spans="1:49" x14ac:dyDescent="0.4">
      <c r="A67" s="5" t="s">
        <v>148</v>
      </c>
      <c r="B67" s="5" t="s">
        <v>30</v>
      </c>
      <c r="C67" s="5">
        <v>418829</v>
      </c>
      <c r="D67" s="6"/>
      <c r="E67" s="5" t="s">
        <v>13</v>
      </c>
      <c r="F67" s="5" t="s">
        <v>18</v>
      </c>
      <c r="G67" s="5" t="s">
        <v>13</v>
      </c>
      <c r="H67" s="7" t="s">
        <v>8</v>
      </c>
      <c r="I67" s="7" t="s">
        <v>31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30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108</v>
      </c>
      <c r="AF67" s="7">
        <v>0</v>
      </c>
      <c r="AG67" s="8">
        <v>10800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262</v>
      </c>
      <c r="AS67" s="8">
        <v>25800</v>
      </c>
      <c r="AT67" s="7">
        <v>400</v>
      </c>
      <c r="AU67" s="10">
        <v>37000</v>
      </c>
      <c r="AV67" s="17">
        <f t="shared" ref="AV67:AV123" si="2">AU67-AN67</f>
        <v>37000</v>
      </c>
      <c r="AW67" s="18">
        <f t="shared" ref="AW67:AW123" si="3">AV67*70%</f>
        <v>25900</v>
      </c>
    </row>
    <row r="68" spans="1:49" x14ac:dyDescent="0.4">
      <c r="A68" s="5" t="s">
        <v>148</v>
      </c>
      <c r="B68" s="5" t="s">
        <v>36</v>
      </c>
      <c r="C68" s="5">
        <v>159258</v>
      </c>
      <c r="D68" s="6"/>
      <c r="E68" s="5" t="s">
        <v>13</v>
      </c>
      <c r="F68" s="5" t="s">
        <v>18</v>
      </c>
      <c r="G68" s="5" t="s">
        <v>13</v>
      </c>
      <c r="H68" s="7" t="s">
        <v>8</v>
      </c>
      <c r="I68" s="7" t="s">
        <v>35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11</v>
      </c>
      <c r="AC68" s="8">
        <v>9900</v>
      </c>
      <c r="AD68" s="7">
        <v>0</v>
      </c>
      <c r="AE68" s="7">
        <v>8</v>
      </c>
      <c r="AF68" s="8">
        <v>25600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10">
        <v>35500</v>
      </c>
      <c r="AV68" s="17">
        <f t="shared" si="2"/>
        <v>35500</v>
      </c>
      <c r="AW68" s="18">
        <f t="shared" si="3"/>
        <v>24850</v>
      </c>
    </row>
    <row r="69" spans="1:49" x14ac:dyDescent="0.4">
      <c r="A69" s="5" t="s">
        <v>148</v>
      </c>
      <c r="B69" s="5" t="s">
        <v>34</v>
      </c>
      <c r="C69" s="5">
        <v>159268</v>
      </c>
      <c r="D69" s="6"/>
      <c r="E69" s="5" t="s">
        <v>13</v>
      </c>
      <c r="F69" s="5" t="s">
        <v>18</v>
      </c>
      <c r="G69" s="5" t="s">
        <v>13</v>
      </c>
      <c r="H69" s="7" t="s">
        <v>8</v>
      </c>
      <c r="I69" s="7" t="s">
        <v>35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8</v>
      </c>
      <c r="AF69" s="8">
        <v>23900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3</v>
      </c>
      <c r="AS69" s="8">
        <v>7200</v>
      </c>
      <c r="AT69" s="7">
        <v>900</v>
      </c>
      <c r="AU69" s="10">
        <v>32000</v>
      </c>
      <c r="AV69" s="17">
        <f t="shared" si="2"/>
        <v>32000</v>
      </c>
      <c r="AW69" s="18">
        <f t="shared" si="3"/>
        <v>22400</v>
      </c>
    </row>
    <row r="70" spans="1:49" x14ac:dyDescent="0.4">
      <c r="A70" s="5" t="s">
        <v>148</v>
      </c>
      <c r="B70" s="5" t="s">
        <v>43</v>
      </c>
      <c r="C70" s="5">
        <v>173863</v>
      </c>
      <c r="D70" s="6"/>
      <c r="E70" s="5" t="s">
        <v>13</v>
      </c>
      <c r="F70" s="5" t="s">
        <v>18</v>
      </c>
      <c r="G70" s="5" t="s">
        <v>13</v>
      </c>
      <c r="H70" s="7" t="s">
        <v>8</v>
      </c>
      <c r="I70" s="7" t="s">
        <v>44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22</v>
      </c>
      <c r="AC70" s="8">
        <v>19800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10">
        <v>19800</v>
      </c>
      <c r="AV70" s="17">
        <f t="shared" si="2"/>
        <v>19800</v>
      </c>
      <c r="AW70" s="18">
        <f t="shared" si="3"/>
        <v>13860</v>
      </c>
    </row>
    <row r="71" spans="1:49" x14ac:dyDescent="0.4">
      <c r="A71" s="5" t="s">
        <v>148</v>
      </c>
      <c r="B71" s="5" t="s">
        <v>42</v>
      </c>
      <c r="C71" s="5">
        <v>159266</v>
      </c>
      <c r="D71" s="6"/>
      <c r="E71" s="5" t="s">
        <v>13</v>
      </c>
      <c r="F71" s="5" t="s">
        <v>18</v>
      </c>
      <c r="G71" s="5" t="s">
        <v>13</v>
      </c>
      <c r="H71" s="7" t="s">
        <v>8</v>
      </c>
      <c r="I71" s="7" t="s">
        <v>35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9</v>
      </c>
      <c r="AC71" s="8">
        <v>6300</v>
      </c>
      <c r="AD71" s="8">
        <v>1800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7</v>
      </c>
      <c r="AP71" s="8">
        <v>6300</v>
      </c>
      <c r="AQ71" s="7">
        <v>0</v>
      </c>
      <c r="AR71" s="7">
        <v>0</v>
      </c>
      <c r="AS71" s="7">
        <v>0</v>
      </c>
      <c r="AT71" s="7">
        <v>0</v>
      </c>
      <c r="AU71" s="10">
        <v>14400</v>
      </c>
      <c r="AV71" s="17">
        <f t="shared" si="2"/>
        <v>14400</v>
      </c>
      <c r="AW71" s="18">
        <f t="shared" si="3"/>
        <v>10080</v>
      </c>
    </row>
    <row r="72" spans="1:49" x14ac:dyDescent="0.4">
      <c r="A72" s="5" t="s">
        <v>148</v>
      </c>
      <c r="B72" s="5" t="s">
        <v>28</v>
      </c>
      <c r="C72" s="5">
        <v>161447</v>
      </c>
      <c r="D72" s="6"/>
      <c r="E72" s="5" t="s">
        <v>13</v>
      </c>
      <c r="F72" s="5" t="s">
        <v>15</v>
      </c>
      <c r="G72" s="5" t="s">
        <v>13</v>
      </c>
      <c r="H72" s="7" t="s">
        <v>8</v>
      </c>
      <c r="I72" s="7" t="s">
        <v>29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14</v>
      </c>
      <c r="AP72" s="8">
        <v>12400</v>
      </c>
      <c r="AQ72" s="7">
        <v>200</v>
      </c>
      <c r="AR72" s="7">
        <v>0</v>
      </c>
      <c r="AS72" s="7">
        <v>0</v>
      </c>
      <c r="AT72" s="7">
        <v>0</v>
      </c>
      <c r="AU72" s="10">
        <v>12600</v>
      </c>
      <c r="AV72" s="17">
        <f t="shared" si="2"/>
        <v>12600</v>
      </c>
      <c r="AW72" s="18">
        <f t="shared" si="3"/>
        <v>8820</v>
      </c>
    </row>
    <row r="73" spans="1:49" x14ac:dyDescent="0.4">
      <c r="A73" s="5" t="s">
        <v>148</v>
      </c>
      <c r="B73" s="5" t="s">
        <v>66</v>
      </c>
      <c r="C73" s="5">
        <v>418830</v>
      </c>
      <c r="D73" s="6"/>
      <c r="E73" s="5" t="s">
        <v>13</v>
      </c>
      <c r="F73" s="5" t="s">
        <v>18</v>
      </c>
      <c r="G73" s="5" t="s">
        <v>13</v>
      </c>
      <c r="H73" s="7" t="s">
        <v>8</v>
      </c>
      <c r="I73" s="7" t="s">
        <v>31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4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117</v>
      </c>
      <c r="AF73" s="7">
        <v>0</v>
      </c>
      <c r="AG73" s="8">
        <v>11700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10">
        <v>11700</v>
      </c>
      <c r="AV73" s="17">
        <f t="shared" si="2"/>
        <v>11700</v>
      </c>
      <c r="AW73" s="18">
        <f t="shared" si="3"/>
        <v>8189.9999999999991</v>
      </c>
    </row>
    <row r="74" spans="1:49" x14ac:dyDescent="0.4">
      <c r="A74" s="5" t="s">
        <v>148</v>
      </c>
      <c r="B74" s="5" t="s">
        <v>58</v>
      </c>
      <c r="C74" s="5">
        <v>215737</v>
      </c>
      <c r="D74" s="6"/>
      <c r="E74" s="5" t="s">
        <v>13</v>
      </c>
      <c r="F74" s="5" t="s">
        <v>59</v>
      </c>
      <c r="G74" s="5" t="s">
        <v>13</v>
      </c>
      <c r="H74" s="7" t="s">
        <v>8</v>
      </c>
      <c r="I74" s="7" t="s">
        <v>60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20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117</v>
      </c>
      <c r="AF74" s="8">
        <v>9700</v>
      </c>
      <c r="AG74" s="8">
        <v>2000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10">
        <v>11700</v>
      </c>
      <c r="AV74" s="17">
        <f t="shared" si="2"/>
        <v>11700</v>
      </c>
      <c r="AW74" s="18">
        <f t="shared" si="3"/>
        <v>8189.9999999999991</v>
      </c>
    </row>
    <row r="75" spans="1:49" x14ac:dyDescent="0.4">
      <c r="A75" s="5" t="s">
        <v>148</v>
      </c>
      <c r="B75" s="5" t="s">
        <v>40</v>
      </c>
      <c r="C75" s="5">
        <v>159255</v>
      </c>
      <c r="D75" s="6"/>
      <c r="E75" s="5" t="s">
        <v>13</v>
      </c>
      <c r="F75" s="5" t="s">
        <v>18</v>
      </c>
      <c r="G75" s="5" t="s">
        <v>13</v>
      </c>
      <c r="H75" s="7" t="s">
        <v>9</v>
      </c>
      <c r="I75" s="7" t="s">
        <v>41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10</v>
      </c>
      <c r="AC75" s="8">
        <v>9000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10">
        <v>9000</v>
      </c>
      <c r="AV75" s="17">
        <f t="shared" si="2"/>
        <v>9000</v>
      </c>
      <c r="AW75" s="18">
        <f t="shared" si="3"/>
        <v>6300</v>
      </c>
    </row>
    <row r="76" spans="1:49" x14ac:dyDescent="0.4">
      <c r="A76" s="5" t="s">
        <v>148</v>
      </c>
      <c r="B76" s="5" t="s">
        <v>45</v>
      </c>
      <c r="C76" s="5">
        <v>192737</v>
      </c>
      <c r="D76" s="6"/>
      <c r="E76" s="5" t="s">
        <v>13</v>
      </c>
      <c r="F76" s="5" t="s">
        <v>46</v>
      </c>
      <c r="G76" s="5" t="s">
        <v>13</v>
      </c>
      <c r="H76" s="7" t="s">
        <v>8</v>
      </c>
      <c r="I76" s="7" t="s">
        <v>47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10</v>
      </c>
      <c r="AC76" s="8">
        <v>9000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10">
        <v>9000</v>
      </c>
      <c r="AV76" s="17">
        <f t="shared" si="2"/>
        <v>9000</v>
      </c>
      <c r="AW76" s="18">
        <f t="shared" si="3"/>
        <v>6300</v>
      </c>
    </row>
    <row r="77" spans="1:49" x14ac:dyDescent="0.4">
      <c r="A77" s="5" t="s">
        <v>148</v>
      </c>
      <c r="B77" s="5" t="s">
        <v>118</v>
      </c>
      <c r="C77" s="5">
        <v>238494</v>
      </c>
      <c r="D77" s="6"/>
      <c r="E77" s="5" t="s">
        <v>13</v>
      </c>
      <c r="F77" s="5" t="s">
        <v>46</v>
      </c>
      <c r="G77" s="5" t="s">
        <v>13</v>
      </c>
      <c r="H77" s="7" t="s">
        <v>8</v>
      </c>
      <c r="I77" s="7" t="s">
        <v>119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8</v>
      </c>
      <c r="AC77" s="8">
        <v>7200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10">
        <v>7200</v>
      </c>
      <c r="AV77" s="17">
        <f t="shared" si="2"/>
        <v>7200</v>
      </c>
      <c r="AW77" s="18">
        <f t="shared" si="3"/>
        <v>5040</v>
      </c>
    </row>
    <row r="78" spans="1:49" x14ac:dyDescent="0.4">
      <c r="A78" s="5" t="s">
        <v>148</v>
      </c>
      <c r="B78" s="5" t="s">
        <v>64</v>
      </c>
      <c r="C78" s="5">
        <v>229857</v>
      </c>
      <c r="D78" s="6"/>
      <c r="E78" s="5" t="s">
        <v>13</v>
      </c>
      <c r="F78" s="5" t="s">
        <v>14</v>
      </c>
      <c r="G78" s="5" t="s">
        <v>13</v>
      </c>
      <c r="H78" s="7" t="s">
        <v>12</v>
      </c>
      <c r="I78" s="7" t="s">
        <v>65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8</v>
      </c>
      <c r="AC78" s="8">
        <v>7200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10">
        <v>7200</v>
      </c>
      <c r="AV78" s="17">
        <f t="shared" si="2"/>
        <v>7200</v>
      </c>
      <c r="AW78" s="18">
        <f t="shared" si="3"/>
        <v>5040</v>
      </c>
    </row>
    <row r="79" spans="1:49" x14ac:dyDescent="0.4">
      <c r="A79" s="5" t="s">
        <v>148</v>
      </c>
      <c r="B79" s="5" t="s">
        <v>52</v>
      </c>
      <c r="C79" s="5">
        <v>268655</v>
      </c>
      <c r="D79" s="6"/>
      <c r="E79" s="5" t="s">
        <v>13</v>
      </c>
      <c r="F79" s="5" t="s">
        <v>18</v>
      </c>
      <c r="G79" s="5" t="s">
        <v>13</v>
      </c>
      <c r="H79" s="7" t="s">
        <v>8</v>
      </c>
      <c r="I79" s="7" t="s">
        <v>53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7</v>
      </c>
      <c r="AC79" s="8">
        <v>6300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10">
        <v>6300</v>
      </c>
      <c r="AV79" s="17">
        <f t="shared" si="2"/>
        <v>6300</v>
      </c>
      <c r="AW79" s="18">
        <f t="shared" si="3"/>
        <v>4410</v>
      </c>
    </row>
    <row r="80" spans="1:49" ht="19.2" x14ac:dyDescent="0.4">
      <c r="A80" s="5" t="s">
        <v>148</v>
      </c>
      <c r="B80" s="5" t="s">
        <v>122</v>
      </c>
      <c r="C80" s="5">
        <v>408617</v>
      </c>
      <c r="D80" s="6"/>
      <c r="E80" s="5" t="s">
        <v>13</v>
      </c>
      <c r="F80" s="5" t="s">
        <v>14</v>
      </c>
      <c r="G80" s="5" t="s">
        <v>24</v>
      </c>
      <c r="H80" s="7" t="s">
        <v>12</v>
      </c>
      <c r="I80" s="7" t="s">
        <v>68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62</v>
      </c>
      <c r="AF80" s="8">
        <v>6200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10">
        <v>6200</v>
      </c>
      <c r="AV80" s="17">
        <f t="shared" si="2"/>
        <v>6200</v>
      </c>
      <c r="AW80" s="18">
        <f t="shared" si="3"/>
        <v>4340</v>
      </c>
    </row>
    <row r="81" spans="1:49" ht="19.2" x14ac:dyDescent="0.4">
      <c r="A81" s="5" t="s">
        <v>148</v>
      </c>
      <c r="B81" s="5" t="s">
        <v>109</v>
      </c>
      <c r="C81" s="5">
        <v>408317</v>
      </c>
      <c r="D81" s="6"/>
      <c r="E81" s="5" t="s">
        <v>13</v>
      </c>
      <c r="F81" s="5" t="s">
        <v>46</v>
      </c>
      <c r="G81" s="5" t="s">
        <v>24</v>
      </c>
      <c r="H81" s="7" t="s">
        <v>9</v>
      </c>
      <c r="I81" s="7" t="s">
        <v>68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6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56</v>
      </c>
      <c r="AF81" s="8">
        <v>5600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10">
        <v>5600</v>
      </c>
      <c r="AV81" s="17">
        <f t="shared" si="2"/>
        <v>5600</v>
      </c>
      <c r="AW81" s="18">
        <f t="shared" si="3"/>
        <v>3919.9999999999995</v>
      </c>
    </row>
    <row r="82" spans="1:49" x14ac:dyDescent="0.4">
      <c r="A82" s="5" t="s">
        <v>148</v>
      </c>
      <c r="B82" s="5" t="s">
        <v>87</v>
      </c>
      <c r="C82" s="5">
        <v>285990</v>
      </c>
      <c r="D82" s="6"/>
      <c r="E82" s="5" t="s">
        <v>13</v>
      </c>
      <c r="F82" s="5" t="s">
        <v>14</v>
      </c>
      <c r="G82" s="5" t="s">
        <v>13</v>
      </c>
      <c r="H82" s="7" t="s">
        <v>8</v>
      </c>
      <c r="I82" s="7" t="s">
        <v>72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3</v>
      </c>
      <c r="AC82" s="8">
        <v>2700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10">
        <v>2700</v>
      </c>
      <c r="AV82" s="17">
        <f t="shared" si="2"/>
        <v>2700</v>
      </c>
      <c r="AW82" s="18">
        <f t="shared" si="3"/>
        <v>1889.9999999999998</v>
      </c>
    </row>
    <row r="83" spans="1:49" x14ac:dyDescent="0.4">
      <c r="A83" s="5" t="s">
        <v>148</v>
      </c>
      <c r="B83" s="5" t="s">
        <v>37</v>
      </c>
      <c r="C83" s="5">
        <v>326544</v>
      </c>
      <c r="D83" s="6"/>
      <c r="E83" s="5" t="s">
        <v>13</v>
      </c>
      <c r="F83" s="5" t="s">
        <v>38</v>
      </c>
      <c r="G83" s="5" t="s">
        <v>13</v>
      </c>
      <c r="H83" s="7" t="s">
        <v>8</v>
      </c>
      <c r="I83" s="7" t="s">
        <v>39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12</v>
      </c>
      <c r="AF83" s="8">
        <v>1200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10">
        <v>1200</v>
      </c>
      <c r="AV83" s="17">
        <f t="shared" si="2"/>
        <v>1200</v>
      </c>
      <c r="AW83" s="18">
        <f t="shared" si="3"/>
        <v>840</v>
      </c>
    </row>
    <row r="84" spans="1:49" ht="19.2" x14ac:dyDescent="0.4">
      <c r="A84" s="5" t="s">
        <v>148</v>
      </c>
      <c r="B84" s="5" t="s">
        <v>67</v>
      </c>
      <c r="C84" s="5">
        <v>408054</v>
      </c>
      <c r="D84" s="6"/>
      <c r="E84" s="5" t="s">
        <v>13</v>
      </c>
      <c r="F84" s="5" t="s">
        <v>18</v>
      </c>
      <c r="G84" s="5" t="s">
        <v>24</v>
      </c>
      <c r="H84" s="7" t="s">
        <v>12</v>
      </c>
      <c r="I84" s="7" t="s">
        <v>68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12</v>
      </c>
      <c r="AF84" s="7">
        <v>700</v>
      </c>
      <c r="AG84" s="7">
        <v>500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10">
        <v>1200</v>
      </c>
      <c r="AV84" s="17">
        <f t="shared" si="2"/>
        <v>1200</v>
      </c>
      <c r="AW84" s="18">
        <f t="shared" si="3"/>
        <v>840</v>
      </c>
    </row>
    <row r="85" spans="1:49" x14ac:dyDescent="0.4">
      <c r="A85" s="5" t="s">
        <v>148</v>
      </c>
      <c r="B85" s="5" t="s">
        <v>82</v>
      </c>
      <c r="C85" s="5">
        <v>196917</v>
      </c>
      <c r="D85" s="6"/>
      <c r="E85" s="5" t="s">
        <v>13</v>
      </c>
      <c r="F85" s="5" t="s">
        <v>46</v>
      </c>
      <c r="G85" s="5" t="s">
        <v>13</v>
      </c>
      <c r="H85" s="7" t="s">
        <v>8</v>
      </c>
      <c r="I85" s="7" t="s">
        <v>83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1</v>
      </c>
      <c r="AC85" s="7">
        <v>900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11">
        <v>900</v>
      </c>
      <c r="AV85" s="17">
        <f t="shared" si="2"/>
        <v>900</v>
      </c>
      <c r="AW85" s="18">
        <f t="shared" si="3"/>
        <v>630</v>
      </c>
    </row>
    <row r="86" spans="1:49" ht="19.2" x14ac:dyDescent="0.4">
      <c r="A86" s="5" t="s">
        <v>148</v>
      </c>
      <c r="B86" s="5" t="s">
        <v>92</v>
      </c>
      <c r="C86" s="5">
        <v>406370</v>
      </c>
      <c r="D86" s="6"/>
      <c r="E86" s="5" t="s">
        <v>13</v>
      </c>
      <c r="F86" s="5" t="s">
        <v>46</v>
      </c>
      <c r="G86" s="5" t="s">
        <v>24</v>
      </c>
      <c r="H86" s="7" t="s">
        <v>9</v>
      </c>
      <c r="I86" s="7" t="s">
        <v>78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1</v>
      </c>
      <c r="AP86" s="7">
        <v>900</v>
      </c>
      <c r="AQ86" s="7">
        <v>0</v>
      </c>
      <c r="AR86" s="7">
        <v>0</v>
      </c>
      <c r="AS86" s="7">
        <v>0</v>
      </c>
      <c r="AT86" s="7">
        <v>0</v>
      </c>
      <c r="AU86" s="11">
        <v>900</v>
      </c>
      <c r="AV86" s="17">
        <f t="shared" si="2"/>
        <v>900</v>
      </c>
      <c r="AW86" s="18">
        <f t="shared" si="3"/>
        <v>630</v>
      </c>
    </row>
    <row r="87" spans="1:49" x14ac:dyDescent="0.4">
      <c r="A87" s="5" t="s">
        <v>148</v>
      </c>
      <c r="B87" s="5" t="s">
        <v>63</v>
      </c>
      <c r="C87" s="5">
        <v>192732</v>
      </c>
      <c r="D87" s="6"/>
      <c r="E87" s="5" t="s">
        <v>13</v>
      </c>
      <c r="F87" s="5" t="s">
        <v>46</v>
      </c>
      <c r="G87" s="5" t="s">
        <v>13</v>
      </c>
      <c r="H87" s="7" t="s">
        <v>8</v>
      </c>
      <c r="I87" s="7" t="s">
        <v>47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1</v>
      </c>
      <c r="AC87" s="7">
        <v>700</v>
      </c>
      <c r="AD87" s="7">
        <v>200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11">
        <v>900</v>
      </c>
      <c r="AV87" s="17">
        <f t="shared" si="2"/>
        <v>900</v>
      </c>
      <c r="AW87" s="18">
        <f t="shared" si="3"/>
        <v>630</v>
      </c>
    </row>
    <row r="88" spans="1:49" x14ac:dyDescent="0.4">
      <c r="A88" s="5" t="s">
        <v>148</v>
      </c>
      <c r="B88" s="5" t="s">
        <v>127</v>
      </c>
      <c r="C88" s="5">
        <v>406732</v>
      </c>
      <c r="D88" s="6"/>
      <c r="E88" s="5" t="s">
        <v>13</v>
      </c>
      <c r="F88" s="5" t="s">
        <v>14</v>
      </c>
      <c r="G88" s="5" t="s">
        <v>13</v>
      </c>
      <c r="H88" s="7" t="s">
        <v>8</v>
      </c>
      <c r="I88" s="7" t="s">
        <v>48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6</v>
      </c>
      <c r="AF88" s="7">
        <v>600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11">
        <v>600</v>
      </c>
      <c r="AV88" s="17">
        <f t="shared" si="2"/>
        <v>600</v>
      </c>
      <c r="AW88" s="18">
        <f t="shared" si="3"/>
        <v>420</v>
      </c>
    </row>
    <row r="89" spans="1:49" x14ac:dyDescent="0.4">
      <c r="A89" s="5" t="s">
        <v>148</v>
      </c>
      <c r="B89" s="5" t="s">
        <v>49</v>
      </c>
      <c r="C89" s="5">
        <v>388417</v>
      </c>
      <c r="D89" s="6"/>
      <c r="E89" s="5" t="s">
        <v>13</v>
      </c>
      <c r="F89" s="5" t="s">
        <v>50</v>
      </c>
      <c r="G89" s="5" t="s">
        <v>13</v>
      </c>
      <c r="H89" s="7" t="s">
        <v>8</v>
      </c>
      <c r="I89" s="7" t="s">
        <v>51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2</v>
      </c>
      <c r="AF89" s="7">
        <v>0</v>
      </c>
      <c r="AG89" s="7">
        <v>200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11">
        <v>200</v>
      </c>
      <c r="AV89" s="17">
        <f t="shared" si="2"/>
        <v>200</v>
      </c>
      <c r="AW89" s="18">
        <f t="shared" si="3"/>
        <v>140</v>
      </c>
    </row>
    <row r="90" spans="1:49" x14ac:dyDescent="0.4">
      <c r="A90" s="5" t="s">
        <v>148</v>
      </c>
      <c r="B90" s="5" t="s">
        <v>153</v>
      </c>
      <c r="C90" s="5">
        <v>300910</v>
      </c>
      <c r="D90" s="6"/>
      <c r="E90" s="5" t="s">
        <v>13</v>
      </c>
      <c r="F90" s="5" t="s">
        <v>59</v>
      </c>
      <c r="G90" s="5" t="s">
        <v>13</v>
      </c>
      <c r="H90" s="7" t="s">
        <v>8</v>
      </c>
      <c r="I90" s="7" t="s">
        <v>154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1</v>
      </c>
      <c r="AF90" s="7">
        <v>100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11">
        <v>100</v>
      </c>
      <c r="AV90" s="17">
        <f t="shared" si="2"/>
        <v>100</v>
      </c>
      <c r="AW90" s="18">
        <f t="shared" si="3"/>
        <v>70</v>
      </c>
    </row>
    <row r="91" spans="1:49" x14ac:dyDescent="0.4">
      <c r="A91" s="5" t="s">
        <v>150</v>
      </c>
      <c r="B91" s="5" t="s">
        <v>16</v>
      </c>
      <c r="C91" s="5">
        <v>355332</v>
      </c>
      <c r="D91" s="6"/>
      <c r="E91" s="5" t="s">
        <v>13</v>
      </c>
      <c r="F91" s="5" t="s">
        <v>15</v>
      </c>
      <c r="G91" s="5" t="s">
        <v>13</v>
      </c>
      <c r="H91" s="7" t="s">
        <v>9</v>
      </c>
      <c r="I91" s="7" t="s">
        <v>112</v>
      </c>
      <c r="J91" s="7">
        <v>0</v>
      </c>
      <c r="K91" s="7">
        <v>50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8">
        <v>1207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8">
        <v>9243</v>
      </c>
      <c r="AF91" s="8">
        <v>897600</v>
      </c>
      <c r="AG91" s="8">
        <v>26700</v>
      </c>
      <c r="AH91" s="7">
        <v>0</v>
      </c>
      <c r="AI91" s="7">
        <v>0</v>
      </c>
      <c r="AJ91" s="7">
        <v>0</v>
      </c>
      <c r="AK91" s="8">
        <v>10537</v>
      </c>
      <c r="AL91" s="8">
        <v>1096928</v>
      </c>
      <c r="AM91" s="8">
        <v>138100</v>
      </c>
      <c r="AN91" s="9">
        <v>329078.40000000002</v>
      </c>
      <c r="AO91" s="7">
        <v>0</v>
      </c>
      <c r="AP91" s="7">
        <v>0</v>
      </c>
      <c r="AQ91" s="7">
        <v>0</v>
      </c>
      <c r="AR91" s="8">
        <v>5372</v>
      </c>
      <c r="AS91" s="8">
        <v>528200</v>
      </c>
      <c r="AT91" s="8">
        <v>9000</v>
      </c>
      <c r="AU91" s="10">
        <v>2696528</v>
      </c>
      <c r="AV91" s="17">
        <f t="shared" si="2"/>
        <v>2367449.6</v>
      </c>
      <c r="AW91" s="18">
        <f t="shared" si="3"/>
        <v>1657214.72</v>
      </c>
    </row>
    <row r="92" spans="1:49" x14ac:dyDescent="0.4">
      <c r="A92" s="5" t="s">
        <v>139</v>
      </c>
      <c r="B92" s="5" t="s">
        <v>17</v>
      </c>
      <c r="C92" s="5">
        <v>159260</v>
      </c>
      <c r="D92" s="6"/>
      <c r="E92" s="5" t="s">
        <v>13</v>
      </c>
      <c r="F92" s="5" t="s">
        <v>18</v>
      </c>
      <c r="G92" s="5" t="s">
        <v>13</v>
      </c>
      <c r="H92" s="7" t="s">
        <v>8</v>
      </c>
      <c r="I92" s="7" t="s">
        <v>19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75</v>
      </c>
      <c r="AC92" s="8">
        <v>53600</v>
      </c>
      <c r="AD92" s="8">
        <v>13400</v>
      </c>
      <c r="AE92" s="7">
        <v>28</v>
      </c>
      <c r="AF92" s="8">
        <v>75600</v>
      </c>
      <c r="AG92" s="8">
        <v>13500</v>
      </c>
      <c r="AH92" s="7">
        <v>116</v>
      </c>
      <c r="AI92" s="8">
        <v>120960</v>
      </c>
      <c r="AJ92" s="8">
        <v>3200</v>
      </c>
      <c r="AK92" s="7">
        <v>2</v>
      </c>
      <c r="AL92" s="7">
        <v>0</v>
      </c>
      <c r="AM92" s="7">
        <v>500</v>
      </c>
      <c r="AN92" s="9">
        <v>36288</v>
      </c>
      <c r="AO92" s="7">
        <v>5</v>
      </c>
      <c r="AP92" s="8">
        <v>4500</v>
      </c>
      <c r="AQ92" s="7">
        <v>0</v>
      </c>
      <c r="AR92" s="7">
        <v>0</v>
      </c>
      <c r="AS92" s="7">
        <v>0</v>
      </c>
      <c r="AT92" s="7">
        <v>0</v>
      </c>
      <c r="AU92" s="10">
        <v>285260</v>
      </c>
      <c r="AV92" s="17">
        <f t="shared" si="2"/>
        <v>248972</v>
      </c>
      <c r="AW92" s="18">
        <f t="shared" si="3"/>
        <v>174280.4</v>
      </c>
    </row>
    <row r="93" spans="1:49" x14ac:dyDescent="0.4">
      <c r="A93" s="5" t="s">
        <v>150</v>
      </c>
      <c r="B93" s="5" t="s">
        <v>22</v>
      </c>
      <c r="C93" s="5">
        <v>159270</v>
      </c>
      <c r="D93" s="6"/>
      <c r="E93" s="5" t="s">
        <v>13</v>
      </c>
      <c r="F93" s="5" t="s">
        <v>18</v>
      </c>
      <c r="G93" s="5" t="s">
        <v>13</v>
      </c>
      <c r="H93" s="7" t="s">
        <v>12</v>
      </c>
      <c r="I93" s="7" t="s">
        <v>21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15</v>
      </c>
      <c r="AC93" s="8">
        <v>5100</v>
      </c>
      <c r="AD93" s="8">
        <v>7600</v>
      </c>
      <c r="AE93" s="7">
        <v>21</v>
      </c>
      <c r="AF93" s="8">
        <v>67000</v>
      </c>
      <c r="AG93" s="7">
        <v>0</v>
      </c>
      <c r="AH93" s="7">
        <v>33</v>
      </c>
      <c r="AI93" s="8">
        <v>34800</v>
      </c>
      <c r="AJ93" s="7">
        <v>600</v>
      </c>
      <c r="AK93" s="7">
        <v>1</v>
      </c>
      <c r="AL93" s="7">
        <v>0</v>
      </c>
      <c r="AM93" s="7">
        <v>200</v>
      </c>
      <c r="AN93" s="9">
        <v>10440</v>
      </c>
      <c r="AO93" s="7">
        <v>1</v>
      </c>
      <c r="AP93" s="7">
        <v>900</v>
      </c>
      <c r="AQ93" s="7">
        <v>0</v>
      </c>
      <c r="AR93" s="7">
        <v>0</v>
      </c>
      <c r="AS93" s="7">
        <v>0</v>
      </c>
      <c r="AT93" s="7">
        <v>0</v>
      </c>
      <c r="AU93" s="10">
        <v>116200</v>
      </c>
      <c r="AV93" s="17">
        <f t="shared" si="2"/>
        <v>105760</v>
      </c>
      <c r="AW93" s="18">
        <f t="shared" si="3"/>
        <v>74032</v>
      </c>
    </row>
    <row r="94" spans="1:49" x14ac:dyDescent="0.4">
      <c r="A94" s="5" t="s">
        <v>139</v>
      </c>
      <c r="B94" s="5" t="s">
        <v>20</v>
      </c>
      <c r="C94" s="5">
        <v>161539</v>
      </c>
      <c r="D94" s="6"/>
      <c r="E94" s="5" t="s">
        <v>13</v>
      </c>
      <c r="F94" s="5" t="s">
        <v>18</v>
      </c>
      <c r="G94" s="5" t="s">
        <v>13</v>
      </c>
      <c r="H94" s="7" t="s">
        <v>8</v>
      </c>
      <c r="I94" s="7" t="s">
        <v>21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24</v>
      </c>
      <c r="AC94" s="8">
        <v>19600</v>
      </c>
      <c r="AD94" s="7">
        <v>200</v>
      </c>
      <c r="AE94" s="7">
        <v>6</v>
      </c>
      <c r="AF94" s="8">
        <v>19200</v>
      </c>
      <c r="AG94" s="7">
        <v>0</v>
      </c>
      <c r="AH94" s="7">
        <v>26</v>
      </c>
      <c r="AI94" s="8">
        <v>19720</v>
      </c>
      <c r="AJ94" s="8">
        <v>7200</v>
      </c>
      <c r="AK94" s="7">
        <v>1</v>
      </c>
      <c r="AL94" s="7">
        <v>0</v>
      </c>
      <c r="AM94" s="8">
        <v>3200</v>
      </c>
      <c r="AN94" s="9">
        <v>5916</v>
      </c>
      <c r="AO94" s="7">
        <v>32</v>
      </c>
      <c r="AP94" s="8">
        <v>27300</v>
      </c>
      <c r="AQ94" s="7">
        <v>800</v>
      </c>
      <c r="AR94" s="7">
        <v>0</v>
      </c>
      <c r="AS94" s="7">
        <v>0</v>
      </c>
      <c r="AT94" s="7">
        <v>0</v>
      </c>
      <c r="AU94" s="10">
        <v>97220</v>
      </c>
      <c r="AV94" s="17">
        <f t="shared" si="2"/>
        <v>91304</v>
      </c>
      <c r="AW94" s="18">
        <f t="shared" si="3"/>
        <v>63912.799999999996</v>
      </c>
    </row>
    <row r="95" spans="1:49" x14ac:dyDescent="0.4">
      <c r="A95" s="5" t="s">
        <v>139</v>
      </c>
      <c r="B95" s="5" t="s">
        <v>28</v>
      </c>
      <c r="C95" s="5">
        <v>161447</v>
      </c>
      <c r="D95" s="6"/>
      <c r="E95" s="5" t="s">
        <v>13</v>
      </c>
      <c r="F95" s="5" t="s">
        <v>15</v>
      </c>
      <c r="G95" s="5" t="s">
        <v>13</v>
      </c>
      <c r="H95" s="7" t="s">
        <v>8</v>
      </c>
      <c r="I95" s="7" t="s">
        <v>29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34</v>
      </c>
      <c r="AC95" s="8">
        <v>30600</v>
      </c>
      <c r="AD95" s="7">
        <v>0</v>
      </c>
      <c r="AE95" s="7">
        <v>17</v>
      </c>
      <c r="AF95" s="8">
        <v>54400</v>
      </c>
      <c r="AG95" s="7">
        <v>0</v>
      </c>
      <c r="AH95" s="7">
        <v>2</v>
      </c>
      <c r="AI95" s="8">
        <v>2160</v>
      </c>
      <c r="AJ95" s="7">
        <v>0</v>
      </c>
      <c r="AK95" s="7">
        <v>0</v>
      </c>
      <c r="AL95" s="7">
        <v>0</v>
      </c>
      <c r="AM95" s="7">
        <v>0</v>
      </c>
      <c r="AN95" s="7">
        <v>648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10">
        <v>87160</v>
      </c>
      <c r="AV95" s="17">
        <f t="shared" si="2"/>
        <v>86512</v>
      </c>
      <c r="AW95" s="18">
        <f t="shared" si="3"/>
        <v>60558.399999999994</v>
      </c>
    </row>
    <row r="96" spans="1:49" x14ac:dyDescent="0.4">
      <c r="A96" s="5" t="s">
        <v>139</v>
      </c>
      <c r="B96" s="5" t="s">
        <v>30</v>
      </c>
      <c r="C96" s="5">
        <v>418829</v>
      </c>
      <c r="D96" s="6"/>
      <c r="E96" s="5" t="s">
        <v>13</v>
      </c>
      <c r="F96" s="5" t="s">
        <v>18</v>
      </c>
      <c r="G96" s="5" t="s">
        <v>13</v>
      </c>
      <c r="H96" s="7" t="s">
        <v>8</v>
      </c>
      <c r="I96" s="7" t="s">
        <v>31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46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483</v>
      </c>
      <c r="AF96" s="8">
        <v>48300</v>
      </c>
      <c r="AG96" s="7">
        <v>0</v>
      </c>
      <c r="AH96" s="7">
        <v>0</v>
      </c>
      <c r="AI96" s="7">
        <v>0</v>
      </c>
      <c r="AJ96" s="7">
        <v>0</v>
      </c>
      <c r="AK96" s="7">
        <v>78</v>
      </c>
      <c r="AL96" s="8">
        <v>9120</v>
      </c>
      <c r="AM96" s="7">
        <v>200</v>
      </c>
      <c r="AN96" s="9">
        <v>2736</v>
      </c>
      <c r="AO96" s="7">
        <v>0</v>
      </c>
      <c r="AP96" s="7">
        <v>0</v>
      </c>
      <c r="AQ96" s="7">
        <v>0</v>
      </c>
      <c r="AR96" s="7">
        <v>105</v>
      </c>
      <c r="AS96" s="8">
        <v>10500</v>
      </c>
      <c r="AT96" s="7">
        <v>0</v>
      </c>
      <c r="AU96" s="10">
        <v>68120</v>
      </c>
      <c r="AV96" s="17">
        <f t="shared" si="2"/>
        <v>65384</v>
      </c>
      <c r="AW96" s="18">
        <f t="shared" si="3"/>
        <v>45768.799999999996</v>
      </c>
    </row>
    <row r="97" spans="1:49" x14ac:dyDescent="0.4">
      <c r="A97" s="5" t="s">
        <v>150</v>
      </c>
      <c r="B97" s="5" t="s">
        <v>36</v>
      </c>
      <c r="C97" s="5">
        <v>159258</v>
      </c>
      <c r="D97" s="6"/>
      <c r="E97" s="5" t="s">
        <v>13</v>
      </c>
      <c r="F97" s="5" t="s">
        <v>18</v>
      </c>
      <c r="G97" s="5" t="s">
        <v>13</v>
      </c>
      <c r="H97" s="7" t="s">
        <v>8</v>
      </c>
      <c r="I97" s="7" t="s">
        <v>35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3</v>
      </c>
      <c r="AC97" s="8">
        <v>2700</v>
      </c>
      <c r="AD97" s="7">
        <v>0</v>
      </c>
      <c r="AE97" s="7">
        <v>12</v>
      </c>
      <c r="AF97" s="8">
        <v>35200</v>
      </c>
      <c r="AG97" s="7">
        <v>300</v>
      </c>
      <c r="AH97" s="7">
        <v>11</v>
      </c>
      <c r="AI97" s="8">
        <v>11880</v>
      </c>
      <c r="AJ97" s="7">
        <v>0</v>
      </c>
      <c r="AK97" s="7">
        <v>4</v>
      </c>
      <c r="AL97" s="8">
        <v>7320</v>
      </c>
      <c r="AM97" s="8">
        <v>6400</v>
      </c>
      <c r="AN97" s="9">
        <v>5760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10">
        <v>63800</v>
      </c>
      <c r="AV97" s="17">
        <f t="shared" si="2"/>
        <v>58040</v>
      </c>
      <c r="AW97" s="18">
        <f t="shared" si="3"/>
        <v>40628</v>
      </c>
    </row>
    <row r="98" spans="1:49" x14ac:dyDescent="0.4">
      <c r="A98" s="5" t="s">
        <v>150</v>
      </c>
      <c r="B98" s="5" t="s">
        <v>40</v>
      </c>
      <c r="C98" s="5">
        <v>159255</v>
      </c>
      <c r="D98" s="6"/>
      <c r="E98" s="5" t="s">
        <v>13</v>
      </c>
      <c r="F98" s="5" t="s">
        <v>18</v>
      </c>
      <c r="G98" s="5" t="s">
        <v>13</v>
      </c>
      <c r="H98" s="7" t="s">
        <v>9</v>
      </c>
      <c r="I98" s="7" t="s">
        <v>41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12</v>
      </c>
      <c r="AC98" s="8">
        <v>7200</v>
      </c>
      <c r="AD98" s="8">
        <v>3100</v>
      </c>
      <c r="AE98" s="7">
        <v>11</v>
      </c>
      <c r="AF98" s="8">
        <v>35200</v>
      </c>
      <c r="AG98" s="7">
        <v>0</v>
      </c>
      <c r="AH98" s="7">
        <v>6</v>
      </c>
      <c r="AI98" s="8">
        <v>6000</v>
      </c>
      <c r="AJ98" s="7">
        <v>0</v>
      </c>
      <c r="AK98" s="7">
        <v>1</v>
      </c>
      <c r="AL98" s="8">
        <v>3840</v>
      </c>
      <c r="AM98" s="7">
        <v>0</v>
      </c>
      <c r="AN98" s="9">
        <v>2952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10">
        <v>55340</v>
      </c>
      <c r="AV98" s="17">
        <f t="shared" si="2"/>
        <v>52388</v>
      </c>
      <c r="AW98" s="18">
        <f t="shared" si="3"/>
        <v>36671.599999999999</v>
      </c>
    </row>
    <row r="99" spans="1:49" x14ac:dyDescent="0.4">
      <c r="A99" s="5" t="s">
        <v>139</v>
      </c>
      <c r="B99" s="5" t="s">
        <v>34</v>
      </c>
      <c r="C99" s="5">
        <v>159268</v>
      </c>
      <c r="D99" s="6"/>
      <c r="E99" s="5" t="s">
        <v>13</v>
      </c>
      <c r="F99" s="5" t="s">
        <v>18</v>
      </c>
      <c r="G99" s="5" t="s">
        <v>13</v>
      </c>
      <c r="H99" s="7" t="s">
        <v>8</v>
      </c>
      <c r="I99" s="7" t="s">
        <v>35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11</v>
      </c>
      <c r="AF99" s="8">
        <v>32000</v>
      </c>
      <c r="AG99" s="8">
        <v>3200</v>
      </c>
      <c r="AH99" s="7">
        <v>20</v>
      </c>
      <c r="AI99" s="8">
        <v>10800</v>
      </c>
      <c r="AJ99" s="8">
        <v>9000</v>
      </c>
      <c r="AK99" s="7">
        <v>0</v>
      </c>
      <c r="AL99" s="7">
        <v>0</v>
      </c>
      <c r="AM99" s="7">
        <v>0</v>
      </c>
      <c r="AN99" s="9">
        <v>3240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10">
        <v>55000</v>
      </c>
      <c r="AV99" s="17">
        <f t="shared" si="2"/>
        <v>51760</v>
      </c>
      <c r="AW99" s="18">
        <f t="shared" si="3"/>
        <v>36232</v>
      </c>
    </row>
    <row r="100" spans="1:49" x14ac:dyDescent="0.4">
      <c r="A100" s="5" t="s">
        <v>150</v>
      </c>
      <c r="B100" s="5" t="s">
        <v>43</v>
      </c>
      <c r="C100" s="5">
        <v>173863</v>
      </c>
      <c r="D100" s="6"/>
      <c r="E100" s="5" t="s">
        <v>13</v>
      </c>
      <c r="F100" s="5" t="s">
        <v>18</v>
      </c>
      <c r="G100" s="5" t="s">
        <v>13</v>
      </c>
      <c r="H100" s="7" t="s">
        <v>8</v>
      </c>
      <c r="I100" s="7" t="s">
        <v>44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15</v>
      </c>
      <c r="AC100" s="8">
        <v>13500</v>
      </c>
      <c r="AD100" s="7">
        <v>0</v>
      </c>
      <c r="AE100" s="7">
        <v>0</v>
      </c>
      <c r="AF100" s="7">
        <v>0</v>
      </c>
      <c r="AG100" s="7">
        <v>0</v>
      </c>
      <c r="AH100" s="7">
        <v>14</v>
      </c>
      <c r="AI100" s="8">
        <v>7560</v>
      </c>
      <c r="AJ100" s="8">
        <v>6300</v>
      </c>
      <c r="AK100" s="7">
        <v>0</v>
      </c>
      <c r="AL100" s="7">
        <v>0</v>
      </c>
      <c r="AM100" s="7">
        <v>0</v>
      </c>
      <c r="AN100" s="9">
        <v>2268</v>
      </c>
      <c r="AO100" s="7">
        <v>13</v>
      </c>
      <c r="AP100" s="8">
        <v>11500</v>
      </c>
      <c r="AQ100" s="7">
        <v>200</v>
      </c>
      <c r="AR100" s="7">
        <v>0</v>
      </c>
      <c r="AS100" s="7">
        <v>0</v>
      </c>
      <c r="AT100" s="7">
        <v>0</v>
      </c>
      <c r="AU100" s="10">
        <v>39060</v>
      </c>
      <c r="AV100" s="17">
        <f t="shared" si="2"/>
        <v>36792</v>
      </c>
      <c r="AW100" s="18">
        <f t="shared" si="3"/>
        <v>25754.399999999998</v>
      </c>
    </row>
    <row r="101" spans="1:49" x14ac:dyDescent="0.4">
      <c r="A101" s="5" t="s">
        <v>139</v>
      </c>
      <c r="B101" s="5" t="s">
        <v>26</v>
      </c>
      <c r="C101" s="5">
        <v>165741</v>
      </c>
      <c r="D101" s="6"/>
      <c r="E101" s="5" t="s">
        <v>13</v>
      </c>
      <c r="F101" s="5" t="s">
        <v>15</v>
      </c>
      <c r="G101" s="5" t="s">
        <v>13</v>
      </c>
      <c r="H101" s="7" t="s">
        <v>8</v>
      </c>
      <c r="I101" s="7" t="s">
        <v>27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29</v>
      </c>
      <c r="AI101" s="8">
        <v>31320</v>
      </c>
      <c r="AJ101" s="7">
        <v>0</v>
      </c>
      <c r="AK101" s="7">
        <v>0</v>
      </c>
      <c r="AL101" s="7">
        <v>0</v>
      </c>
      <c r="AM101" s="7">
        <v>0</v>
      </c>
      <c r="AN101" s="9">
        <v>9396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10">
        <v>31320</v>
      </c>
      <c r="AV101" s="17">
        <f t="shared" si="2"/>
        <v>21924</v>
      </c>
      <c r="AW101" s="18">
        <f t="shared" si="3"/>
        <v>15346.8</v>
      </c>
    </row>
    <row r="102" spans="1:49" ht="19.2" x14ac:dyDescent="0.4">
      <c r="A102" s="5" t="s">
        <v>150</v>
      </c>
      <c r="B102" s="5" t="s">
        <v>67</v>
      </c>
      <c r="C102" s="5">
        <v>408054</v>
      </c>
      <c r="D102" s="6"/>
      <c r="E102" s="5" t="s">
        <v>13</v>
      </c>
      <c r="F102" s="5" t="s">
        <v>18</v>
      </c>
      <c r="G102" s="5" t="s">
        <v>24</v>
      </c>
      <c r="H102" s="7" t="s">
        <v>12</v>
      </c>
      <c r="I102" s="7" t="s">
        <v>68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25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250</v>
      </c>
      <c r="AF102" s="8">
        <v>25000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10">
        <v>25000</v>
      </c>
      <c r="AV102" s="17">
        <f t="shared" si="2"/>
        <v>25000</v>
      </c>
      <c r="AW102" s="18">
        <f t="shared" si="3"/>
        <v>17500</v>
      </c>
    </row>
    <row r="103" spans="1:49" x14ac:dyDescent="0.4">
      <c r="A103" s="5" t="s">
        <v>150</v>
      </c>
      <c r="B103" s="5" t="s">
        <v>66</v>
      </c>
      <c r="C103" s="5">
        <v>418830</v>
      </c>
      <c r="D103" s="6"/>
      <c r="E103" s="5" t="s">
        <v>13</v>
      </c>
      <c r="F103" s="5" t="s">
        <v>18</v>
      </c>
      <c r="G103" s="5" t="s">
        <v>13</v>
      </c>
      <c r="H103" s="7" t="s">
        <v>8</v>
      </c>
      <c r="I103" s="7" t="s">
        <v>31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22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227</v>
      </c>
      <c r="AF103" s="8">
        <v>22700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10">
        <v>22700</v>
      </c>
      <c r="AV103" s="17">
        <f t="shared" si="2"/>
        <v>22700</v>
      </c>
      <c r="AW103" s="18">
        <f t="shared" si="3"/>
        <v>15889.999999999998</v>
      </c>
    </row>
    <row r="104" spans="1:49" x14ac:dyDescent="0.4">
      <c r="A104" s="5" t="s">
        <v>139</v>
      </c>
      <c r="B104" s="5" t="s">
        <v>52</v>
      </c>
      <c r="C104" s="5">
        <v>268655</v>
      </c>
      <c r="D104" s="6"/>
      <c r="E104" s="5" t="s">
        <v>13</v>
      </c>
      <c r="F104" s="5" t="s">
        <v>18</v>
      </c>
      <c r="G104" s="5" t="s">
        <v>13</v>
      </c>
      <c r="H104" s="7" t="s">
        <v>8</v>
      </c>
      <c r="I104" s="7" t="s">
        <v>53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12</v>
      </c>
      <c r="AC104" s="8">
        <v>10800</v>
      </c>
      <c r="AD104" s="7">
        <v>0</v>
      </c>
      <c r="AE104" s="7">
        <v>0</v>
      </c>
      <c r="AF104" s="7">
        <v>0</v>
      </c>
      <c r="AG104" s="7">
        <v>0</v>
      </c>
      <c r="AH104" s="7">
        <v>10</v>
      </c>
      <c r="AI104" s="8">
        <v>10800</v>
      </c>
      <c r="AJ104" s="7">
        <v>0</v>
      </c>
      <c r="AK104" s="7">
        <v>0</v>
      </c>
      <c r="AL104" s="7">
        <v>0</v>
      </c>
      <c r="AM104" s="7">
        <v>0</v>
      </c>
      <c r="AN104" s="9">
        <v>3240</v>
      </c>
      <c r="AO104" s="7">
        <v>1</v>
      </c>
      <c r="AP104" s="7">
        <v>900</v>
      </c>
      <c r="AQ104" s="7">
        <v>0</v>
      </c>
      <c r="AR104" s="7">
        <v>0</v>
      </c>
      <c r="AS104" s="7">
        <v>0</v>
      </c>
      <c r="AT104" s="7">
        <v>0</v>
      </c>
      <c r="AU104" s="10">
        <v>22500</v>
      </c>
      <c r="AV104" s="17">
        <f t="shared" si="2"/>
        <v>19260</v>
      </c>
      <c r="AW104" s="18">
        <f t="shared" si="3"/>
        <v>13482</v>
      </c>
    </row>
    <row r="105" spans="1:49" x14ac:dyDescent="0.4">
      <c r="A105" s="5" t="s">
        <v>150</v>
      </c>
      <c r="B105" s="5" t="s">
        <v>45</v>
      </c>
      <c r="C105" s="5">
        <v>192737</v>
      </c>
      <c r="D105" s="6"/>
      <c r="E105" s="5" t="s">
        <v>13</v>
      </c>
      <c r="F105" s="5" t="s">
        <v>46</v>
      </c>
      <c r="G105" s="5" t="s">
        <v>13</v>
      </c>
      <c r="H105" s="7" t="s">
        <v>8</v>
      </c>
      <c r="I105" s="7" t="s">
        <v>47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6</v>
      </c>
      <c r="AF105" s="8">
        <v>19200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3</v>
      </c>
      <c r="AP105" s="8">
        <v>2700</v>
      </c>
      <c r="AQ105" s="7">
        <v>0</v>
      </c>
      <c r="AR105" s="7">
        <v>0</v>
      </c>
      <c r="AS105" s="7">
        <v>0</v>
      </c>
      <c r="AT105" s="7">
        <v>0</v>
      </c>
      <c r="AU105" s="10">
        <v>21900</v>
      </c>
      <c r="AV105" s="17">
        <f t="shared" si="2"/>
        <v>21900</v>
      </c>
      <c r="AW105" s="18">
        <f t="shared" si="3"/>
        <v>15329.999999999998</v>
      </c>
    </row>
    <row r="106" spans="1:49" x14ac:dyDescent="0.4">
      <c r="A106" s="5" t="s">
        <v>139</v>
      </c>
      <c r="B106" s="5" t="s">
        <v>54</v>
      </c>
      <c r="C106" s="5">
        <v>159483</v>
      </c>
      <c r="D106" s="6"/>
      <c r="E106" s="5" t="s">
        <v>13</v>
      </c>
      <c r="F106" s="5" t="s">
        <v>15</v>
      </c>
      <c r="G106" s="5" t="s">
        <v>13</v>
      </c>
      <c r="H106" s="7" t="s">
        <v>8</v>
      </c>
      <c r="I106" s="7" t="s">
        <v>55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24</v>
      </c>
      <c r="AC106" s="8">
        <v>17800</v>
      </c>
      <c r="AD106" s="8">
        <v>3200</v>
      </c>
      <c r="AE106" s="7">
        <v>0</v>
      </c>
      <c r="AF106" s="7">
        <v>0</v>
      </c>
      <c r="AG106" s="7">
        <v>0</v>
      </c>
      <c r="AH106" s="7">
        <v>2</v>
      </c>
      <c r="AI106" s="7">
        <v>480</v>
      </c>
      <c r="AJ106" s="7">
        <v>200</v>
      </c>
      <c r="AK106" s="7">
        <v>0</v>
      </c>
      <c r="AL106" s="7">
        <v>0</v>
      </c>
      <c r="AM106" s="7">
        <v>0</v>
      </c>
      <c r="AN106" s="7">
        <v>144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10">
        <v>21680</v>
      </c>
      <c r="AV106" s="17">
        <f t="shared" si="2"/>
        <v>21536</v>
      </c>
      <c r="AW106" s="18">
        <f t="shared" si="3"/>
        <v>15075.199999999999</v>
      </c>
    </row>
    <row r="107" spans="1:49" ht="19.2" x14ac:dyDescent="0.4">
      <c r="A107" s="5" t="s">
        <v>139</v>
      </c>
      <c r="B107" s="5" t="s">
        <v>23</v>
      </c>
      <c r="C107" s="5">
        <v>409392</v>
      </c>
      <c r="D107" s="6"/>
      <c r="E107" s="5" t="s">
        <v>13</v>
      </c>
      <c r="F107" s="5" t="s">
        <v>15</v>
      </c>
      <c r="G107" s="5" t="s">
        <v>24</v>
      </c>
      <c r="H107" s="7" t="s">
        <v>8</v>
      </c>
      <c r="I107" s="7" t="s">
        <v>25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10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2</v>
      </c>
      <c r="AF107" s="7">
        <v>200</v>
      </c>
      <c r="AG107" s="7">
        <v>0</v>
      </c>
      <c r="AH107" s="7">
        <v>0</v>
      </c>
      <c r="AI107" s="7">
        <v>0</v>
      </c>
      <c r="AJ107" s="7">
        <v>0</v>
      </c>
      <c r="AK107" s="7">
        <v>38</v>
      </c>
      <c r="AL107" s="7">
        <v>0</v>
      </c>
      <c r="AM107" s="8">
        <v>3800</v>
      </c>
      <c r="AN107" s="7">
        <v>0</v>
      </c>
      <c r="AO107" s="7">
        <v>0</v>
      </c>
      <c r="AP107" s="7">
        <v>0</v>
      </c>
      <c r="AQ107" s="7">
        <v>0</v>
      </c>
      <c r="AR107" s="7">
        <v>134</v>
      </c>
      <c r="AS107" s="8">
        <v>13100</v>
      </c>
      <c r="AT107" s="7">
        <v>300</v>
      </c>
      <c r="AU107" s="10">
        <v>17400</v>
      </c>
      <c r="AV107" s="17">
        <f t="shared" si="2"/>
        <v>17400</v>
      </c>
      <c r="AW107" s="18">
        <f t="shared" si="3"/>
        <v>12180</v>
      </c>
    </row>
    <row r="108" spans="1:49" x14ac:dyDescent="0.4">
      <c r="A108" s="5" t="s">
        <v>139</v>
      </c>
      <c r="B108" s="5" t="s">
        <v>42</v>
      </c>
      <c r="C108" s="5">
        <v>159266</v>
      </c>
      <c r="D108" s="6"/>
      <c r="E108" s="5" t="s">
        <v>13</v>
      </c>
      <c r="F108" s="5" t="s">
        <v>18</v>
      </c>
      <c r="G108" s="5" t="s">
        <v>13</v>
      </c>
      <c r="H108" s="7" t="s">
        <v>8</v>
      </c>
      <c r="I108" s="7" t="s">
        <v>35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1</v>
      </c>
      <c r="AC108" s="7">
        <v>0</v>
      </c>
      <c r="AD108" s="7">
        <v>900</v>
      </c>
      <c r="AE108" s="7">
        <v>0</v>
      </c>
      <c r="AF108" s="7">
        <v>0</v>
      </c>
      <c r="AG108" s="7">
        <v>0</v>
      </c>
      <c r="AH108" s="7">
        <v>3</v>
      </c>
      <c r="AI108" s="8">
        <v>3240</v>
      </c>
      <c r="AJ108" s="7">
        <v>0</v>
      </c>
      <c r="AK108" s="7">
        <v>3</v>
      </c>
      <c r="AL108" s="8">
        <v>11520</v>
      </c>
      <c r="AM108" s="7">
        <v>0</v>
      </c>
      <c r="AN108" s="9">
        <v>4428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10">
        <v>15660</v>
      </c>
      <c r="AV108" s="17">
        <f t="shared" si="2"/>
        <v>11232</v>
      </c>
      <c r="AW108" s="18">
        <f t="shared" si="3"/>
        <v>7862.4</v>
      </c>
    </row>
    <row r="109" spans="1:49" x14ac:dyDescent="0.4">
      <c r="A109" s="5" t="s">
        <v>139</v>
      </c>
      <c r="B109" s="5" t="s">
        <v>37</v>
      </c>
      <c r="C109" s="5">
        <v>326544</v>
      </c>
      <c r="D109" s="6"/>
      <c r="E109" s="5" t="s">
        <v>13</v>
      </c>
      <c r="F109" s="5" t="s">
        <v>38</v>
      </c>
      <c r="G109" s="5" t="s">
        <v>13</v>
      </c>
      <c r="H109" s="7" t="s">
        <v>8</v>
      </c>
      <c r="I109" s="7" t="s">
        <v>39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114</v>
      </c>
      <c r="AF109" s="8">
        <v>11400</v>
      </c>
      <c r="AG109" s="7">
        <v>0</v>
      </c>
      <c r="AH109" s="7">
        <v>0</v>
      </c>
      <c r="AI109" s="7">
        <v>0</v>
      </c>
      <c r="AJ109" s="7">
        <v>0</v>
      </c>
      <c r="AK109" s="7">
        <v>30</v>
      </c>
      <c r="AL109" s="8">
        <v>3600</v>
      </c>
      <c r="AM109" s="7">
        <v>0</v>
      </c>
      <c r="AN109" s="9">
        <v>1080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10">
        <v>15000</v>
      </c>
      <c r="AV109" s="17">
        <f t="shared" si="2"/>
        <v>13920</v>
      </c>
      <c r="AW109" s="18">
        <f t="shared" si="3"/>
        <v>9744</v>
      </c>
    </row>
    <row r="110" spans="1:49" x14ac:dyDescent="0.4">
      <c r="A110" s="5" t="s">
        <v>139</v>
      </c>
      <c r="B110" s="5" t="s">
        <v>113</v>
      </c>
      <c r="C110" s="5">
        <v>174583</v>
      </c>
      <c r="D110" s="6"/>
      <c r="E110" s="5" t="s">
        <v>13</v>
      </c>
      <c r="F110" s="5" t="s">
        <v>15</v>
      </c>
      <c r="G110" s="5" t="s">
        <v>13</v>
      </c>
      <c r="H110" s="7" t="s">
        <v>8</v>
      </c>
      <c r="I110" s="7" t="s">
        <v>114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6</v>
      </c>
      <c r="AC110" s="7">
        <v>0</v>
      </c>
      <c r="AD110" s="8">
        <v>4900</v>
      </c>
      <c r="AE110" s="7">
        <v>0</v>
      </c>
      <c r="AF110" s="7">
        <v>0</v>
      </c>
      <c r="AG110" s="7">
        <v>0</v>
      </c>
      <c r="AH110" s="7">
        <v>1</v>
      </c>
      <c r="AI110" s="7">
        <v>0</v>
      </c>
      <c r="AJ110" s="7">
        <v>200</v>
      </c>
      <c r="AK110" s="7">
        <v>0</v>
      </c>
      <c r="AL110" s="7">
        <v>0</v>
      </c>
      <c r="AM110" s="7">
        <v>0</v>
      </c>
      <c r="AN110" s="7">
        <v>0</v>
      </c>
      <c r="AO110" s="7">
        <v>10</v>
      </c>
      <c r="AP110" s="8">
        <v>8400</v>
      </c>
      <c r="AQ110" s="7">
        <v>0</v>
      </c>
      <c r="AR110" s="7">
        <v>0</v>
      </c>
      <c r="AS110" s="7">
        <v>0</v>
      </c>
      <c r="AT110" s="7">
        <v>0</v>
      </c>
      <c r="AU110" s="10">
        <v>13500</v>
      </c>
      <c r="AV110" s="17">
        <f t="shared" si="2"/>
        <v>13500</v>
      </c>
      <c r="AW110" s="18">
        <f t="shared" si="3"/>
        <v>9450</v>
      </c>
    </row>
    <row r="111" spans="1:49" ht="19.2" x14ac:dyDescent="0.4">
      <c r="A111" s="5" t="s">
        <v>139</v>
      </c>
      <c r="B111" s="5" t="s">
        <v>75</v>
      </c>
      <c r="C111" s="5">
        <v>413545</v>
      </c>
      <c r="D111" s="6"/>
      <c r="E111" s="5" t="s">
        <v>13</v>
      </c>
      <c r="F111" s="5" t="s">
        <v>18</v>
      </c>
      <c r="G111" s="5" t="s">
        <v>24</v>
      </c>
      <c r="H111" s="7" t="s">
        <v>9</v>
      </c>
      <c r="I111" s="7" t="s">
        <v>76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10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35</v>
      </c>
      <c r="AL111" s="8">
        <v>3960</v>
      </c>
      <c r="AM111" s="7">
        <v>200</v>
      </c>
      <c r="AN111" s="9">
        <v>1188</v>
      </c>
      <c r="AO111" s="7">
        <v>0</v>
      </c>
      <c r="AP111" s="7">
        <v>0</v>
      </c>
      <c r="AQ111" s="7">
        <v>0</v>
      </c>
      <c r="AR111" s="7">
        <v>82</v>
      </c>
      <c r="AS111" s="8">
        <v>8200</v>
      </c>
      <c r="AT111" s="7">
        <v>0</v>
      </c>
      <c r="AU111" s="10">
        <v>12360</v>
      </c>
      <c r="AV111" s="17">
        <f t="shared" si="2"/>
        <v>11172</v>
      </c>
      <c r="AW111" s="18">
        <f t="shared" si="3"/>
        <v>7820.4</v>
      </c>
    </row>
    <row r="112" spans="1:49" x14ac:dyDescent="0.4">
      <c r="A112" s="5" t="s">
        <v>139</v>
      </c>
      <c r="B112" s="5" t="s">
        <v>64</v>
      </c>
      <c r="C112" s="5">
        <v>229857</v>
      </c>
      <c r="D112" s="6"/>
      <c r="E112" s="5" t="s">
        <v>13</v>
      </c>
      <c r="F112" s="5" t="s">
        <v>14</v>
      </c>
      <c r="G112" s="5" t="s">
        <v>13</v>
      </c>
      <c r="H112" s="7" t="s">
        <v>12</v>
      </c>
      <c r="I112" s="7" t="s">
        <v>65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5</v>
      </c>
      <c r="AC112" s="8">
        <v>4500</v>
      </c>
      <c r="AD112" s="7">
        <v>0</v>
      </c>
      <c r="AE112" s="7">
        <v>2</v>
      </c>
      <c r="AF112" s="8">
        <v>6400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10">
        <v>10900</v>
      </c>
      <c r="AV112" s="17">
        <f t="shared" si="2"/>
        <v>10900</v>
      </c>
      <c r="AW112" s="18">
        <f t="shared" si="3"/>
        <v>7629.9999999999991</v>
      </c>
    </row>
    <row r="113" spans="1:49" x14ac:dyDescent="0.4">
      <c r="A113" s="5" t="s">
        <v>149</v>
      </c>
      <c r="B113" s="5" t="s">
        <v>61</v>
      </c>
      <c r="C113" s="5">
        <v>99966</v>
      </c>
      <c r="D113" s="6"/>
      <c r="E113" s="5" t="s">
        <v>13</v>
      </c>
      <c r="F113" s="5" t="s">
        <v>18</v>
      </c>
      <c r="G113" s="5" t="s">
        <v>13</v>
      </c>
      <c r="H113" s="7" t="s">
        <v>12</v>
      </c>
      <c r="I113" s="7" t="s">
        <v>62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89</v>
      </c>
      <c r="AF113" s="8">
        <v>8900</v>
      </c>
      <c r="AG113" s="7">
        <v>0</v>
      </c>
      <c r="AH113" s="7">
        <v>0</v>
      </c>
      <c r="AI113" s="7">
        <v>0</v>
      </c>
      <c r="AJ113" s="7">
        <v>0</v>
      </c>
      <c r="AK113" s="7">
        <v>4</v>
      </c>
      <c r="AL113" s="7">
        <v>0</v>
      </c>
      <c r="AM113" s="7">
        <v>400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10">
        <v>9300</v>
      </c>
      <c r="AV113" s="17">
        <f t="shared" si="2"/>
        <v>9300</v>
      </c>
      <c r="AW113" s="18">
        <f t="shared" si="3"/>
        <v>6510</v>
      </c>
    </row>
    <row r="114" spans="1:49" x14ac:dyDescent="0.4">
      <c r="A114" s="5" t="s">
        <v>150</v>
      </c>
      <c r="B114" s="5" t="s">
        <v>79</v>
      </c>
      <c r="C114" s="5">
        <v>227013</v>
      </c>
      <c r="D114" s="6"/>
      <c r="E114" s="5" t="s">
        <v>13</v>
      </c>
      <c r="F114" s="5" t="s">
        <v>15</v>
      </c>
      <c r="G114" s="5" t="s">
        <v>13</v>
      </c>
      <c r="H114" s="7" t="s">
        <v>8</v>
      </c>
      <c r="I114" s="7" t="s">
        <v>80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5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50</v>
      </c>
      <c r="AF114" s="8">
        <v>5000</v>
      </c>
      <c r="AG114" s="7">
        <v>0</v>
      </c>
      <c r="AH114" s="7">
        <v>0</v>
      </c>
      <c r="AI114" s="7">
        <v>0</v>
      </c>
      <c r="AJ114" s="7">
        <v>0</v>
      </c>
      <c r="AK114" s="7">
        <v>39</v>
      </c>
      <c r="AL114" s="7">
        <v>0</v>
      </c>
      <c r="AM114" s="8">
        <v>3900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10">
        <v>8900</v>
      </c>
      <c r="AV114" s="17">
        <f t="shared" si="2"/>
        <v>8900</v>
      </c>
      <c r="AW114" s="18">
        <f t="shared" si="3"/>
        <v>6230</v>
      </c>
    </row>
    <row r="115" spans="1:49" x14ac:dyDescent="0.4">
      <c r="A115" s="5" t="s">
        <v>150</v>
      </c>
      <c r="B115" s="5" t="s">
        <v>73</v>
      </c>
      <c r="C115" s="5">
        <v>183137</v>
      </c>
      <c r="D115" s="6"/>
      <c r="E115" s="5" t="s">
        <v>13</v>
      </c>
      <c r="F115" s="5" t="s">
        <v>15</v>
      </c>
      <c r="G115" s="5" t="s">
        <v>13</v>
      </c>
      <c r="H115" s="7" t="s">
        <v>8</v>
      </c>
      <c r="I115" s="7" t="s">
        <v>74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8</v>
      </c>
      <c r="AI115" s="8">
        <v>8640</v>
      </c>
      <c r="AJ115" s="7">
        <v>0</v>
      </c>
      <c r="AK115" s="7">
        <v>0</v>
      </c>
      <c r="AL115" s="7">
        <v>0</v>
      </c>
      <c r="AM115" s="7">
        <v>0</v>
      </c>
      <c r="AN115" s="9">
        <v>2592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10">
        <v>8640</v>
      </c>
      <c r="AV115" s="17">
        <f t="shared" si="2"/>
        <v>6048</v>
      </c>
      <c r="AW115" s="18">
        <f t="shared" si="3"/>
        <v>4233.5999999999995</v>
      </c>
    </row>
    <row r="116" spans="1:49" x14ac:dyDescent="0.4">
      <c r="A116" s="5" t="s">
        <v>139</v>
      </c>
      <c r="B116" s="5" t="s">
        <v>69</v>
      </c>
      <c r="C116" s="5">
        <v>192729</v>
      </c>
      <c r="D116" s="6"/>
      <c r="E116" s="5" t="s">
        <v>13</v>
      </c>
      <c r="F116" s="5" t="s">
        <v>46</v>
      </c>
      <c r="G116" s="5" t="s">
        <v>13</v>
      </c>
      <c r="H116" s="7" t="s">
        <v>8</v>
      </c>
      <c r="I116" s="7" t="s">
        <v>70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4</v>
      </c>
      <c r="AC116" s="8">
        <v>3600</v>
      </c>
      <c r="AD116" s="7">
        <v>0</v>
      </c>
      <c r="AE116" s="7">
        <v>0</v>
      </c>
      <c r="AF116" s="7">
        <v>0</v>
      </c>
      <c r="AG116" s="7">
        <v>0</v>
      </c>
      <c r="AH116" s="7">
        <v>4</v>
      </c>
      <c r="AI116" s="8">
        <v>2160</v>
      </c>
      <c r="AJ116" s="8">
        <v>1800</v>
      </c>
      <c r="AK116" s="7">
        <v>0</v>
      </c>
      <c r="AL116" s="7">
        <v>0</v>
      </c>
      <c r="AM116" s="7">
        <v>0</v>
      </c>
      <c r="AN116" s="7">
        <v>648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10">
        <v>7560</v>
      </c>
      <c r="AV116" s="17">
        <f t="shared" si="2"/>
        <v>6912</v>
      </c>
      <c r="AW116" s="18">
        <f t="shared" si="3"/>
        <v>4838.3999999999996</v>
      </c>
    </row>
    <row r="117" spans="1:49" x14ac:dyDescent="0.4">
      <c r="A117" s="5" t="s">
        <v>139</v>
      </c>
      <c r="B117" s="5" t="s">
        <v>118</v>
      </c>
      <c r="C117" s="5">
        <v>238494</v>
      </c>
      <c r="D117" s="6"/>
      <c r="E117" s="5" t="s">
        <v>13</v>
      </c>
      <c r="F117" s="5" t="s">
        <v>46</v>
      </c>
      <c r="G117" s="5" t="s">
        <v>13</v>
      </c>
      <c r="H117" s="7" t="s">
        <v>8</v>
      </c>
      <c r="I117" s="7" t="s">
        <v>119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8</v>
      </c>
      <c r="AP117" s="8">
        <v>7200</v>
      </c>
      <c r="AQ117" s="7">
        <v>0</v>
      </c>
      <c r="AR117" s="7">
        <v>0</v>
      </c>
      <c r="AS117" s="7">
        <v>0</v>
      </c>
      <c r="AT117" s="7">
        <v>0</v>
      </c>
      <c r="AU117" s="10">
        <v>7200</v>
      </c>
      <c r="AV117" s="17">
        <f t="shared" si="2"/>
        <v>7200</v>
      </c>
      <c r="AW117" s="18">
        <f t="shared" si="3"/>
        <v>5040</v>
      </c>
    </row>
    <row r="118" spans="1:49" x14ac:dyDescent="0.4">
      <c r="A118" s="5" t="s">
        <v>139</v>
      </c>
      <c r="B118" s="5" t="s">
        <v>63</v>
      </c>
      <c r="C118" s="5">
        <v>192732</v>
      </c>
      <c r="D118" s="6"/>
      <c r="E118" s="5" t="s">
        <v>13</v>
      </c>
      <c r="F118" s="5" t="s">
        <v>46</v>
      </c>
      <c r="G118" s="5" t="s">
        <v>13</v>
      </c>
      <c r="H118" s="7" t="s">
        <v>8</v>
      </c>
      <c r="I118" s="7" t="s">
        <v>47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1</v>
      </c>
      <c r="AF118" s="8">
        <v>3200</v>
      </c>
      <c r="AG118" s="7">
        <v>0</v>
      </c>
      <c r="AH118" s="7">
        <v>2</v>
      </c>
      <c r="AI118" s="8">
        <v>2160</v>
      </c>
      <c r="AJ118" s="7">
        <v>0</v>
      </c>
      <c r="AK118" s="7">
        <v>0</v>
      </c>
      <c r="AL118" s="7">
        <v>0</v>
      </c>
      <c r="AM118" s="7">
        <v>0</v>
      </c>
      <c r="AN118" s="7">
        <v>648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10">
        <v>5360</v>
      </c>
      <c r="AV118" s="17">
        <f t="shared" si="2"/>
        <v>4712</v>
      </c>
      <c r="AW118" s="18">
        <f t="shared" si="3"/>
        <v>3298.3999999999996</v>
      </c>
    </row>
    <row r="119" spans="1:49" x14ac:dyDescent="0.4">
      <c r="A119" s="5" t="s">
        <v>139</v>
      </c>
      <c r="B119" s="5" t="s">
        <v>115</v>
      </c>
      <c r="C119" s="5">
        <v>210381</v>
      </c>
      <c r="D119" s="6"/>
      <c r="E119" s="5" t="s">
        <v>13</v>
      </c>
      <c r="F119" s="5" t="s">
        <v>46</v>
      </c>
      <c r="G119" s="5" t="s">
        <v>13</v>
      </c>
      <c r="H119" s="7" t="s">
        <v>8</v>
      </c>
      <c r="I119" s="7" t="s">
        <v>116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14</v>
      </c>
      <c r="AL119" s="7">
        <v>0</v>
      </c>
      <c r="AM119" s="8">
        <v>1400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10">
        <v>1400</v>
      </c>
      <c r="AV119" s="17">
        <f t="shared" si="2"/>
        <v>1400</v>
      </c>
      <c r="AW119" s="18">
        <f t="shared" si="3"/>
        <v>979.99999999999989</v>
      </c>
    </row>
    <row r="120" spans="1:49" x14ac:dyDescent="0.4">
      <c r="A120" s="5" t="s">
        <v>149</v>
      </c>
      <c r="B120" s="5" t="s">
        <v>71</v>
      </c>
      <c r="C120" s="5">
        <v>285993</v>
      </c>
      <c r="D120" s="6"/>
      <c r="E120" s="5" t="s">
        <v>13</v>
      </c>
      <c r="F120" s="5" t="s">
        <v>14</v>
      </c>
      <c r="G120" s="5" t="s">
        <v>13</v>
      </c>
      <c r="H120" s="7" t="s">
        <v>8</v>
      </c>
      <c r="I120" s="7" t="s">
        <v>72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1</v>
      </c>
      <c r="AI120" s="8">
        <v>1080</v>
      </c>
      <c r="AJ120" s="7">
        <v>0</v>
      </c>
      <c r="AK120" s="7">
        <v>0</v>
      </c>
      <c r="AL120" s="7">
        <v>0</v>
      </c>
      <c r="AM120" s="7">
        <v>0</v>
      </c>
      <c r="AN120" s="7">
        <v>324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10">
        <v>1080</v>
      </c>
      <c r="AV120" s="17">
        <f t="shared" si="2"/>
        <v>756</v>
      </c>
      <c r="AW120" s="18">
        <f t="shared" si="3"/>
        <v>529.19999999999993</v>
      </c>
    </row>
    <row r="121" spans="1:49" x14ac:dyDescent="0.4">
      <c r="A121" s="5" t="s">
        <v>139</v>
      </c>
      <c r="B121" s="5" t="s">
        <v>134</v>
      </c>
      <c r="C121" s="5">
        <v>395747</v>
      </c>
      <c r="D121" s="6"/>
      <c r="E121" s="5" t="s">
        <v>13</v>
      </c>
      <c r="F121" s="5" t="s">
        <v>14</v>
      </c>
      <c r="G121" s="5" t="s">
        <v>13</v>
      </c>
      <c r="H121" s="7" t="s">
        <v>8</v>
      </c>
      <c r="I121" s="7" t="s">
        <v>135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3</v>
      </c>
      <c r="AF121" s="7">
        <v>300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11">
        <v>300</v>
      </c>
      <c r="AV121" s="17">
        <f t="shared" si="2"/>
        <v>300</v>
      </c>
      <c r="AW121" s="18">
        <f t="shared" si="3"/>
        <v>210</v>
      </c>
    </row>
    <row r="122" spans="1:49" ht="19.2" x14ac:dyDescent="0.4">
      <c r="A122" s="5" t="s">
        <v>139</v>
      </c>
      <c r="B122" s="5" t="s">
        <v>117</v>
      </c>
      <c r="C122" s="5">
        <v>409391</v>
      </c>
      <c r="D122" s="6"/>
      <c r="E122" s="5" t="s">
        <v>13</v>
      </c>
      <c r="F122" s="5" t="s">
        <v>46</v>
      </c>
      <c r="G122" s="5" t="s">
        <v>24</v>
      </c>
      <c r="H122" s="7" t="s">
        <v>8</v>
      </c>
      <c r="I122" s="7" t="s">
        <v>25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1</v>
      </c>
      <c r="AF122" s="7">
        <v>100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11">
        <v>100</v>
      </c>
      <c r="AV122" s="17">
        <f t="shared" si="2"/>
        <v>100</v>
      </c>
      <c r="AW122" s="18">
        <f t="shared" si="3"/>
        <v>70</v>
      </c>
    </row>
    <row r="123" spans="1:49" x14ac:dyDescent="0.4">
      <c r="A123" s="5" t="s">
        <v>139</v>
      </c>
      <c r="B123" s="5" t="s">
        <v>49</v>
      </c>
      <c r="C123" s="5">
        <v>388417</v>
      </c>
      <c r="D123" s="6"/>
      <c r="E123" s="5" t="s">
        <v>13</v>
      </c>
      <c r="F123" s="5" t="s">
        <v>50</v>
      </c>
      <c r="G123" s="5" t="s">
        <v>13</v>
      </c>
      <c r="H123" s="7" t="s">
        <v>8</v>
      </c>
      <c r="I123" s="7" t="s">
        <v>51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1</v>
      </c>
      <c r="AF123" s="7">
        <v>100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11">
        <v>100</v>
      </c>
      <c r="AV123" s="17">
        <f t="shared" si="2"/>
        <v>100</v>
      </c>
      <c r="AW123" s="18">
        <f t="shared" si="3"/>
        <v>70</v>
      </c>
    </row>
    <row r="124" spans="1:49" x14ac:dyDescent="0.4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8"/>
      <c r="AD124" s="7"/>
      <c r="AE124" s="7"/>
      <c r="AF124" s="7"/>
      <c r="AG124" s="7"/>
      <c r="AH124" s="7"/>
      <c r="AI124" s="8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10"/>
      <c r="AV124" s="14"/>
      <c r="AW124" s="16">
        <f>SUM(AW2:AW123)</f>
        <v>12700862.720000004</v>
      </c>
    </row>
    <row r="125" spans="1:49" x14ac:dyDescent="0.4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10"/>
      <c r="AV125" s="14"/>
    </row>
    <row r="126" spans="1:49" x14ac:dyDescent="0.4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8"/>
      <c r="AN126" s="7"/>
      <c r="AO126" s="7"/>
      <c r="AP126" s="7"/>
      <c r="AQ126" s="7"/>
      <c r="AR126" s="7"/>
      <c r="AS126" s="7"/>
      <c r="AT126" s="7"/>
      <c r="AU126" s="10"/>
      <c r="AV126" s="14"/>
    </row>
    <row r="127" spans="1:49" x14ac:dyDescent="0.4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8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10"/>
      <c r="AV127" s="14"/>
    </row>
    <row r="128" spans="1:49" x14ac:dyDescent="0.4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8"/>
      <c r="AQ128" s="7"/>
      <c r="AR128" s="7"/>
      <c r="AS128" s="7"/>
      <c r="AT128" s="7"/>
      <c r="AU128" s="10"/>
      <c r="AV128" s="14"/>
    </row>
    <row r="129" spans="1:48" x14ac:dyDescent="0.4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11"/>
      <c r="AV129" s="14"/>
    </row>
    <row r="130" spans="1:48" x14ac:dyDescent="0.4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11"/>
      <c r="AV130" s="14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2022-05-09T02:12:27Z</dcterms:modified>
</cp:coreProperties>
</file>