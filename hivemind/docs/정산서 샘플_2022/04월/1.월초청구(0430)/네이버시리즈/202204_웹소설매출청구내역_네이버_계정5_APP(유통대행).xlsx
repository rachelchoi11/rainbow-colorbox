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hsjung\Desktop\1.월초청구(0430)\네이버시리즈\"/>
    </mc:Choice>
  </mc:AlternateContent>
  <bookViews>
    <workbookView xWindow="0" yWindow="0" windowWidth="23040" windowHeight="8955" tabRatio="766"/>
  </bookViews>
  <sheets>
    <sheet name="합계 (4)" sheetId="412" r:id="rId1"/>
  </sheets>
  <definedNames>
    <definedName name="_xlnm._FilterDatabase" localSheetId="0" hidden="1">'합계 (4)'!$A$1:$AW$161</definedName>
    <definedName name="_xlnm.Extract" localSheetId="0">'합계 (4)'!#REF!</definedName>
  </definedNames>
  <calcPr calcId="152511"/>
</workbook>
</file>

<file path=xl/calcChain.xml><?xml version="1.0" encoding="utf-8"?>
<calcChain xmlns="http://schemas.openxmlformats.org/spreadsheetml/2006/main">
  <c r="AW174" i="412" l="1"/>
  <c r="AW160" i="412"/>
  <c r="AW161" i="412"/>
  <c r="AW162" i="412"/>
  <c r="AW163" i="412"/>
  <c r="AW164" i="412"/>
  <c r="AW165" i="412"/>
  <c r="AW166" i="412"/>
  <c r="AW167" i="412"/>
  <c r="AW168" i="412"/>
  <c r="AW169" i="412"/>
  <c r="AW170" i="412"/>
  <c r="AW171" i="412"/>
  <c r="AW173" i="412"/>
  <c r="AV160" i="412"/>
  <c r="AV161" i="412"/>
  <c r="AV162" i="412"/>
  <c r="AV163" i="412"/>
  <c r="AV164" i="412"/>
  <c r="AV165" i="412"/>
  <c r="AV166" i="412"/>
  <c r="AV167" i="412"/>
  <c r="AV168" i="412"/>
  <c r="AV169" i="412"/>
  <c r="AV170" i="412"/>
  <c r="AV171" i="412"/>
  <c r="AV172" i="412"/>
  <c r="AW172" i="412" s="1"/>
  <c r="AW175" i="412" s="1"/>
  <c r="AV173" i="412"/>
  <c r="AV174" i="412"/>
  <c r="AV121" i="412" l="1"/>
  <c r="AW121" i="412" s="1"/>
  <c r="AV122" i="412"/>
  <c r="AW122" i="412" s="1"/>
  <c r="AV123" i="412"/>
  <c r="AW123" i="412" s="1"/>
  <c r="AV124" i="412"/>
  <c r="AW124" i="412" s="1"/>
  <c r="AV125" i="412"/>
  <c r="AW125" i="412" s="1"/>
  <c r="AV126" i="412"/>
  <c r="AW126" i="412" s="1"/>
  <c r="AV127" i="412"/>
  <c r="AW127" i="412" s="1"/>
  <c r="AV128" i="412"/>
  <c r="AW128" i="412" s="1"/>
  <c r="AV129" i="412"/>
  <c r="AW129" i="412" s="1"/>
  <c r="AV130" i="412"/>
  <c r="AW130" i="412" s="1"/>
  <c r="AV131" i="412"/>
  <c r="AW131" i="412" s="1"/>
  <c r="AV132" i="412"/>
  <c r="AW132" i="412" s="1"/>
  <c r="AV133" i="412"/>
  <c r="AW133" i="412" s="1"/>
  <c r="AV134" i="412"/>
  <c r="AW134" i="412" s="1"/>
  <c r="AV135" i="412"/>
  <c r="AW135" i="412" s="1"/>
  <c r="AV136" i="412"/>
  <c r="AW136" i="412" s="1"/>
  <c r="AV137" i="412"/>
  <c r="AW137" i="412" s="1"/>
  <c r="AV138" i="412"/>
  <c r="AW138" i="412" s="1"/>
  <c r="AV139" i="412"/>
  <c r="AW139" i="412" s="1"/>
  <c r="AV140" i="412"/>
  <c r="AW140" i="412" s="1"/>
  <c r="AV141" i="412"/>
  <c r="AW141" i="412" s="1"/>
  <c r="AV142" i="412"/>
  <c r="AW142" i="412" s="1"/>
  <c r="AV143" i="412"/>
  <c r="AW143" i="412" s="1"/>
  <c r="AV144" i="412"/>
  <c r="AW144" i="412" s="1"/>
  <c r="AV145" i="412"/>
  <c r="AW145" i="412" s="1"/>
  <c r="AV146" i="412"/>
  <c r="AW146" i="412" s="1"/>
  <c r="AV147" i="412"/>
  <c r="AW147" i="412" s="1"/>
  <c r="AV148" i="412"/>
  <c r="AW148" i="412" s="1"/>
  <c r="AV149" i="412"/>
  <c r="AW149" i="412" s="1"/>
  <c r="AV150" i="412"/>
  <c r="AW150" i="412" s="1"/>
  <c r="AV151" i="412"/>
  <c r="AW151" i="412" s="1"/>
  <c r="AV152" i="412"/>
  <c r="AW152" i="412" s="1"/>
  <c r="AV153" i="412"/>
  <c r="AW153" i="412" s="1"/>
  <c r="AV154" i="412"/>
  <c r="AW154" i="412" s="1"/>
  <c r="AV155" i="412"/>
  <c r="AW155" i="412" s="1"/>
  <c r="AV156" i="412"/>
  <c r="AW156" i="412" s="1"/>
  <c r="AV157" i="412"/>
  <c r="AW157" i="412" s="1"/>
  <c r="AV158" i="412"/>
  <c r="AW158" i="412" s="1"/>
  <c r="AV159" i="412"/>
  <c r="AW159" i="412" s="1"/>
  <c r="AV3" i="412" l="1"/>
  <c r="AW3" i="412" s="1"/>
  <c r="AV4" i="412"/>
  <c r="AW4" i="412" s="1"/>
  <c r="AV5" i="412"/>
  <c r="AW5" i="412" s="1"/>
  <c r="AV6" i="412"/>
  <c r="AW6" i="412" s="1"/>
  <c r="AV7" i="412"/>
  <c r="AW7" i="412" s="1"/>
  <c r="AV8" i="412"/>
  <c r="AW8" i="412" s="1"/>
  <c r="AV9" i="412"/>
  <c r="AW9" i="412" s="1"/>
  <c r="AV10" i="412"/>
  <c r="AW10" i="412" s="1"/>
  <c r="AV11" i="412"/>
  <c r="AW11" i="412" s="1"/>
  <c r="AV12" i="412"/>
  <c r="AW12" i="412" s="1"/>
  <c r="AV13" i="412"/>
  <c r="AW13" i="412" s="1"/>
  <c r="AV14" i="412"/>
  <c r="AW14" i="412" s="1"/>
  <c r="AV15" i="412"/>
  <c r="AW15" i="412" s="1"/>
  <c r="AV16" i="412"/>
  <c r="AW16" i="412" s="1"/>
  <c r="AV17" i="412"/>
  <c r="AW17" i="412" s="1"/>
  <c r="AV18" i="412"/>
  <c r="AW18" i="412" s="1"/>
  <c r="AV19" i="412"/>
  <c r="AW19" i="412" s="1"/>
  <c r="AV20" i="412"/>
  <c r="AW20" i="412" s="1"/>
  <c r="AV21" i="412"/>
  <c r="AW21" i="412" s="1"/>
  <c r="AV22" i="412"/>
  <c r="AW22" i="412" s="1"/>
  <c r="AV23" i="412"/>
  <c r="AW23" i="412" s="1"/>
  <c r="AV24" i="412"/>
  <c r="AW24" i="412" s="1"/>
  <c r="AV25" i="412"/>
  <c r="AW25" i="412" s="1"/>
  <c r="AV26" i="412"/>
  <c r="AW26" i="412" s="1"/>
  <c r="AV27" i="412"/>
  <c r="AW27" i="412" s="1"/>
  <c r="AV28" i="412"/>
  <c r="AW28" i="412" s="1"/>
  <c r="AV29" i="412"/>
  <c r="AW29" i="412" s="1"/>
  <c r="AV30" i="412"/>
  <c r="AW30" i="412" s="1"/>
  <c r="AV31" i="412"/>
  <c r="AW31" i="412" s="1"/>
  <c r="AV32" i="412"/>
  <c r="AW32" i="412" s="1"/>
  <c r="AV33" i="412"/>
  <c r="AW33" i="412" s="1"/>
  <c r="AV34" i="412"/>
  <c r="AW34" i="412" s="1"/>
  <c r="AV35" i="412"/>
  <c r="AW35" i="412" s="1"/>
  <c r="AV36" i="412"/>
  <c r="AW36" i="412" s="1"/>
  <c r="AV37" i="412"/>
  <c r="AW37" i="412" s="1"/>
  <c r="AV38" i="412"/>
  <c r="AW38" i="412" s="1"/>
  <c r="AV39" i="412"/>
  <c r="AW39" i="412" s="1"/>
  <c r="AV40" i="412"/>
  <c r="AW40" i="412" s="1"/>
  <c r="AV41" i="412"/>
  <c r="AW41" i="412" s="1"/>
  <c r="AV42" i="412"/>
  <c r="AW42" i="412" s="1"/>
  <c r="AV43" i="412"/>
  <c r="AW43" i="412" s="1"/>
  <c r="AV44" i="412"/>
  <c r="AW44" i="412" s="1"/>
  <c r="AV45" i="412"/>
  <c r="AW45" i="412" s="1"/>
  <c r="AV46" i="412"/>
  <c r="AW46" i="412" s="1"/>
  <c r="AV47" i="412"/>
  <c r="AW47" i="412" s="1"/>
  <c r="AV48" i="412"/>
  <c r="AW48" i="412" s="1"/>
  <c r="AV49" i="412"/>
  <c r="AW49" i="412" s="1"/>
  <c r="AV50" i="412"/>
  <c r="AW50" i="412" s="1"/>
  <c r="AV51" i="412"/>
  <c r="AW51" i="412" s="1"/>
  <c r="AV52" i="412"/>
  <c r="AW52" i="412" s="1"/>
  <c r="AV53" i="412"/>
  <c r="AW53" i="412" s="1"/>
  <c r="AV54" i="412"/>
  <c r="AW54" i="412" s="1"/>
  <c r="AV55" i="412"/>
  <c r="AW55" i="412" s="1"/>
  <c r="AV56" i="412"/>
  <c r="AW56" i="412" s="1"/>
  <c r="AV57" i="412"/>
  <c r="AW57" i="412" s="1"/>
  <c r="AV58" i="412"/>
  <c r="AW58" i="412" s="1"/>
  <c r="AV59" i="412"/>
  <c r="AW59" i="412" s="1"/>
  <c r="AV60" i="412"/>
  <c r="AW60" i="412" s="1"/>
  <c r="AV61" i="412"/>
  <c r="AW61" i="412" s="1"/>
  <c r="AV62" i="412"/>
  <c r="AW62" i="412" s="1"/>
  <c r="AV63" i="412"/>
  <c r="AW63" i="412" s="1"/>
  <c r="AV64" i="412"/>
  <c r="AW64" i="412" s="1"/>
  <c r="AV65" i="412"/>
  <c r="AW65" i="412" s="1"/>
  <c r="AV66" i="412"/>
  <c r="AW66" i="412" s="1"/>
  <c r="AV67" i="412"/>
  <c r="AW67" i="412" s="1"/>
  <c r="AV68" i="412"/>
  <c r="AW68" i="412" s="1"/>
  <c r="AV69" i="412"/>
  <c r="AW69" i="412" s="1"/>
  <c r="AV70" i="412"/>
  <c r="AW70" i="412" s="1"/>
  <c r="AV71" i="412"/>
  <c r="AW71" i="412" s="1"/>
  <c r="AV72" i="412"/>
  <c r="AW72" i="412" s="1"/>
  <c r="AV73" i="412"/>
  <c r="AW73" i="412" s="1"/>
  <c r="AV74" i="412"/>
  <c r="AW74" i="412" s="1"/>
  <c r="AV75" i="412"/>
  <c r="AW75" i="412" s="1"/>
  <c r="AV76" i="412"/>
  <c r="AW76" i="412" s="1"/>
  <c r="AV77" i="412"/>
  <c r="AW77" i="412" s="1"/>
  <c r="AV78" i="412"/>
  <c r="AW78" i="412" s="1"/>
  <c r="AV79" i="412"/>
  <c r="AW79" i="412" s="1"/>
  <c r="AV80" i="412"/>
  <c r="AW80" i="412" s="1"/>
  <c r="AV81" i="412"/>
  <c r="AW81" i="412" s="1"/>
  <c r="AV82" i="412"/>
  <c r="AW82" i="412" s="1"/>
  <c r="AV83" i="412"/>
  <c r="AW83" i="412" s="1"/>
  <c r="AV84" i="412"/>
  <c r="AW84" i="412" s="1"/>
  <c r="AV85" i="412"/>
  <c r="AW85" i="412" s="1"/>
  <c r="AV86" i="412"/>
  <c r="AW86" i="412" s="1"/>
  <c r="AV87" i="412"/>
  <c r="AW87" i="412" s="1"/>
  <c r="AV88" i="412"/>
  <c r="AW88" i="412" s="1"/>
  <c r="AV89" i="412"/>
  <c r="AW89" i="412" s="1"/>
  <c r="AV90" i="412"/>
  <c r="AW90" i="412" s="1"/>
  <c r="AV91" i="412"/>
  <c r="AW91" i="412" s="1"/>
  <c r="AV92" i="412"/>
  <c r="AW92" i="412" s="1"/>
  <c r="AV93" i="412"/>
  <c r="AW93" i="412" s="1"/>
  <c r="AV94" i="412"/>
  <c r="AW94" i="412" s="1"/>
  <c r="AV95" i="412"/>
  <c r="AW95" i="412" s="1"/>
  <c r="AV96" i="412"/>
  <c r="AW96" i="412" s="1"/>
  <c r="AV97" i="412"/>
  <c r="AW97" i="412" s="1"/>
  <c r="AV98" i="412"/>
  <c r="AW98" i="412" s="1"/>
  <c r="AV99" i="412"/>
  <c r="AW99" i="412" s="1"/>
  <c r="AV100" i="412"/>
  <c r="AW100" i="412" s="1"/>
  <c r="AV101" i="412"/>
  <c r="AW101" i="412" s="1"/>
  <c r="AV102" i="412"/>
  <c r="AW102" i="412" s="1"/>
  <c r="AV103" i="412"/>
  <c r="AW103" i="412" s="1"/>
  <c r="AV104" i="412"/>
  <c r="AW104" i="412" s="1"/>
  <c r="AV105" i="412"/>
  <c r="AW105" i="412" s="1"/>
  <c r="AV106" i="412"/>
  <c r="AW106" i="412" s="1"/>
  <c r="AV107" i="412"/>
  <c r="AW107" i="412" s="1"/>
  <c r="AV108" i="412"/>
  <c r="AW108" i="412" s="1"/>
  <c r="AV109" i="412"/>
  <c r="AW109" i="412" s="1"/>
  <c r="AV110" i="412"/>
  <c r="AW110" i="412" s="1"/>
  <c r="AV111" i="412"/>
  <c r="AW111" i="412" s="1"/>
  <c r="AV112" i="412"/>
  <c r="AW112" i="412" s="1"/>
  <c r="AV113" i="412"/>
  <c r="AW113" i="412" s="1"/>
  <c r="AV114" i="412"/>
  <c r="AW114" i="412" s="1"/>
  <c r="AV115" i="412"/>
  <c r="AW115" i="412" s="1"/>
  <c r="AV116" i="412"/>
  <c r="AW116" i="412" s="1"/>
  <c r="AV117" i="412"/>
  <c r="AW117" i="412" s="1"/>
  <c r="AV118" i="412"/>
  <c r="AW118" i="412" s="1"/>
  <c r="AV119" i="412"/>
  <c r="AW119" i="412" s="1"/>
  <c r="AV120" i="412"/>
  <c r="AW120" i="412" s="1"/>
  <c r="AV2" i="412"/>
  <c r="AW2" i="412" l="1"/>
</calcChain>
</file>

<file path=xl/sharedStrings.xml><?xml version="1.0" encoding="utf-8"?>
<sst xmlns="http://schemas.openxmlformats.org/spreadsheetml/2006/main" count="1263" uniqueCount="289">
  <si>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</si>
  <si>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</si>
  <si>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</si>
  <si>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</si>
  <si>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</si>
  <si>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</si>
  <si>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</si>
  <si>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</si>
  <si>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전체이용가</t>
  </si>
  <si>
    <t>15세 이상 이용가능</t>
  </si>
  <si>
    <t>구분</t>
    <phoneticPr fontId="20" type="noConversion"/>
  </si>
  <si>
    <t>2020.09.11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</si>
  <si>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</si>
  <si>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</si>
  <si>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</si>
  <si>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</si>
  <si>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</si>
  <si>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</si>
  <si>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</si>
  <si>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</si>
  <si>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</si>
  <si>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</si>
  <si>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</si>
  <si>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</si>
  <si>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</si>
  <si>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순매출(합계-수수료)</t>
    <phoneticPr fontId="20" type="noConversion"/>
  </si>
  <si>
    <t>SW 매출</t>
    <phoneticPr fontId="20" type="noConversion"/>
  </si>
  <si>
    <t>더티독 [BL]</t>
  </si>
  <si>
    <t>스토리위즈_2</t>
  </si>
  <si>
    <t>용가리맛쿠키</t>
  </si>
  <si>
    <t>2020.04.13</t>
  </si>
  <si>
    <t>최재봉</t>
  </si>
  <si>
    <t>2020.05.18</t>
  </si>
  <si>
    <t>무림병장 [독점]</t>
  </si>
  <si>
    <t>협행마</t>
  </si>
  <si>
    <t>2020.08.29</t>
  </si>
  <si>
    <t>벗어 주세요</t>
  </si>
  <si>
    <t>주해나</t>
  </si>
  <si>
    <t>2019.03.07</t>
  </si>
  <si>
    <t>강호, 미치다</t>
  </si>
  <si>
    <t>2019.09.18</t>
  </si>
  <si>
    <t>이세계 최강 군바리 [단행본]</t>
  </si>
  <si>
    <t>2019.11.04</t>
  </si>
  <si>
    <t>지니</t>
  </si>
  <si>
    <t>나나코</t>
  </si>
  <si>
    <t>무림병장 [단행본]</t>
  </si>
  <si>
    <t>2021.02.08</t>
  </si>
  <si>
    <t>위사무적 [단행본]</t>
  </si>
  <si>
    <t>악당의 리턴! [단행본]</t>
  </si>
  <si>
    <t>2019.11.26</t>
  </si>
  <si>
    <t>남창목가 [외전 독점]</t>
  </si>
  <si>
    <t>2019.11.18</t>
  </si>
  <si>
    <t>19세 이상 이용가능</t>
  </si>
  <si>
    <t>이세계 최강 군바리</t>
  </si>
  <si>
    <t>2019.07.31</t>
  </si>
  <si>
    <t>반하는 세계 [BL]</t>
  </si>
  <si>
    <t>2019.08.17</t>
  </si>
  <si>
    <t>악당의 리턴!</t>
  </si>
  <si>
    <t>354950</t>
  </si>
  <si>
    <t>2019.06.20</t>
  </si>
  <si>
    <t>더티독 [BL][단행본]</t>
  </si>
  <si>
    <t>2020.04.09</t>
  </si>
  <si>
    <t>키도</t>
  </si>
  <si>
    <t>sJessi</t>
  </si>
  <si>
    <t>SISSI</t>
  </si>
  <si>
    <t>대공의 아내 [단행본]</t>
  </si>
  <si>
    <t>문시티</t>
  </si>
  <si>
    <t>2020.01.16</t>
  </si>
  <si>
    <t>2021.04.17</t>
  </si>
  <si>
    <t>진태이</t>
  </si>
  <si>
    <t>나는 내 연인의 것 [BL][단행본]</t>
  </si>
  <si>
    <t>2021.02.01</t>
  </si>
  <si>
    <t>사계(Four Season) [BL]</t>
  </si>
  <si>
    <t>2020.06.17</t>
  </si>
  <si>
    <t>더티독 외전 [BL][단행본]</t>
  </si>
  <si>
    <t>남창목가 [단행본]</t>
  </si>
  <si>
    <t>성실</t>
  </si>
  <si>
    <t>익스클루시브(Exclusive) [BL][단행본]</t>
  </si>
  <si>
    <t>사틴</t>
  </si>
  <si>
    <t>2021.08.13</t>
  </si>
  <si>
    <t>2021.08.24</t>
  </si>
  <si>
    <t>2021.08.27</t>
  </si>
  <si>
    <t>흠뻑 적셔줄게 [BL]</t>
  </si>
  <si>
    <t>묜수</t>
  </si>
  <si>
    <t>에필로그</t>
  </si>
  <si>
    <t>바보가 만드는 멋진 세상 [개정판][단행본]</t>
  </si>
  <si>
    <t>2021.09.14</t>
  </si>
  <si>
    <t>사냥꾼은 마왕이 되기 싫다 [독점]</t>
  </si>
  <si>
    <t>강명운</t>
  </si>
  <si>
    <t>바보가 만드는 멋진 세상 [개정판]</t>
  </si>
  <si>
    <t>그 순간, 별이 빛났다 [BL]</t>
  </si>
  <si>
    <t>2021.09.09</t>
  </si>
  <si>
    <t>끝까지, 지독하게</t>
  </si>
  <si>
    <t>2021.09.17</t>
  </si>
  <si>
    <t>익스클루시브(Exclusive) [BL]</t>
  </si>
  <si>
    <t>2021.08.30</t>
  </si>
  <si>
    <t>불건전한 수컷</t>
  </si>
  <si>
    <t>소울슈터 [독점]</t>
  </si>
  <si>
    <t>라이큐</t>
  </si>
  <si>
    <t>계략적 관계 [독점]</t>
  </si>
  <si>
    <t>2021.10.13</t>
  </si>
  <si>
    <t>무적살수 [단행본]</t>
  </si>
  <si>
    <t>2020.09.09</t>
  </si>
  <si>
    <t>신사동 그 사람 [BL][단행본]</t>
  </si>
  <si>
    <t>진짜 사나이</t>
  </si>
  <si>
    <t>2021.12.15</t>
  </si>
  <si>
    <t>진짜 사나이 [단행본]</t>
  </si>
  <si>
    <t>헌터 킹 [단행본]</t>
  </si>
  <si>
    <t>2021.12.10</t>
  </si>
  <si>
    <t>기획에 산다 [단행본]</t>
  </si>
  <si>
    <t>헌터 킹</t>
  </si>
  <si>
    <t>2022.01.03</t>
  </si>
  <si>
    <t>불시착한 우주 [BL]</t>
  </si>
  <si>
    <t>우리 집 악마 새끼 [BL][단행본]</t>
  </si>
  <si>
    <t>2019.11.12</t>
  </si>
  <si>
    <t>2018.10.19</t>
  </si>
  <si>
    <t>용병수칙 [단행본]</t>
  </si>
  <si>
    <t>2020.09.10</t>
  </si>
  <si>
    <t>집착의 맛</t>
  </si>
  <si>
    <t>2021.12.31</t>
  </si>
  <si>
    <t>강호, 미치다 [단행본]</t>
  </si>
  <si>
    <t>더 캡틴 [단행본]</t>
  </si>
  <si>
    <t>2022.01.21</t>
  </si>
  <si>
    <t>더 캡틴</t>
  </si>
  <si>
    <t>다정한 내일을 위한 새벽 [BL]</t>
  </si>
  <si>
    <t>2019.08.13</t>
  </si>
  <si>
    <t>소년연애담 [BL] [단행본]</t>
  </si>
  <si>
    <t>12세 이상 이용가능</t>
  </si>
  <si>
    <t>2018.04.23</t>
  </si>
  <si>
    <t>어딜 봐요? [외전증보판]</t>
  </si>
  <si>
    <t>2019.07.10</t>
  </si>
  <si>
    <t>뉴욕 키스 스캔들 [BL][단행본]</t>
  </si>
  <si>
    <t>2018.06.12</t>
  </si>
  <si>
    <t>모닝콜(Morning Call) [단행본]</t>
  </si>
  <si>
    <t>하이지</t>
  </si>
  <si>
    <t>2022.01.19</t>
  </si>
  <si>
    <t>분홍의 작약 [단행본]</t>
  </si>
  <si>
    <t>송여희</t>
  </si>
  <si>
    <t>2022.01.12</t>
  </si>
  <si>
    <t>위사무적</t>
  </si>
  <si>
    <t>너만 보면 두근두근 [단행본]</t>
  </si>
  <si>
    <t>정경하</t>
  </si>
  <si>
    <t>2022.01.14</t>
  </si>
  <si>
    <t>설국연가 [단행본]</t>
  </si>
  <si>
    <t>마뇽</t>
  </si>
  <si>
    <t>2022.01.17</t>
  </si>
  <si>
    <t>붉은 정자-살라댕 [단행본]</t>
  </si>
  <si>
    <t>라벤더블루</t>
  </si>
  <si>
    <t>2022.01.10</t>
  </si>
  <si>
    <t>모어 댄 블루 (More than BLUE) [BL] [단행본]</t>
  </si>
  <si>
    <t>2018.07.02</t>
  </si>
  <si>
    <t>로맨틱 아이디얼(Romantic Ideal) [BL][단행본]</t>
  </si>
  <si>
    <t>2019.01.24</t>
  </si>
  <si>
    <t>세이브 미(Save Me) [단행본]</t>
  </si>
  <si>
    <t>우유양</t>
  </si>
  <si>
    <t>2022.01.26</t>
  </si>
  <si>
    <t>폭군의 공물 [BL][단행본]</t>
  </si>
  <si>
    <t>여러해살이풀</t>
  </si>
  <si>
    <t>2019.03.08</t>
  </si>
  <si>
    <t>백범(白帆)</t>
  </si>
  <si>
    <t>2022.02.17</t>
  </si>
  <si>
    <t>꼭꼭 숨어라(Wherever you are)</t>
  </si>
  <si>
    <t>감또개</t>
  </si>
  <si>
    <t>2022.02.22</t>
  </si>
  <si>
    <t>만나러 갈게 [단행본]</t>
  </si>
  <si>
    <t>박샛별</t>
  </si>
  <si>
    <t>2022.02.04</t>
  </si>
  <si>
    <t>꼭꼭 숨어라(Wherever you are) [단행본]</t>
  </si>
  <si>
    <t>시리즈APP</t>
    <phoneticPr fontId="20" type="noConversion"/>
  </si>
  <si>
    <t>연애의 시작 [단행본]</t>
  </si>
  <si>
    <t>차크</t>
  </si>
  <si>
    <t>2022.02.18</t>
  </si>
  <si>
    <t>한슬</t>
  </si>
  <si>
    <t>완전판APP</t>
    <phoneticPr fontId="20" type="noConversion"/>
  </si>
  <si>
    <t>시리즈IOS</t>
    <phoneticPr fontId="20" type="noConversion"/>
  </si>
  <si>
    <t>전설이 돼라 [개정판]</t>
  </si>
  <si>
    <t>2022.03.02</t>
  </si>
  <si>
    <t>법보다 주먹</t>
  </si>
  <si>
    <t>2022.03.16</t>
  </si>
  <si>
    <t>전설이 돼라 [개정판][단행본]</t>
  </si>
  <si>
    <t>남궁세가 건달공자 [단행본]</t>
  </si>
  <si>
    <t>2019.06.18</t>
  </si>
  <si>
    <t>내 하루에 네가 피어나 [단행본]</t>
  </si>
  <si>
    <t>정은숙</t>
  </si>
  <si>
    <t>2022.03.11</t>
  </si>
  <si>
    <t>끝도 없이 젖어드는</t>
  </si>
  <si>
    <t>이서윤</t>
  </si>
  <si>
    <t>2019.06.21</t>
  </si>
  <si>
    <t>베로나에서 그를 만나다 [단행본]</t>
  </si>
  <si>
    <t>원성혜</t>
  </si>
  <si>
    <t>2022.03.23</t>
  </si>
  <si>
    <t>이예즈</t>
  </si>
  <si>
    <t>그 여자의 사정 [단행본]</t>
  </si>
  <si>
    <t>전혜진</t>
  </si>
  <si>
    <t>2022.03.25</t>
  </si>
  <si>
    <t>백양의 귀신 퇴치 매뉴얼 [BL]</t>
  </si>
  <si>
    <t>하바수</t>
  </si>
  <si>
    <t>2020.07.23</t>
  </si>
  <si>
    <t>도올의 신수</t>
  </si>
  <si>
    <t>전장의 금기 [단행본]</t>
  </si>
  <si>
    <t>2020.09.13</t>
  </si>
  <si>
    <t>이차적 일탈 [단행본]</t>
  </si>
  <si>
    <t>서혜은</t>
  </si>
  <si>
    <t>2022.03.04</t>
  </si>
  <si>
    <t>사랑 그리고 그 후 [단행본]</t>
  </si>
  <si>
    <t>최현자</t>
  </si>
  <si>
    <t>2022.03.14</t>
  </si>
  <si>
    <t>이리 와 봐 [단행본]</t>
  </si>
  <si>
    <t>최강주</t>
  </si>
  <si>
    <t>2018.08.30</t>
  </si>
  <si>
    <t>반하는 세계 [BL][단행본]</t>
  </si>
  <si>
    <t>2019.08.01</t>
  </si>
  <si>
    <t>이리 와 봐 외전 [단행본]</t>
  </si>
  <si>
    <t>나는 내 연인의 것 외전 [BL][단행본]</t>
  </si>
  <si>
    <t>끝까지, 지독하게 [외전][단행본]</t>
  </si>
  <si>
    <t>2020.11.12</t>
  </si>
  <si>
    <t>법보다 주먹 [단행본]</t>
  </si>
  <si>
    <t>2022.04.13</t>
  </si>
  <si>
    <t>일교차 [단행본]</t>
  </si>
  <si>
    <t>해화</t>
  </si>
  <si>
    <t>밀리오리지널</t>
  </si>
  <si>
    <t>2022.04.08</t>
  </si>
  <si>
    <t>스토리위즈</t>
  </si>
  <si>
    <t>쉬라즈</t>
  </si>
  <si>
    <t>스토리아크</t>
  </si>
  <si>
    <t>블러쉬</t>
  </si>
  <si>
    <t>히즈노블</t>
  </si>
  <si>
    <t>담군 연사장 [BL][단행본]</t>
  </si>
  <si>
    <t>피모</t>
  </si>
  <si>
    <t>2018.10.16</t>
  </si>
  <si>
    <t>쉬즈노블</t>
  </si>
  <si>
    <t>완벽한 이상형 [외전증보판]</t>
  </si>
  <si>
    <t>2019.07.01</t>
  </si>
  <si>
    <t>미확인 사고</t>
  </si>
  <si>
    <t>2019.03.20</t>
  </si>
  <si>
    <t>마왕의 구원자 [BL]</t>
  </si>
  <si>
    <t>너는 싱그러운 여름처럼 [단행본]</t>
  </si>
  <si>
    <t>박지영</t>
  </si>
  <si>
    <t>2022.04.25</t>
  </si>
  <si>
    <t>집착의 맛 [단행본]</t>
  </si>
  <si>
    <t>오늘의 날씨 [BL][단행본]</t>
  </si>
  <si>
    <t>2018.11.23</t>
  </si>
  <si>
    <t>당신이 있는 풍경 [BL][단행본]</t>
  </si>
  <si>
    <t>김귤</t>
  </si>
  <si>
    <t>우리의 봄, 나의 개나리 [BL] [단행본]</t>
  </si>
  <si>
    <t>마연(연필깎이)</t>
  </si>
  <si>
    <t>비엘스토리</t>
  </si>
  <si>
    <t>젠장 맞을 사랑 [BL] [단행본]</t>
  </si>
  <si>
    <t>2018.06.28</t>
  </si>
  <si>
    <t>네이처 너처 (Nature Nurture) [BL] [단행본]</t>
  </si>
  <si>
    <t>2018.05.15</t>
  </si>
  <si>
    <t>들개의 덫</t>
  </si>
  <si>
    <t>슈크림 [단행본]</t>
  </si>
  <si>
    <t>송미선</t>
  </si>
  <si>
    <t>2022.04.15</t>
  </si>
  <si>
    <t>어게인(Again) [단행본]</t>
  </si>
  <si>
    <t>최준서</t>
  </si>
  <si>
    <t>2022.04.27</t>
  </si>
  <si>
    <t>넘어와 [단행본]</t>
  </si>
  <si>
    <t>2022.04.04</t>
  </si>
  <si>
    <t>정략결혼 [단행본]</t>
  </si>
  <si>
    <t>수련</t>
  </si>
  <si>
    <t>마왕의 구원자 [외전증보판][BL][단행본]</t>
  </si>
  <si>
    <t>벗어 주세요 [단행본]</t>
  </si>
  <si>
    <t>2019.02.15</t>
  </si>
  <si>
    <t>끝까지, 지독하게 [단행본]</t>
  </si>
  <si>
    <t>얼굴 없는 여자 [단행본]</t>
  </si>
  <si>
    <t>서향</t>
  </si>
  <si>
    <t>2018.12.10</t>
  </si>
  <si>
    <t>악마 귀환 [단행본]</t>
  </si>
  <si>
    <t>2018.10.22</t>
  </si>
  <si>
    <t>킹의 카나리아 [단행본]</t>
  </si>
  <si>
    <t>2018.08.24</t>
  </si>
  <si>
    <t>아는 손, 아는 혀 [단행본]</t>
  </si>
  <si>
    <t>김지언</t>
  </si>
  <si>
    <t>2019.02.21</t>
  </si>
  <si>
    <t>향기로운 뿔 [단행본]</t>
  </si>
  <si>
    <t>이진희</t>
  </si>
  <si>
    <t>2022.02.16</t>
  </si>
  <si>
    <t>이기적인 파트너 [외전증보판]</t>
  </si>
  <si>
    <t>강소아</t>
  </si>
  <si>
    <t>2019.03.29</t>
  </si>
  <si>
    <t>가장 완벽한 인질 [외전][단행본]</t>
  </si>
  <si>
    <t>2020.10.14</t>
  </si>
  <si>
    <t>지하철 앤솔로지 [단행본]</t>
  </si>
  <si>
    <t>도큐진</t>
  </si>
  <si>
    <t>스토리위드</t>
  </si>
  <si>
    <t>여우비가 내리던 날 [BL][단행본]</t>
  </si>
  <si>
    <t>2020.11.16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</si>
</sst>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_ 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176" fontId="0" fillId="0" borderId="0" xfId="0" applyNumberFormat="1">
      <alignment vertical="center"/>
    </xf>
    <xf numFmtId="41" fontId="0" fillId="0" borderId="0" xfId="42" applyFont="1">
      <alignment vertical="center"/>
    </xf>
    <xf numFmtId="41" fontId="0" fillId="34" borderId="0" xfId="0" applyNumberForma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175"/>
  <sheetViews>
    <sheetView tabSelected="1" topLeftCell="T161" zoomScale="78" zoomScaleNormal="78" workbookViewId="0">
      <selection activeCell="AW175" sqref="AW175"/>
    </sheetView>
  </sheetViews>
  <sheetFormatPr defaultRowHeight="16.5" x14ac:dyDescent="0.3"/>
  <cols>
    <col min="1" max="1" width="9.375" style="1" customWidth="1"/>
    <col min="2" max="2" width="20" bestFit="1" customWidth="1"/>
    <col min="3" max="3" width="6.5" customWidth="1"/>
    <col min="4" max="4" width="7.25" customWidth="1"/>
    <col min="5" max="5" width="10" customWidth="1"/>
    <col min="6" max="6" width="10.25" customWidth="1"/>
    <col min="7" max="7" width="10" bestFit="1" customWidth="1"/>
    <col min="8" max="8" width="10" customWidth="1"/>
    <col min="9" max="9" width="13.625" customWidth="1"/>
    <col min="10" max="10" width="7.375" customWidth="1"/>
    <col min="11" max="11" width="4.25" customWidth="1"/>
    <col min="12" max="12" width="4.75" customWidth="1"/>
    <col min="13" max="13" width="7.25" customWidth="1"/>
    <col min="14" max="14" width="6.75" customWidth="1"/>
    <col min="15" max="15" width="6" customWidth="1"/>
    <col min="16" max="17" width="6.25" customWidth="1"/>
    <col min="18" max="18" width="5" customWidth="1"/>
    <col min="19" max="19" width="4.75" customWidth="1"/>
    <col min="20" max="20" width="7.25" customWidth="1"/>
    <col min="21" max="21" width="6.75" customWidth="1"/>
    <col min="22" max="22" width="6" customWidth="1"/>
    <col min="23" max="24" width="6.25" customWidth="1"/>
    <col min="25" max="25" width="3.625" customWidth="1"/>
    <col min="26" max="26" width="5" customWidth="1"/>
    <col min="27" max="28" width="3.625" customWidth="1"/>
    <col min="29" max="29" width="5" customWidth="1"/>
    <col min="30" max="30" width="4.25" customWidth="1"/>
    <col min="31" max="36" width="3.625" customWidth="1"/>
    <col min="37" max="37" width="12.75" customWidth="1"/>
    <col min="38" max="39" width="12.875" customWidth="1"/>
    <col min="40" max="40" width="15.75" customWidth="1"/>
    <col min="41" max="44" width="8.75" customWidth="1"/>
    <col min="47" max="47" width="12.75" bestFit="1" customWidth="1"/>
    <col min="48" max="48" width="13.875" bestFit="1" customWidth="1"/>
    <col min="49" max="49" width="13.5" bestFit="1" customWidth="1"/>
  </cols>
  <sheetData>
    <row r="1" spans="1:49" ht="39" x14ac:dyDescent="0.3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11" t="s">
        <v>12</v>
      </c>
      <c r="K1" s="11" t="s">
        <v>13</v>
      </c>
      <c r="L1" s="11" t="s">
        <v>14</v>
      </c>
      <c r="M1" s="11" t="s">
        <v>15</v>
      </c>
      <c r="N1" s="11" t="s">
        <v>16</v>
      </c>
      <c r="O1" s="11" t="s">
        <v>17</v>
      </c>
      <c r="P1" s="11" t="s">
        <v>18</v>
      </c>
      <c r="Q1" s="11" t="s">
        <v>19</v>
      </c>
      <c r="R1" s="11" t="s">
        <v>20</v>
      </c>
      <c r="S1" s="11" t="s">
        <v>12</v>
      </c>
      <c r="T1" s="11" t="s">
        <v>13</v>
      </c>
      <c r="U1" s="11" t="s">
        <v>14</v>
      </c>
      <c r="V1" s="11" t="s">
        <v>15</v>
      </c>
      <c r="W1" s="11" t="s">
        <v>16</v>
      </c>
      <c r="X1" s="11" t="s">
        <v>17</v>
      </c>
      <c r="Y1" s="11" t="s">
        <v>18</v>
      </c>
      <c r="Z1" s="11" t="s">
        <v>19</v>
      </c>
      <c r="AA1" s="11" t="s">
        <v>20</v>
      </c>
      <c r="AB1" s="11" t="s">
        <v>12</v>
      </c>
      <c r="AC1" s="11" t="s">
        <v>21</v>
      </c>
      <c r="AD1" s="11" t="s">
        <v>22</v>
      </c>
      <c r="AE1" s="11" t="s">
        <v>12</v>
      </c>
      <c r="AF1" s="11" t="s">
        <v>21</v>
      </c>
      <c r="AG1" s="11" t="s">
        <v>22</v>
      </c>
      <c r="AH1" s="11" t="s">
        <v>12</v>
      </c>
      <c r="AI1" s="11" t="s">
        <v>21</v>
      </c>
      <c r="AJ1" s="11" t="s">
        <v>22</v>
      </c>
      <c r="AK1" s="11" t="s">
        <v>12</v>
      </c>
      <c r="AL1" s="11" t="s">
        <v>21</v>
      </c>
      <c r="AM1" s="11" t="s">
        <v>22</v>
      </c>
      <c r="AN1" s="12" t="s">
        <v>23</v>
      </c>
      <c r="AO1" s="11" t="s">
        <v>12</v>
      </c>
      <c r="AP1" s="11" t="s">
        <v>21</v>
      </c>
      <c r="AQ1" s="11" t="s">
        <v>22</v>
      </c>
      <c r="AR1" s="11" t="s">
        <v>12</v>
      </c>
      <c r="AS1" s="11" t="s">
        <v>21</v>
      </c>
      <c r="AT1" s="11" t="s">
        <v>22</v>
      </c>
      <c r="AU1" s="12" t="s">
        <v>24</v>
      </c>
      <c r="AV1" s="11" t="s">
        <v>25</v>
      </c>
      <c r="AW1" s="11" t="s">
        <v>26</v>
      </c>
    </row>
    <row r="2" spans="1:49" ht="19.5" x14ac:dyDescent="0.3">
      <c r="A2" s="1" t="s">
        <v>168</v>
      </c>
      <c r="B2" s="4" t="s">
        <v>177</v>
      </c>
      <c r="C2" s="4">
        <v>451051</v>
      </c>
      <c r="D2" s="5"/>
      <c r="E2" s="4" t="s">
        <v>28</v>
      </c>
      <c r="F2" s="4" t="s">
        <v>159</v>
      </c>
      <c r="G2" s="4" t="s">
        <v>84</v>
      </c>
      <c r="H2" s="6" t="s">
        <v>127</v>
      </c>
      <c r="I2" s="6" t="s">
        <v>178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7">
        <v>13541</v>
      </c>
      <c r="AF2" s="7">
        <v>1297000</v>
      </c>
      <c r="AG2" s="7">
        <v>57100</v>
      </c>
      <c r="AH2" s="6">
        <v>0</v>
      </c>
      <c r="AI2" s="6">
        <v>0</v>
      </c>
      <c r="AJ2" s="6">
        <v>0</v>
      </c>
      <c r="AK2" s="6">
        <v>4</v>
      </c>
      <c r="AL2" s="6">
        <v>0</v>
      </c>
      <c r="AM2" s="6">
        <v>400</v>
      </c>
      <c r="AN2" s="6">
        <v>0</v>
      </c>
      <c r="AO2" s="6">
        <v>0</v>
      </c>
      <c r="AP2" s="6">
        <v>0</v>
      </c>
      <c r="AQ2" s="6">
        <v>0</v>
      </c>
      <c r="AR2" s="7">
        <v>1895</v>
      </c>
      <c r="AS2" s="7">
        <v>185500</v>
      </c>
      <c r="AT2" s="7">
        <v>4000</v>
      </c>
      <c r="AU2" s="9">
        <v>1544000</v>
      </c>
      <c r="AV2" s="13">
        <f>AU2-AN2</f>
        <v>1544000</v>
      </c>
      <c r="AW2" s="14">
        <f>AV2*70%</f>
        <v>1080800</v>
      </c>
    </row>
    <row r="3" spans="1:49" ht="19.5" x14ac:dyDescent="0.3">
      <c r="A3" s="1" t="s">
        <v>168</v>
      </c>
      <c r="B3" s="4" t="s">
        <v>216</v>
      </c>
      <c r="C3" s="4">
        <v>465998</v>
      </c>
      <c r="D3" s="5"/>
      <c r="E3" s="4" t="s">
        <v>28</v>
      </c>
      <c r="F3" s="4" t="s">
        <v>159</v>
      </c>
      <c r="G3" s="4" t="s">
        <v>84</v>
      </c>
      <c r="H3" s="6" t="s">
        <v>127</v>
      </c>
      <c r="I3" s="6" t="s">
        <v>217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440</v>
      </c>
      <c r="AC3" s="7">
        <v>382300</v>
      </c>
      <c r="AD3" s="7">
        <v>11400</v>
      </c>
      <c r="AE3" s="6">
        <v>1</v>
      </c>
      <c r="AF3" s="7">
        <v>2000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166</v>
      </c>
      <c r="AP3" s="7">
        <v>146200</v>
      </c>
      <c r="AQ3" s="7">
        <v>1900</v>
      </c>
      <c r="AR3" s="6">
        <v>29</v>
      </c>
      <c r="AS3" s="7">
        <v>56800</v>
      </c>
      <c r="AT3" s="7">
        <v>1200</v>
      </c>
      <c r="AU3" s="9">
        <v>601800</v>
      </c>
      <c r="AV3" s="13">
        <f t="shared" ref="AV3:AV66" si="0">AU3-AN3</f>
        <v>601800</v>
      </c>
      <c r="AW3" s="14">
        <f t="shared" ref="AW3:AW66" si="1">AV3*70%</f>
        <v>421260</v>
      </c>
    </row>
    <row r="4" spans="1:49" ht="19.5" x14ac:dyDescent="0.3">
      <c r="A4" s="1" t="s">
        <v>168</v>
      </c>
      <c r="B4" s="4" t="s">
        <v>218</v>
      </c>
      <c r="C4" s="4">
        <v>464786</v>
      </c>
      <c r="D4" s="5"/>
      <c r="E4" s="4" t="s">
        <v>28</v>
      </c>
      <c r="F4" s="4" t="s">
        <v>219</v>
      </c>
      <c r="G4" s="4" t="s">
        <v>220</v>
      </c>
      <c r="H4" s="6" t="s">
        <v>127</v>
      </c>
      <c r="I4" s="6" t="s">
        <v>221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55</v>
      </c>
      <c r="AF4" s="7">
        <v>71700</v>
      </c>
      <c r="AG4" s="7">
        <v>65800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3</v>
      </c>
      <c r="AS4" s="7">
        <v>7500</v>
      </c>
      <c r="AT4" s="6">
        <v>0</v>
      </c>
      <c r="AU4" s="9">
        <v>145000</v>
      </c>
      <c r="AV4" s="13">
        <f t="shared" si="0"/>
        <v>145000</v>
      </c>
      <c r="AW4" s="14">
        <f t="shared" si="1"/>
        <v>101500</v>
      </c>
    </row>
    <row r="5" spans="1:49" x14ac:dyDescent="0.3">
      <c r="A5" s="1" t="s">
        <v>168</v>
      </c>
      <c r="B5" s="4" t="s">
        <v>50</v>
      </c>
      <c r="C5" s="4">
        <v>369060</v>
      </c>
      <c r="D5" s="5"/>
      <c r="E5" s="4" t="s">
        <v>28</v>
      </c>
      <c r="F5" s="4" t="s">
        <v>31</v>
      </c>
      <c r="G5" s="4" t="s">
        <v>222</v>
      </c>
      <c r="H5" s="6" t="s">
        <v>8</v>
      </c>
      <c r="I5" s="6" t="s">
        <v>51</v>
      </c>
      <c r="J5" s="6">
        <v>0</v>
      </c>
      <c r="K5" s="6">
        <v>9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37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893</v>
      </c>
      <c r="AF5" s="7">
        <v>83400</v>
      </c>
      <c r="AG5" s="7">
        <v>5900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162</v>
      </c>
      <c r="AS5" s="7">
        <v>16200</v>
      </c>
      <c r="AT5" s="6">
        <v>0</v>
      </c>
      <c r="AU5" s="9">
        <v>105500</v>
      </c>
      <c r="AV5" s="13">
        <f t="shared" si="0"/>
        <v>105500</v>
      </c>
      <c r="AW5" s="14">
        <f t="shared" si="1"/>
        <v>73850</v>
      </c>
    </row>
    <row r="6" spans="1:49" x14ac:dyDescent="0.3">
      <c r="A6" s="1" t="s">
        <v>168</v>
      </c>
      <c r="B6" s="4" t="s">
        <v>57</v>
      </c>
      <c r="C6" s="4">
        <v>354950</v>
      </c>
      <c r="D6" s="5" t="s">
        <v>58</v>
      </c>
      <c r="E6" s="4" t="s">
        <v>28</v>
      </c>
      <c r="F6" s="4" t="s">
        <v>159</v>
      </c>
      <c r="G6" s="4" t="s">
        <v>222</v>
      </c>
      <c r="H6" s="6" t="s">
        <v>8</v>
      </c>
      <c r="I6" s="6" t="s">
        <v>59</v>
      </c>
      <c r="J6" s="6">
        <v>0</v>
      </c>
      <c r="K6" s="6">
        <v>48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5</v>
      </c>
      <c r="T6" s="6">
        <v>91</v>
      </c>
      <c r="U6" s="6">
        <v>0</v>
      </c>
      <c r="V6" s="6">
        <v>500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968</v>
      </c>
      <c r="AF6" s="7">
        <v>90200</v>
      </c>
      <c r="AG6" s="7">
        <v>6600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27</v>
      </c>
      <c r="AS6" s="7">
        <v>2200</v>
      </c>
      <c r="AT6" s="6">
        <v>500</v>
      </c>
      <c r="AU6" s="9">
        <v>100000</v>
      </c>
      <c r="AV6" s="13">
        <f t="shared" si="0"/>
        <v>100000</v>
      </c>
      <c r="AW6" s="14">
        <f t="shared" si="1"/>
        <v>70000</v>
      </c>
    </row>
    <row r="7" spans="1:49" x14ac:dyDescent="0.3">
      <c r="A7" s="1" t="s">
        <v>168</v>
      </c>
      <c r="B7" s="4" t="s">
        <v>39</v>
      </c>
      <c r="C7" s="4">
        <v>367415</v>
      </c>
      <c r="D7" s="5"/>
      <c r="E7" s="4" t="s">
        <v>28</v>
      </c>
      <c r="F7" s="4" t="s">
        <v>31</v>
      </c>
      <c r="G7" s="4" t="s">
        <v>222</v>
      </c>
      <c r="H7" s="6" t="s">
        <v>8</v>
      </c>
      <c r="I7" s="6" t="s">
        <v>40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81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773</v>
      </c>
      <c r="AF7" s="7">
        <v>71900</v>
      </c>
      <c r="AG7" s="7">
        <v>5400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72</v>
      </c>
      <c r="AS7" s="7">
        <v>7200</v>
      </c>
      <c r="AT7" s="6">
        <v>0</v>
      </c>
      <c r="AU7" s="9">
        <v>84500</v>
      </c>
      <c r="AV7" s="13">
        <f t="shared" si="0"/>
        <v>84500</v>
      </c>
      <c r="AW7" s="14">
        <f t="shared" si="1"/>
        <v>59149.999999999993</v>
      </c>
    </row>
    <row r="8" spans="1:49" x14ac:dyDescent="0.3">
      <c r="A8" s="1" t="s">
        <v>168</v>
      </c>
      <c r="B8" s="4" t="s">
        <v>75</v>
      </c>
      <c r="C8" s="4">
        <v>380954</v>
      </c>
      <c r="D8" s="5"/>
      <c r="E8" s="4" t="s">
        <v>28</v>
      </c>
      <c r="F8" s="4" t="s">
        <v>31</v>
      </c>
      <c r="G8" s="4" t="s">
        <v>222</v>
      </c>
      <c r="H8" s="6" t="s">
        <v>8</v>
      </c>
      <c r="I8" s="6" t="s">
        <v>32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87</v>
      </c>
      <c r="AC8" s="7">
        <v>77600</v>
      </c>
      <c r="AD8" s="6">
        <v>700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9">
        <v>78300</v>
      </c>
      <c r="AV8" s="13">
        <f t="shared" si="0"/>
        <v>78300</v>
      </c>
      <c r="AW8" s="14">
        <f t="shared" si="1"/>
        <v>54810</v>
      </c>
    </row>
    <row r="9" spans="1:49" ht="19.5" x14ac:dyDescent="0.3">
      <c r="A9" s="1" t="s">
        <v>168</v>
      </c>
      <c r="B9" s="4" t="s">
        <v>118</v>
      </c>
      <c r="C9" s="4">
        <v>456187</v>
      </c>
      <c r="D9" s="5"/>
      <c r="E9" s="4" t="s">
        <v>28</v>
      </c>
      <c r="F9" s="4" t="s">
        <v>63</v>
      </c>
      <c r="G9" s="4" t="s">
        <v>223</v>
      </c>
      <c r="H9" s="6" t="s">
        <v>9</v>
      </c>
      <c r="I9" s="6" t="s">
        <v>119</v>
      </c>
      <c r="J9" s="6">
        <v>0</v>
      </c>
      <c r="K9" s="6">
        <v>50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576</v>
      </c>
      <c r="AF9" s="7">
        <v>53700</v>
      </c>
      <c r="AG9" s="7">
        <v>3900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73</v>
      </c>
      <c r="AS9" s="7">
        <v>7300</v>
      </c>
      <c r="AT9" s="6">
        <v>0</v>
      </c>
      <c r="AU9" s="9">
        <v>64900</v>
      </c>
      <c r="AV9" s="13">
        <f t="shared" si="0"/>
        <v>64900</v>
      </c>
      <c r="AW9" s="14">
        <f t="shared" si="1"/>
        <v>45430</v>
      </c>
    </row>
    <row r="10" spans="1:49" x14ac:dyDescent="0.3">
      <c r="A10" s="1" t="s">
        <v>168</v>
      </c>
      <c r="B10" s="4" t="s">
        <v>87</v>
      </c>
      <c r="C10" s="4">
        <v>440710</v>
      </c>
      <c r="D10" s="5"/>
      <c r="E10" s="4" t="s">
        <v>28</v>
      </c>
      <c r="F10" s="4" t="s">
        <v>88</v>
      </c>
      <c r="G10" s="4" t="s">
        <v>224</v>
      </c>
      <c r="H10" s="6" t="s">
        <v>8</v>
      </c>
      <c r="I10" s="6" t="s">
        <v>111</v>
      </c>
      <c r="J10" s="6">
        <v>2</v>
      </c>
      <c r="K10" s="6">
        <v>867</v>
      </c>
      <c r="L10" s="6">
        <v>200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625</v>
      </c>
      <c r="AF10" s="7">
        <v>52600</v>
      </c>
      <c r="AG10" s="7">
        <v>9900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6</v>
      </c>
      <c r="AS10" s="6">
        <v>600</v>
      </c>
      <c r="AT10" s="6">
        <v>0</v>
      </c>
      <c r="AU10" s="9">
        <v>63300</v>
      </c>
      <c r="AV10" s="13">
        <f t="shared" si="0"/>
        <v>63300</v>
      </c>
      <c r="AW10" s="14">
        <f t="shared" si="1"/>
        <v>44310</v>
      </c>
    </row>
    <row r="11" spans="1:49" ht="19.5" x14ac:dyDescent="0.3">
      <c r="A11" s="1" t="s">
        <v>168</v>
      </c>
      <c r="B11" s="4" t="s">
        <v>27</v>
      </c>
      <c r="C11" s="4">
        <v>395341</v>
      </c>
      <c r="D11" s="5"/>
      <c r="E11" s="4" t="s">
        <v>28</v>
      </c>
      <c r="F11" s="4" t="s">
        <v>29</v>
      </c>
      <c r="G11" s="4" t="s">
        <v>225</v>
      </c>
      <c r="H11" s="6" t="s">
        <v>9</v>
      </c>
      <c r="I11" s="6" t="s">
        <v>30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480</v>
      </c>
      <c r="AF11" s="7">
        <v>31300</v>
      </c>
      <c r="AG11" s="7">
        <v>16700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141</v>
      </c>
      <c r="AS11" s="7">
        <v>13600</v>
      </c>
      <c r="AT11" s="6">
        <v>500</v>
      </c>
      <c r="AU11" s="9">
        <v>62100</v>
      </c>
      <c r="AV11" s="13">
        <f t="shared" si="0"/>
        <v>62100</v>
      </c>
      <c r="AW11" s="14">
        <f t="shared" si="1"/>
        <v>43470</v>
      </c>
    </row>
    <row r="12" spans="1:49" ht="19.5" x14ac:dyDescent="0.3">
      <c r="A12" s="1" t="s">
        <v>168</v>
      </c>
      <c r="B12" s="4" t="s">
        <v>179</v>
      </c>
      <c r="C12" s="4">
        <v>461450</v>
      </c>
      <c r="D12" s="5"/>
      <c r="E12" s="4" t="s">
        <v>28</v>
      </c>
      <c r="F12" s="4" t="s">
        <v>159</v>
      </c>
      <c r="G12" s="4" t="s">
        <v>84</v>
      </c>
      <c r="H12" s="6" t="s">
        <v>127</v>
      </c>
      <c r="I12" s="6" t="s">
        <v>176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37</v>
      </c>
      <c r="AC12" s="7">
        <v>33300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12</v>
      </c>
      <c r="AP12" s="7">
        <v>10800</v>
      </c>
      <c r="AQ12" s="6">
        <v>0</v>
      </c>
      <c r="AR12" s="6">
        <v>0</v>
      </c>
      <c r="AS12" s="6">
        <v>0</v>
      </c>
      <c r="AT12" s="6">
        <v>0</v>
      </c>
      <c r="AU12" s="9">
        <v>44100</v>
      </c>
      <c r="AV12" s="13">
        <f t="shared" si="0"/>
        <v>44100</v>
      </c>
      <c r="AW12" s="14">
        <f t="shared" si="1"/>
        <v>30869.999999999996</v>
      </c>
    </row>
    <row r="13" spans="1:49" ht="19.5" x14ac:dyDescent="0.3">
      <c r="A13" s="1" t="s">
        <v>168</v>
      </c>
      <c r="B13" s="4" t="s">
        <v>55</v>
      </c>
      <c r="C13" s="4">
        <v>372841</v>
      </c>
      <c r="D13" s="5"/>
      <c r="E13" s="4" t="s">
        <v>28</v>
      </c>
      <c r="F13" s="4" t="s">
        <v>44</v>
      </c>
      <c r="G13" s="4" t="s">
        <v>226</v>
      </c>
      <c r="H13" s="6" t="s">
        <v>9</v>
      </c>
      <c r="I13" s="6" t="s">
        <v>56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273</v>
      </c>
      <c r="AF13" s="7">
        <v>18200</v>
      </c>
      <c r="AG13" s="7">
        <v>9100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9">
        <v>27300</v>
      </c>
      <c r="AV13" s="13">
        <f t="shared" si="0"/>
        <v>27300</v>
      </c>
      <c r="AW13" s="14">
        <f t="shared" si="1"/>
        <v>19110</v>
      </c>
    </row>
    <row r="14" spans="1:49" x14ac:dyDescent="0.3">
      <c r="A14" s="1" t="s">
        <v>168</v>
      </c>
      <c r="B14" s="4" t="s">
        <v>107</v>
      </c>
      <c r="C14" s="4">
        <v>454228</v>
      </c>
      <c r="D14" s="5"/>
      <c r="E14" s="4" t="s">
        <v>28</v>
      </c>
      <c r="F14" s="4" t="s">
        <v>159</v>
      </c>
      <c r="G14" s="4" t="s">
        <v>84</v>
      </c>
      <c r="H14" s="6" t="s">
        <v>8</v>
      </c>
      <c r="I14" s="6" t="s">
        <v>108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29</v>
      </c>
      <c r="AC14" s="7">
        <v>26100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9">
        <v>26100</v>
      </c>
      <c r="AV14" s="13">
        <f t="shared" si="0"/>
        <v>26100</v>
      </c>
      <c r="AW14" s="14">
        <f t="shared" si="1"/>
        <v>18270</v>
      </c>
    </row>
    <row r="15" spans="1:49" x14ac:dyDescent="0.3">
      <c r="A15" s="1" t="s">
        <v>168</v>
      </c>
      <c r="B15" s="4" t="s">
        <v>53</v>
      </c>
      <c r="C15" s="4">
        <v>361185</v>
      </c>
      <c r="D15" s="5"/>
      <c r="E15" s="4" t="s">
        <v>28</v>
      </c>
      <c r="F15" s="4" t="s">
        <v>34</v>
      </c>
      <c r="G15" s="4" t="s">
        <v>222</v>
      </c>
      <c r="H15" s="6" t="s">
        <v>8</v>
      </c>
      <c r="I15" s="6" t="s">
        <v>54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9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237</v>
      </c>
      <c r="AF15" s="7">
        <v>22200</v>
      </c>
      <c r="AG15" s="7">
        <v>1500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9">
        <v>23700</v>
      </c>
      <c r="AV15" s="13">
        <f t="shared" si="0"/>
        <v>23700</v>
      </c>
      <c r="AW15" s="14">
        <f t="shared" si="1"/>
        <v>16590</v>
      </c>
    </row>
    <row r="16" spans="1:49" ht="19.5" x14ac:dyDescent="0.3">
      <c r="A16" s="1" t="s">
        <v>168</v>
      </c>
      <c r="B16" s="4" t="s">
        <v>104</v>
      </c>
      <c r="C16" s="4">
        <v>453397</v>
      </c>
      <c r="D16" s="5"/>
      <c r="E16" s="4" t="s">
        <v>28</v>
      </c>
      <c r="F16" s="4" t="s">
        <v>159</v>
      </c>
      <c r="G16" s="4" t="s">
        <v>84</v>
      </c>
      <c r="H16" s="6" t="s">
        <v>9</v>
      </c>
      <c r="I16" s="6" t="s">
        <v>105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195</v>
      </c>
      <c r="AF16" s="7">
        <v>19400</v>
      </c>
      <c r="AG16" s="6">
        <v>100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35</v>
      </c>
      <c r="AS16" s="7">
        <v>3500</v>
      </c>
      <c r="AT16" s="6">
        <v>0</v>
      </c>
      <c r="AU16" s="9">
        <v>23000</v>
      </c>
      <c r="AV16" s="13">
        <f t="shared" si="0"/>
        <v>23000</v>
      </c>
      <c r="AW16" s="14">
        <f t="shared" si="1"/>
        <v>16099.999999999998</v>
      </c>
    </row>
    <row r="17" spans="1:49" ht="19.5" x14ac:dyDescent="0.3">
      <c r="A17" s="1" t="s">
        <v>168</v>
      </c>
      <c r="B17" s="4" t="s">
        <v>99</v>
      </c>
      <c r="C17" s="4">
        <v>448030</v>
      </c>
      <c r="D17" s="5"/>
      <c r="E17" s="4" t="s">
        <v>28</v>
      </c>
      <c r="F17" s="4" t="s">
        <v>69</v>
      </c>
      <c r="G17" s="4" t="s">
        <v>223</v>
      </c>
      <c r="H17" s="6" t="s">
        <v>9</v>
      </c>
      <c r="I17" s="6" t="s">
        <v>100</v>
      </c>
      <c r="J17" s="6">
        <v>0</v>
      </c>
      <c r="K17" s="6">
        <v>674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139</v>
      </c>
      <c r="AF17" s="7">
        <v>10700</v>
      </c>
      <c r="AG17" s="7">
        <v>3200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67</v>
      </c>
      <c r="AS17" s="7">
        <v>6700</v>
      </c>
      <c r="AT17" s="6">
        <v>0</v>
      </c>
      <c r="AU17" s="9">
        <v>20600</v>
      </c>
      <c r="AV17" s="13">
        <f t="shared" si="0"/>
        <v>20600</v>
      </c>
      <c r="AW17" s="14">
        <f t="shared" si="1"/>
        <v>14419.999999999998</v>
      </c>
    </row>
    <row r="18" spans="1:49" ht="19.5" x14ac:dyDescent="0.3">
      <c r="A18" s="1" t="s">
        <v>168</v>
      </c>
      <c r="B18" s="4" t="s">
        <v>65</v>
      </c>
      <c r="C18" s="4">
        <v>387161</v>
      </c>
      <c r="D18" s="5"/>
      <c r="E18" s="4" t="s">
        <v>28</v>
      </c>
      <c r="F18" s="4" t="s">
        <v>66</v>
      </c>
      <c r="G18" s="4" t="s">
        <v>223</v>
      </c>
      <c r="H18" s="6" t="s">
        <v>52</v>
      </c>
      <c r="I18" s="6" t="s">
        <v>67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6</v>
      </c>
      <c r="AS18" s="7">
        <v>19200</v>
      </c>
      <c r="AT18" s="6">
        <v>0</v>
      </c>
      <c r="AU18" s="9">
        <v>19200</v>
      </c>
      <c r="AV18" s="13">
        <f t="shared" si="0"/>
        <v>19200</v>
      </c>
      <c r="AW18" s="14">
        <f t="shared" si="1"/>
        <v>13440</v>
      </c>
    </row>
    <row r="19" spans="1:49" ht="19.5" x14ac:dyDescent="0.3">
      <c r="A19" s="1" t="s">
        <v>168</v>
      </c>
      <c r="B19" s="4" t="s">
        <v>106</v>
      </c>
      <c r="C19" s="4">
        <v>453445</v>
      </c>
      <c r="D19" s="5"/>
      <c r="E19" s="4" t="s">
        <v>28</v>
      </c>
      <c r="F19" s="4" t="s">
        <v>159</v>
      </c>
      <c r="G19" s="4" t="s">
        <v>84</v>
      </c>
      <c r="H19" s="6" t="s">
        <v>9</v>
      </c>
      <c r="I19" s="6" t="s">
        <v>105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9</v>
      </c>
      <c r="AC19" s="7">
        <v>6300</v>
      </c>
      <c r="AD19" s="7">
        <v>1800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10</v>
      </c>
      <c r="AP19" s="7">
        <v>8800</v>
      </c>
      <c r="AQ19" s="6">
        <v>200</v>
      </c>
      <c r="AR19" s="6">
        <v>0</v>
      </c>
      <c r="AS19" s="6">
        <v>0</v>
      </c>
      <c r="AT19" s="6">
        <v>0</v>
      </c>
      <c r="AU19" s="9">
        <v>17100</v>
      </c>
      <c r="AV19" s="13">
        <f t="shared" si="0"/>
        <v>17100</v>
      </c>
      <c r="AW19" s="14">
        <f t="shared" si="1"/>
        <v>11970</v>
      </c>
    </row>
    <row r="20" spans="1:49" x14ac:dyDescent="0.3">
      <c r="A20" s="1" t="s">
        <v>168</v>
      </c>
      <c r="B20" s="4" t="s">
        <v>121</v>
      </c>
      <c r="C20" s="4">
        <v>455900</v>
      </c>
      <c r="D20" s="5"/>
      <c r="E20" s="4" t="s">
        <v>28</v>
      </c>
      <c r="F20" s="4" t="s">
        <v>159</v>
      </c>
      <c r="G20" s="4" t="s">
        <v>84</v>
      </c>
      <c r="H20" s="6" t="s">
        <v>8</v>
      </c>
      <c r="I20" s="6" t="s">
        <v>122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19</v>
      </c>
      <c r="AC20" s="7">
        <v>17100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9">
        <v>17100</v>
      </c>
      <c r="AV20" s="13">
        <f t="shared" si="0"/>
        <v>17100</v>
      </c>
      <c r="AW20" s="14">
        <f t="shared" si="1"/>
        <v>11970</v>
      </c>
    </row>
    <row r="21" spans="1:49" x14ac:dyDescent="0.3">
      <c r="A21" s="1" t="s">
        <v>168</v>
      </c>
      <c r="B21" s="4" t="s">
        <v>33</v>
      </c>
      <c r="C21" s="4">
        <v>397687</v>
      </c>
      <c r="D21" s="5"/>
      <c r="E21" s="4" t="s">
        <v>28</v>
      </c>
      <c r="F21" s="4" t="s">
        <v>34</v>
      </c>
      <c r="G21" s="4" t="s">
        <v>222</v>
      </c>
      <c r="H21" s="6" t="s">
        <v>8</v>
      </c>
      <c r="I21" s="6" t="s">
        <v>35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15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29</v>
      </c>
      <c r="AF21" s="7">
        <v>2900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138</v>
      </c>
      <c r="AS21" s="7">
        <v>13600</v>
      </c>
      <c r="AT21" s="6">
        <v>200</v>
      </c>
      <c r="AU21" s="9">
        <v>16700</v>
      </c>
      <c r="AV21" s="13">
        <f t="shared" si="0"/>
        <v>16700</v>
      </c>
      <c r="AW21" s="14">
        <f t="shared" si="1"/>
        <v>11690</v>
      </c>
    </row>
    <row r="22" spans="1:49" x14ac:dyDescent="0.3">
      <c r="A22" s="1" t="s">
        <v>168</v>
      </c>
      <c r="B22" s="4" t="s">
        <v>45</v>
      </c>
      <c r="C22" s="4">
        <v>424315</v>
      </c>
      <c r="D22" s="5"/>
      <c r="E22" s="4" t="s">
        <v>28</v>
      </c>
      <c r="F22" s="4" t="s">
        <v>34</v>
      </c>
      <c r="G22" s="4" t="s">
        <v>222</v>
      </c>
      <c r="H22" s="6" t="s">
        <v>8</v>
      </c>
      <c r="I22" s="6" t="s">
        <v>46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14</v>
      </c>
      <c r="AC22" s="7">
        <v>12600</v>
      </c>
      <c r="AD22" s="6">
        <v>0</v>
      </c>
      <c r="AE22" s="6">
        <v>1</v>
      </c>
      <c r="AF22" s="7">
        <v>3200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9">
        <v>15800</v>
      </c>
      <c r="AV22" s="13">
        <f t="shared" si="0"/>
        <v>15800</v>
      </c>
      <c r="AW22" s="14">
        <f t="shared" si="1"/>
        <v>11060</v>
      </c>
    </row>
    <row r="23" spans="1:49" x14ac:dyDescent="0.3">
      <c r="A23" s="1" t="s">
        <v>168</v>
      </c>
      <c r="B23" s="4" t="s">
        <v>48</v>
      </c>
      <c r="C23" s="4">
        <v>382098</v>
      </c>
      <c r="D23" s="5"/>
      <c r="E23" s="4" t="s">
        <v>28</v>
      </c>
      <c r="F23" s="4" t="s">
        <v>159</v>
      </c>
      <c r="G23" s="4" t="s">
        <v>222</v>
      </c>
      <c r="H23" s="6" t="s">
        <v>8</v>
      </c>
      <c r="I23" s="6" t="s">
        <v>49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15</v>
      </c>
      <c r="AC23" s="7">
        <v>6900</v>
      </c>
      <c r="AD23" s="7">
        <v>6600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9">
        <v>13500</v>
      </c>
      <c r="AV23" s="13">
        <f t="shared" si="0"/>
        <v>13500</v>
      </c>
      <c r="AW23" s="14">
        <f t="shared" si="1"/>
        <v>9450</v>
      </c>
    </row>
    <row r="24" spans="1:49" ht="19.5" x14ac:dyDescent="0.3">
      <c r="A24" s="1" t="s">
        <v>168</v>
      </c>
      <c r="B24" s="4" t="s">
        <v>112</v>
      </c>
      <c r="C24" s="4">
        <v>443543</v>
      </c>
      <c r="D24" s="5"/>
      <c r="E24" s="4" t="s">
        <v>28</v>
      </c>
      <c r="F24" s="4" t="s">
        <v>44</v>
      </c>
      <c r="G24" s="4" t="s">
        <v>225</v>
      </c>
      <c r="H24" s="6" t="s">
        <v>9</v>
      </c>
      <c r="I24" s="6" t="s">
        <v>80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124</v>
      </c>
      <c r="AF24" s="7">
        <v>12200</v>
      </c>
      <c r="AG24" s="6">
        <v>200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9">
        <v>12400</v>
      </c>
      <c r="AV24" s="13">
        <f t="shared" si="0"/>
        <v>12400</v>
      </c>
      <c r="AW24" s="14">
        <f t="shared" si="1"/>
        <v>8680</v>
      </c>
    </row>
    <row r="25" spans="1:49" x14ac:dyDescent="0.3">
      <c r="A25" s="1" t="s">
        <v>168</v>
      </c>
      <c r="B25" s="4" t="s">
        <v>89</v>
      </c>
      <c r="C25" s="4">
        <v>445598</v>
      </c>
      <c r="D25" s="5"/>
      <c r="E25" s="4" t="s">
        <v>28</v>
      </c>
      <c r="F25" s="4" t="s">
        <v>159</v>
      </c>
      <c r="G25" s="4" t="s">
        <v>84</v>
      </c>
      <c r="H25" s="6" t="s">
        <v>8</v>
      </c>
      <c r="I25" s="6" t="s">
        <v>86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72</v>
      </c>
      <c r="AF25" s="7">
        <v>7200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49</v>
      </c>
      <c r="AS25" s="7">
        <v>4900</v>
      </c>
      <c r="AT25" s="6">
        <v>0</v>
      </c>
      <c r="AU25" s="9">
        <v>12100</v>
      </c>
      <c r="AV25" s="13">
        <f t="shared" si="0"/>
        <v>12100</v>
      </c>
      <c r="AW25" s="14">
        <f t="shared" si="1"/>
        <v>8470</v>
      </c>
    </row>
    <row r="26" spans="1:49" ht="19.5" x14ac:dyDescent="0.3">
      <c r="A26" s="1" t="s">
        <v>168</v>
      </c>
      <c r="B26" s="4" t="s">
        <v>90</v>
      </c>
      <c r="C26" s="4">
        <v>445220</v>
      </c>
      <c r="D26" s="5"/>
      <c r="E26" s="4" t="s">
        <v>28</v>
      </c>
      <c r="F26" s="4" t="s">
        <v>76</v>
      </c>
      <c r="G26" s="4" t="s">
        <v>225</v>
      </c>
      <c r="H26" s="6" t="s">
        <v>9</v>
      </c>
      <c r="I26" s="6" t="s">
        <v>91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120</v>
      </c>
      <c r="AF26" s="7">
        <v>11300</v>
      </c>
      <c r="AG26" s="6">
        <v>700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9">
        <v>12000</v>
      </c>
      <c r="AV26" s="13">
        <f t="shared" si="0"/>
        <v>12000</v>
      </c>
      <c r="AW26" s="14">
        <f t="shared" si="1"/>
        <v>8400</v>
      </c>
    </row>
    <row r="27" spans="1:49" ht="19.5" x14ac:dyDescent="0.3">
      <c r="A27" s="1" t="s">
        <v>168</v>
      </c>
      <c r="B27" s="4" t="s">
        <v>124</v>
      </c>
      <c r="C27" s="4">
        <v>372422</v>
      </c>
      <c r="D27" s="5"/>
      <c r="E27" s="4" t="s">
        <v>28</v>
      </c>
      <c r="F27" s="4" t="s">
        <v>44</v>
      </c>
      <c r="G27" s="4" t="s">
        <v>226</v>
      </c>
      <c r="H27" s="6" t="s">
        <v>9</v>
      </c>
      <c r="I27" s="6" t="s">
        <v>125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120</v>
      </c>
      <c r="AF27" s="7">
        <v>12000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9">
        <v>12000</v>
      </c>
      <c r="AV27" s="13">
        <f t="shared" si="0"/>
        <v>12000</v>
      </c>
      <c r="AW27" s="14">
        <f t="shared" si="1"/>
        <v>8400</v>
      </c>
    </row>
    <row r="28" spans="1:49" x14ac:dyDescent="0.3">
      <c r="A28" s="1" t="s">
        <v>168</v>
      </c>
      <c r="B28" s="4" t="s">
        <v>47</v>
      </c>
      <c r="C28" s="4">
        <v>408836</v>
      </c>
      <c r="D28" s="5"/>
      <c r="E28" s="4" t="s">
        <v>28</v>
      </c>
      <c r="F28" s="4" t="s">
        <v>34</v>
      </c>
      <c r="G28" s="4" t="s">
        <v>222</v>
      </c>
      <c r="H28" s="6" t="s">
        <v>8</v>
      </c>
      <c r="I28" s="6" t="s">
        <v>11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4</v>
      </c>
      <c r="AC28" s="7">
        <v>2800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12</v>
      </c>
      <c r="AP28" s="7">
        <v>8400</v>
      </c>
      <c r="AQ28" s="6">
        <v>0</v>
      </c>
      <c r="AR28" s="6">
        <v>0</v>
      </c>
      <c r="AS28" s="6">
        <v>0</v>
      </c>
      <c r="AT28" s="6">
        <v>0</v>
      </c>
      <c r="AU28" s="9">
        <v>11200</v>
      </c>
      <c r="AV28" s="13">
        <f t="shared" si="0"/>
        <v>11200</v>
      </c>
      <c r="AW28" s="14">
        <f t="shared" si="1"/>
        <v>7839.9999999999991</v>
      </c>
    </row>
    <row r="29" spans="1:49" x14ac:dyDescent="0.3">
      <c r="A29" s="1" t="s">
        <v>168</v>
      </c>
      <c r="B29" s="4" t="s">
        <v>116</v>
      </c>
      <c r="C29" s="4">
        <v>408834</v>
      </c>
      <c r="D29" s="5"/>
      <c r="E29" s="4" t="s">
        <v>28</v>
      </c>
      <c r="F29" s="4" t="s">
        <v>34</v>
      </c>
      <c r="G29" s="4" t="s">
        <v>222</v>
      </c>
      <c r="H29" s="6" t="s">
        <v>8</v>
      </c>
      <c r="I29" s="6" t="s">
        <v>117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12</v>
      </c>
      <c r="AC29" s="7">
        <v>10800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9">
        <v>10800</v>
      </c>
      <c r="AV29" s="13">
        <f t="shared" si="0"/>
        <v>10800</v>
      </c>
      <c r="AW29" s="14">
        <f t="shared" si="1"/>
        <v>7559.9999999999991</v>
      </c>
    </row>
    <row r="30" spans="1:49" ht="19.5" x14ac:dyDescent="0.3">
      <c r="A30" s="1" t="s">
        <v>168</v>
      </c>
      <c r="B30" s="4" t="s">
        <v>82</v>
      </c>
      <c r="C30" s="4">
        <v>443833</v>
      </c>
      <c r="D30" s="5"/>
      <c r="E30" s="4" t="s">
        <v>28</v>
      </c>
      <c r="F30" s="4" t="s">
        <v>83</v>
      </c>
      <c r="G30" s="4" t="s">
        <v>225</v>
      </c>
      <c r="H30" s="6" t="s">
        <v>9</v>
      </c>
      <c r="I30" s="6" t="s">
        <v>81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105</v>
      </c>
      <c r="AF30" s="7">
        <v>10300</v>
      </c>
      <c r="AG30" s="6">
        <v>200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9">
        <v>10500</v>
      </c>
      <c r="AV30" s="13">
        <f t="shared" si="0"/>
        <v>10500</v>
      </c>
      <c r="AW30" s="14">
        <f t="shared" si="1"/>
        <v>7349.9999999999991</v>
      </c>
    </row>
    <row r="31" spans="1:49" ht="19.5" x14ac:dyDescent="0.3">
      <c r="A31" s="1" t="s">
        <v>168</v>
      </c>
      <c r="B31" s="4" t="s">
        <v>85</v>
      </c>
      <c r="C31" s="4">
        <v>445576</v>
      </c>
      <c r="D31" s="5"/>
      <c r="E31" s="4" t="s">
        <v>28</v>
      </c>
      <c r="F31" s="4" t="s">
        <v>159</v>
      </c>
      <c r="G31" s="4" t="s">
        <v>84</v>
      </c>
      <c r="H31" s="6" t="s">
        <v>8</v>
      </c>
      <c r="I31" s="6" t="s">
        <v>86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10</v>
      </c>
      <c r="AP31" s="7">
        <v>9000</v>
      </c>
      <c r="AQ31" s="6">
        <v>0</v>
      </c>
      <c r="AR31" s="6">
        <v>0</v>
      </c>
      <c r="AS31" s="6">
        <v>0</v>
      </c>
      <c r="AT31" s="6">
        <v>0</v>
      </c>
      <c r="AU31" s="9">
        <v>9000</v>
      </c>
      <c r="AV31" s="13">
        <f t="shared" si="0"/>
        <v>9000</v>
      </c>
      <c r="AW31" s="14">
        <f t="shared" si="1"/>
        <v>6300</v>
      </c>
    </row>
    <row r="32" spans="1:49" ht="19.5" x14ac:dyDescent="0.3">
      <c r="A32" s="1" t="s">
        <v>168</v>
      </c>
      <c r="B32" s="4" t="s">
        <v>227</v>
      </c>
      <c r="C32" s="4">
        <v>331453</v>
      </c>
      <c r="D32" s="5"/>
      <c r="E32" s="4" t="s">
        <v>28</v>
      </c>
      <c r="F32" s="4" t="s">
        <v>228</v>
      </c>
      <c r="G32" s="4" t="s">
        <v>225</v>
      </c>
      <c r="H32" s="6" t="s">
        <v>52</v>
      </c>
      <c r="I32" s="6" t="s">
        <v>229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2</v>
      </c>
      <c r="AF32" s="7">
        <v>9000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9">
        <v>9000</v>
      </c>
      <c r="AV32" s="13">
        <f t="shared" si="0"/>
        <v>9000</v>
      </c>
      <c r="AW32" s="14">
        <f t="shared" si="1"/>
        <v>6300</v>
      </c>
    </row>
    <row r="33" spans="1:49" x14ac:dyDescent="0.3">
      <c r="A33" s="1" t="s">
        <v>168</v>
      </c>
      <c r="B33" s="4" t="s">
        <v>180</v>
      </c>
      <c r="C33" s="4">
        <v>365225</v>
      </c>
      <c r="D33" s="5"/>
      <c r="E33" s="4" t="s">
        <v>28</v>
      </c>
      <c r="F33" s="4" t="s">
        <v>34</v>
      </c>
      <c r="G33" s="4" t="s">
        <v>222</v>
      </c>
      <c r="H33" s="6" t="s">
        <v>8</v>
      </c>
      <c r="I33" s="6" t="s">
        <v>181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10</v>
      </c>
      <c r="AC33" s="7">
        <v>9000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9">
        <v>9000</v>
      </c>
      <c r="AV33" s="13">
        <f t="shared" si="0"/>
        <v>9000</v>
      </c>
      <c r="AW33" s="14">
        <f t="shared" si="1"/>
        <v>6300</v>
      </c>
    </row>
    <row r="34" spans="1:49" ht="19.5" x14ac:dyDescent="0.3">
      <c r="A34" s="1" t="s">
        <v>168</v>
      </c>
      <c r="B34" s="4" t="s">
        <v>129</v>
      </c>
      <c r="C34" s="4">
        <v>368432</v>
      </c>
      <c r="D34" s="5"/>
      <c r="E34" s="4" t="s">
        <v>28</v>
      </c>
      <c r="F34" s="4" t="s">
        <v>37</v>
      </c>
      <c r="G34" s="4" t="s">
        <v>230</v>
      </c>
      <c r="H34" s="6" t="s">
        <v>9</v>
      </c>
      <c r="I34" s="6" t="s">
        <v>130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50</v>
      </c>
      <c r="AF34" s="7">
        <v>4900</v>
      </c>
      <c r="AG34" s="6">
        <v>100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40</v>
      </c>
      <c r="AS34" s="7">
        <v>4000</v>
      </c>
      <c r="AT34" s="6">
        <v>0</v>
      </c>
      <c r="AU34" s="9">
        <v>9000</v>
      </c>
      <c r="AV34" s="13">
        <f t="shared" si="0"/>
        <v>9000</v>
      </c>
      <c r="AW34" s="14">
        <f t="shared" si="1"/>
        <v>6300</v>
      </c>
    </row>
    <row r="35" spans="1:49" ht="19.5" x14ac:dyDescent="0.3">
      <c r="A35" s="1" t="s">
        <v>168</v>
      </c>
      <c r="B35" s="4" t="s">
        <v>131</v>
      </c>
      <c r="C35" s="4">
        <v>317429</v>
      </c>
      <c r="D35" s="5"/>
      <c r="E35" s="4" t="s">
        <v>28</v>
      </c>
      <c r="F35" s="4" t="s">
        <v>29</v>
      </c>
      <c r="G35" s="4" t="s">
        <v>225</v>
      </c>
      <c r="H35" s="6" t="s">
        <v>9</v>
      </c>
      <c r="I35" s="6" t="s">
        <v>132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2</v>
      </c>
      <c r="AF35" s="7">
        <v>8800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9">
        <v>8800</v>
      </c>
      <c r="AV35" s="13">
        <f t="shared" si="0"/>
        <v>8800</v>
      </c>
      <c r="AW35" s="14">
        <f t="shared" si="1"/>
        <v>6160</v>
      </c>
    </row>
    <row r="36" spans="1:49" x14ac:dyDescent="0.3">
      <c r="A36" s="1" t="s">
        <v>168</v>
      </c>
      <c r="B36" s="4" t="s">
        <v>123</v>
      </c>
      <c r="C36" s="4">
        <v>455896</v>
      </c>
      <c r="D36" s="5"/>
      <c r="E36" s="4" t="s">
        <v>28</v>
      </c>
      <c r="F36" s="4" t="s">
        <v>159</v>
      </c>
      <c r="G36" s="4" t="s">
        <v>84</v>
      </c>
      <c r="H36" s="6" t="s">
        <v>8</v>
      </c>
      <c r="I36" s="6" t="s">
        <v>122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48</v>
      </c>
      <c r="AF36" s="7">
        <v>4800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37</v>
      </c>
      <c r="AS36" s="7">
        <v>3700</v>
      </c>
      <c r="AT36" s="6">
        <v>0</v>
      </c>
      <c r="AU36" s="9">
        <v>8500</v>
      </c>
      <c r="AV36" s="13">
        <f t="shared" si="0"/>
        <v>8500</v>
      </c>
      <c r="AW36" s="14">
        <f t="shared" si="1"/>
        <v>5950</v>
      </c>
    </row>
    <row r="37" spans="1:49" x14ac:dyDescent="0.3">
      <c r="A37" s="1" t="s">
        <v>168</v>
      </c>
      <c r="B37" s="4" t="s">
        <v>199</v>
      </c>
      <c r="C37" s="4">
        <v>408846</v>
      </c>
      <c r="D37" s="5"/>
      <c r="E37" s="4" t="s">
        <v>28</v>
      </c>
      <c r="F37" s="4" t="s">
        <v>34</v>
      </c>
      <c r="G37" s="4" t="s">
        <v>222</v>
      </c>
      <c r="H37" s="6" t="s">
        <v>8</v>
      </c>
      <c r="I37" s="6" t="s">
        <v>200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9</v>
      </c>
      <c r="AC37" s="7">
        <v>8100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9">
        <v>8100</v>
      </c>
      <c r="AV37" s="13">
        <f t="shared" si="0"/>
        <v>8100</v>
      </c>
      <c r="AW37" s="14">
        <f t="shared" si="1"/>
        <v>5670</v>
      </c>
    </row>
    <row r="38" spans="1:49" x14ac:dyDescent="0.3">
      <c r="A38" s="1" t="s">
        <v>168</v>
      </c>
      <c r="B38" s="4" t="s">
        <v>41</v>
      </c>
      <c r="C38" s="4">
        <v>379289</v>
      </c>
      <c r="D38" s="5"/>
      <c r="E38" s="4" t="s">
        <v>28</v>
      </c>
      <c r="F38" s="4" t="s">
        <v>34</v>
      </c>
      <c r="G38" s="4" t="s">
        <v>222</v>
      </c>
      <c r="H38" s="6" t="s">
        <v>8</v>
      </c>
      <c r="I38" s="6" t="s">
        <v>42</v>
      </c>
      <c r="J38" s="6">
        <v>0</v>
      </c>
      <c r="K38" s="6">
        <v>1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9</v>
      </c>
      <c r="AC38" s="7">
        <v>8100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9">
        <v>8100</v>
      </c>
      <c r="AV38" s="13">
        <f t="shared" si="0"/>
        <v>8100</v>
      </c>
      <c r="AW38" s="14">
        <f t="shared" si="1"/>
        <v>5670</v>
      </c>
    </row>
    <row r="39" spans="1:49" ht="19.5" x14ac:dyDescent="0.3">
      <c r="A39" s="1" t="s">
        <v>168</v>
      </c>
      <c r="B39" s="4" t="s">
        <v>96</v>
      </c>
      <c r="C39" s="4">
        <v>443969</v>
      </c>
      <c r="D39" s="5"/>
      <c r="E39" s="4" t="s">
        <v>28</v>
      </c>
      <c r="F39" s="4" t="s">
        <v>63</v>
      </c>
      <c r="G39" s="4" t="s">
        <v>223</v>
      </c>
      <c r="H39" s="6" t="s">
        <v>9</v>
      </c>
      <c r="I39" s="6" t="s">
        <v>95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73</v>
      </c>
      <c r="AF39" s="7">
        <v>7300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9">
        <v>7300</v>
      </c>
      <c r="AV39" s="13">
        <f t="shared" si="0"/>
        <v>7300</v>
      </c>
      <c r="AW39" s="14">
        <f t="shared" si="1"/>
        <v>5110</v>
      </c>
    </row>
    <row r="40" spans="1:49" ht="19.5" x14ac:dyDescent="0.3">
      <c r="A40" s="1" t="s">
        <v>168</v>
      </c>
      <c r="B40" s="4" t="s">
        <v>156</v>
      </c>
      <c r="C40" s="4">
        <v>355068</v>
      </c>
      <c r="D40" s="5"/>
      <c r="E40" s="4" t="s">
        <v>28</v>
      </c>
      <c r="F40" s="4" t="s">
        <v>157</v>
      </c>
      <c r="G40" s="4" t="s">
        <v>225</v>
      </c>
      <c r="H40" s="6" t="s">
        <v>52</v>
      </c>
      <c r="I40" s="6" t="s">
        <v>158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2</v>
      </c>
      <c r="AF40" s="7">
        <v>7200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9">
        <v>7200</v>
      </c>
      <c r="AV40" s="13">
        <f t="shared" si="0"/>
        <v>7200</v>
      </c>
      <c r="AW40" s="14">
        <f t="shared" si="1"/>
        <v>5040</v>
      </c>
    </row>
    <row r="41" spans="1:49" x14ac:dyDescent="0.3">
      <c r="A41" s="1" t="s">
        <v>168</v>
      </c>
      <c r="B41" s="4" t="s">
        <v>101</v>
      </c>
      <c r="C41" s="4">
        <v>408833</v>
      </c>
      <c r="D41" s="5"/>
      <c r="E41" s="4" t="s">
        <v>28</v>
      </c>
      <c r="F41" s="4" t="s">
        <v>34</v>
      </c>
      <c r="G41" s="4" t="s">
        <v>222</v>
      </c>
      <c r="H41" s="6" t="s">
        <v>8</v>
      </c>
      <c r="I41" s="6" t="s">
        <v>102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8</v>
      </c>
      <c r="AC41" s="7">
        <v>7200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9">
        <v>7200</v>
      </c>
      <c r="AV41" s="13">
        <f t="shared" si="0"/>
        <v>7200</v>
      </c>
      <c r="AW41" s="14">
        <f t="shared" si="1"/>
        <v>5040</v>
      </c>
    </row>
    <row r="42" spans="1:49" ht="19.5" x14ac:dyDescent="0.3">
      <c r="A42" s="1" t="s">
        <v>168</v>
      </c>
      <c r="B42" s="4" t="s">
        <v>231</v>
      </c>
      <c r="C42" s="4">
        <v>367272</v>
      </c>
      <c r="D42" s="5"/>
      <c r="E42" s="4" t="s">
        <v>28</v>
      </c>
      <c r="F42" s="4" t="s">
        <v>43</v>
      </c>
      <c r="G42" s="4" t="s">
        <v>230</v>
      </c>
      <c r="H42" s="6" t="s">
        <v>9</v>
      </c>
      <c r="I42" s="6" t="s">
        <v>232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53</v>
      </c>
      <c r="AF42" s="7">
        <v>1700</v>
      </c>
      <c r="AG42" s="7">
        <v>3600</v>
      </c>
      <c r="AH42" s="6">
        <v>0</v>
      </c>
      <c r="AI42" s="6">
        <v>0</v>
      </c>
      <c r="AJ42" s="6">
        <v>0</v>
      </c>
      <c r="AK42" s="6">
        <v>18</v>
      </c>
      <c r="AL42" s="6">
        <v>0</v>
      </c>
      <c r="AM42" s="7">
        <v>1800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9">
        <v>7100</v>
      </c>
      <c r="AV42" s="13">
        <f t="shared" si="0"/>
        <v>7100</v>
      </c>
      <c r="AW42" s="14">
        <f t="shared" si="1"/>
        <v>4970</v>
      </c>
    </row>
    <row r="43" spans="1:49" ht="19.5" x14ac:dyDescent="0.3">
      <c r="A43" s="1" t="s">
        <v>168</v>
      </c>
      <c r="B43" s="4" t="s">
        <v>36</v>
      </c>
      <c r="C43" s="4">
        <v>354768</v>
      </c>
      <c r="D43" s="5"/>
      <c r="E43" s="4" t="s">
        <v>28</v>
      </c>
      <c r="F43" s="4" t="s">
        <v>37</v>
      </c>
      <c r="G43" s="4" t="s">
        <v>230</v>
      </c>
      <c r="H43" s="6" t="s">
        <v>9</v>
      </c>
      <c r="I43" s="6" t="s">
        <v>38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53</v>
      </c>
      <c r="AF43" s="7">
        <v>3800</v>
      </c>
      <c r="AG43" s="7">
        <v>1500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13</v>
      </c>
      <c r="AS43" s="7">
        <v>1200</v>
      </c>
      <c r="AT43" s="6">
        <v>100</v>
      </c>
      <c r="AU43" s="9">
        <v>6600</v>
      </c>
      <c r="AV43" s="13">
        <f t="shared" si="0"/>
        <v>6600</v>
      </c>
      <c r="AW43" s="14">
        <f t="shared" si="1"/>
        <v>4620</v>
      </c>
    </row>
    <row r="44" spans="1:49" x14ac:dyDescent="0.3">
      <c r="A44" s="1" t="s">
        <v>168</v>
      </c>
      <c r="B44" s="4" t="s">
        <v>120</v>
      </c>
      <c r="C44" s="4">
        <v>367412</v>
      </c>
      <c r="D44" s="5"/>
      <c r="E44" s="4" t="s">
        <v>28</v>
      </c>
      <c r="F44" s="4" t="s">
        <v>31</v>
      </c>
      <c r="G44" s="4" t="s">
        <v>222</v>
      </c>
      <c r="H44" s="6" t="s">
        <v>8</v>
      </c>
      <c r="I44" s="6" t="s">
        <v>32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2</v>
      </c>
      <c r="AF44" s="7">
        <v>6400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9">
        <v>6400</v>
      </c>
      <c r="AV44" s="13">
        <f t="shared" si="0"/>
        <v>6400</v>
      </c>
      <c r="AW44" s="14">
        <f t="shared" si="1"/>
        <v>4480</v>
      </c>
    </row>
    <row r="45" spans="1:49" x14ac:dyDescent="0.3">
      <c r="A45" s="1" t="s">
        <v>168</v>
      </c>
      <c r="B45" s="4" t="s">
        <v>109</v>
      </c>
      <c r="C45" s="4">
        <v>451972</v>
      </c>
      <c r="D45" s="5"/>
      <c r="E45" s="4" t="s">
        <v>28</v>
      </c>
      <c r="F45" s="4" t="s">
        <v>159</v>
      </c>
      <c r="G45" s="4" t="s">
        <v>84</v>
      </c>
      <c r="H45" s="6" t="s">
        <v>8</v>
      </c>
      <c r="I45" s="6" t="s">
        <v>105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7</v>
      </c>
      <c r="AC45" s="7">
        <v>6300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9">
        <v>6300</v>
      </c>
      <c r="AV45" s="13">
        <f t="shared" si="0"/>
        <v>6300</v>
      </c>
      <c r="AW45" s="14">
        <f t="shared" si="1"/>
        <v>4410</v>
      </c>
    </row>
    <row r="46" spans="1:49" ht="19.5" x14ac:dyDescent="0.3">
      <c r="A46" s="1" t="s">
        <v>168</v>
      </c>
      <c r="B46" s="4" t="s">
        <v>161</v>
      </c>
      <c r="C46" s="4">
        <v>460820</v>
      </c>
      <c r="D46" s="5"/>
      <c r="E46" s="4" t="s">
        <v>28</v>
      </c>
      <c r="F46" s="4" t="s">
        <v>162</v>
      </c>
      <c r="G46" s="4" t="s">
        <v>223</v>
      </c>
      <c r="H46" s="6" t="s">
        <v>9</v>
      </c>
      <c r="I46" s="6" t="s">
        <v>163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59</v>
      </c>
      <c r="AF46" s="7">
        <v>2000</v>
      </c>
      <c r="AG46" s="7">
        <v>3900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9">
        <v>5900</v>
      </c>
      <c r="AV46" s="13">
        <f t="shared" si="0"/>
        <v>5900</v>
      </c>
      <c r="AW46" s="14">
        <f t="shared" si="1"/>
        <v>4130</v>
      </c>
    </row>
    <row r="47" spans="1:49" ht="19.5" x14ac:dyDescent="0.3">
      <c r="A47" s="1" t="s">
        <v>168</v>
      </c>
      <c r="B47" s="4" t="s">
        <v>175</v>
      </c>
      <c r="C47" s="4">
        <v>461432</v>
      </c>
      <c r="D47" s="5"/>
      <c r="E47" s="4" t="s">
        <v>28</v>
      </c>
      <c r="F47" s="4" t="s">
        <v>159</v>
      </c>
      <c r="G47" s="4" t="s">
        <v>84</v>
      </c>
      <c r="H47" s="6" t="s">
        <v>127</v>
      </c>
      <c r="I47" s="6" t="s">
        <v>176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55</v>
      </c>
      <c r="AF47" s="6">
        <v>100</v>
      </c>
      <c r="AG47" s="7">
        <v>5400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2</v>
      </c>
      <c r="AS47" s="6">
        <v>200</v>
      </c>
      <c r="AT47" s="6">
        <v>0</v>
      </c>
      <c r="AU47" s="9">
        <v>5700</v>
      </c>
      <c r="AV47" s="13">
        <f t="shared" si="0"/>
        <v>5700</v>
      </c>
      <c r="AW47" s="14">
        <f t="shared" si="1"/>
        <v>3989.9999999999995</v>
      </c>
    </row>
    <row r="48" spans="1:49" ht="19.5" x14ac:dyDescent="0.3">
      <c r="A48" s="1" t="s">
        <v>168</v>
      </c>
      <c r="B48" s="4" t="s">
        <v>126</v>
      </c>
      <c r="C48" s="4">
        <v>312154</v>
      </c>
      <c r="D48" s="5"/>
      <c r="E48" s="4" t="s">
        <v>28</v>
      </c>
      <c r="F48" s="4" t="s">
        <v>44</v>
      </c>
      <c r="G48" s="4" t="s">
        <v>225</v>
      </c>
      <c r="H48" s="6" t="s">
        <v>127</v>
      </c>
      <c r="I48" s="6" t="s">
        <v>128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2</v>
      </c>
      <c r="AF48" s="7">
        <v>5600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9">
        <v>5600</v>
      </c>
      <c r="AV48" s="13">
        <f t="shared" si="0"/>
        <v>5600</v>
      </c>
      <c r="AW48" s="14">
        <f t="shared" si="1"/>
        <v>3919.9999999999995</v>
      </c>
    </row>
    <row r="49" spans="1:49" ht="19.5" x14ac:dyDescent="0.3">
      <c r="A49" s="1" t="s">
        <v>168</v>
      </c>
      <c r="B49" s="4" t="s">
        <v>233</v>
      </c>
      <c r="C49" s="4">
        <v>356315</v>
      </c>
      <c r="D49" s="5"/>
      <c r="E49" s="4" t="s">
        <v>28</v>
      </c>
      <c r="F49" s="4" t="s">
        <v>37</v>
      </c>
      <c r="G49" s="4" t="s">
        <v>230</v>
      </c>
      <c r="H49" s="6" t="s">
        <v>9</v>
      </c>
      <c r="I49" s="6" t="s">
        <v>234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17</v>
      </c>
      <c r="AF49" s="7">
        <v>1700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34</v>
      </c>
      <c r="AS49" s="7">
        <v>3400</v>
      </c>
      <c r="AT49" s="6">
        <v>0</v>
      </c>
      <c r="AU49" s="9">
        <v>5100</v>
      </c>
      <c r="AV49" s="13">
        <f t="shared" si="0"/>
        <v>5100</v>
      </c>
      <c r="AW49" s="14">
        <f t="shared" si="1"/>
        <v>3570</v>
      </c>
    </row>
    <row r="50" spans="1:49" ht="19.5" x14ac:dyDescent="0.3">
      <c r="A50" s="1" t="s">
        <v>168</v>
      </c>
      <c r="B50" s="4" t="s">
        <v>195</v>
      </c>
      <c r="C50" s="4">
        <v>405099</v>
      </c>
      <c r="D50" s="5"/>
      <c r="E50" s="4" t="s">
        <v>28</v>
      </c>
      <c r="F50" s="4" t="s">
        <v>196</v>
      </c>
      <c r="G50" s="4" t="s">
        <v>225</v>
      </c>
      <c r="H50" s="6" t="s">
        <v>9</v>
      </c>
      <c r="I50" s="6" t="s">
        <v>197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48</v>
      </c>
      <c r="AF50" s="7">
        <v>4800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9">
        <v>4800</v>
      </c>
      <c r="AV50" s="13">
        <f t="shared" si="0"/>
        <v>4800</v>
      </c>
      <c r="AW50" s="14">
        <f t="shared" si="1"/>
        <v>3360</v>
      </c>
    </row>
    <row r="51" spans="1:49" ht="19.5" x14ac:dyDescent="0.3">
      <c r="A51" s="1" t="s">
        <v>168</v>
      </c>
      <c r="B51" s="4" t="s">
        <v>235</v>
      </c>
      <c r="C51" s="4">
        <v>443521</v>
      </c>
      <c r="D51" s="5"/>
      <c r="E51" s="4" t="s">
        <v>28</v>
      </c>
      <c r="F51" s="4" t="s">
        <v>64</v>
      </c>
      <c r="G51" s="4" t="s">
        <v>225</v>
      </c>
      <c r="H51" s="6" t="s">
        <v>9</v>
      </c>
      <c r="I51" s="6" t="s">
        <v>80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48</v>
      </c>
      <c r="AF51" s="6">
        <v>500</v>
      </c>
      <c r="AG51" s="7">
        <v>4300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9">
        <v>4800</v>
      </c>
      <c r="AV51" s="13">
        <f t="shared" si="0"/>
        <v>4800</v>
      </c>
      <c r="AW51" s="14">
        <f t="shared" si="1"/>
        <v>3360</v>
      </c>
    </row>
    <row r="52" spans="1:49" x14ac:dyDescent="0.3">
      <c r="A52" s="1" t="s">
        <v>168</v>
      </c>
      <c r="B52" s="4" t="s">
        <v>139</v>
      </c>
      <c r="C52" s="4">
        <v>408838</v>
      </c>
      <c r="D52" s="5"/>
      <c r="E52" s="4" t="s">
        <v>28</v>
      </c>
      <c r="F52" s="4" t="s">
        <v>34</v>
      </c>
      <c r="G52" s="4" t="s">
        <v>222</v>
      </c>
      <c r="H52" s="6" t="s">
        <v>8</v>
      </c>
      <c r="I52" s="6" t="s">
        <v>117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47</v>
      </c>
      <c r="AF52" s="7">
        <v>4700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9">
        <v>4700</v>
      </c>
      <c r="AV52" s="13">
        <f t="shared" si="0"/>
        <v>4700</v>
      </c>
      <c r="AW52" s="14">
        <f t="shared" si="1"/>
        <v>3290</v>
      </c>
    </row>
    <row r="53" spans="1:49" ht="19.5" x14ac:dyDescent="0.3">
      <c r="A53" s="1" t="s">
        <v>168</v>
      </c>
      <c r="B53" s="4" t="s">
        <v>236</v>
      </c>
      <c r="C53" s="4">
        <v>465771</v>
      </c>
      <c r="D53" s="5"/>
      <c r="E53" s="4" t="s">
        <v>28</v>
      </c>
      <c r="F53" s="4" t="s">
        <v>237</v>
      </c>
      <c r="G53" s="4" t="s">
        <v>220</v>
      </c>
      <c r="H53" s="6" t="s">
        <v>127</v>
      </c>
      <c r="I53" s="6" t="s">
        <v>238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2</v>
      </c>
      <c r="AF53" s="7">
        <v>4000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9">
        <v>4000</v>
      </c>
      <c r="AV53" s="13">
        <f t="shared" si="0"/>
        <v>4000</v>
      </c>
      <c r="AW53" s="14">
        <f t="shared" si="1"/>
        <v>2800</v>
      </c>
    </row>
    <row r="54" spans="1:49" ht="19.5" x14ac:dyDescent="0.3">
      <c r="A54" s="1" t="s">
        <v>168</v>
      </c>
      <c r="B54" s="4" t="s">
        <v>182</v>
      </c>
      <c r="C54" s="4">
        <v>461348</v>
      </c>
      <c r="D54" s="5"/>
      <c r="E54" s="4" t="s">
        <v>28</v>
      </c>
      <c r="F54" s="4" t="s">
        <v>183</v>
      </c>
      <c r="G54" s="4" t="s">
        <v>220</v>
      </c>
      <c r="H54" s="6" t="s">
        <v>127</v>
      </c>
      <c r="I54" s="6" t="s">
        <v>184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1</v>
      </c>
      <c r="AF54" s="7">
        <v>2000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1</v>
      </c>
      <c r="AS54" s="7">
        <v>2000</v>
      </c>
      <c r="AT54" s="6">
        <v>0</v>
      </c>
      <c r="AU54" s="9">
        <v>4000</v>
      </c>
      <c r="AV54" s="13">
        <f t="shared" si="0"/>
        <v>4000</v>
      </c>
      <c r="AW54" s="14">
        <f t="shared" si="1"/>
        <v>2800</v>
      </c>
    </row>
    <row r="55" spans="1:49" ht="19.5" x14ac:dyDescent="0.3">
      <c r="A55" s="1" t="s">
        <v>168</v>
      </c>
      <c r="B55" s="4" t="s">
        <v>151</v>
      </c>
      <c r="C55" s="4">
        <v>351091</v>
      </c>
      <c r="D55" s="5"/>
      <c r="E55" s="4" t="s">
        <v>28</v>
      </c>
      <c r="F55" s="4" t="s">
        <v>44</v>
      </c>
      <c r="G55" s="4" t="s">
        <v>225</v>
      </c>
      <c r="H55" s="6" t="s">
        <v>52</v>
      </c>
      <c r="I55" s="6" t="s">
        <v>152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1</v>
      </c>
      <c r="AS55" s="7">
        <v>3600</v>
      </c>
      <c r="AT55" s="6">
        <v>0</v>
      </c>
      <c r="AU55" s="9">
        <v>3600</v>
      </c>
      <c r="AV55" s="13">
        <f t="shared" si="0"/>
        <v>3600</v>
      </c>
      <c r="AW55" s="14">
        <f t="shared" si="1"/>
        <v>2520</v>
      </c>
    </row>
    <row r="56" spans="1:49" ht="19.5" x14ac:dyDescent="0.3">
      <c r="A56" s="1" t="s">
        <v>168</v>
      </c>
      <c r="B56" s="4" t="s">
        <v>60</v>
      </c>
      <c r="C56" s="4">
        <v>395231</v>
      </c>
      <c r="D56" s="5"/>
      <c r="E56" s="4" t="s">
        <v>28</v>
      </c>
      <c r="F56" s="4" t="s">
        <v>29</v>
      </c>
      <c r="G56" s="4" t="s">
        <v>225</v>
      </c>
      <c r="H56" s="6" t="s">
        <v>52</v>
      </c>
      <c r="I56" s="6" t="s">
        <v>61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1</v>
      </c>
      <c r="AF56" s="7">
        <v>3500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9">
        <v>3500</v>
      </c>
      <c r="AV56" s="13">
        <f t="shared" si="0"/>
        <v>3500</v>
      </c>
      <c r="AW56" s="14">
        <f t="shared" si="1"/>
        <v>2450</v>
      </c>
    </row>
    <row r="57" spans="1:49" ht="19.5" x14ac:dyDescent="0.3">
      <c r="A57" s="1" t="s">
        <v>168</v>
      </c>
      <c r="B57" s="4" t="s">
        <v>167</v>
      </c>
      <c r="C57" s="4">
        <v>460821</v>
      </c>
      <c r="D57" s="5"/>
      <c r="E57" s="4" t="s">
        <v>28</v>
      </c>
      <c r="F57" s="4" t="s">
        <v>162</v>
      </c>
      <c r="G57" s="4" t="s">
        <v>223</v>
      </c>
      <c r="H57" s="6" t="s">
        <v>9</v>
      </c>
      <c r="I57" s="6" t="s">
        <v>163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1</v>
      </c>
      <c r="AS57" s="7">
        <v>3400</v>
      </c>
      <c r="AT57" s="6">
        <v>0</v>
      </c>
      <c r="AU57" s="9">
        <v>3400</v>
      </c>
      <c r="AV57" s="13">
        <f t="shared" si="0"/>
        <v>3400</v>
      </c>
      <c r="AW57" s="14">
        <f t="shared" si="1"/>
        <v>2380</v>
      </c>
    </row>
    <row r="58" spans="1:49" ht="19.5" x14ac:dyDescent="0.3">
      <c r="A58" s="1" t="s">
        <v>168</v>
      </c>
      <c r="B58" s="4" t="s">
        <v>92</v>
      </c>
      <c r="C58" s="4">
        <v>445954</v>
      </c>
      <c r="D58" s="5"/>
      <c r="E58" s="4" t="s">
        <v>28</v>
      </c>
      <c r="F58" s="4" t="s">
        <v>69</v>
      </c>
      <c r="G58" s="4" t="s">
        <v>223</v>
      </c>
      <c r="H58" s="6" t="s">
        <v>9</v>
      </c>
      <c r="I58" s="6" t="s">
        <v>93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32</v>
      </c>
      <c r="AF58" s="7">
        <v>3100</v>
      </c>
      <c r="AG58" s="6">
        <v>100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9">
        <v>3200</v>
      </c>
      <c r="AV58" s="13">
        <f t="shared" si="0"/>
        <v>3200</v>
      </c>
      <c r="AW58" s="14">
        <f t="shared" si="1"/>
        <v>2240</v>
      </c>
    </row>
    <row r="59" spans="1:49" ht="19.5" x14ac:dyDescent="0.3">
      <c r="A59" s="1" t="s">
        <v>168</v>
      </c>
      <c r="B59" s="4" t="s">
        <v>185</v>
      </c>
      <c r="C59" s="4">
        <v>366373</v>
      </c>
      <c r="D59" s="5"/>
      <c r="E59" s="4" t="s">
        <v>28</v>
      </c>
      <c r="F59" s="4" t="s">
        <v>186</v>
      </c>
      <c r="G59" s="4" t="s">
        <v>230</v>
      </c>
      <c r="H59" s="6" t="s">
        <v>9</v>
      </c>
      <c r="I59" s="6" t="s">
        <v>187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32</v>
      </c>
      <c r="AF59" s="7">
        <v>3200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9">
        <v>3200</v>
      </c>
      <c r="AV59" s="13">
        <f t="shared" si="0"/>
        <v>3200</v>
      </c>
      <c r="AW59" s="14">
        <f t="shared" si="1"/>
        <v>2240</v>
      </c>
    </row>
    <row r="60" spans="1:49" ht="19.5" x14ac:dyDescent="0.3">
      <c r="A60" s="1" t="s">
        <v>168</v>
      </c>
      <c r="B60" s="4" t="s">
        <v>70</v>
      </c>
      <c r="C60" s="4">
        <v>423507</v>
      </c>
      <c r="D60" s="5"/>
      <c r="E60" s="4" t="s">
        <v>28</v>
      </c>
      <c r="F60" s="4" t="s">
        <v>64</v>
      </c>
      <c r="G60" s="4" t="s">
        <v>225</v>
      </c>
      <c r="H60" s="6" t="s">
        <v>52</v>
      </c>
      <c r="I60" s="6" t="s">
        <v>71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1</v>
      </c>
      <c r="AF60" s="7">
        <v>3200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9">
        <v>3200</v>
      </c>
      <c r="AV60" s="13">
        <f t="shared" si="0"/>
        <v>3200</v>
      </c>
      <c r="AW60" s="14">
        <f t="shared" si="1"/>
        <v>2240</v>
      </c>
    </row>
    <row r="61" spans="1:49" ht="19.5" x14ac:dyDescent="0.3">
      <c r="A61" s="1" t="s">
        <v>168</v>
      </c>
      <c r="B61" s="4" t="s">
        <v>77</v>
      </c>
      <c r="C61" s="4">
        <v>442667</v>
      </c>
      <c r="D61" s="5"/>
      <c r="E61" s="4" t="s">
        <v>28</v>
      </c>
      <c r="F61" s="4" t="s">
        <v>78</v>
      </c>
      <c r="G61" s="4" t="s">
        <v>225</v>
      </c>
      <c r="H61" s="6" t="s">
        <v>52</v>
      </c>
      <c r="I61" s="6" t="s">
        <v>79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1</v>
      </c>
      <c r="AF61" s="6">
        <v>0</v>
      </c>
      <c r="AG61" s="7">
        <v>3000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9">
        <v>3000</v>
      </c>
      <c r="AV61" s="13">
        <f t="shared" si="0"/>
        <v>3000</v>
      </c>
      <c r="AW61" s="14">
        <f t="shared" si="1"/>
        <v>2100</v>
      </c>
    </row>
    <row r="62" spans="1:49" ht="19.5" x14ac:dyDescent="0.3">
      <c r="A62" s="1" t="s">
        <v>168</v>
      </c>
      <c r="B62" s="4" t="s">
        <v>169</v>
      </c>
      <c r="C62" s="4">
        <v>459229</v>
      </c>
      <c r="D62" s="5"/>
      <c r="E62" s="4" t="s">
        <v>28</v>
      </c>
      <c r="F62" s="4" t="s">
        <v>170</v>
      </c>
      <c r="G62" s="4" t="s">
        <v>220</v>
      </c>
      <c r="H62" s="6" t="s">
        <v>52</v>
      </c>
      <c r="I62" s="6" t="s">
        <v>171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1</v>
      </c>
      <c r="AF62" s="7">
        <v>3000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9">
        <v>3000</v>
      </c>
      <c r="AV62" s="13">
        <f t="shared" si="0"/>
        <v>3000</v>
      </c>
      <c r="AW62" s="14">
        <f t="shared" si="1"/>
        <v>2100</v>
      </c>
    </row>
    <row r="63" spans="1:49" ht="19.5" x14ac:dyDescent="0.3">
      <c r="A63" s="1" t="s">
        <v>168</v>
      </c>
      <c r="B63" s="4" t="s">
        <v>239</v>
      </c>
      <c r="C63" s="4">
        <v>465270</v>
      </c>
      <c r="D63" s="5"/>
      <c r="E63" s="4" t="s">
        <v>28</v>
      </c>
      <c r="F63" s="4" t="s">
        <v>63</v>
      </c>
      <c r="G63" s="4" t="s">
        <v>223</v>
      </c>
      <c r="H63" s="6" t="s">
        <v>9</v>
      </c>
      <c r="I63" s="6" t="s">
        <v>221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1</v>
      </c>
      <c r="AF63" s="7">
        <v>3000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9">
        <v>3000</v>
      </c>
      <c r="AV63" s="13">
        <f t="shared" si="0"/>
        <v>3000</v>
      </c>
      <c r="AW63" s="14">
        <f t="shared" si="1"/>
        <v>2100</v>
      </c>
    </row>
    <row r="64" spans="1:49" ht="19.5" x14ac:dyDescent="0.3">
      <c r="A64" s="1" t="s">
        <v>168</v>
      </c>
      <c r="B64" s="4" t="s">
        <v>240</v>
      </c>
      <c r="C64" s="4">
        <v>335136</v>
      </c>
      <c r="D64" s="5"/>
      <c r="E64" s="4" t="s">
        <v>28</v>
      </c>
      <c r="F64" s="4" t="s">
        <v>191</v>
      </c>
      <c r="G64" s="4" t="s">
        <v>225</v>
      </c>
      <c r="H64" s="6" t="s">
        <v>52</v>
      </c>
      <c r="I64" s="6" t="s">
        <v>241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1</v>
      </c>
      <c r="AS64" s="7">
        <v>3000</v>
      </c>
      <c r="AT64" s="6">
        <v>0</v>
      </c>
      <c r="AU64" s="9">
        <v>3000</v>
      </c>
      <c r="AV64" s="13">
        <f t="shared" si="0"/>
        <v>3000</v>
      </c>
      <c r="AW64" s="14">
        <f t="shared" si="1"/>
        <v>2100</v>
      </c>
    </row>
    <row r="65" spans="1:49" ht="19.5" x14ac:dyDescent="0.3">
      <c r="A65" s="1" t="s">
        <v>168</v>
      </c>
      <c r="B65" s="4" t="s">
        <v>242</v>
      </c>
      <c r="C65" s="4">
        <v>317423</v>
      </c>
      <c r="D65" s="5"/>
      <c r="E65" s="4" t="s">
        <v>28</v>
      </c>
      <c r="F65" s="4" t="s">
        <v>243</v>
      </c>
      <c r="G65" s="4" t="s">
        <v>225</v>
      </c>
      <c r="H65" s="6" t="s">
        <v>52</v>
      </c>
      <c r="I65" s="6" t="s">
        <v>132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1</v>
      </c>
      <c r="AF65" s="7">
        <v>2900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9">
        <v>2900</v>
      </c>
      <c r="AV65" s="13">
        <f t="shared" si="0"/>
        <v>2900</v>
      </c>
      <c r="AW65" s="14">
        <f t="shared" si="1"/>
        <v>2029.9999999999998</v>
      </c>
    </row>
    <row r="66" spans="1:49" ht="19.5" x14ac:dyDescent="0.3">
      <c r="A66" s="1" t="s">
        <v>168</v>
      </c>
      <c r="B66" s="4" t="s">
        <v>103</v>
      </c>
      <c r="C66" s="4">
        <v>430442</v>
      </c>
      <c r="D66" s="5"/>
      <c r="E66" s="4" t="s">
        <v>28</v>
      </c>
      <c r="F66" s="4" t="s">
        <v>64</v>
      </c>
      <c r="G66" s="4" t="s">
        <v>225</v>
      </c>
      <c r="H66" s="6" t="s">
        <v>52</v>
      </c>
      <c r="I66" s="6" t="s">
        <v>68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1</v>
      </c>
      <c r="AS66" s="7">
        <v>1900</v>
      </c>
      <c r="AT66" s="6">
        <v>900</v>
      </c>
      <c r="AU66" s="9">
        <v>2800</v>
      </c>
      <c r="AV66" s="13">
        <f t="shared" si="0"/>
        <v>2800</v>
      </c>
      <c r="AW66" s="14">
        <f t="shared" si="1"/>
        <v>1959.9999999999998</v>
      </c>
    </row>
    <row r="67" spans="1:49" ht="19.5" x14ac:dyDescent="0.3">
      <c r="A67" s="1" t="s">
        <v>168</v>
      </c>
      <c r="B67" s="4" t="s">
        <v>244</v>
      </c>
      <c r="C67" s="4">
        <v>317395</v>
      </c>
      <c r="D67" s="5"/>
      <c r="E67" s="4" t="s">
        <v>28</v>
      </c>
      <c r="F67" s="4" t="s">
        <v>245</v>
      </c>
      <c r="G67" s="4" t="s">
        <v>246</v>
      </c>
      <c r="H67" s="6" t="s">
        <v>52</v>
      </c>
      <c r="I67" s="6" t="s">
        <v>132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1</v>
      </c>
      <c r="AS67" s="7">
        <v>2800</v>
      </c>
      <c r="AT67" s="6">
        <v>0</v>
      </c>
      <c r="AU67" s="9">
        <v>2800</v>
      </c>
      <c r="AV67" s="13">
        <f t="shared" ref="AV67:AV120" si="2">AU67-AN67</f>
        <v>2800</v>
      </c>
      <c r="AW67" s="14">
        <f t="shared" ref="AW67:AW120" si="3">AV67*70%</f>
        <v>1959.9999999999998</v>
      </c>
    </row>
    <row r="68" spans="1:49" ht="19.5" x14ac:dyDescent="0.3">
      <c r="A68" s="1" t="s">
        <v>168</v>
      </c>
      <c r="B68" s="4" t="s">
        <v>247</v>
      </c>
      <c r="C68" s="4">
        <v>316505</v>
      </c>
      <c r="D68" s="5"/>
      <c r="E68" s="4" t="s">
        <v>28</v>
      </c>
      <c r="F68" s="4" t="s">
        <v>172</v>
      </c>
      <c r="G68" s="4" t="s">
        <v>225</v>
      </c>
      <c r="H68" s="6" t="s">
        <v>52</v>
      </c>
      <c r="I68" s="6" t="s">
        <v>248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1</v>
      </c>
      <c r="AF68" s="7">
        <v>2800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9">
        <v>2800</v>
      </c>
      <c r="AV68" s="13">
        <f t="shared" si="2"/>
        <v>2800</v>
      </c>
      <c r="AW68" s="14">
        <f t="shared" si="3"/>
        <v>1959.9999999999998</v>
      </c>
    </row>
    <row r="69" spans="1:49" ht="19.5" x14ac:dyDescent="0.3">
      <c r="A69" s="1" t="s">
        <v>168</v>
      </c>
      <c r="B69" s="4" t="s">
        <v>249</v>
      </c>
      <c r="C69" s="4">
        <v>314931</v>
      </c>
      <c r="D69" s="5"/>
      <c r="E69" s="4" t="s">
        <v>28</v>
      </c>
      <c r="F69" s="4" t="s">
        <v>245</v>
      </c>
      <c r="G69" s="4" t="s">
        <v>246</v>
      </c>
      <c r="H69" s="6" t="s">
        <v>52</v>
      </c>
      <c r="I69" s="6" t="s">
        <v>250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1</v>
      </c>
      <c r="AS69" s="7">
        <v>2500</v>
      </c>
      <c r="AT69" s="6">
        <v>0</v>
      </c>
      <c r="AU69" s="9">
        <v>2500</v>
      </c>
      <c r="AV69" s="13">
        <f t="shared" si="2"/>
        <v>2500</v>
      </c>
      <c r="AW69" s="14">
        <f t="shared" si="3"/>
        <v>1750</v>
      </c>
    </row>
    <row r="70" spans="1:49" ht="19.5" x14ac:dyDescent="0.3">
      <c r="A70" s="1" t="s">
        <v>168</v>
      </c>
      <c r="B70" s="4" t="s">
        <v>140</v>
      </c>
      <c r="C70" s="4">
        <v>457533</v>
      </c>
      <c r="D70" s="5"/>
      <c r="E70" s="4" t="s">
        <v>28</v>
      </c>
      <c r="F70" s="4" t="s">
        <v>141</v>
      </c>
      <c r="G70" s="4" t="s">
        <v>220</v>
      </c>
      <c r="H70" s="6" t="s">
        <v>52</v>
      </c>
      <c r="I70" s="6" t="s">
        <v>142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1</v>
      </c>
      <c r="AF70" s="7">
        <v>2500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9">
        <v>2500</v>
      </c>
      <c r="AV70" s="13">
        <f t="shared" si="2"/>
        <v>2500</v>
      </c>
      <c r="AW70" s="14">
        <f t="shared" si="3"/>
        <v>1750</v>
      </c>
    </row>
    <row r="71" spans="1:49" x14ac:dyDescent="0.3">
      <c r="A71" s="1" t="s">
        <v>168</v>
      </c>
      <c r="B71" s="4" t="s">
        <v>164</v>
      </c>
      <c r="C71" s="4">
        <v>459224</v>
      </c>
      <c r="D71" s="5"/>
      <c r="E71" s="4" t="s">
        <v>28</v>
      </c>
      <c r="F71" s="4" t="s">
        <v>165</v>
      </c>
      <c r="G71" s="4" t="s">
        <v>220</v>
      </c>
      <c r="H71" s="6" t="s">
        <v>8</v>
      </c>
      <c r="I71" s="6" t="s">
        <v>166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1</v>
      </c>
      <c r="AF71" s="6">
        <v>0</v>
      </c>
      <c r="AG71" s="7">
        <v>2000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9">
        <v>2000</v>
      </c>
      <c r="AV71" s="13">
        <f t="shared" si="2"/>
        <v>2000</v>
      </c>
      <c r="AW71" s="14">
        <f t="shared" si="3"/>
        <v>1400</v>
      </c>
    </row>
    <row r="72" spans="1:49" x14ac:dyDescent="0.3">
      <c r="A72" s="1" t="s">
        <v>168</v>
      </c>
      <c r="B72" s="4" t="s">
        <v>188</v>
      </c>
      <c r="C72" s="4">
        <v>461355</v>
      </c>
      <c r="D72" s="5"/>
      <c r="E72" s="4" t="s">
        <v>28</v>
      </c>
      <c r="F72" s="4" t="s">
        <v>189</v>
      </c>
      <c r="G72" s="4" t="s">
        <v>220</v>
      </c>
      <c r="H72" s="6" t="s">
        <v>8</v>
      </c>
      <c r="I72" s="6" t="s">
        <v>190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1</v>
      </c>
      <c r="AF72" s="7">
        <v>2000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9">
        <v>2000</v>
      </c>
      <c r="AV72" s="13">
        <f t="shared" si="2"/>
        <v>2000</v>
      </c>
      <c r="AW72" s="14">
        <f t="shared" si="3"/>
        <v>1400</v>
      </c>
    </row>
    <row r="73" spans="1:49" ht="19.5" x14ac:dyDescent="0.3">
      <c r="A73" s="1" t="s">
        <v>168</v>
      </c>
      <c r="B73" s="4" t="s">
        <v>198</v>
      </c>
      <c r="C73" s="4">
        <v>443839</v>
      </c>
      <c r="D73" s="5"/>
      <c r="E73" s="4" t="s">
        <v>28</v>
      </c>
      <c r="F73" s="4" t="s">
        <v>63</v>
      </c>
      <c r="G73" s="4" t="s">
        <v>223</v>
      </c>
      <c r="H73" s="6" t="s">
        <v>9</v>
      </c>
      <c r="I73" s="6" t="s">
        <v>81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14</v>
      </c>
      <c r="AF73" s="6">
        <v>0</v>
      </c>
      <c r="AG73" s="7">
        <v>1400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9">
        <v>1400</v>
      </c>
      <c r="AV73" s="13">
        <f t="shared" si="2"/>
        <v>1400</v>
      </c>
      <c r="AW73" s="14">
        <f t="shared" si="3"/>
        <v>979.99999999999989</v>
      </c>
    </row>
    <row r="74" spans="1:49" x14ac:dyDescent="0.3">
      <c r="A74" s="1" t="s">
        <v>168</v>
      </c>
      <c r="B74" s="4" t="s">
        <v>97</v>
      </c>
      <c r="C74" s="4">
        <v>442342</v>
      </c>
      <c r="D74" s="5"/>
      <c r="E74" s="4" t="s">
        <v>28</v>
      </c>
      <c r="F74" s="4" t="s">
        <v>98</v>
      </c>
      <c r="G74" s="4" t="s">
        <v>224</v>
      </c>
      <c r="H74" s="6" t="s">
        <v>8</v>
      </c>
      <c r="I74" s="6" t="s">
        <v>160</v>
      </c>
      <c r="J74" s="6">
        <v>1</v>
      </c>
      <c r="K74" s="6">
        <v>0</v>
      </c>
      <c r="L74" s="6">
        <v>100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10</v>
      </c>
      <c r="AF74" s="6">
        <v>700</v>
      </c>
      <c r="AG74" s="6">
        <v>300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1</v>
      </c>
      <c r="AS74" s="6">
        <v>100</v>
      </c>
      <c r="AT74" s="6">
        <v>0</v>
      </c>
      <c r="AU74" s="9">
        <v>1200</v>
      </c>
      <c r="AV74" s="13">
        <f t="shared" si="2"/>
        <v>1200</v>
      </c>
      <c r="AW74" s="14">
        <f t="shared" si="3"/>
        <v>840</v>
      </c>
    </row>
    <row r="75" spans="1:49" ht="19.5" x14ac:dyDescent="0.3">
      <c r="A75" s="1" t="s">
        <v>168</v>
      </c>
      <c r="B75" s="4" t="s">
        <v>251</v>
      </c>
      <c r="C75" s="4">
        <v>443847</v>
      </c>
      <c r="D75" s="5"/>
      <c r="E75" s="4" t="s">
        <v>28</v>
      </c>
      <c r="F75" s="4" t="s">
        <v>63</v>
      </c>
      <c r="G75" s="4" t="s">
        <v>223</v>
      </c>
      <c r="H75" s="6" t="s">
        <v>9</v>
      </c>
      <c r="I75" s="6" t="s">
        <v>81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6</v>
      </c>
      <c r="AF75" s="6">
        <v>600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10">
        <v>600</v>
      </c>
      <c r="AV75" s="13">
        <f t="shared" si="2"/>
        <v>600</v>
      </c>
      <c r="AW75" s="14">
        <f t="shared" si="3"/>
        <v>420</v>
      </c>
    </row>
    <row r="76" spans="1:49" x14ac:dyDescent="0.3">
      <c r="A76" s="1" t="s">
        <v>168</v>
      </c>
      <c r="B76" s="4" t="s">
        <v>110</v>
      </c>
      <c r="C76" s="4">
        <v>454224</v>
      </c>
      <c r="D76" s="5"/>
      <c r="E76" s="4" t="s">
        <v>28</v>
      </c>
      <c r="F76" s="4" t="s">
        <v>159</v>
      </c>
      <c r="G76" s="4" t="s">
        <v>84</v>
      </c>
      <c r="H76" s="6" t="s">
        <v>8</v>
      </c>
      <c r="I76" s="6" t="s">
        <v>108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1</v>
      </c>
      <c r="AF76" s="6">
        <v>100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10">
        <v>100</v>
      </c>
      <c r="AV76" s="13">
        <f t="shared" si="2"/>
        <v>100</v>
      </c>
      <c r="AW76" s="14">
        <f t="shared" si="3"/>
        <v>70</v>
      </c>
    </row>
    <row r="77" spans="1:49" ht="19.5" x14ac:dyDescent="0.3">
      <c r="A77" s="1" t="s">
        <v>173</v>
      </c>
      <c r="B77" s="4" t="s">
        <v>177</v>
      </c>
      <c r="C77" s="4">
        <v>451051</v>
      </c>
      <c r="D77" s="5"/>
      <c r="E77" s="4" t="s">
        <v>28</v>
      </c>
      <c r="F77" s="4" t="s">
        <v>159</v>
      </c>
      <c r="G77" s="4" t="s">
        <v>84</v>
      </c>
      <c r="H77" s="6" t="s">
        <v>127</v>
      </c>
      <c r="I77" s="6" t="s">
        <v>178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7">
        <v>1810</v>
      </c>
      <c r="AF77" s="7">
        <v>178100</v>
      </c>
      <c r="AG77" s="7">
        <v>2900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2</v>
      </c>
      <c r="AS77" s="6">
        <v>200</v>
      </c>
      <c r="AT77" s="6">
        <v>0</v>
      </c>
      <c r="AU77" s="9">
        <v>181200</v>
      </c>
      <c r="AV77" s="13">
        <f t="shared" si="2"/>
        <v>181200</v>
      </c>
      <c r="AW77" s="14">
        <f t="shared" si="3"/>
        <v>126839.99999999999</v>
      </c>
    </row>
    <row r="78" spans="1:49" ht="19.5" x14ac:dyDescent="0.3">
      <c r="A78" s="1" t="s">
        <v>173</v>
      </c>
      <c r="B78" s="4" t="s">
        <v>218</v>
      </c>
      <c r="C78" s="4">
        <v>464786</v>
      </c>
      <c r="D78" s="5"/>
      <c r="E78" s="4" t="s">
        <v>28</v>
      </c>
      <c r="F78" s="4" t="s">
        <v>219</v>
      </c>
      <c r="G78" s="4" t="s">
        <v>220</v>
      </c>
      <c r="H78" s="6" t="s">
        <v>127</v>
      </c>
      <c r="I78" s="6" t="s">
        <v>221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58</v>
      </c>
      <c r="AF78" s="7">
        <v>62100</v>
      </c>
      <c r="AG78" s="7">
        <v>82900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3</v>
      </c>
      <c r="AS78" s="7">
        <v>7300</v>
      </c>
      <c r="AT78" s="6">
        <v>200</v>
      </c>
      <c r="AU78" s="9">
        <v>152500</v>
      </c>
      <c r="AV78" s="13">
        <f t="shared" si="2"/>
        <v>152500</v>
      </c>
      <c r="AW78" s="14">
        <f t="shared" si="3"/>
        <v>106750</v>
      </c>
    </row>
    <row r="79" spans="1:49" ht="19.5" x14ac:dyDescent="0.3">
      <c r="A79" s="1" t="s">
        <v>173</v>
      </c>
      <c r="B79" s="4" t="s">
        <v>169</v>
      </c>
      <c r="C79" s="4">
        <v>459229</v>
      </c>
      <c r="D79" s="5"/>
      <c r="E79" s="4" t="s">
        <v>28</v>
      </c>
      <c r="F79" s="4" t="s">
        <v>170</v>
      </c>
      <c r="G79" s="4" t="s">
        <v>220</v>
      </c>
      <c r="H79" s="6" t="s">
        <v>52</v>
      </c>
      <c r="I79" s="6" t="s">
        <v>171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17</v>
      </c>
      <c r="AF79" s="7">
        <v>33000</v>
      </c>
      <c r="AG79" s="7">
        <v>18000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9">
        <v>51000</v>
      </c>
      <c r="AV79" s="13">
        <f t="shared" si="2"/>
        <v>51000</v>
      </c>
      <c r="AW79" s="14">
        <f t="shared" si="3"/>
        <v>35700</v>
      </c>
    </row>
    <row r="80" spans="1:49" ht="19.5" x14ac:dyDescent="0.3">
      <c r="A80" s="1" t="s">
        <v>173</v>
      </c>
      <c r="B80" s="4" t="s">
        <v>140</v>
      </c>
      <c r="C80" s="4">
        <v>457533</v>
      </c>
      <c r="D80" s="5"/>
      <c r="E80" s="4" t="s">
        <v>28</v>
      </c>
      <c r="F80" s="4" t="s">
        <v>141</v>
      </c>
      <c r="G80" s="4" t="s">
        <v>220</v>
      </c>
      <c r="H80" s="6" t="s">
        <v>52</v>
      </c>
      <c r="I80" s="6" t="s">
        <v>142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18</v>
      </c>
      <c r="AF80" s="7">
        <v>30300</v>
      </c>
      <c r="AG80" s="7">
        <v>14700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9">
        <v>45000</v>
      </c>
      <c r="AV80" s="13">
        <f t="shared" si="2"/>
        <v>45000</v>
      </c>
      <c r="AW80" s="14">
        <f t="shared" si="3"/>
        <v>31499.999999999996</v>
      </c>
    </row>
    <row r="81" spans="1:49" ht="19.5" x14ac:dyDescent="0.3">
      <c r="A81" s="1" t="s">
        <v>173</v>
      </c>
      <c r="B81" s="4" t="s">
        <v>175</v>
      </c>
      <c r="C81" s="4">
        <v>461432</v>
      </c>
      <c r="D81" s="5"/>
      <c r="E81" s="4" t="s">
        <v>28</v>
      </c>
      <c r="F81" s="4" t="s">
        <v>159</v>
      </c>
      <c r="G81" s="4" t="s">
        <v>84</v>
      </c>
      <c r="H81" s="6" t="s">
        <v>127</v>
      </c>
      <c r="I81" s="6" t="s">
        <v>176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411</v>
      </c>
      <c r="AF81" s="7">
        <v>41100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9">
        <v>41100</v>
      </c>
      <c r="AV81" s="13">
        <f t="shared" si="2"/>
        <v>41100</v>
      </c>
      <c r="AW81" s="14">
        <f t="shared" si="3"/>
        <v>28769.999999999996</v>
      </c>
    </row>
    <row r="82" spans="1:49" ht="19.5" x14ac:dyDescent="0.3">
      <c r="A82" s="1" t="s">
        <v>173</v>
      </c>
      <c r="B82" s="4" t="s">
        <v>252</v>
      </c>
      <c r="C82" s="4">
        <v>464792</v>
      </c>
      <c r="D82" s="5"/>
      <c r="E82" s="4" t="s">
        <v>28</v>
      </c>
      <c r="F82" s="4" t="s">
        <v>253</v>
      </c>
      <c r="G82" s="4" t="s">
        <v>220</v>
      </c>
      <c r="H82" s="6" t="s">
        <v>52</v>
      </c>
      <c r="I82" s="6" t="s">
        <v>254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10</v>
      </c>
      <c r="AF82" s="7">
        <v>24800</v>
      </c>
      <c r="AG82" s="6">
        <v>200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3</v>
      </c>
      <c r="AS82" s="7">
        <v>5700</v>
      </c>
      <c r="AT82" s="7">
        <v>1800</v>
      </c>
      <c r="AU82" s="9">
        <v>32500</v>
      </c>
      <c r="AV82" s="13">
        <f t="shared" si="2"/>
        <v>32500</v>
      </c>
      <c r="AW82" s="14">
        <f t="shared" si="3"/>
        <v>22750</v>
      </c>
    </row>
    <row r="83" spans="1:49" ht="19.5" x14ac:dyDescent="0.3">
      <c r="A83" s="1" t="s">
        <v>173</v>
      </c>
      <c r="B83" s="4" t="s">
        <v>216</v>
      </c>
      <c r="C83" s="4">
        <v>465998</v>
      </c>
      <c r="D83" s="5"/>
      <c r="E83" s="4" t="s">
        <v>28</v>
      </c>
      <c r="F83" s="4" t="s">
        <v>159</v>
      </c>
      <c r="G83" s="4" t="s">
        <v>84</v>
      </c>
      <c r="H83" s="6" t="s">
        <v>127</v>
      </c>
      <c r="I83" s="6" t="s">
        <v>217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17</v>
      </c>
      <c r="AC83" s="7">
        <v>4900</v>
      </c>
      <c r="AD83" s="7">
        <v>9700</v>
      </c>
      <c r="AE83" s="6">
        <v>2</v>
      </c>
      <c r="AF83" s="7">
        <v>3100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13</v>
      </c>
      <c r="AP83" s="7">
        <v>10600</v>
      </c>
      <c r="AQ83" s="6">
        <v>0</v>
      </c>
      <c r="AR83" s="6">
        <v>1</v>
      </c>
      <c r="AS83" s="6">
        <v>700</v>
      </c>
      <c r="AT83" s="6">
        <v>200</v>
      </c>
      <c r="AU83" s="9">
        <v>29200</v>
      </c>
      <c r="AV83" s="13">
        <f t="shared" si="2"/>
        <v>29200</v>
      </c>
      <c r="AW83" s="14">
        <f t="shared" si="3"/>
        <v>20440</v>
      </c>
    </row>
    <row r="84" spans="1:49" ht="19.5" x14ac:dyDescent="0.3">
      <c r="A84" s="1" t="s">
        <v>173</v>
      </c>
      <c r="B84" s="4" t="s">
        <v>255</v>
      </c>
      <c r="C84" s="4">
        <v>465773</v>
      </c>
      <c r="D84" s="5"/>
      <c r="E84" s="4" t="s">
        <v>28</v>
      </c>
      <c r="F84" s="4" t="s">
        <v>256</v>
      </c>
      <c r="G84" s="4" t="s">
        <v>220</v>
      </c>
      <c r="H84" s="6" t="s">
        <v>52</v>
      </c>
      <c r="I84" s="6" t="s">
        <v>257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8</v>
      </c>
      <c r="AF84" s="7">
        <v>14000</v>
      </c>
      <c r="AG84" s="7">
        <v>14000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9">
        <v>28000</v>
      </c>
      <c r="AV84" s="13">
        <f t="shared" si="2"/>
        <v>28000</v>
      </c>
      <c r="AW84" s="14">
        <f t="shared" si="3"/>
        <v>19600</v>
      </c>
    </row>
    <row r="85" spans="1:49" ht="19.5" x14ac:dyDescent="0.3">
      <c r="A85" s="1" t="s">
        <v>173</v>
      </c>
      <c r="B85" s="4" t="s">
        <v>65</v>
      </c>
      <c r="C85" s="4">
        <v>387161</v>
      </c>
      <c r="D85" s="5"/>
      <c r="E85" s="4" t="s">
        <v>28</v>
      </c>
      <c r="F85" s="4" t="s">
        <v>66</v>
      </c>
      <c r="G85" s="4" t="s">
        <v>223</v>
      </c>
      <c r="H85" s="6" t="s">
        <v>52</v>
      </c>
      <c r="I85" s="6" t="s">
        <v>67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8</v>
      </c>
      <c r="AF85" s="6">
        <v>0</v>
      </c>
      <c r="AG85" s="7">
        <v>25600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9">
        <v>25600</v>
      </c>
      <c r="AV85" s="13">
        <f t="shared" si="2"/>
        <v>25600</v>
      </c>
      <c r="AW85" s="14">
        <f t="shared" si="3"/>
        <v>17920</v>
      </c>
    </row>
    <row r="86" spans="1:49" ht="19.5" x14ac:dyDescent="0.3">
      <c r="A86" s="1" t="s">
        <v>173</v>
      </c>
      <c r="B86" s="4" t="s">
        <v>77</v>
      </c>
      <c r="C86" s="4">
        <v>442667</v>
      </c>
      <c r="D86" s="5"/>
      <c r="E86" s="4" t="s">
        <v>28</v>
      </c>
      <c r="F86" s="4" t="s">
        <v>78</v>
      </c>
      <c r="G86" s="4" t="s">
        <v>225</v>
      </c>
      <c r="H86" s="6" t="s">
        <v>52</v>
      </c>
      <c r="I86" s="6" t="s">
        <v>79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7</v>
      </c>
      <c r="AF86" s="7">
        <v>3000</v>
      </c>
      <c r="AG86" s="7">
        <v>18000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9">
        <v>21000</v>
      </c>
      <c r="AV86" s="13">
        <f t="shared" si="2"/>
        <v>21000</v>
      </c>
      <c r="AW86" s="14">
        <f t="shared" si="3"/>
        <v>14699.999999999998</v>
      </c>
    </row>
    <row r="87" spans="1:49" ht="19.5" x14ac:dyDescent="0.3">
      <c r="A87" s="1" t="s">
        <v>173</v>
      </c>
      <c r="B87" s="4" t="s">
        <v>27</v>
      </c>
      <c r="C87" s="4">
        <v>395341</v>
      </c>
      <c r="D87" s="5"/>
      <c r="E87" s="4" t="s">
        <v>28</v>
      </c>
      <c r="F87" s="4" t="s">
        <v>29</v>
      </c>
      <c r="G87" s="4" t="s">
        <v>225</v>
      </c>
      <c r="H87" s="6" t="s">
        <v>9</v>
      </c>
      <c r="I87" s="6" t="s">
        <v>30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203</v>
      </c>
      <c r="AF87" s="7">
        <v>15400</v>
      </c>
      <c r="AG87" s="7">
        <v>4900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9">
        <v>20300</v>
      </c>
      <c r="AV87" s="13">
        <f t="shared" si="2"/>
        <v>20300</v>
      </c>
      <c r="AW87" s="14">
        <f t="shared" si="3"/>
        <v>14210</v>
      </c>
    </row>
    <row r="88" spans="1:49" ht="19.5" x14ac:dyDescent="0.3">
      <c r="A88" s="1" t="s">
        <v>173</v>
      </c>
      <c r="B88" s="4" t="s">
        <v>258</v>
      </c>
      <c r="C88" s="4">
        <v>464782</v>
      </c>
      <c r="D88" s="5"/>
      <c r="E88" s="4" t="s">
        <v>28</v>
      </c>
      <c r="F88" s="4" t="s">
        <v>137</v>
      </c>
      <c r="G88" s="4" t="s">
        <v>220</v>
      </c>
      <c r="H88" s="6" t="s">
        <v>52</v>
      </c>
      <c r="I88" s="6" t="s">
        <v>259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10</v>
      </c>
      <c r="AF88" s="7">
        <v>14000</v>
      </c>
      <c r="AG88" s="7">
        <v>6000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9">
        <v>20000</v>
      </c>
      <c r="AV88" s="13">
        <f t="shared" si="2"/>
        <v>20000</v>
      </c>
      <c r="AW88" s="14">
        <f t="shared" si="3"/>
        <v>14000</v>
      </c>
    </row>
    <row r="89" spans="1:49" ht="19.5" x14ac:dyDescent="0.3">
      <c r="A89" s="1" t="s">
        <v>173</v>
      </c>
      <c r="B89" s="4" t="s">
        <v>60</v>
      </c>
      <c r="C89" s="4">
        <v>395231</v>
      </c>
      <c r="D89" s="5"/>
      <c r="E89" s="4" t="s">
        <v>28</v>
      </c>
      <c r="F89" s="4" t="s">
        <v>29</v>
      </c>
      <c r="G89" s="4" t="s">
        <v>225</v>
      </c>
      <c r="H89" s="6" t="s">
        <v>52</v>
      </c>
      <c r="I89" s="6" t="s">
        <v>61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5</v>
      </c>
      <c r="AF89" s="7">
        <v>10500</v>
      </c>
      <c r="AG89" s="7">
        <v>7000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9">
        <v>17500</v>
      </c>
      <c r="AV89" s="13">
        <f t="shared" si="2"/>
        <v>17500</v>
      </c>
      <c r="AW89" s="14">
        <f t="shared" si="3"/>
        <v>12250</v>
      </c>
    </row>
    <row r="90" spans="1:49" x14ac:dyDescent="0.3">
      <c r="A90" s="1" t="s">
        <v>173</v>
      </c>
      <c r="B90" s="4" t="s">
        <v>120</v>
      </c>
      <c r="C90" s="4">
        <v>367412</v>
      </c>
      <c r="D90" s="5"/>
      <c r="E90" s="4" t="s">
        <v>28</v>
      </c>
      <c r="F90" s="4" t="s">
        <v>31</v>
      </c>
      <c r="G90" s="4" t="s">
        <v>222</v>
      </c>
      <c r="H90" s="6" t="s">
        <v>8</v>
      </c>
      <c r="I90" s="6" t="s">
        <v>32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5</v>
      </c>
      <c r="AF90" s="7">
        <v>16000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9">
        <v>16000</v>
      </c>
      <c r="AV90" s="13">
        <f t="shared" si="2"/>
        <v>16000</v>
      </c>
      <c r="AW90" s="14">
        <f t="shared" si="3"/>
        <v>11200</v>
      </c>
    </row>
    <row r="91" spans="1:49" ht="19.5" x14ac:dyDescent="0.3">
      <c r="A91" s="1" t="s">
        <v>173</v>
      </c>
      <c r="B91" s="4" t="s">
        <v>201</v>
      </c>
      <c r="C91" s="4">
        <v>461347</v>
      </c>
      <c r="D91" s="5"/>
      <c r="E91" s="4" t="s">
        <v>28</v>
      </c>
      <c r="F91" s="4" t="s">
        <v>202</v>
      </c>
      <c r="G91" s="4" t="s">
        <v>220</v>
      </c>
      <c r="H91" s="6" t="s">
        <v>52</v>
      </c>
      <c r="I91" s="6" t="s">
        <v>203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6</v>
      </c>
      <c r="AF91" s="7">
        <v>8000</v>
      </c>
      <c r="AG91" s="7">
        <v>4000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1</v>
      </c>
      <c r="AS91" s="7">
        <v>2000</v>
      </c>
      <c r="AT91" s="6">
        <v>0</v>
      </c>
      <c r="AU91" s="9">
        <v>14000</v>
      </c>
      <c r="AV91" s="13">
        <f t="shared" si="2"/>
        <v>14000</v>
      </c>
      <c r="AW91" s="14">
        <f t="shared" si="3"/>
        <v>9800</v>
      </c>
    </row>
    <row r="92" spans="1:49" ht="19.5" x14ac:dyDescent="0.3">
      <c r="A92" s="1" t="s">
        <v>173</v>
      </c>
      <c r="B92" s="4" t="s">
        <v>260</v>
      </c>
      <c r="C92" s="4">
        <v>464787</v>
      </c>
      <c r="D92" s="5"/>
      <c r="E92" s="4" t="s">
        <v>28</v>
      </c>
      <c r="F92" s="4" t="s">
        <v>261</v>
      </c>
      <c r="G92" s="4" t="s">
        <v>220</v>
      </c>
      <c r="H92" s="6" t="s">
        <v>52</v>
      </c>
      <c r="I92" s="6" t="s">
        <v>217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5</v>
      </c>
      <c r="AF92" s="7">
        <v>9700</v>
      </c>
      <c r="AG92" s="7">
        <v>2800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9">
        <v>12500</v>
      </c>
      <c r="AV92" s="13">
        <f t="shared" si="2"/>
        <v>12500</v>
      </c>
      <c r="AW92" s="14">
        <f t="shared" si="3"/>
        <v>8750</v>
      </c>
    </row>
    <row r="93" spans="1:49" ht="19.5" x14ac:dyDescent="0.3">
      <c r="A93" s="1" t="s">
        <v>173</v>
      </c>
      <c r="B93" s="4" t="s">
        <v>143</v>
      </c>
      <c r="C93" s="4">
        <v>457534</v>
      </c>
      <c r="D93" s="5"/>
      <c r="E93" s="4" t="s">
        <v>28</v>
      </c>
      <c r="F93" s="4" t="s">
        <v>144</v>
      </c>
      <c r="G93" s="4" t="s">
        <v>220</v>
      </c>
      <c r="H93" s="6" t="s">
        <v>52</v>
      </c>
      <c r="I93" s="6" t="s">
        <v>145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6</v>
      </c>
      <c r="AF93" s="7">
        <v>10000</v>
      </c>
      <c r="AG93" s="7">
        <v>2000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9">
        <v>12000</v>
      </c>
      <c r="AV93" s="13">
        <f t="shared" si="2"/>
        <v>12000</v>
      </c>
      <c r="AW93" s="14">
        <f t="shared" si="3"/>
        <v>8400</v>
      </c>
    </row>
    <row r="94" spans="1:49" ht="19.5" x14ac:dyDescent="0.3">
      <c r="A94" s="1" t="s">
        <v>173</v>
      </c>
      <c r="B94" s="4" t="s">
        <v>210</v>
      </c>
      <c r="C94" s="4">
        <v>371107</v>
      </c>
      <c r="D94" s="5"/>
      <c r="E94" s="4" t="s">
        <v>28</v>
      </c>
      <c r="F94" s="4" t="s">
        <v>44</v>
      </c>
      <c r="G94" s="4" t="s">
        <v>226</v>
      </c>
      <c r="H94" s="6" t="s">
        <v>52</v>
      </c>
      <c r="I94" s="6" t="s">
        <v>211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4</v>
      </c>
      <c r="AF94" s="7">
        <v>12000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9">
        <v>12000</v>
      </c>
      <c r="AV94" s="13">
        <f t="shared" si="2"/>
        <v>12000</v>
      </c>
      <c r="AW94" s="14">
        <f t="shared" si="3"/>
        <v>8400</v>
      </c>
    </row>
    <row r="95" spans="1:49" x14ac:dyDescent="0.3">
      <c r="A95" s="1" t="s">
        <v>173</v>
      </c>
      <c r="B95" s="4" t="s">
        <v>57</v>
      </c>
      <c r="C95" s="4">
        <v>354950</v>
      </c>
      <c r="D95" s="5" t="s">
        <v>58</v>
      </c>
      <c r="E95" s="4" t="s">
        <v>28</v>
      </c>
      <c r="F95" s="4" t="s">
        <v>159</v>
      </c>
      <c r="G95" s="4" t="s">
        <v>222</v>
      </c>
      <c r="H95" s="6" t="s">
        <v>8</v>
      </c>
      <c r="I95" s="6" t="s">
        <v>59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5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100</v>
      </c>
      <c r="AF95" s="7">
        <v>10000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1</v>
      </c>
      <c r="AS95" s="6">
        <v>100</v>
      </c>
      <c r="AT95" s="6">
        <v>0</v>
      </c>
      <c r="AU95" s="9">
        <v>10100</v>
      </c>
      <c r="AV95" s="13">
        <f t="shared" si="2"/>
        <v>10100</v>
      </c>
      <c r="AW95" s="14">
        <f t="shared" si="3"/>
        <v>7070</v>
      </c>
    </row>
    <row r="96" spans="1:49" ht="19.5" x14ac:dyDescent="0.3">
      <c r="A96" s="1" t="s">
        <v>173</v>
      </c>
      <c r="B96" s="4" t="s">
        <v>146</v>
      </c>
      <c r="C96" s="4">
        <v>457068</v>
      </c>
      <c r="D96" s="5"/>
      <c r="E96" s="4" t="s">
        <v>28</v>
      </c>
      <c r="F96" s="4" t="s">
        <v>147</v>
      </c>
      <c r="G96" s="4" t="s">
        <v>220</v>
      </c>
      <c r="H96" s="6" t="s">
        <v>52</v>
      </c>
      <c r="I96" s="6" t="s">
        <v>148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4</v>
      </c>
      <c r="AF96" s="7">
        <v>2500</v>
      </c>
      <c r="AG96" s="7">
        <v>7500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9">
        <v>10000</v>
      </c>
      <c r="AV96" s="13">
        <f t="shared" si="2"/>
        <v>10000</v>
      </c>
      <c r="AW96" s="14">
        <f t="shared" si="3"/>
        <v>7000</v>
      </c>
    </row>
    <row r="97" spans="1:49" x14ac:dyDescent="0.3">
      <c r="A97" s="1" t="s">
        <v>173</v>
      </c>
      <c r="B97" s="4" t="s">
        <v>75</v>
      </c>
      <c r="C97" s="4">
        <v>380954</v>
      </c>
      <c r="D97" s="5"/>
      <c r="E97" s="4" t="s">
        <v>28</v>
      </c>
      <c r="F97" s="4" t="s">
        <v>31</v>
      </c>
      <c r="G97" s="4" t="s">
        <v>222</v>
      </c>
      <c r="H97" s="6" t="s">
        <v>8</v>
      </c>
      <c r="I97" s="6" t="s">
        <v>32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11</v>
      </c>
      <c r="AC97" s="7">
        <v>8100</v>
      </c>
      <c r="AD97" s="7">
        <v>1800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9">
        <v>9900</v>
      </c>
      <c r="AV97" s="13">
        <f t="shared" si="2"/>
        <v>9900</v>
      </c>
      <c r="AW97" s="14">
        <f t="shared" si="3"/>
        <v>6930</v>
      </c>
    </row>
    <row r="98" spans="1:49" ht="19.5" x14ac:dyDescent="0.3">
      <c r="A98" s="1" t="s">
        <v>173</v>
      </c>
      <c r="B98" s="4" t="s">
        <v>70</v>
      </c>
      <c r="C98" s="4">
        <v>423507</v>
      </c>
      <c r="D98" s="5"/>
      <c r="E98" s="4" t="s">
        <v>28</v>
      </c>
      <c r="F98" s="4" t="s">
        <v>64</v>
      </c>
      <c r="G98" s="4" t="s">
        <v>225</v>
      </c>
      <c r="H98" s="6" t="s">
        <v>52</v>
      </c>
      <c r="I98" s="6" t="s">
        <v>71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3</v>
      </c>
      <c r="AF98" s="7">
        <v>9600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9">
        <v>9600</v>
      </c>
      <c r="AV98" s="13">
        <f t="shared" si="2"/>
        <v>9600</v>
      </c>
      <c r="AW98" s="14">
        <f t="shared" si="3"/>
        <v>6720</v>
      </c>
    </row>
    <row r="99" spans="1:49" ht="19.5" x14ac:dyDescent="0.3">
      <c r="A99" s="1" t="s">
        <v>173</v>
      </c>
      <c r="B99" s="4" t="s">
        <v>262</v>
      </c>
      <c r="C99" s="4">
        <v>401406</v>
      </c>
      <c r="D99" s="5"/>
      <c r="E99" s="4" t="s">
        <v>28</v>
      </c>
      <c r="F99" s="4" t="s">
        <v>64</v>
      </c>
      <c r="G99" s="4" t="s">
        <v>225</v>
      </c>
      <c r="H99" s="6" t="s">
        <v>52</v>
      </c>
      <c r="I99" s="6" t="s">
        <v>73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2</v>
      </c>
      <c r="AF99" s="7">
        <v>4300</v>
      </c>
      <c r="AG99" s="7">
        <v>4300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9">
        <v>8600</v>
      </c>
      <c r="AV99" s="13">
        <f t="shared" si="2"/>
        <v>8600</v>
      </c>
      <c r="AW99" s="14">
        <f t="shared" si="3"/>
        <v>6020</v>
      </c>
    </row>
    <row r="100" spans="1:49" x14ac:dyDescent="0.3">
      <c r="A100" s="1" t="s">
        <v>173</v>
      </c>
      <c r="B100" s="4" t="s">
        <v>180</v>
      </c>
      <c r="C100" s="4">
        <v>365225</v>
      </c>
      <c r="D100" s="5"/>
      <c r="E100" s="4" t="s">
        <v>28</v>
      </c>
      <c r="F100" s="4" t="s">
        <v>34</v>
      </c>
      <c r="G100" s="4" t="s">
        <v>222</v>
      </c>
      <c r="H100" s="6" t="s">
        <v>8</v>
      </c>
      <c r="I100" s="6" t="s">
        <v>181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9</v>
      </c>
      <c r="AC100" s="7">
        <v>8100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9">
        <v>8100</v>
      </c>
      <c r="AV100" s="13">
        <f t="shared" si="2"/>
        <v>8100</v>
      </c>
      <c r="AW100" s="14">
        <f t="shared" si="3"/>
        <v>5670</v>
      </c>
    </row>
    <row r="101" spans="1:49" ht="19.5" x14ac:dyDescent="0.3">
      <c r="A101" s="1" t="s">
        <v>173</v>
      </c>
      <c r="B101" s="4" t="s">
        <v>133</v>
      </c>
      <c r="C101" s="4">
        <v>457673</v>
      </c>
      <c r="D101" s="5"/>
      <c r="E101" s="4" t="s">
        <v>28</v>
      </c>
      <c r="F101" s="4" t="s">
        <v>134</v>
      </c>
      <c r="G101" s="4" t="s">
        <v>220</v>
      </c>
      <c r="H101" s="6" t="s">
        <v>52</v>
      </c>
      <c r="I101" s="6" t="s">
        <v>135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2</v>
      </c>
      <c r="AF101" s="7">
        <v>4000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2</v>
      </c>
      <c r="AS101" s="7">
        <v>3800</v>
      </c>
      <c r="AT101" s="6">
        <v>200</v>
      </c>
      <c r="AU101" s="9">
        <v>8000</v>
      </c>
      <c r="AV101" s="13">
        <f t="shared" si="2"/>
        <v>8000</v>
      </c>
      <c r="AW101" s="14">
        <f t="shared" si="3"/>
        <v>5600</v>
      </c>
    </row>
    <row r="102" spans="1:49" ht="19.5" x14ac:dyDescent="0.3">
      <c r="A102" s="1" t="s">
        <v>173</v>
      </c>
      <c r="B102" s="4" t="s">
        <v>207</v>
      </c>
      <c r="C102" s="4">
        <v>326776</v>
      </c>
      <c r="D102" s="5"/>
      <c r="E102" s="4" t="s">
        <v>28</v>
      </c>
      <c r="F102" s="4" t="s">
        <v>208</v>
      </c>
      <c r="G102" s="4" t="s">
        <v>223</v>
      </c>
      <c r="H102" s="6" t="s">
        <v>52</v>
      </c>
      <c r="I102" s="6" t="s">
        <v>209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1</v>
      </c>
      <c r="AF102" s="7">
        <v>3800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1</v>
      </c>
      <c r="AS102" s="7">
        <v>3800</v>
      </c>
      <c r="AT102" s="6">
        <v>0</v>
      </c>
      <c r="AU102" s="9">
        <v>7600</v>
      </c>
      <c r="AV102" s="13">
        <f t="shared" si="2"/>
        <v>7600</v>
      </c>
      <c r="AW102" s="14">
        <f t="shared" si="3"/>
        <v>5320</v>
      </c>
    </row>
    <row r="103" spans="1:49" ht="19.5" x14ac:dyDescent="0.3">
      <c r="A103" s="1" t="s">
        <v>173</v>
      </c>
      <c r="B103" s="4" t="s">
        <v>263</v>
      </c>
      <c r="C103" s="4">
        <v>352812</v>
      </c>
      <c r="D103" s="5"/>
      <c r="E103" s="4" t="s">
        <v>28</v>
      </c>
      <c r="F103" s="4" t="s">
        <v>37</v>
      </c>
      <c r="G103" s="4" t="s">
        <v>230</v>
      </c>
      <c r="H103" s="6" t="s">
        <v>52</v>
      </c>
      <c r="I103" s="6" t="s">
        <v>264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2</v>
      </c>
      <c r="AF103" s="7">
        <v>7600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9">
        <v>7600</v>
      </c>
      <c r="AV103" s="13">
        <f t="shared" si="2"/>
        <v>7600</v>
      </c>
      <c r="AW103" s="14">
        <f t="shared" si="3"/>
        <v>5320</v>
      </c>
    </row>
    <row r="104" spans="1:49" ht="19.5" x14ac:dyDescent="0.3">
      <c r="A104" s="1" t="s">
        <v>173</v>
      </c>
      <c r="B104" s="4" t="s">
        <v>151</v>
      </c>
      <c r="C104" s="4">
        <v>351091</v>
      </c>
      <c r="D104" s="5"/>
      <c r="E104" s="4" t="s">
        <v>28</v>
      </c>
      <c r="F104" s="4" t="s">
        <v>44</v>
      </c>
      <c r="G104" s="4" t="s">
        <v>225</v>
      </c>
      <c r="H104" s="6" t="s">
        <v>52</v>
      </c>
      <c r="I104" s="6" t="s">
        <v>152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2</v>
      </c>
      <c r="AF104" s="7">
        <v>7200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9">
        <v>7200</v>
      </c>
      <c r="AV104" s="13">
        <f t="shared" si="2"/>
        <v>7200</v>
      </c>
      <c r="AW104" s="14">
        <f t="shared" si="3"/>
        <v>5040</v>
      </c>
    </row>
    <row r="105" spans="1:49" ht="19.5" x14ac:dyDescent="0.3">
      <c r="A105" s="1" t="s">
        <v>173</v>
      </c>
      <c r="B105" s="4" t="s">
        <v>265</v>
      </c>
      <c r="C105" s="4">
        <v>415996</v>
      </c>
      <c r="D105" s="5"/>
      <c r="E105" s="4" t="s">
        <v>28</v>
      </c>
      <c r="F105" s="4" t="s">
        <v>69</v>
      </c>
      <c r="G105" s="4" t="s">
        <v>223</v>
      </c>
      <c r="H105" s="6" t="s">
        <v>52</v>
      </c>
      <c r="I105" s="6" t="s">
        <v>215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2</v>
      </c>
      <c r="AF105" s="7">
        <v>6200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1</v>
      </c>
      <c r="AS105" s="7">
        <v>1000</v>
      </c>
      <c r="AT105" s="6">
        <v>0</v>
      </c>
      <c r="AU105" s="9">
        <v>7200</v>
      </c>
      <c r="AV105" s="13">
        <f t="shared" si="2"/>
        <v>7200</v>
      </c>
      <c r="AW105" s="14">
        <f t="shared" si="3"/>
        <v>5040</v>
      </c>
    </row>
    <row r="106" spans="1:49" ht="19.5" x14ac:dyDescent="0.3">
      <c r="A106" s="1" t="s">
        <v>173</v>
      </c>
      <c r="B106" s="4" t="s">
        <v>99</v>
      </c>
      <c r="C106" s="4">
        <v>448030</v>
      </c>
      <c r="D106" s="5"/>
      <c r="E106" s="4" t="s">
        <v>28</v>
      </c>
      <c r="F106" s="4" t="s">
        <v>69</v>
      </c>
      <c r="G106" s="4" t="s">
        <v>223</v>
      </c>
      <c r="H106" s="6" t="s">
        <v>9</v>
      </c>
      <c r="I106" s="6" t="s">
        <v>100</v>
      </c>
      <c r="J106" s="6">
        <v>0</v>
      </c>
      <c r="K106" s="6">
        <v>277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71</v>
      </c>
      <c r="AF106" s="7">
        <v>6500</v>
      </c>
      <c r="AG106" s="6">
        <v>600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9">
        <v>7100</v>
      </c>
      <c r="AV106" s="13">
        <f t="shared" si="2"/>
        <v>7100</v>
      </c>
      <c r="AW106" s="14">
        <f t="shared" si="3"/>
        <v>4970</v>
      </c>
    </row>
    <row r="107" spans="1:49" ht="19.5" x14ac:dyDescent="0.3">
      <c r="A107" s="1" t="s">
        <v>173</v>
      </c>
      <c r="B107" s="4" t="s">
        <v>113</v>
      </c>
      <c r="C107" s="4">
        <v>381424</v>
      </c>
      <c r="D107" s="5"/>
      <c r="E107" s="4" t="s">
        <v>28</v>
      </c>
      <c r="F107" s="4" t="s">
        <v>29</v>
      </c>
      <c r="G107" s="4" t="s">
        <v>225</v>
      </c>
      <c r="H107" s="6" t="s">
        <v>52</v>
      </c>
      <c r="I107" s="6" t="s">
        <v>114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2</v>
      </c>
      <c r="AF107" s="7">
        <v>7000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9">
        <v>7000</v>
      </c>
      <c r="AV107" s="13">
        <f t="shared" si="2"/>
        <v>7000</v>
      </c>
      <c r="AW107" s="14">
        <f t="shared" si="3"/>
        <v>4900</v>
      </c>
    </row>
    <row r="108" spans="1:49" x14ac:dyDescent="0.3">
      <c r="A108" s="1" t="s">
        <v>173</v>
      </c>
      <c r="B108" s="4" t="s">
        <v>47</v>
      </c>
      <c r="C108" s="4">
        <v>408836</v>
      </c>
      <c r="D108" s="5"/>
      <c r="E108" s="4" t="s">
        <v>28</v>
      </c>
      <c r="F108" s="4" t="s">
        <v>34</v>
      </c>
      <c r="G108" s="4" t="s">
        <v>222</v>
      </c>
      <c r="H108" s="6" t="s">
        <v>8</v>
      </c>
      <c r="I108" s="6" t="s">
        <v>11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10</v>
      </c>
      <c r="AC108" s="7">
        <v>7000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9">
        <v>7000</v>
      </c>
      <c r="AV108" s="13">
        <f t="shared" si="2"/>
        <v>7000</v>
      </c>
      <c r="AW108" s="14">
        <f t="shared" si="3"/>
        <v>4900</v>
      </c>
    </row>
    <row r="109" spans="1:49" ht="19.5" x14ac:dyDescent="0.3">
      <c r="A109" s="1" t="s">
        <v>173</v>
      </c>
      <c r="B109" s="4" t="s">
        <v>136</v>
      </c>
      <c r="C109" s="4">
        <v>457239</v>
      </c>
      <c r="D109" s="5"/>
      <c r="E109" s="4" t="s">
        <v>28</v>
      </c>
      <c r="F109" s="4" t="s">
        <v>137</v>
      </c>
      <c r="G109" s="4" t="s">
        <v>220</v>
      </c>
      <c r="H109" s="6" t="s">
        <v>52</v>
      </c>
      <c r="I109" s="6" t="s">
        <v>138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3</v>
      </c>
      <c r="AF109" s="7">
        <v>6000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9">
        <v>6000</v>
      </c>
      <c r="AV109" s="13">
        <f t="shared" si="2"/>
        <v>6000</v>
      </c>
      <c r="AW109" s="14">
        <f t="shared" si="3"/>
        <v>4200</v>
      </c>
    </row>
    <row r="110" spans="1:49" ht="19.5" x14ac:dyDescent="0.3">
      <c r="A110" s="1" t="s">
        <v>173</v>
      </c>
      <c r="B110" s="4" t="s">
        <v>204</v>
      </c>
      <c r="C110" s="4">
        <v>461351</v>
      </c>
      <c r="D110" s="5"/>
      <c r="E110" s="4" t="s">
        <v>28</v>
      </c>
      <c r="F110" s="4" t="s">
        <v>205</v>
      </c>
      <c r="G110" s="4" t="s">
        <v>220</v>
      </c>
      <c r="H110" s="6" t="s">
        <v>52</v>
      </c>
      <c r="I110" s="6" t="s">
        <v>206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3</v>
      </c>
      <c r="AF110" s="7">
        <v>4000</v>
      </c>
      <c r="AG110" s="7">
        <v>2000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9">
        <v>6000</v>
      </c>
      <c r="AV110" s="13">
        <f t="shared" si="2"/>
        <v>6000</v>
      </c>
      <c r="AW110" s="14">
        <f t="shared" si="3"/>
        <v>4200</v>
      </c>
    </row>
    <row r="111" spans="1:49" ht="19.5" x14ac:dyDescent="0.3">
      <c r="A111" s="1" t="s">
        <v>173</v>
      </c>
      <c r="B111" s="4" t="s">
        <v>239</v>
      </c>
      <c r="C111" s="4">
        <v>465270</v>
      </c>
      <c r="D111" s="5"/>
      <c r="E111" s="4" t="s">
        <v>28</v>
      </c>
      <c r="F111" s="4" t="s">
        <v>63</v>
      </c>
      <c r="G111" s="4" t="s">
        <v>223</v>
      </c>
      <c r="H111" s="6" t="s">
        <v>9</v>
      </c>
      <c r="I111" s="6" t="s">
        <v>221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2</v>
      </c>
      <c r="AF111" s="7">
        <v>6000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9">
        <v>6000</v>
      </c>
      <c r="AV111" s="13">
        <f t="shared" si="2"/>
        <v>6000</v>
      </c>
      <c r="AW111" s="14">
        <f t="shared" si="3"/>
        <v>4200</v>
      </c>
    </row>
    <row r="112" spans="1:49" ht="19.5" x14ac:dyDescent="0.3">
      <c r="A112" s="1" t="s">
        <v>173</v>
      </c>
      <c r="B112" s="4" t="s">
        <v>103</v>
      </c>
      <c r="C112" s="4">
        <v>430442</v>
      </c>
      <c r="D112" s="5"/>
      <c r="E112" s="4" t="s">
        <v>28</v>
      </c>
      <c r="F112" s="4" t="s">
        <v>64</v>
      </c>
      <c r="G112" s="4" t="s">
        <v>225</v>
      </c>
      <c r="H112" s="6" t="s">
        <v>52</v>
      </c>
      <c r="I112" s="6" t="s">
        <v>68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2</v>
      </c>
      <c r="AF112" s="6">
        <v>0</v>
      </c>
      <c r="AG112" s="7">
        <v>5600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9">
        <v>5600</v>
      </c>
      <c r="AV112" s="13">
        <f t="shared" si="2"/>
        <v>5600</v>
      </c>
      <c r="AW112" s="14">
        <f t="shared" si="3"/>
        <v>3919.9999999999995</v>
      </c>
    </row>
    <row r="113" spans="1:49" ht="19.5" x14ac:dyDescent="0.3">
      <c r="A113" s="1" t="s">
        <v>173</v>
      </c>
      <c r="B113" s="4" t="s">
        <v>112</v>
      </c>
      <c r="C113" s="4">
        <v>443543</v>
      </c>
      <c r="D113" s="5"/>
      <c r="E113" s="4" t="s">
        <v>28</v>
      </c>
      <c r="F113" s="4" t="s">
        <v>44</v>
      </c>
      <c r="G113" s="4" t="s">
        <v>225</v>
      </c>
      <c r="H113" s="6" t="s">
        <v>9</v>
      </c>
      <c r="I113" s="6" t="s">
        <v>80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54</v>
      </c>
      <c r="AF113" s="7">
        <v>5400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9">
        <v>5400</v>
      </c>
      <c r="AV113" s="13">
        <f t="shared" si="2"/>
        <v>5400</v>
      </c>
      <c r="AW113" s="14">
        <f t="shared" si="3"/>
        <v>3779.9999999999995</v>
      </c>
    </row>
    <row r="114" spans="1:49" ht="19.5" x14ac:dyDescent="0.3">
      <c r="A114" s="1" t="s">
        <v>173</v>
      </c>
      <c r="B114" s="4" t="s">
        <v>55</v>
      </c>
      <c r="C114" s="4">
        <v>372841</v>
      </c>
      <c r="D114" s="5"/>
      <c r="E114" s="4" t="s">
        <v>28</v>
      </c>
      <c r="F114" s="4" t="s">
        <v>44</v>
      </c>
      <c r="G114" s="4" t="s">
        <v>226</v>
      </c>
      <c r="H114" s="6" t="s">
        <v>9</v>
      </c>
      <c r="I114" s="6" t="s">
        <v>56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39</v>
      </c>
      <c r="AF114" s="7">
        <v>2200</v>
      </c>
      <c r="AG114" s="7">
        <v>1700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11</v>
      </c>
      <c r="AS114" s="7">
        <v>1100</v>
      </c>
      <c r="AT114" s="6">
        <v>0</v>
      </c>
      <c r="AU114" s="9">
        <v>5000</v>
      </c>
      <c r="AV114" s="13">
        <f t="shared" si="2"/>
        <v>5000</v>
      </c>
      <c r="AW114" s="14">
        <f t="shared" si="3"/>
        <v>3500</v>
      </c>
    </row>
    <row r="115" spans="1:49" ht="19.5" x14ac:dyDescent="0.3">
      <c r="A115" s="1" t="s">
        <v>173</v>
      </c>
      <c r="B115" s="4" t="s">
        <v>266</v>
      </c>
      <c r="C115" s="4">
        <v>336954</v>
      </c>
      <c r="D115" s="5"/>
      <c r="E115" s="4" t="s">
        <v>28</v>
      </c>
      <c r="F115" s="4" t="s">
        <v>267</v>
      </c>
      <c r="G115" s="4" t="s">
        <v>223</v>
      </c>
      <c r="H115" s="6" t="s">
        <v>52</v>
      </c>
      <c r="I115" s="6" t="s">
        <v>268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1</v>
      </c>
      <c r="AF115" s="7">
        <v>4300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9">
        <v>4300</v>
      </c>
      <c r="AV115" s="13">
        <f t="shared" si="2"/>
        <v>4300</v>
      </c>
      <c r="AW115" s="14">
        <f t="shared" si="3"/>
        <v>3010</v>
      </c>
    </row>
    <row r="116" spans="1:49" ht="19.5" x14ac:dyDescent="0.3">
      <c r="A116" s="1" t="s">
        <v>173</v>
      </c>
      <c r="B116" s="4" t="s">
        <v>269</v>
      </c>
      <c r="C116" s="4">
        <v>331981</v>
      </c>
      <c r="D116" s="5"/>
      <c r="E116" s="4" t="s">
        <v>28</v>
      </c>
      <c r="F116" s="4" t="s">
        <v>267</v>
      </c>
      <c r="G116" s="4" t="s">
        <v>223</v>
      </c>
      <c r="H116" s="6" t="s">
        <v>52</v>
      </c>
      <c r="I116" s="6" t="s">
        <v>270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1</v>
      </c>
      <c r="AF116" s="7">
        <v>4000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9">
        <v>4000</v>
      </c>
      <c r="AV116" s="13">
        <f t="shared" si="2"/>
        <v>4000</v>
      </c>
      <c r="AW116" s="14">
        <f t="shared" si="3"/>
        <v>2800</v>
      </c>
    </row>
    <row r="117" spans="1:49" x14ac:dyDescent="0.3">
      <c r="A117" s="1" t="s">
        <v>173</v>
      </c>
      <c r="B117" s="4" t="s">
        <v>188</v>
      </c>
      <c r="C117" s="4">
        <v>461355</v>
      </c>
      <c r="D117" s="5"/>
      <c r="E117" s="4" t="s">
        <v>28</v>
      </c>
      <c r="F117" s="4" t="s">
        <v>189</v>
      </c>
      <c r="G117" s="4" t="s">
        <v>220</v>
      </c>
      <c r="H117" s="6" t="s">
        <v>8</v>
      </c>
      <c r="I117" s="6" t="s">
        <v>190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2</v>
      </c>
      <c r="AF117" s="6">
        <v>0</v>
      </c>
      <c r="AG117" s="7">
        <v>4000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9">
        <v>4000</v>
      </c>
      <c r="AV117" s="13">
        <f t="shared" si="2"/>
        <v>4000</v>
      </c>
      <c r="AW117" s="14">
        <f t="shared" si="3"/>
        <v>2800</v>
      </c>
    </row>
    <row r="118" spans="1:49" ht="19.5" x14ac:dyDescent="0.3">
      <c r="A118" s="1" t="s">
        <v>173</v>
      </c>
      <c r="B118" s="4" t="s">
        <v>271</v>
      </c>
      <c r="C118" s="4">
        <v>319593</v>
      </c>
      <c r="D118" s="5"/>
      <c r="E118" s="4" t="s">
        <v>28</v>
      </c>
      <c r="F118" s="4" t="s">
        <v>267</v>
      </c>
      <c r="G118" s="4" t="s">
        <v>223</v>
      </c>
      <c r="H118" s="6" t="s">
        <v>52</v>
      </c>
      <c r="I118" s="6" t="s">
        <v>272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1</v>
      </c>
      <c r="AF118" s="7">
        <v>3700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9">
        <v>3700</v>
      </c>
      <c r="AV118" s="13">
        <f t="shared" si="2"/>
        <v>3700</v>
      </c>
      <c r="AW118" s="14">
        <f t="shared" si="3"/>
        <v>2590</v>
      </c>
    </row>
    <row r="119" spans="1:49" ht="19.5" x14ac:dyDescent="0.3">
      <c r="A119" s="1" t="s">
        <v>173</v>
      </c>
      <c r="B119" s="4" t="s">
        <v>156</v>
      </c>
      <c r="C119" s="4">
        <v>355068</v>
      </c>
      <c r="D119" s="5"/>
      <c r="E119" s="4" t="s">
        <v>28</v>
      </c>
      <c r="F119" s="4" t="s">
        <v>157</v>
      </c>
      <c r="G119" s="4" t="s">
        <v>225</v>
      </c>
      <c r="H119" s="6" t="s">
        <v>52</v>
      </c>
      <c r="I119" s="6" t="s">
        <v>158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1</v>
      </c>
      <c r="AF119" s="7">
        <v>3600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9">
        <v>3600</v>
      </c>
      <c r="AV119" s="13">
        <f t="shared" si="2"/>
        <v>3600</v>
      </c>
      <c r="AW119" s="14">
        <f t="shared" si="3"/>
        <v>2520</v>
      </c>
    </row>
    <row r="120" spans="1:49" ht="19.5" x14ac:dyDescent="0.3">
      <c r="A120" s="1" t="s">
        <v>173</v>
      </c>
      <c r="B120" s="4" t="s">
        <v>273</v>
      </c>
      <c r="C120" s="4">
        <v>353372</v>
      </c>
      <c r="D120" s="5"/>
      <c r="E120" s="4" t="s">
        <v>28</v>
      </c>
      <c r="F120" s="4" t="s">
        <v>274</v>
      </c>
      <c r="G120" s="4" t="s">
        <v>223</v>
      </c>
      <c r="H120" s="6" t="s">
        <v>52</v>
      </c>
      <c r="I120" s="6" t="s">
        <v>275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1</v>
      </c>
      <c r="AF120" s="7">
        <v>3600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9">
        <v>3600</v>
      </c>
      <c r="AV120" s="13">
        <f t="shared" si="2"/>
        <v>3600</v>
      </c>
      <c r="AW120" s="14">
        <f t="shared" si="3"/>
        <v>2520</v>
      </c>
    </row>
    <row r="121" spans="1:49" ht="19.5" x14ac:dyDescent="0.3">
      <c r="A121" s="1" t="s">
        <v>173</v>
      </c>
      <c r="B121" s="4" t="s">
        <v>149</v>
      </c>
      <c r="C121" s="4">
        <v>316013</v>
      </c>
      <c r="D121" s="5"/>
      <c r="E121" s="4" t="s">
        <v>28</v>
      </c>
      <c r="F121" s="4" t="s">
        <v>44</v>
      </c>
      <c r="G121" s="4" t="s">
        <v>225</v>
      </c>
      <c r="H121" s="6" t="s">
        <v>52</v>
      </c>
      <c r="I121" s="6" t="s">
        <v>150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1</v>
      </c>
      <c r="AF121" s="7">
        <v>3200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9">
        <v>3200</v>
      </c>
      <c r="AV121" s="13">
        <f t="shared" ref="AV121:AV174" si="4">AU121-AN121</f>
        <v>3200</v>
      </c>
      <c r="AW121" s="14">
        <f t="shared" ref="AW121:AW174" si="5">AV121*70%</f>
        <v>2240</v>
      </c>
    </row>
    <row r="122" spans="1:49" ht="19.5" x14ac:dyDescent="0.3">
      <c r="A122" s="1" t="s">
        <v>173</v>
      </c>
      <c r="B122" s="4" t="s">
        <v>231</v>
      </c>
      <c r="C122" s="4">
        <v>367272</v>
      </c>
      <c r="D122" s="5"/>
      <c r="E122" s="4" t="s">
        <v>28</v>
      </c>
      <c r="F122" s="4" t="s">
        <v>43</v>
      </c>
      <c r="G122" s="4" t="s">
        <v>230</v>
      </c>
      <c r="H122" s="6" t="s">
        <v>9</v>
      </c>
      <c r="I122" s="6" t="s">
        <v>232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5</v>
      </c>
      <c r="AF122" s="6">
        <v>300</v>
      </c>
      <c r="AG122" s="6">
        <v>200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26</v>
      </c>
      <c r="AS122" s="7">
        <v>2600</v>
      </c>
      <c r="AT122" s="6">
        <v>0</v>
      </c>
      <c r="AU122" s="9">
        <v>3100</v>
      </c>
      <c r="AV122" s="13">
        <f t="shared" si="4"/>
        <v>3100</v>
      </c>
      <c r="AW122" s="14">
        <f t="shared" si="5"/>
        <v>2170</v>
      </c>
    </row>
    <row r="123" spans="1:49" ht="19.5" x14ac:dyDescent="0.3">
      <c r="A123" s="1" t="s">
        <v>173</v>
      </c>
      <c r="B123" s="4" t="s">
        <v>276</v>
      </c>
      <c r="C123" s="4">
        <v>459228</v>
      </c>
      <c r="D123" s="5"/>
      <c r="E123" s="4" t="s">
        <v>28</v>
      </c>
      <c r="F123" s="4" t="s">
        <v>277</v>
      </c>
      <c r="G123" s="4" t="s">
        <v>220</v>
      </c>
      <c r="H123" s="6" t="s">
        <v>52</v>
      </c>
      <c r="I123" s="6" t="s">
        <v>278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1</v>
      </c>
      <c r="AF123" s="7">
        <v>3000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9">
        <v>3000</v>
      </c>
      <c r="AV123" s="13">
        <f t="shared" si="4"/>
        <v>3000</v>
      </c>
      <c r="AW123" s="14">
        <f t="shared" si="5"/>
        <v>2100</v>
      </c>
    </row>
    <row r="124" spans="1:49" ht="19.5" x14ac:dyDescent="0.3">
      <c r="A124" s="1" t="s">
        <v>173</v>
      </c>
      <c r="B124" s="4" t="s">
        <v>126</v>
      </c>
      <c r="C124" s="4">
        <v>312154</v>
      </c>
      <c r="D124" s="5"/>
      <c r="E124" s="4" t="s">
        <v>28</v>
      </c>
      <c r="F124" s="4" t="s">
        <v>44</v>
      </c>
      <c r="G124" s="4" t="s">
        <v>225</v>
      </c>
      <c r="H124" s="6" t="s">
        <v>127</v>
      </c>
      <c r="I124" s="6" t="s">
        <v>128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1</v>
      </c>
      <c r="AF124" s="6">
        <v>0</v>
      </c>
      <c r="AG124" s="7">
        <v>2800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9">
        <v>2800</v>
      </c>
      <c r="AV124" s="13">
        <f t="shared" si="4"/>
        <v>2800</v>
      </c>
      <c r="AW124" s="14">
        <f t="shared" si="5"/>
        <v>1959.9999999999998</v>
      </c>
    </row>
    <row r="125" spans="1:49" x14ac:dyDescent="0.3">
      <c r="A125" s="1" t="s">
        <v>173</v>
      </c>
      <c r="B125" s="4" t="s">
        <v>192</v>
      </c>
      <c r="C125" s="4">
        <v>461357</v>
      </c>
      <c r="D125" s="5"/>
      <c r="E125" s="4" t="s">
        <v>28</v>
      </c>
      <c r="F125" s="4" t="s">
        <v>193</v>
      </c>
      <c r="G125" s="4" t="s">
        <v>220</v>
      </c>
      <c r="H125" s="6" t="s">
        <v>8</v>
      </c>
      <c r="I125" s="6" t="s">
        <v>194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1</v>
      </c>
      <c r="AF125" s="6">
        <v>0</v>
      </c>
      <c r="AG125" s="7">
        <v>2500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9">
        <v>2500</v>
      </c>
      <c r="AV125" s="13">
        <f t="shared" si="4"/>
        <v>2500</v>
      </c>
      <c r="AW125" s="14">
        <f t="shared" si="5"/>
        <v>1750</v>
      </c>
    </row>
    <row r="126" spans="1:49" ht="19.5" x14ac:dyDescent="0.3">
      <c r="A126" s="1" t="s">
        <v>173</v>
      </c>
      <c r="B126" s="4" t="s">
        <v>118</v>
      </c>
      <c r="C126" s="4">
        <v>456187</v>
      </c>
      <c r="D126" s="5"/>
      <c r="E126" s="4" t="s">
        <v>28</v>
      </c>
      <c r="F126" s="4" t="s">
        <v>63</v>
      </c>
      <c r="G126" s="4" t="s">
        <v>223</v>
      </c>
      <c r="H126" s="6" t="s">
        <v>9</v>
      </c>
      <c r="I126" s="6" t="s">
        <v>119</v>
      </c>
      <c r="J126" s="6">
        <v>0</v>
      </c>
      <c r="K126" s="6">
        <v>91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22</v>
      </c>
      <c r="AF126" s="7">
        <v>2200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9">
        <v>2200</v>
      </c>
      <c r="AV126" s="13">
        <f t="shared" si="4"/>
        <v>2200</v>
      </c>
      <c r="AW126" s="14">
        <f t="shared" si="5"/>
        <v>1540</v>
      </c>
    </row>
    <row r="127" spans="1:49" ht="19.5" x14ac:dyDescent="0.3">
      <c r="A127" s="1" t="s">
        <v>173</v>
      </c>
      <c r="B127" s="4" t="s">
        <v>92</v>
      </c>
      <c r="C127" s="4">
        <v>445954</v>
      </c>
      <c r="D127" s="5"/>
      <c r="E127" s="4" t="s">
        <v>28</v>
      </c>
      <c r="F127" s="4" t="s">
        <v>69</v>
      </c>
      <c r="G127" s="4" t="s">
        <v>223</v>
      </c>
      <c r="H127" s="6" t="s">
        <v>9</v>
      </c>
      <c r="I127" s="6" t="s">
        <v>93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22</v>
      </c>
      <c r="AF127" s="7">
        <v>2200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9">
        <v>2200</v>
      </c>
      <c r="AV127" s="13">
        <f t="shared" si="4"/>
        <v>2200</v>
      </c>
      <c r="AW127" s="14">
        <f t="shared" si="5"/>
        <v>1540</v>
      </c>
    </row>
    <row r="128" spans="1:49" x14ac:dyDescent="0.3">
      <c r="A128" s="1" t="s">
        <v>173</v>
      </c>
      <c r="B128" s="4" t="s">
        <v>164</v>
      </c>
      <c r="C128" s="4">
        <v>459224</v>
      </c>
      <c r="D128" s="5"/>
      <c r="E128" s="4" t="s">
        <v>28</v>
      </c>
      <c r="F128" s="4" t="s">
        <v>165</v>
      </c>
      <c r="G128" s="4" t="s">
        <v>220</v>
      </c>
      <c r="H128" s="6" t="s">
        <v>8</v>
      </c>
      <c r="I128" s="6" t="s">
        <v>166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1</v>
      </c>
      <c r="AF128" s="7">
        <v>2000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9">
        <v>2000</v>
      </c>
      <c r="AV128" s="13">
        <f t="shared" si="4"/>
        <v>2000</v>
      </c>
      <c r="AW128" s="14">
        <f t="shared" si="5"/>
        <v>1400</v>
      </c>
    </row>
    <row r="129" spans="1:49" x14ac:dyDescent="0.3">
      <c r="A129" s="1" t="s">
        <v>173</v>
      </c>
      <c r="B129" s="4" t="s">
        <v>41</v>
      </c>
      <c r="C129" s="4">
        <v>379289</v>
      </c>
      <c r="D129" s="5"/>
      <c r="E129" s="4" t="s">
        <v>28</v>
      </c>
      <c r="F129" s="4" t="s">
        <v>34</v>
      </c>
      <c r="G129" s="4" t="s">
        <v>222</v>
      </c>
      <c r="H129" s="6" t="s">
        <v>8</v>
      </c>
      <c r="I129" s="6" t="s">
        <v>42</v>
      </c>
      <c r="J129" s="6">
        <v>0</v>
      </c>
      <c r="K129" s="6">
        <v>2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2</v>
      </c>
      <c r="AP129" s="7">
        <v>1800</v>
      </c>
      <c r="AQ129" s="6">
        <v>0</v>
      </c>
      <c r="AR129" s="6">
        <v>0</v>
      </c>
      <c r="AS129" s="6">
        <v>0</v>
      </c>
      <c r="AT129" s="6">
        <v>0</v>
      </c>
      <c r="AU129" s="9">
        <v>1800</v>
      </c>
      <c r="AV129" s="13">
        <f t="shared" si="4"/>
        <v>1800</v>
      </c>
      <c r="AW129" s="14">
        <f t="shared" si="5"/>
        <v>1260</v>
      </c>
    </row>
    <row r="130" spans="1:49" ht="19.5" x14ac:dyDescent="0.3">
      <c r="A130" s="1" t="s">
        <v>173</v>
      </c>
      <c r="B130" s="4" t="s">
        <v>198</v>
      </c>
      <c r="C130" s="4">
        <v>443839</v>
      </c>
      <c r="D130" s="5"/>
      <c r="E130" s="4" t="s">
        <v>28</v>
      </c>
      <c r="F130" s="4" t="s">
        <v>63</v>
      </c>
      <c r="G130" s="4" t="s">
        <v>223</v>
      </c>
      <c r="H130" s="6" t="s">
        <v>9</v>
      </c>
      <c r="I130" s="6" t="s">
        <v>81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14</v>
      </c>
      <c r="AF130" s="7">
        <v>1400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9">
        <v>1400</v>
      </c>
      <c r="AV130" s="13">
        <f t="shared" si="4"/>
        <v>1400</v>
      </c>
      <c r="AW130" s="14">
        <f t="shared" si="5"/>
        <v>979.99999999999989</v>
      </c>
    </row>
    <row r="131" spans="1:49" ht="19.5" x14ac:dyDescent="0.3">
      <c r="A131" s="1" t="s">
        <v>173</v>
      </c>
      <c r="B131" s="4" t="s">
        <v>212</v>
      </c>
      <c r="C131" s="4">
        <v>331754</v>
      </c>
      <c r="D131" s="5"/>
      <c r="E131" s="4" t="s">
        <v>28</v>
      </c>
      <c r="F131" s="4" t="s">
        <v>208</v>
      </c>
      <c r="G131" s="4" t="s">
        <v>223</v>
      </c>
      <c r="H131" s="6" t="s">
        <v>52</v>
      </c>
      <c r="I131" s="6" t="s">
        <v>115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1</v>
      </c>
      <c r="AF131" s="6">
        <v>600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1</v>
      </c>
      <c r="AS131" s="6">
        <v>600</v>
      </c>
      <c r="AT131" s="6">
        <v>0</v>
      </c>
      <c r="AU131" s="9">
        <v>1200</v>
      </c>
      <c r="AV131" s="13">
        <f t="shared" si="4"/>
        <v>1200</v>
      </c>
      <c r="AW131" s="14">
        <f t="shared" si="5"/>
        <v>840</v>
      </c>
    </row>
    <row r="132" spans="1:49" ht="19.5" x14ac:dyDescent="0.3">
      <c r="A132" s="1" t="s">
        <v>173</v>
      </c>
      <c r="B132" s="4" t="s">
        <v>185</v>
      </c>
      <c r="C132" s="4">
        <v>366373</v>
      </c>
      <c r="D132" s="5"/>
      <c r="E132" s="4" t="s">
        <v>28</v>
      </c>
      <c r="F132" s="4" t="s">
        <v>186</v>
      </c>
      <c r="G132" s="4" t="s">
        <v>230</v>
      </c>
      <c r="H132" s="6" t="s">
        <v>9</v>
      </c>
      <c r="I132" s="6" t="s">
        <v>187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12</v>
      </c>
      <c r="AF132" s="7">
        <v>1200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9">
        <v>1200</v>
      </c>
      <c r="AV132" s="13">
        <f t="shared" si="4"/>
        <v>1200</v>
      </c>
      <c r="AW132" s="14">
        <f t="shared" si="5"/>
        <v>840</v>
      </c>
    </row>
    <row r="133" spans="1:49" x14ac:dyDescent="0.3">
      <c r="A133" s="1" t="s">
        <v>173</v>
      </c>
      <c r="B133" s="4" t="s">
        <v>48</v>
      </c>
      <c r="C133" s="4">
        <v>382098</v>
      </c>
      <c r="D133" s="5"/>
      <c r="E133" s="4" t="s">
        <v>28</v>
      </c>
      <c r="F133" s="4" t="s">
        <v>159</v>
      </c>
      <c r="G133" s="4" t="s">
        <v>222</v>
      </c>
      <c r="H133" s="6" t="s">
        <v>8</v>
      </c>
      <c r="I133" s="6" t="s">
        <v>49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1</v>
      </c>
      <c r="AC133" s="6">
        <v>900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10">
        <v>900</v>
      </c>
      <c r="AV133" s="13">
        <f t="shared" si="4"/>
        <v>900</v>
      </c>
      <c r="AW133" s="14">
        <f t="shared" si="5"/>
        <v>630</v>
      </c>
    </row>
    <row r="134" spans="1:49" ht="19.5" x14ac:dyDescent="0.3">
      <c r="A134" s="1" t="s">
        <v>173</v>
      </c>
      <c r="B134" s="4" t="s">
        <v>74</v>
      </c>
      <c r="C134" s="4">
        <v>395237</v>
      </c>
      <c r="D134" s="5"/>
      <c r="E134" s="4" t="s">
        <v>28</v>
      </c>
      <c r="F134" s="4" t="s">
        <v>29</v>
      </c>
      <c r="G134" s="4" t="s">
        <v>225</v>
      </c>
      <c r="H134" s="6" t="s">
        <v>52</v>
      </c>
      <c r="I134" s="6" t="s">
        <v>61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3</v>
      </c>
      <c r="AF134" s="6">
        <v>200</v>
      </c>
      <c r="AG134" s="6">
        <v>400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10">
        <v>600</v>
      </c>
      <c r="AV134" s="13">
        <f t="shared" si="4"/>
        <v>600</v>
      </c>
      <c r="AW134" s="14">
        <f t="shared" si="5"/>
        <v>420</v>
      </c>
    </row>
    <row r="135" spans="1:49" ht="19.5" x14ac:dyDescent="0.3">
      <c r="A135" s="1" t="s">
        <v>173</v>
      </c>
      <c r="B135" s="4" t="s">
        <v>36</v>
      </c>
      <c r="C135" s="4">
        <v>354768</v>
      </c>
      <c r="D135" s="5"/>
      <c r="E135" s="4" t="s">
        <v>28</v>
      </c>
      <c r="F135" s="4" t="s">
        <v>37</v>
      </c>
      <c r="G135" s="4" t="s">
        <v>230</v>
      </c>
      <c r="H135" s="6" t="s">
        <v>9</v>
      </c>
      <c r="I135" s="6" t="s">
        <v>38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6</v>
      </c>
      <c r="AF135" s="6">
        <v>600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10">
        <v>600</v>
      </c>
      <c r="AV135" s="13">
        <f t="shared" si="4"/>
        <v>600</v>
      </c>
      <c r="AW135" s="14">
        <f t="shared" si="5"/>
        <v>420</v>
      </c>
    </row>
    <row r="136" spans="1:49" ht="19.5" x14ac:dyDescent="0.3">
      <c r="A136" s="1" t="s">
        <v>173</v>
      </c>
      <c r="B136" s="4" t="s">
        <v>213</v>
      </c>
      <c r="C136" s="4">
        <v>423519</v>
      </c>
      <c r="D136" s="5"/>
      <c r="E136" s="4" t="s">
        <v>28</v>
      </c>
      <c r="F136" s="4" t="s">
        <v>64</v>
      </c>
      <c r="G136" s="4" t="s">
        <v>225</v>
      </c>
      <c r="H136" s="6" t="s">
        <v>52</v>
      </c>
      <c r="I136" s="6" t="s">
        <v>71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1</v>
      </c>
      <c r="AF136" s="6">
        <v>600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10">
        <v>600</v>
      </c>
      <c r="AV136" s="13">
        <f t="shared" si="4"/>
        <v>600</v>
      </c>
      <c r="AW136" s="14">
        <f t="shared" si="5"/>
        <v>420</v>
      </c>
    </row>
    <row r="137" spans="1:49" ht="19.5" x14ac:dyDescent="0.3">
      <c r="A137" s="1" t="s">
        <v>173</v>
      </c>
      <c r="B137" s="4" t="s">
        <v>94</v>
      </c>
      <c r="C137" s="4">
        <v>443978</v>
      </c>
      <c r="D137" s="5"/>
      <c r="E137" s="4" t="s">
        <v>28</v>
      </c>
      <c r="F137" s="4" t="s">
        <v>78</v>
      </c>
      <c r="G137" s="4" t="s">
        <v>225</v>
      </c>
      <c r="H137" s="6" t="s">
        <v>9</v>
      </c>
      <c r="I137" s="6" t="s">
        <v>95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5</v>
      </c>
      <c r="AF137" s="6">
        <v>500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10">
        <v>500</v>
      </c>
      <c r="AV137" s="13">
        <f t="shared" si="4"/>
        <v>500</v>
      </c>
      <c r="AW137" s="14">
        <f t="shared" si="5"/>
        <v>350</v>
      </c>
    </row>
    <row r="138" spans="1:49" ht="19.5" x14ac:dyDescent="0.3">
      <c r="A138" s="1" t="s">
        <v>173</v>
      </c>
      <c r="B138" s="4" t="s">
        <v>233</v>
      </c>
      <c r="C138" s="4">
        <v>356315</v>
      </c>
      <c r="D138" s="5"/>
      <c r="E138" s="4" t="s">
        <v>28</v>
      </c>
      <c r="F138" s="4" t="s">
        <v>37</v>
      </c>
      <c r="G138" s="4" t="s">
        <v>230</v>
      </c>
      <c r="H138" s="6" t="s">
        <v>9</v>
      </c>
      <c r="I138" s="6" t="s">
        <v>234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4</v>
      </c>
      <c r="AS138" s="6">
        <v>400</v>
      </c>
      <c r="AT138" s="6">
        <v>0</v>
      </c>
      <c r="AU138" s="10">
        <v>400</v>
      </c>
      <c r="AV138" s="13">
        <f t="shared" si="4"/>
        <v>400</v>
      </c>
      <c r="AW138" s="14">
        <f t="shared" si="5"/>
        <v>280</v>
      </c>
    </row>
    <row r="139" spans="1:49" ht="19.5" x14ac:dyDescent="0.3">
      <c r="A139" s="1" t="s">
        <v>173</v>
      </c>
      <c r="B139" s="4" t="s">
        <v>279</v>
      </c>
      <c r="C139" s="4">
        <v>357331</v>
      </c>
      <c r="D139" s="5"/>
      <c r="E139" s="4" t="s">
        <v>28</v>
      </c>
      <c r="F139" s="4" t="s">
        <v>280</v>
      </c>
      <c r="G139" s="4" t="s">
        <v>230</v>
      </c>
      <c r="H139" s="6" t="s">
        <v>9</v>
      </c>
      <c r="I139" s="6" t="s">
        <v>281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3</v>
      </c>
      <c r="AF139" s="6">
        <v>300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10">
        <v>300</v>
      </c>
      <c r="AV139" s="13">
        <f t="shared" si="4"/>
        <v>300</v>
      </c>
      <c r="AW139" s="14">
        <f t="shared" si="5"/>
        <v>210</v>
      </c>
    </row>
    <row r="140" spans="1:49" x14ac:dyDescent="0.3">
      <c r="A140" s="1" t="s">
        <v>173</v>
      </c>
      <c r="B140" s="4" t="s">
        <v>87</v>
      </c>
      <c r="C140" s="4">
        <v>440710</v>
      </c>
      <c r="D140" s="5"/>
      <c r="E140" s="4" t="s">
        <v>28</v>
      </c>
      <c r="F140" s="4" t="s">
        <v>88</v>
      </c>
      <c r="G140" s="4" t="s">
        <v>224</v>
      </c>
      <c r="H140" s="6" t="s">
        <v>8</v>
      </c>
      <c r="I140" s="6" t="s">
        <v>111</v>
      </c>
      <c r="J140" s="6">
        <v>0</v>
      </c>
      <c r="K140" s="6">
        <v>108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3</v>
      </c>
      <c r="AF140" s="6">
        <v>0</v>
      </c>
      <c r="AG140" s="6">
        <v>300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10">
        <v>300</v>
      </c>
      <c r="AV140" s="13">
        <f t="shared" si="4"/>
        <v>300</v>
      </c>
      <c r="AW140" s="14">
        <f t="shared" si="5"/>
        <v>210</v>
      </c>
    </row>
    <row r="141" spans="1:49" ht="19.5" x14ac:dyDescent="0.3">
      <c r="A141" s="1" t="s">
        <v>173</v>
      </c>
      <c r="B141" s="4" t="s">
        <v>282</v>
      </c>
      <c r="C141" s="4">
        <v>413108</v>
      </c>
      <c r="D141" s="5"/>
      <c r="E141" s="4" t="s">
        <v>28</v>
      </c>
      <c r="F141" s="4" t="s">
        <v>37</v>
      </c>
      <c r="G141" s="4" t="s">
        <v>223</v>
      </c>
      <c r="H141" s="6" t="s">
        <v>52</v>
      </c>
      <c r="I141" s="6" t="s">
        <v>283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1</v>
      </c>
      <c r="AF141" s="6">
        <v>200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10">
        <v>200</v>
      </c>
      <c r="AV141" s="13">
        <f t="shared" si="4"/>
        <v>200</v>
      </c>
      <c r="AW141" s="14">
        <f t="shared" si="5"/>
        <v>140</v>
      </c>
    </row>
    <row r="142" spans="1:49" ht="19.5" x14ac:dyDescent="0.3">
      <c r="A142" s="1" t="s">
        <v>173</v>
      </c>
      <c r="B142" s="4" t="s">
        <v>214</v>
      </c>
      <c r="C142" s="4">
        <v>415999</v>
      </c>
      <c r="D142" s="5"/>
      <c r="E142" s="4" t="s">
        <v>28</v>
      </c>
      <c r="F142" s="4" t="s">
        <v>69</v>
      </c>
      <c r="G142" s="4" t="s">
        <v>223</v>
      </c>
      <c r="H142" s="6" t="s">
        <v>52</v>
      </c>
      <c r="I142" s="6" t="s">
        <v>215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1</v>
      </c>
      <c r="AF142" s="6">
        <v>200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10">
        <v>200</v>
      </c>
      <c r="AV142" s="13">
        <f t="shared" si="4"/>
        <v>200</v>
      </c>
      <c r="AW142" s="14">
        <f t="shared" si="5"/>
        <v>140</v>
      </c>
    </row>
    <row r="143" spans="1:49" x14ac:dyDescent="0.3">
      <c r="A143" s="1" t="s">
        <v>173</v>
      </c>
      <c r="B143" s="4" t="s">
        <v>39</v>
      </c>
      <c r="C143" s="4">
        <v>367415</v>
      </c>
      <c r="D143" s="5"/>
      <c r="E143" s="4" t="s">
        <v>28</v>
      </c>
      <c r="F143" s="4" t="s">
        <v>31</v>
      </c>
      <c r="G143" s="4" t="s">
        <v>222</v>
      </c>
      <c r="H143" s="6" t="s">
        <v>8</v>
      </c>
      <c r="I143" s="6" t="s">
        <v>40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2</v>
      </c>
      <c r="AF143" s="6">
        <v>200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10">
        <v>200</v>
      </c>
      <c r="AV143" s="13">
        <f t="shared" si="4"/>
        <v>200</v>
      </c>
      <c r="AW143" s="14">
        <f t="shared" si="5"/>
        <v>140</v>
      </c>
    </row>
    <row r="144" spans="1:49" ht="19.5" x14ac:dyDescent="0.3">
      <c r="A144" s="1" t="s">
        <v>173</v>
      </c>
      <c r="B144" s="4" t="s">
        <v>235</v>
      </c>
      <c r="C144" s="4">
        <v>443521</v>
      </c>
      <c r="D144" s="5"/>
      <c r="E144" s="4" t="s">
        <v>28</v>
      </c>
      <c r="F144" s="4" t="s">
        <v>64</v>
      </c>
      <c r="G144" s="4" t="s">
        <v>225</v>
      </c>
      <c r="H144" s="6" t="s">
        <v>9</v>
      </c>
      <c r="I144" s="6" t="s">
        <v>80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1</v>
      </c>
      <c r="AF144" s="6">
        <v>100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10">
        <v>100</v>
      </c>
      <c r="AV144" s="13">
        <f t="shared" si="4"/>
        <v>100</v>
      </c>
      <c r="AW144" s="14">
        <f t="shared" si="5"/>
        <v>70</v>
      </c>
    </row>
    <row r="145" spans="1:49" x14ac:dyDescent="0.3">
      <c r="A145" s="1" t="s">
        <v>173</v>
      </c>
      <c r="B145" s="4" t="s">
        <v>50</v>
      </c>
      <c r="C145" s="4">
        <v>369060</v>
      </c>
      <c r="D145" s="5"/>
      <c r="E145" s="4" t="s">
        <v>28</v>
      </c>
      <c r="F145" s="4" t="s">
        <v>31</v>
      </c>
      <c r="G145" s="4" t="s">
        <v>222</v>
      </c>
      <c r="H145" s="6" t="s">
        <v>8</v>
      </c>
      <c r="I145" s="6" t="s">
        <v>51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1</v>
      </c>
      <c r="AF145" s="6">
        <v>100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10">
        <v>100</v>
      </c>
      <c r="AV145" s="13">
        <f t="shared" si="4"/>
        <v>100</v>
      </c>
      <c r="AW145" s="14">
        <f t="shared" si="5"/>
        <v>70</v>
      </c>
    </row>
    <row r="146" spans="1:49" ht="19.5" x14ac:dyDescent="0.3">
      <c r="A146" s="1" t="s">
        <v>173</v>
      </c>
      <c r="B146" s="4" t="s">
        <v>72</v>
      </c>
      <c r="C146" s="4">
        <v>401407</v>
      </c>
      <c r="D146" s="5"/>
      <c r="E146" s="4" t="s">
        <v>28</v>
      </c>
      <c r="F146" s="4" t="s">
        <v>44</v>
      </c>
      <c r="G146" s="4" t="s">
        <v>225</v>
      </c>
      <c r="H146" s="6" t="s">
        <v>9</v>
      </c>
      <c r="I146" s="6" t="s">
        <v>73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1</v>
      </c>
      <c r="AF146" s="6">
        <v>0</v>
      </c>
      <c r="AG146" s="6">
        <v>100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10">
        <v>100</v>
      </c>
      <c r="AV146" s="13">
        <f t="shared" si="4"/>
        <v>100</v>
      </c>
      <c r="AW146" s="14">
        <f t="shared" si="5"/>
        <v>70</v>
      </c>
    </row>
    <row r="147" spans="1:49" x14ac:dyDescent="0.3">
      <c r="A147" s="1" t="s">
        <v>173</v>
      </c>
      <c r="B147" s="4" t="s">
        <v>53</v>
      </c>
      <c r="C147" s="4">
        <v>361185</v>
      </c>
      <c r="D147" s="5"/>
      <c r="E147" s="4" t="s">
        <v>28</v>
      </c>
      <c r="F147" s="4" t="s">
        <v>34</v>
      </c>
      <c r="G147" s="4" t="s">
        <v>222</v>
      </c>
      <c r="H147" s="6" t="s">
        <v>8</v>
      </c>
      <c r="I147" s="6" t="s">
        <v>54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1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  <c r="AT147" s="6">
        <v>0</v>
      </c>
      <c r="AU147" s="10">
        <v>0</v>
      </c>
      <c r="AV147" s="13">
        <f t="shared" si="4"/>
        <v>0</v>
      </c>
      <c r="AW147" s="14">
        <f t="shared" si="5"/>
        <v>0</v>
      </c>
    </row>
    <row r="148" spans="1:49" ht="19.5" x14ac:dyDescent="0.3">
      <c r="A148" s="1" t="s">
        <v>174</v>
      </c>
      <c r="B148" s="4" t="s">
        <v>177</v>
      </c>
      <c r="C148" s="4">
        <v>451051</v>
      </c>
      <c r="D148" s="5"/>
      <c r="E148" s="4" t="s">
        <v>28</v>
      </c>
      <c r="F148" s="4" t="s">
        <v>159</v>
      </c>
      <c r="G148" s="4" t="s">
        <v>84</v>
      </c>
      <c r="H148" s="6" t="s">
        <v>127</v>
      </c>
      <c r="I148" s="6" t="s">
        <v>178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854</v>
      </c>
      <c r="AF148" s="7">
        <v>85400</v>
      </c>
      <c r="AG148" s="6">
        <v>0</v>
      </c>
      <c r="AH148" s="6">
        <v>0</v>
      </c>
      <c r="AI148" s="6">
        <v>0</v>
      </c>
      <c r="AJ148" s="6">
        <v>0</v>
      </c>
      <c r="AK148" s="6">
        <v>727</v>
      </c>
      <c r="AL148" s="7">
        <v>84435</v>
      </c>
      <c r="AM148" s="7">
        <v>2300</v>
      </c>
      <c r="AN148" s="8">
        <v>25330.5</v>
      </c>
      <c r="AO148" s="6">
        <v>0</v>
      </c>
      <c r="AP148" s="6">
        <v>0</v>
      </c>
      <c r="AQ148" s="6">
        <v>0</v>
      </c>
      <c r="AR148" s="6">
        <v>417</v>
      </c>
      <c r="AS148" s="7">
        <v>41500</v>
      </c>
      <c r="AT148" s="6">
        <v>200</v>
      </c>
      <c r="AU148" s="9">
        <v>213835</v>
      </c>
      <c r="AV148" s="13">
        <f t="shared" si="4"/>
        <v>188504.5</v>
      </c>
      <c r="AW148" s="14">
        <f t="shared" si="5"/>
        <v>131953.15</v>
      </c>
    </row>
    <row r="149" spans="1:49" x14ac:dyDescent="0.3">
      <c r="A149" s="1" t="s">
        <v>174</v>
      </c>
      <c r="B149" s="4" t="s">
        <v>57</v>
      </c>
      <c r="C149" s="4">
        <v>354950</v>
      </c>
      <c r="D149" s="5" t="s">
        <v>58</v>
      </c>
      <c r="E149" s="4" t="s">
        <v>28</v>
      </c>
      <c r="F149" s="4" t="s">
        <v>159</v>
      </c>
      <c r="G149" s="4" t="s">
        <v>222</v>
      </c>
      <c r="H149" s="6" t="s">
        <v>8</v>
      </c>
      <c r="I149" s="6" t="s">
        <v>59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42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248</v>
      </c>
      <c r="AF149" s="7">
        <v>24800</v>
      </c>
      <c r="AG149" s="6">
        <v>0</v>
      </c>
      <c r="AH149" s="6">
        <v>0</v>
      </c>
      <c r="AI149" s="6">
        <v>0</v>
      </c>
      <c r="AJ149" s="6">
        <v>0</v>
      </c>
      <c r="AK149" s="6">
        <v>9</v>
      </c>
      <c r="AL149" s="7">
        <v>1080</v>
      </c>
      <c r="AM149" s="6">
        <v>0</v>
      </c>
      <c r="AN149" s="6">
        <v>324</v>
      </c>
      <c r="AO149" s="6">
        <v>0</v>
      </c>
      <c r="AP149" s="6">
        <v>0</v>
      </c>
      <c r="AQ149" s="6">
        <v>0</v>
      </c>
      <c r="AR149" s="6">
        <v>248</v>
      </c>
      <c r="AS149" s="7">
        <v>23800</v>
      </c>
      <c r="AT149" s="7">
        <v>1000</v>
      </c>
      <c r="AU149" s="9">
        <v>50680</v>
      </c>
      <c r="AV149" s="13">
        <f t="shared" si="4"/>
        <v>50356</v>
      </c>
      <c r="AW149" s="14">
        <f t="shared" si="5"/>
        <v>35249.199999999997</v>
      </c>
    </row>
    <row r="150" spans="1:49" ht="19.5" x14ac:dyDescent="0.3">
      <c r="A150" s="1" t="s">
        <v>174</v>
      </c>
      <c r="B150" s="4" t="s">
        <v>218</v>
      </c>
      <c r="C150" s="4">
        <v>464786</v>
      </c>
      <c r="D150" s="5"/>
      <c r="E150" s="4" t="s">
        <v>28</v>
      </c>
      <c r="F150" s="4" t="s">
        <v>219</v>
      </c>
      <c r="G150" s="4" t="s">
        <v>220</v>
      </c>
      <c r="H150" s="6" t="s">
        <v>127</v>
      </c>
      <c r="I150" s="6" t="s">
        <v>221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8</v>
      </c>
      <c r="AF150" s="7">
        <v>13000</v>
      </c>
      <c r="AG150" s="7">
        <v>2900</v>
      </c>
      <c r="AH150" s="6">
        <v>0</v>
      </c>
      <c r="AI150" s="6">
        <v>0</v>
      </c>
      <c r="AJ150" s="6">
        <v>0</v>
      </c>
      <c r="AK150" s="6">
        <v>11</v>
      </c>
      <c r="AL150" s="7">
        <v>4200</v>
      </c>
      <c r="AM150" s="7">
        <v>20600</v>
      </c>
      <c r="AN150" s="8">
        <v>1260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9">
        <v>40700</v>
      </c>
      <c r="AV150" s="13">
        <f t="shared" si="4"/>
        <v>39440</v>
      </c>
      <c r="AW150" s="14">
        <f t="shared" si="5"/>
        <v>27608</v>
      </c>
    </row>
    <row r="151" spans="1:49" ht="19.5" x14ac:dyDescent="0.3">
      <c r="A151" s="1" t="s">
        <v>174</v>
      </c>
      <c r="B151" s="4" t="s">
        <v>118</v>
      </c>
      <c r="C151" s="4">
        <v>456187</v>
      </c>
      <c r="D151" s="5"/>
      <c r="E151" s="4" t="s">
        <v>28</v>
      </c>
      <c r="F151" s="4" t="s">
        <v>63</v>
      </c>
      <c r="G151" s="4" t="s">
        <v>223</v>
      </c>
      <c r="H151" s="6" t="s">
        <v>9</v>
      </c>
      <c r="I151" s="6" t="s">
        <v>119</v>
      </c>
      <c r="J151" s="6">
        <v>0</v>
      </c>
      <c r="K151" s="6">
        <v>22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85</v>
      </c>
      <c r="AF151" s="7">
        <v>8500</v>
      </c>
      <c r="AG151" s="6">
        <v>0</v>
      </c>
      <c r="AH151" s="6">
        <v>0</v>
      </c>
      <c r="AI151" s="6">
        <v>0</v>
      </c>
      <c r="AJ151" s="6">
        <v>0</v>
      </c>
      <c r="AK151" s="6">
        <v>142</v>
      </c>
      <c r="AL151" s="7">
        <v>17040</v>
      </c>
      <c r="AM151" s="6">
        <v>0</v>
      </c>
      <c r="AN151" s="8">
        <v>5112</v>
      </c>
      <c r="AO151" s="6">
        <v>0</v>
      </c>
      <c r="AP151" s="6">
        <v>0</v>
      </c>
      <c r="AQ151" s="6">
        <v>0</v>
      </c>
      <c r="AR151" s="6">
        <v>30</v>
      </c>
      <c r="AS151" s="7">
        <v>3000</v>
      </c>
      <c r="AT151" s="6">
        <v>0</v>
      </c>
      <c r="AU151" s="9">
        <v>28540</v>
      </c>
      <c r="AV151" s="13">
        <f t="shared" si="4"/>
        <v>23428</v>
      </c>
      <c r="AW151" s="14">
        <f t="shared" si="5"/>
        <v>16399.599999999999</v>
      </c>
    </row>
    <row r="152" spans="1:49" ht="19.5" x14ac:dyDescent="0.3">
      <c r="A152" s="1" t="s">
        <v>174</v>
      </c>
      <c r="B152" s="4" t="s">
        <v>27</v>
      </c>
      <c r="C152" s="4">
        <v>395341</v>
      </c>
      <c r="D152" s="5"/>
      <c r="E152" s="4" t="s">
        <v>28</v>
      </c>
      <c r="F152" s="4" t="s">
        <v>29</v>
      </c>
      <c r="G152" s="4" t="s">
        <v>225</v>
      </c>
      <c r="H152" s="6" t="s">
        <v>9</v>
      </c>
      <c r="I152" s="6" t="s">
        <v>30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193</v>
      </c>
      <c r="AF152" s="7">
        <v>17900</v>
      </c>
      <c r="AG152" s="7">
        <v>1400</v>
      </c>
      <c r="AH152" s="6">
        <v>0</v>
      </c>
      <c r="AI152" s="6">
        <v>0</v>
      </c>
      <c r="AJ152" s="6">
        <v>0</v>
      </c>
      <c r="AK152" s="6">
        <v>4</v>
      </c>
      <c r="AL152" s="6">
        <v>240</v>
      </c>
      <c r="AM152" s="6">
        <v>200</v>
      </c>
      <c r="AN152" s="6">
        <v>72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9">
        <v>19740</v>
      </c>
      <c r="AV152" s="13">
        <f t="shared" si="4"/>
        <v>19668</v>
      </c>
      <c r="AW152" s="14">
        <f t="shared" si="5"/>
        <v>13767.599999999999</v>
      </c>
    </row>
    <row r="153" spans="1:49" ht="19.5" x14ac:dyDescent="0.3">
      <c r="A153" s="1" t="s">
        <v>174</v>
      </c>
      <c r="B153" s="4" t="s">
        <v>124</v>
      </c>
      <c r="C153" s="4">
        <v>372422</v>
      </c>
      <c r="D153" s="5"/>
      <c r="E153" s="4" t="s">
        <v>28</v>
      </c>
      <c r="F153" s="4" t="s">
        <v>44</v>
      </c>
      <c r="G153" s="4" t="s">
        <v>226</v>
      </c>
      <c r="H153" s="6" t="s">
        <v>9</v>
      </c>
      <c r="I153" s="6" t="s">
        <v>125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52</v>
      </c>
      <c r="AF153" s="7">
        <v>5200</v>
      </c>
      <c r="AG153" s="6">
        <v>0</v>
      </c>
      <c r="AH153" s="6">
        <v>0</v>
      </c>
      <c r="AI153" s="6">
        <v>0</v>
      </c>
      <c r="AJ153" s="6">
        <v>0</v>
      </c>
      <c r="AK153" s="6">
        <v>96</v>
      </c>
      <c r="AL153" s="7">
        <v>11136</v>
      </c>
      <c r="AM153" s="6">
        <v>0</v>
      </c>
      <c r="AN153" s="8">
        <v>3340.8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9">
        <v>16336</v>
      </c>
      <c r="AV153" s="13">
        <f t="shared" si="4"/>
        <v>12995.2</v>
      </c>
      <c r="AW153" s="14">
        <f t="shared" si="5"/>
        <v>9096.64</v>
      </c>
    </row>
    <row r="154" spans="1:49" ht="19.5" x14ac:dyDescent="0.3">
      <c r="A154" s="1" t="s">
        <v>174</v>
      </c>
      <c r="B154" s="4" t="s">
        <v>216</v>
      </c>
      <c r="C154" s="4">
        <v>465998</v>
      </c>
      <c r="D154" s="5"/>
      <c r="E154" s="4" t="s">
        <v>28</v>
      </c>
      <c r="F154" s="4" t="s">
        <v>159</v>
      </c>
      <c r="G154" s="4" t="s">
        <v>84</v>
      </c>
      <c r="H154" s="6" t="s">
        <v>127</v>
      </c>
      <c r="I154" s="6" t="s">
        <v>217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14</v>
      </c>
      <c r="AC154" s="7">
        <v>12600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9">
        <v>12600</v>
      </c>
      <c r="AV154" s="13">
        <f t="shared" si="4"/>
        <v>12600</v>
      </c>
      <c r="AW154" s="14">
        <f t="shared" si="5"/>
        <v>8820</v>
      </c>
    </row>
    <row r="155" spans="1:49" x14ac:dyDescent="0.3">
      <c r="A155" s="1" t="s">
        <v>174</v>
      </c>
      <c r="B155" s="4" t="s">
        <v>41</v>
      </c>
      <c r="C155" s="4">
        <v>379289</v>
      </c>
      <c r="D155" s="5"/>
      <c r="E155" s="4" t="s">
        <v>28</v>
      </c>
      <c r="F155" s="4" t="s">
        <v>34</v>
      </c>
      <c r="G155" s="4" t="s">
        <v>222</v>
      </c>
      <c r="H155" s="6" t="s">
        <v>8</v>
      </c>
      <c r="I155" s="6" t="s">
        <v>42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8</v>
      </c>
      <c r="AP155" s="7">
        <v>7200</v>
      </c>
      <c r="AQ155" s="6">
        <v>0</v>
      </c>
      <c r="AR155" s="6">
        <v>0</v>
      </c>
      <c r="AS155" s="6">
        <v>0</v>
      </c>
      <c r="AT155" s="6">
        <v>0</v>
      </c>
      <c r="AU155" s="9">
        <v>7200</v>
      </c>
      <c r="AV155" s="13">
        <f t="shared" si="4"/>
        <v>7200</v>
      </c>
      <c r="AW155" s="14">
        <f t="shared" si="5"/>
        <v>5040</v>
      </c>
    </row>
    <row r="156" spans="1:49" x14ac:dyDescent="0.3">
      <c r="A156" s="1" t="s">
        <v>174</v>
      </c>
      <c r="B156" s="4" t="s">
        <v>284</v>
      </c>
      <c r="C156" s="4">
        <v>465756</v>
      </c>
      <c r="D156" s="5"/>
      <c r="E156" s="4" t="s">
        <v>28</v>
      </c>
      <c r="F156" s="4" t="s">
        <v>285</v>
      </c>
      <c r="G156" s="4" t="s">
        <v>286</v>
      </c>
      <c r="H156" s="6" t="s">
        <v>8</v>
      </c>
      <c r="I156" s="6" t="s">
        <v>217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1</v>
      </c>
      <c r="AL156" s="7">
        <v>6600</v>
      </c>
      <c r="AM156" s="6">
        <v>0</v>
      </c>
      <c r="AN156" s="8">
        <v>1980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9">
        <v>6600</v>
      </c>
      <c r="AV156" s="13">
        <f t="shared" si="4"/>
        <v>4620</v>
      </c>
      <c r="AW156" s="14">
        <f t="shared" si="5"/>
        <v>3234</v>
      </c>
    </row>
    <row r="157" spans="1:49" ht="19.5" x14ac:dyDescent="0.3">
      <c r="A157" s="1" t="s">
        <v>174</v>
      </c>
      <c r="B157" s="4" t="s">
        <v>65</v>
      </c>
      <c r="C157" s="4">
        <v>387161</v>
      </c>
      <c r="D157" s="5"/>
      <c r="E157" s="4" t="s">
        <v>28</v>
      </c>
      <c r="F157" s="4" t="s">
        <v>66</v>
      </c>
      <c r="G157" s="4" t="s">
        <v>223</v>
      </c>
      <c r="H157" s="6" t="s">
        <v>52</v>
      </c>
      <c r="I157" s="6" t="s">
        <v>67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2</v>
      </c>
      <c r="AF157" s="7">
        <v>6200</v>
      </c>
      <c r="AG157" s="6">
        <v>200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9">
        <v>6400</v>
      </c>
      <c r="AV157" s="13">
        <f t="shared" si="4"/>
        <v>6400</v>
      </c>
      <c r="AW157" s="14">
        <f t="shared" si="5"/>
        <v>4480</v>
      </c>
    </row>
    <row r="158" spans="1:49" x14ac:dyDescent="0.3">
      <c r="A158" s="1" t="s">
        <v>174</v>
      </c>
      <c r="B158" s="4" t="s">
        <v>116</v>
      </c>
      <c r="C158" s="4">
        <v>408834</v>
      </c>
      <c r="D158" s="5"/>
      <c r="E158" s="4" t="s">
        <v>28</v>
      </c>
      <c r="F158" s="4" t="s">
        <v>34</v>
      </c>
      <c r="G158" s="4" t="s">
        <v>222</v>
      </c>
      <c r="H158" s="6" t="s">
        <v>8</v>
      </c>
      <c r="I158" s="6" t="s">
        <v>117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6</v>
      </c>
      <c r="AC158" s="7">
        <v>5400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9">
        <v>5400</v>
      </c>
      <c r="AV158" s="13">
        <f t="shared" si="4"/>
        <v>5400</v>
      </c>
      <c r="AW158" s="14">
        <f t="shared" si="5"/>
        <v>3779.9999999999995</v>
      </c>
    </row>
    <row r="159" spans="1:49" ht="19.5" x14ac:dyDescent="0.3">
      <c r="A159" s="1" t="s">
        <v>174</v>
      </c>
      <c r="B159" s="4" t="s">
        <v>60</v>
      </c>
      <c r="C159" s="4">
        <v>395231</v>
      </c>
      <c r="D159" s="5"/>
      <c r="E159" s="4" t="s">
        <v>28</v>
      </c>
      <c r="F159" s="4" t="s">
        <v>29</v>
      </c>
      <c r="G159" s="4" t="s">
        <v>225</v>
      </c>
      <c r="H159" s="6" t="s">
        <v>52</v>
      </c>
      <c r="I159" s="6" t="s">
        <v>61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1</v>
      </c>
      <c r="AL159" s="7">
        <v>4200</v>
      </c>
      <c r="AM159" s="6">
        <v>0</v>
      </c>
      <c r="AN159" s="8">
        <v>1260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9">
        <v>4200</v>
      </c>
      <c r="AV159" s="13">
        <f t="shared" si="4"/>
        <v>2940</v>
      </c>
      <c r="AW159" s="14">
        <f t="shared" si="5"/>
        <v>2058</v>
      </c>
    </row>
    <row r="160" spans="1:49" x14ac:dyDescent="0.3">
      <c r="A160" s="1" t="s">
        <v>174</v>
      </c>
      <c r="B160" s="4" t="s">
        <v>45</v>
      </c>
      <c r="C160" s="4">
        <v>424315</v>
      </c>
      <c r="D160" s="5"/>
      <c r="E160" s="4" t="s">
        <v>28</v>
      </c>
      <c r="F160" s="4" t="s">
        <v>34</v>
      </c>
      <c r="G160" s="4" t="s">
        <v>222</v>
      </c>
      <c r="H160" s="6" t="s">
        <v>8</v>
      </c>
      <c r="I160" s="6" t="s">
        <v>46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4</v>
      </c>
      <c r="AC160" s="7">
        <v>3600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9">
        <v>3600</v>
      </c>
      <c r="AV160" s="13">
        <f t="shared" si="4"/>
        <v>3600</v>
      </c>
      <c r="AW160" s="14">
        <f t="shared" si="5"/>
        <v>2520</v>
      </c>
    </row>
    <row r="161" spans="1:49" ht="19.5" x14ac:dyDescent="0.3">
      <c r="A161" s="1" t="s">
        <v>174</v>
      </c>
      <c r="B161" s="4" t="s">
        <v>161</v>
      </c>
      <c r="C161" s="4">
        <v>460820</v>
      </c>
      <c r="D161" s="5"/>
      <c r="E161" s="4" t="s">
        <v>28</v>
      </c>
      <c r="F161" s="4" t="s">
        <v>162</v>
      </c>
      <c r="G161" s="4" t="s">
        <v>223</v>
      </c>
      <c r="H161" s="6" t="s">
        <v>9</v>
      </c>
      <c r="I161" s="6" t="s">
        <v>163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9</v>
      </c>
      <c r="AF161" s="6">
        <v>900</v>
      </c>
      <c r="AG161" s="6">
        <v>0</v>
      </c>
      <c r="AH161" s="6">
        <v>0</v>
      </c>
      <c r="AI161" s="6">
        <v>0</v>
      </c>
      <c r="AJ161" s="6">
        <v>0</v>
      </c>
      <c r="AK161" s="6">
        <v>25</v>
      </c>
      <c r="AL161" s="6">
        <v>0</v>
      </c>
      <c r="AM161" s="7">
        <v>2500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9">
        <v>3400</v>
      </c>
      <c r="AV161" s="13">
        <f t="shared" si="4"/>
        <v>3400</v>
      </c>
      <c r="AW161" s="14">
        <f t="shared" si="5"/>
        <v>2380</v>
      </c>
    </row>
    <row r="162" spans="1:49" ht="19.5" x14ac:dyDescent="0.3">
      <c r="A162" s="1" t="s">
        <v>174</v>
      </c>
      <c r="B162" s="4" t="s">
        <v>169</v>
      </c>
      <c r="C162" s="4">
        <v>459229</v>
      </c>
      <c r="D162" s="5"/>
      <c r="E162" s="4" t="s">
        <v>28</v>
      </c>
      <c r="F162" s="4" t="s">
        <v>170</v>
      </c>
      <c r="G162" s="4" t="s">
        <v>220</v>
      </c>
      <c r="H162" s="6" t="s">
        <v>52</v>
      </c>
      <c r="I162" s="6" t="s">
        <v>171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1</v>
      </c>
      <c r="AL162" s="6">
        <v>0</v>
      </c>
      <c r="AM162" s="7">
        <v>3000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9">
        <v>3000</v>
      </c>
      <c r="AV162" s="13">
        <f t="shared" si="4"/>
        <v>3000</v>
      </c>
      <c r="AW162" s="14">
        <f t="shared" si="5"/>
        <v>2100</v>
      </c>
    </row>
    <row r="163" spans="1:49" x14ac:dyDescent="0.3">
      <c r="A163" s="1" t="s">
        <v>174</v>
      </c>
      <c r="B163" s="4" t="s">
        <v>192</v>
      </c>
      <c r="C163" s="4">
        <v>461357</v>
      </c>
      <c r="D163" s="5"/>
      <c r="E163" s="4" t="s">
        <v>28</v>
      </c>
      <c r="F163" s="4" t="s">
        <v>193</v>
      </c>
      <c r="G163" s="4" t="s">
        <v>220</v>
      </c>
      <c r="H163" s="6" t="s">
        <v>8</v>
      </c>
      <c r="I163" s="6" t="s">
        <v>194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1</v>
      </c>
      <c r="AL163" s="7">
        <v>3000</v>
      </c>
      <c r="AM163" s="6">
        <v>0</v>
      </c>
      <c r="AN163" s="6">
        <v>900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9">
        <v>3000</v>
      </c>
      <c r="AV163" s="13">
        <f t="shared" si="4"/>
        <v>2100</v>
      </c>
      <c r="AW163" s="14">
        <f t="shared" si="5"/>
        <v>1470</v>
      </c>
    </row>
    <row r="164" spans="1:49" ht="19.5" x14ac:dyDescent="0.3">
      <c r="A164" s="1" t="s">
        <v>174</v>
      </c>
      <c r="B164" s="4" t="s">
        <v>287</v>
      </c>
      <c r="C164" s="4">
        <v>416220</v>
      </c>
      <c r="D164" s="5"/>
      <c r="E164" s="4" t="s">
        <v>28</v>
      </c>
      <c r="F164" s="4" t="s">
        <v>62</v>
      </c>
      <c r="G164" s="4" t="s">
        <v>225</v>
      </c>
      <c r="H164" s="6" t="s">
        <v>52</v>
      </c>
      <c r="I164" s="6" t="s">
        <v>288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1</v>
      </c>
      <c r="AF164" s="7">
        <v>2800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9">
        <v>2800</v>
      </c>
      <c r="AV164" s="13">
        <f t="shared" si="4"/>
        <v>2800</v>
      </c>
      <c r="AW164" s="14">
        <f t="shared" si="5"/>
        <v>1959.9999999999998</v>
      </c>
    </row>
    <row r="165" spans="1:49" ht="19.5" x14ac:dyDescent="0.3">
      <c r="A165" s="1" t="s">
        <v>174</v>
      </c>
      <c r="B165" s="4" t="s">
        <v>146</v>
      </c>
      <c r="C165" s="4">
        <v>457068</v>
      </c>
      <c r="D165" s="5"/>
      <c r="E165" s="4" t="s">
        <v>28</v>
      </c>
      <c r="F165" s="4" t="s">
        <v>147</v>
      </c>
      <c r="G165" s="4" t="s">
        <v>220</v>
      </c>
      <c r="H165" s="6" t="s">
        <v>52</v>
      </c>
      <c r="I165" s="6" t="s">
        <v>148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1</v>
      </c>
      <c r="AF165" s="7">
        <v>2500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9">
        <v>2500</v>
      </c>
      <c r="AV165" s="13">
        <f t="shared" si="4"/>
        <v>2500</v>
      </c>
      <c r="AW165" s="14">
        <f t="shared" si="5"/>
        <v>1750</v>
      </c>
    </row>
    <row r="166" spans="1:49" ht="19.5" x14ac:dyDescent="0.3">
      <c r="A166" s="1" t="s">
        <v>174</v>
      </c>
      <c r="B166" s="4" t="s">
        <v>185</v>
      </c>
      <c r="C166" s="4">
        <v>366373</v>
      </c>
      <c r="D166" s="5"/>
      <c r="E166" s="4" t="s">
        <v>28</v>
      </c>
      <c r="F166" s="4" t="s">
        <v>186</v>
      </c>
      <c r="G166" s="4" t="s">
        <v>230</v>
      </c>
      <c r="H166" s="6" t="s">
        <v>9</v>
      </c>
      <c r="I166" s="6" t="s">
        <v>187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22</v>
      </c>
      <c r="AF166" s="7">
        <v>2200</v>
      </c>
      <c r="AG166" s="6">
        <v>0</v>
      </c>
      <c r="AH166" s="6">
        <v>0</v>
      </c>
      <c r="AI166" s="6">
        <v>0</v>
      </c>
      <c r="AJ166" s="6">
        <v>0</v>
      </c>
      <c r="AK166" s="6">
        <v>3</v>
      </c>
      <c r="AL166" s="6">
        <v>0</v>
      </c>
      <c r="AM166" s="6">
        <v>300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9">
        <v>2500</v>
      </c>
      <c r="AV166" s="13">
        <f t="shared" si="4"/>
        <v>2500</v>
      </c>
      <c r="AW166" s="14">
        <f t="shared" si="5"/>
        <v>1750</v>
      </c>
    </row>
    <row r="167" spans="1:49" x14ac:dyDescent="0.3">
      <c r="A167" s="1" t="s">
        <v>174</v>
      </c>
      <c r="B167" s="4" t="s">
        <v>153</v>
      </c>
      <c r="C167" s="4">
        <v>457676</v>
      </c>
      <c r="D167" s="5"/>
      <c r="E167" s="4" t="s">
        <v>28</v>
      </c>
      <c r="F167" s="4" t="s">
        <v>154</v>
      </c>
      <c r="G167" s="4" t="s">
        <v>220</v>
      </c>
      <c r="H167" s="6" t="s">
        <v>8</v>
      </c>
      <c r="I167" s="6" t="s">
        <v>155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1</v>
      </c>
      <c r="AL167" s="6">
        <v>0</v>
      </c>
      <c r="AM167" s="7">
        <v>2500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9">
        <v>2500</v>
      </c>
      <c r="AV167" s="13">
        <f t="shared" si="4"/>
        <v>2500</v>
      </c>
      <c r="AW167" s="14">
        <f t="shared" si="5"/>
        <v>1750</v>
      </c>
    </row>
    <row r="168" spans="1:49" x14ac:dyDescent="0.3">
      <c r="A168" s="1" t="s">
        <v>174</v>
      </c>
      <c r="B168" s="4" t="s">
        <v>164</v>
      </c>
      <c r="C168" s="4">
        <v>459224</v>
      </c>
      <c r="D168" s="5"/>
      <c r="E168" s="4" t="s">
        <v>28</v>
      </c>
      <c r="F168" s="4" t="s">
        <v>165</v>
      </c>
      <c r="G168" s="4" t="s">
        <v>220</v>
      </c>
      <c r="H168" s="6" t="s">
        <v>8</v>
      </c>
      <c r="I168" s="6" t="s">
        <v>166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1</v>
      </c>
      <c r="AF168" s="7">
        <v>1800</v>
      </c>
      <c r="AG168" s="6">
        <v>0</v>
      </c>
      <c r="AH168" s="6">
        <v>0</v>
      </c>
      <c r="AI168" s="6">
        <v>0</v>
      </c>
      <c r="AJ168" s="6">
        <v>0</v>
      </c>
      <c r="AK168" s="6">
        <v>1</v>
      </c>
      <c r="AL168" s="6">
        <v>0</v>
      </c>
      <c r="AM168" s="6">
        <v>200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9">
        <v>2000</v>
      </c>
      <c r="AV168" s="13">
        <f t="shared" si="4"/>
        <v>2000</v>
      </c>
      <c r="AW168" s="14">
        <f t="shared" si="5"/>
        <v>1400</v>
      </c>
    </row>
    <row r="169" spans="1:49" ht="19.5" x14ac:dyDescent="0.3">
      <c r="A169" s="1" t="s">
        <v>174</v>
      </c>
      <c r="B169" s="4" t="s">
        <v>99</v>
      </c>
      <c r="C169" s="4">
        <v>448030</v>
      </c>
      <c r="D169" s="5"/>
      <c r="E169" s="4" t="s">
        <v>28</v>
      </c>
      <c r="F169" s="4" t="s">
        <v>69</v>
      </c>
      <c r="G169" s="4" t="s">
        <v>223</v>
      </c>
      <c r="H169" s="6" t="s">
        <v>9</v>
      </c>
      <c r="I169" s="6" t="s">
        <v>100</v>
      </c>
      <c r="J169" s="6">
        <v>0</v>
      </c>
      <c r="K169" s="6">
        <v>77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5</v>
      </c>
      <c r="AF169" s="6">
        <v>500</v>
      </c>
      <c r="AG169" s="6">
        <v>0</v>
      </c>
      <c r="AH169" s="6">
        <v>0</v>
      </c>
      <c r="AI169" s="6">
        <v>0</v>
      </c>
      <c r="AJ169" s="6">
        <v>0</v>
      </c>
      <c r="AK169" s="6">
        <v>15</v>
      </c>
      <c r="AL169" s="6">
        <v>0</v>
      </c>
      <c r="AM169" s="7">
        <v>1500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9">
        <v>2000</v>
      </c>
      <c r="AV169" s="13">
        <f t="shared" si="4"/>
        <v>2000</v>
      </c>
      <c r="AW169" s="14">
        <f t="shared" si="5"/>
        <v>1400</v>
      </c>
    </row>
    <row r="170" spans="1:49" x14ac:dyDescent="0.3">
      <c r="A170" s="1" t="s">
        <v>174</v>
      </c>
      <c r="B170" s="4" t="s">
        <v>87</v>
      </c>
      <c r="C170" s="4">
        <v>440710</v>
      </c>
      <c r="D170" s="5"/>
      <c r="E170" s="4" t="s">
        <v>28</v>
      </c>
      <c r="F170" s="4" t="s">
        <v>88</v>
      </c>
      <c r="G170" s="4" t="s">
        <v>224</v>
      </c>
      <c r="H170" s="6" t="s">
        <v>8</v>
      </c>
      <c r="I170" s="6" t="s">
        <v>111</v>
      </c>
      <c r="J170" s="6">
        <v>2</v>
      </c>
      <c r="K170" s="6">
        <v>147</v>
      </c>
      <c r="L170" s="6">
        <v>200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4</v>
      </c>
      <c r="AF170" s="6">
        <v>400</v>
      </c>
      <c r="AG170" s="6">
        <v>0</v>
      </c>
      <c r="AH170" s="6">
        <v>0</v>
      </c>
      <c r="AI170" s="6">
        <v>0</v>
      </c>
      <c r="AJ170" s="6">
        <v>0</v>
      </c>
      <c r="AK170" s="6">
        <v>7</v>
      </c>
      <c r="AL170" s="6">
        <v>0</v>
      </c>
      <c r="AM170" s="6">
        <v>700</v>
      </c>
      <c r="AN170" s="6">
        <v>0</v>
      </c>
      <c r="AO170" s="6">
        <v>0</v>
      </c>
      <c r="AP170" s="6">
        <v>0</v>
      </c>
      <c r="AQ170" s="6">
        <v>0</v>
      </c>
      <c r="AR170" s="6">
        <v>1</v>
      </c>
      <c r="AS170" s="6">
        <v>100</v>
      </c>
      <c r="AT170" s="6">
        <v>0</v>
      </c>
      <c r="AU170" s="9">
        <v>1400</v>
      </c>
      <c r="AV170" s="13">
        <f t="shared" si="4"/>
        <v>1400</v>
      </c>
      <c r="AW170" s="14">
        <f t="shared" si="5"/>
        <v>979.99999999999989</v>
      </c>
    </row>
    <row r="171" spans="1:49" ht="19.5" x14ac:dyDescent="0.3">
      <c r="A171" s="1" t="s">
        <v>174</v>
      </c>
      <c r="B171" s="4" t="s">
        <v>55</v>
      </c>
      <c r="C171" s="4">
        <v>372841</v>
      </c>
      <c r="D171" s="5"/>
      <c r="E171" s="4" t="s">
        <v>28</v>
      </c>
      <c r="F171" s="4" t="s">
        <v>44</v>
      </c>
      <c r="G171" s="4" t="s">
        <v>226</v>
      </c>
      <c r="H171" s="6" t="s">
        <v>9</v>
      </c>
      <c r="I171" s="6" t="s">
        <v>56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2</v>
      </c>
      <c r="AF171" s="6">
        <v>0</v>
      </c>
      <c r="AG171" s="6">
        <v>200</v>
      </c>
      <c r="AH171" s="6">
        <v>0</v>
      </c>
      <c r="AI171" s="6">
        <v>0</v>
      </c>
      <c r="AJ171" s="6">
        <v>0</v>
      </c>
      <c r="AK171" s="6">
        <v>11</v>
      </c>
      <c r="AL171" s="6">
        <v>0</v>
      </c>
      <c r="AM171" s="7">
        <v>1100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9">
        <v>1300</v>
      </c>
      <c r="AV171" s="13">
        <f t="shared" si="4"/>
        <v>1300</v>
      </c>
      <c r="AW171" s="14">
        <f t="shared" si="5"/>
        <v>909.99999999999989</v>
      </c>
    </row>
    <row r="172" spans="1:49" ht="19.5" x14ac:dyDescent="0.3">
      <c r="A172" s="1" t="s">
        <v>174</v>
      </c>
      <c r="B172" s="4" t="s">
        <v>72</v>
      </c>
      <c r="C172" s="4">
        <v>401407</v>
      </c>
      <c r="D172" s="5"/>
      <c r="E172" s="4" t="s">
        <v>28</v>
      </c>
      <c r="F172" s="4" t="s">
        <v>44</v>
      </c>
      <c r="G172" s="4" t="s">
        <v>225</v>
      </c>
      <c r="H172" s="6" t="s">
        <v>9</v>
      </c>
      <c r="I172" s="6" t="s">
        <v>73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6">
        <v>3</v>
      </c>
      <c r="AS172" s="6">
        <v>300</v>
      </c>
      <c r="AT172" s="6">
        <v>0</v>
      </c>
      <c r="AU172" s="10">
        <v>300</v>
      </c>
      <c r="AV172" s="13">
        <f t="shared" si="4"/>
        <v>300</v>
      </c>
      <c r="AW172" s="14">
        <f t="shared" si="5"/>
        <v>210</v>
      </c>
    </row>
    <row r="173" spans="1:49" x14ac:dyDescent="0.3">
      <c r="A173" s="1" t="s">
        <v>174</v>
      </c>
      <c r="B173" s="4" t="s">
        <v>123</v>
      </c>
      <c r="C173" s="4">
        <v>455896</v>
      </c>
      <c r="D173" s="5"/>
      <c r="E173" s="4" t="s">
        <v>28</v>
      </c>
      <c r="F173" s="4" t="s">
        <v>159</v>
      </c>
      <c r="G173" s="4" t="s">
        <v>84</v>
      </c>
      <c r="H173" s="6" t="s">
        <v>8</v>
      </c>
      <c r="I173" s="6" t="s">
        <v>122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3</v>
      </c>
      <c r="AF173" s="6">
        <v>300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10">
        <v>300</v>
      </c>
      <c r="AV173" s="13">
        <f t="shared" si="4"/>
        <v>300</v>
      </c>
      <c r="AW173" s="14">
        <f t="shared" si="5"/>
        <v>210</v>
      </c>
    </row>
    <row r="174" spans="1:49" x14ac:dyDescent="0.3">
      <c r="A174" s="1" t="s">
        <v>174</v>
      </c>
      <c r="B174" s="4" t="s">
        <v>50</v>
      </c>
      <c r="C174" s="4">
        <v>369060</v>
      </c>
      <c r="D174" s="5"/>
      <c r="E174" s="4" t="s">
        <v>28</v>
      </c>
      <c r="F174" s="4" t="s">
        <v>31</v>
      </c>
      <c r="G174" s="4" t="s">
        <v>222</v>
      </c>
      <c r="H174" s="6" t="s">
        <v>8</v>
      </c>
      <c r="I174" s="6" t="s">
        <v>51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2</v>
      </c>
      <c r="AF174" s="6">
        <v>200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10">
        <v>200</v>
      </c>
      <c r="AV174" s="13">
        <f t="shared" si="4"/>
        <v>200</v>
      </c>
      <c r="AW174" s="14">
        <f t="shared" si="5"/>
        <v>140</v>
      </c>
    </row>
    <row r="175" spans="1:49" x14ac:dyDescent="0.3">
      <c r="AW175" s="15">
        <f>SUM(AW2:AW174)</f>
        <v>3325876.1900000004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hsjung</cp:lastModifiedBy>
  <dcterms:created xsi:type="dcterms:W3CDTF">2019-02-07T01:40:45Z</dcterms:created>
  <dcterms:modified xsi:type="dcterms:W3CDTF">2022-05-11T09:05:03Z</dcterms:modified>
</cp:coreProperties>
</file>