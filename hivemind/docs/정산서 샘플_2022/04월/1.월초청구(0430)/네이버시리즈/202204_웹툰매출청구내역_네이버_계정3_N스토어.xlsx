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네이버시리즈\"/>
    </mc:Choice>
  </mc:AlternateContent>
  <bookViews>
    <workbookView xWindow="0" yWindow="0" windowWidth="23040" windowHeight="8952" tabRatio="763"/>
  </bookViews>
  <sheets>
    <sheet name="합계 (3)" sheetId="64" r:id="rId1"/>
  </sheets>
  <definedNames>
    <definedName name="_xlnm._FilterDatabase" localSheetId="0" hidden="1">'합계 (3)'!$A$1:$AW$14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24" i="64" l="1"/>
  <c r="AW24" i="64"/>
  <c r="AW15" i="64"/>
  <c r="AW16" i="64"/>
  <c r="AW17" i="64"/>
  <c r="AW18" i="64"/>
  <c r="AW19" i="64"/>
  <c r="AW20" i="64"/>
  <c r="AW21" i="64"/>
  <c r="AW22" i="64"/>
  <c r="AW23" i="64"/>
  <c r="AV15" i="64"/>
  <c r="AV16" i="64"/>
  <c r="AV17" i="64"/>
  <c r="AV18" i="64"/>
  <c r="AV19" i="64"/>
  <c r="AV20" i="64"/>
  <c r="AV21" i="64"/>
  <c r="AV22" i="64"/>
  <c r="AV23" i="64"/>
  <c r="AV2" i="64" l="1"/>
  <c r="AW2" i="64" s="1"/>
  <c r="AV3" i="64"/>
  <c r="AW3" i="64" s="1"/>
  <c r="AV4" i="64"/>
  <c r="AW4" i="64" s="1"/>
  <c r="AV5" i="64"/>
  <c r="AW5" i="64" s="1"/>
  <c r="AV6" i="64"/>
  <c r="AW6" i="64" s="1"/>
  <c r="AV7" i="64"/>
  <c r="AW7" i="64" s="1"/>
  <c r="AV8" i="64"/>
  <c r="AW8" i="64" s="1"/>
  <c r="AV9" i="64"/>
  <c r="AW9" i="64" s="1"/>
  <c r="AV10" i="64"/>
  <c r="AW10" i="64" s="1"/>
  <c r="AV11" i="64"/>
  <c r="AW11" i="64" s="1"/>
  <c r="AV12" i="64"/>
  <c r="AW12" i="64" s="1"/>
  <c r="AV13" i="64"/>
  <c r="AW13" i="64" s="1"/>
  <c r="AV14" i="64"/>
  <c r="AW14" i="64" s="1"/>
</calcChain>
</file>

<file path=xl/sharedStrings.xml><?xml version="1.0" encoding="utf-8"?>
<sst xmlns="http://schemas.openxmlformats.org/spreadsheetml/2006/main" count="204" uniqueCount="61">
  <si>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</si>
  <si>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</si>
  <si>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</si>
  <si>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</si>
  <si>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</si>
  <si>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</si>
  <si>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</si>
  <si>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</si>
  <si>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</si>
  <si>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스토리위즈_만화</t>
  </si>
  <si>
    <t>스토리위즈</t>
  </si>
  <si>
    <t>15세 이상 이용가능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</si>
  <si>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</si>
  <si>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</si>
  <si>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</si>
  <si>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</si>
  <si>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</si>
  <si>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</si>
  <si>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</si>
  <si>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</si>
  <si>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</si>
  <si>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</si>
  <si>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</si>
  <si>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</si>
  <si>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</si>
  <si>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</si>
  <si>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</si>
  <si>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</si>
  <si>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Ice×FANFAN COMIC</t>
  </si>
  <si>
    <t>건일</t>
  </si>
  <si>
    <t>폭군의 눈물</t>
  </si>
  <si>
    <t>별빛 아래 우리</t>
  </si>
  <si>
    <t>마스코마스코 [독점]</t>
  </si>
  <si>
    <t>남정훈</t>
  </si>
  <si>
    <t>2021.10.25</t>
  </si>
  <si>
    <t>이세계 소환은 두 번째라구요</t>
  </si>
  <si>
    <t>Arashiyama</t>
  </si>
  <si>
    <t>2021.07.23</t>
  </si>
  <si>
    <t>N스토어PC</t>
  </si>
  <si>
    <t>N스토어(MW)</t>
  </si>
  <si>
    <t>2022.03.16</t>
  </si>
  <si>
    <t>PC뷰어(PC)</t>
  </si>
  <si>
    <t>2022.04.28</t>
  </si>
  <si>
    <t>가출천사 육성계약</t>
  </si>
  <si>
    <t>Bae.C, 조우</t>
  </si>
  <si>
    <t>12세 이상 이용가능</t>
  </si>
  <si>
    <t>2022.04.27</t>
  </si>
  <si>
    <t>최애에게 들켜버렸다</t>
  </si>
  <si>
    <t>Lv</t>
  </si>
  <si>
    <t>악역이지만, 남주는 꼬시지 않아요</t>
  </si>
  <si>
    <t>kuri</t>
  </si>
  <si>
    <t>2022.04.29</t>
  </si>
  <si>
    <t>요괴님은 수련중</t>
  </si>
  <si>
    <t>망북</t>
  </si>
  <si>
    <t>계약연애, 오늘부터 1일</t>
  </si>
  <si>
    <t>원기공장</t>
  </si>
  <si>
    <t>2019.03.11</t>
  </si>
  <si>
    <t>연애 2분의 1</t>
  </si>
  <si>
    <t>ZHUPI&amp;YANGXUETU</t>
  </si>
  <si>
    <t>2020.12.31</t>
  </si>
  <si>
    <t>`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</si>
</sst>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24" fillId="0" borderId="0" xfId="0" applyNumberFormat="1" applyFont="1">
      <alignment vertical="center"/>
    </xf>
    <xf numFmtId="0" fontId="24" fillId="0" borderId="0" xfId="0" applyFont="1">
      <alignment vertical="center"/>
    </xf>
    <xf numFmtId="0" fontId="23" fillId="35" borderId="0" xfId="0" applyFont="1" applyFill="1">
      <alignment vertical="center"/>
    </xf>
    <xf numFmtId="0" fontId="18" fillId="35" borderId="0" xfId="0" applyFont="1" applyFill="1" applyAlignment="1">
      <alignment horizontal="left" vertical="center" wrapText="1"/>
    </xf>
    <xf numFmtId="49" fontId="18" fillId="35" borderId="0" xfId="0" applyNumberFormat="1" applyFont="1" applyFill="1" applyAlignment="1">
      <alignment vertical="center" wrapText="1"/>
    </xf>
    <xf numFmtId="0" fontId="18" fillId="35" borderId="0" xfId="0" applyFont="1" applyFill="1" applyAlignment="1">
      <alignment vertical="center" wrapText="1"/>
    </xf>
    <xf numFmtId="3" fontId="18" fillId="35" borderId="0" xfId="0" applyNumberFormat="1" applyFont="1" applyFill="1" applyAlignment="1">
      <alignment vertical="center" wrapText="1"/>
    </xf>
    <xf numFmtId="0" fontId="23" fillId="36" borderId="0" xfId="0" applyFont="1" applyFill="1">
      <alignment vertical="center"/>
    </xf>
    <xf numFmtId="0" fontId="18" fillId="36" borderId="0" xfId="0" applyFont="1" applyFill="1" applyAlignment="1">
      <alignment horizontal="left" vertical="center" wrapText="1"/>
    </xf>
    <xf numFmtId="49" fontId="18" fillId="36" borderId="0" xfId="0" applyNumberFormat="1" applyFont="1" applyFill="1" applyAlignment="1">
      <alignment vertical="center" wrapText="1"/>
    </xf>
    <xf numFmtId="0" fontId="18" fillId="36" borderId="0" xfId="0" applyFont="1" applyFill="1" applyAlignment="1">
      <alignment vertical="center" wrapText="1"/>
    </xf>
    <xf numFmtId="176" fontId="24" fillId="0" borderId="0" xfId="0" applyNumberFormat="1" applyFont="1" applyFill="1">
      <alignment vertical="center"/>
    </xf>
    <xf numFmtId="0" fontId="24" fillId="0" borderId="0" xfId="0" applyFont="1" applyFill="1">
      <alignment vertical="center"/>
    </xf>
    <xf numFmtId="0" fontId="18" fillId="0" borderId="0" xfId="0" applyFont="1" applyFill="1" applyBorder="1">
      <alignment vertical="center"/>
    </xf>
    <xf numFmtId="41" fontId="18" fillId="0" borderId="0" xfId="1" applyFont="1" applyBorder="1">
      <alignment vertical="center"/>
    </xf>
    <xf numFmtId="0" fontId="23" fillId="37" borderId="0" xfId="0" applyFont="1" applyFill="1">
      <alignment vertical="center"/>
    </xf>
    <xf numFmtId="0" fontId="18" fillId="37" borderId="0" xfId="0" applyFont="1" applyFill="1" applyAlignment="1">
      <alignment horizontal="left" vertical="center" wrapText="1"/>
    </xf>
    <xf numFmtId="49" fontId="18" fillId="37" borderId="0" xfId="0" applyNumberFormat="1" applyFont="1" applyFill="1" applyAlignment="1">
      <alignment vertical="center" wrapText="1"/>
    </xf>
    <xf numFmtId="0" fontId="18" fillId="37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24"/>
  <sheetViews>
    <sheetView tabSelected="1" zoomScale="75" zoomScaleNormal="75" workbookViewId="0"/>
  </sheetViews>
  <sheetFormatPr defaultColWidth="8.69921875" defaultRowHeight="10.8" x14ac:dyDescent="0.4"/>
  <cols>
    <col min="1" max="1" width="8.69921875" style="9"/>
    <col min="2" max="2" width="9.3984375" style="4" customWidth="1"/>
    <col min="3" max="3" width="20" style="3" bestFit="1" customWidth="1"/>
    <col min="4" max="5" width="6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38.4" x14ac:dyDescent="0.4">
      <c r="A1" s="8" t="s">
        <v>25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  <c r="Z1" s="7" t="s">
        <v>19</v>
      </c>
      <c r="AA1" s="7" t="s">
        <v>20</v>
      </c>
      <c r="AB1" s="7" t="s">
        <v>12</v>
      </c>
      <c r="AC1" s="7" t="s">
        <v>21</v>
      </c>
      <c r="AD1" s="7" t="s">
        <v>22</v>
      </c>
      <c r="AE1" s="7" t="s">
        <v>12</v>
      </c>
      <c r="AF1" s="7" t="s">
        <v>21</v>
      </c>
      <c r="AG1" s="7" t="s">
        <v>22</v>
      </c>
      <c r="AH1" s="7" t="s">
        <v>12</v>
      </c>
      <c r="AI1" s="7" t="s">
        <v>21</v>
      </c>
      <c r="AJ1" s="7" t="s">
        <v>22</v>
      </c>
      <c r="AK1" s="7" t="s">
        <v>12</v>
      </c>
      <c r="AL1" s="7" t="s">
        <v>21</v>
      </c>
      <c r="AM1" s="7" t="s">
        <v>22</v>
      </c>
      <c r="AN1" s="10" t="s">
        <v>23</v>
      </c>
      <c r="AO1" s="7" t="s">
        <v>12</v>
      </c>
      <c r="AP1" s="7" t="s">
        <v>21</v>
      </c>
      <c r="AQ1" s="7" t="s">
        <v>22</v>
      </c>
      <c r="AR1" s="7" t="s">
        <v>12</v>
      </c>
      <c r="AS1" s="7" t="s">
        <v>21</v>
      </c>
      <c r="AT1" s="7" t="s">
        <v>22</v>
      </c>
      <c r="AU1" s="11" t="s">
        <v>24</v>
      </c>
      <c r="AV1" s="7" t="s">
        <v>26</v>
      </c>
      <c r="AW1" s="7" t="s">
        <v>27</v>
      </c>
    </row>
    <row r="2" spans="1:49" customFormat="1" ht="19.2" x14ac:dyDescent="0.4">
      <c r="A2" s="19" t="s">
        <v>38</v>
      </c>
      <c r="B2" s="20" t="s">
        <v>31</v>
      </c>
      <c r="C2" s="20">
        <v>435954</v>
      </c>
      <c r="D2" s="21"/>
      <c r="E2" s="20" t="s">
        <v>9</v>
      </c>
      <c r="F2" s="20" t="s">
        <v>29</v>
      </c>
      <c r="G2" s="20" t="s">
        <v>10</v>
      </c>
      <c r="H2" s="22" t="s">
        <v>8</v>
      </c>
      <c r="I2" s="22" t="s">
        <v>42</v>
      </c>
      <c r="J2" s="22">
        <v>0</v>
      </c>
      <c r="K2" s="22">
        <v>11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1</v>
      </c>
      <c r="AC2" s="22">
        <v>200</v>
      </c>
      <c r="AD2" s="22">
        <v>0</v>
      </c>
      <c r="AE2" s="22">
        <v>1</v>
      </c>
      <c r="AF2" s="22">
        <v>400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5">
        <v>600</v>
      </c>
      <c r="AV2" s="12">
        <f>AU2-AN2</f>
        <v>600</v>
      </c>
      <c r="AW2" s="13">
        <f>AV2*70%</f>
        <v>420</v>
      </c>
    </row>
    <row r="3" spans="1:49" customFormat="1" ht="19.2" x14ac:dyDescent="0.4">
      <c r="A3" s="19" t="s">
        <v>38</v>
      </c>
      <c r="B3" s="20" t="s">
        <v>43</v>
      </c>
      <c r="C3" s="20">
        <v>465463</v>
      </c>
      <c r="D3" s="21"/>
      <c r="E3" s="20" t="s">
        <v>9</v>
      </c>
      <c r="F3" s="20" t="s">
        <v>44</v>
      </c>
      <c r="G3" s="20" t="s">
        <v>10</v>
      </c>
      <c r="H3" s="22" t="s">
        <v>45</v>
      </c>
      <c r="I3" s="22" t="s">
        <v>46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2</v>
      </c>
      <c r="AC3" s="22">
        <v>400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5">
        <v>400</v>
      </c>
      <c r="AV3" s="12">
        <f t="shared" ref="AV3:AV23" si="0">AU3-AN3</f>
        <v>400</v>
      </c>
      <c r="AW3" s="13">
        <f t="shared" ref="AW3:AW23" si="1">AV3*70%</f>
        <v>280</v>
      </c>
    </row>
    <row r="4" spans="1:49" customFormat="1" ht="28.8" x14ac:dyDescent="0.4">
      <c r="A4" s="19" t="s">
        <v>38</v>
      </c>
      <c r="B4" s="20" t="s">
        <v>30</v>
      </c>
      <c r="C4" s="20">
        <v>434897</v>
      </c>
      <c r="D4" s="21"/>
      <c r="E4" s="20" t="s">
        <v>9</v>
      </c>
      <c r="F4" s="20" t="s">
        <v>28</v>
      </c>
      <c r="G4" s="20" t="s">
        <v>10</v>
      </c>
      <c r="H4" s="22" t="s">
        <v>11</v>
      </c>
      <c r="I4" s="22" t="s">
        <v>40</v>
      </c>
      <c r="J4" s="22">
        <v>0</v>
      </c>
      <c r="K4" s="22">
        <v>2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1</v>
      </c>
      <c r="AP4" s="22">
        <v>200</v>
      </c>
      <c r="AQ4" s="22">
        <v>0</v>
      </c>
      <c r="AR4" s="22">
        <v>0</v>
      </c>
      <c r="AS4" s="22">
        <v>0</v>
      </c>
      <c r="AT4" s="22">
        <v>0</v>
      </c>
      <c r="AU4" s="5">
        <v>200</v>
      </c>
      <c r="AV4" s="12">
        <f t="shared" si="0"/>
        <v>200</v>
      </c>
      <c r="AW4" s="13">
        <f t="shared" si="1"/>
        <v>140</v>
      </c>
    </row>
    <row r="5" spans="1:49" customFormat="1" ht="19.2" x14ac:dyDescent="0.4">
      <c r="A5" s="19" t="s">
        <v>38</v>
      </c>
      <c r="B5" s="20" t="s">
        <v>32</v>
      </c>
      <c r="C5" s="20">
        <v>448747</v>
      </c>
      <c r="D5" s="21"/>
      <c r="E5" s="20" t="s">
        <v>9</v>
      </c>
      <c r="F5" s="20" t="s">
        <v>33</v>
      </c>
      <c r="G5" s="20" t="s">
        <v>10</v>
      </c>
      <c r="H5" s="22" t="s">
        <v>8</v>
      </c>
      <c r="I5" s="22" t="s">
        <v>34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1</v>
      </c>
      <c r="AC5" s="22">
        <v>200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5">
        <v>200</v>
      </c>
      <c r="AV5" s="12">
        <f t="shared" si="0"/>
        <v>200</v>
      </c>
      <c r="AW5" s="13">
        <f t="shared" si="1"/>
        <v>140</v>
      </c>
    </row>
    <row r="6" spans="1:49" customFormat="1" ht="19.2" x14ac:dyDescent="0.4">
      <c r="A6" s="19" t="s">
        <v>38</v>
      </c>
      <c r="B6" s="20" t="s">
        <v>47</v>
      </c>
      <c r="C6" s="20">
        <v>432749</v>
      </c>
      <c r="D6" s="21"/>
      <c r="E6" s="20" t="s">
        <v>9</v>
      </c>
      <c r="F6" s="20" t="s">
        <v>48</v>
      </c>
      <c r="G6" s="20" t="s">
        <v>10</v>
      </c>
      <c r="H6" s="22" t="s">
        <v>8</v>
      </c>
      <c r="I6" s="22" t="s">
        <v>42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1</v>
      </c>
      <c r="AC6" s="22">
        <v>200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5">
        <v>200</v>
      </c>
      <c r="AV6" s="12">
        <f t="shared" si="0"/>
        <v>200</v>
      </c>
      <c r="AW6" s="13">
        <f t="shared" si="1"/>
        <v>140</v>
      </c>
    </row>
    <row r="7" spans="1:49" customFormat="1" ht="28.8" x14ac:dyDescent="0.4">
      <c r="A7" s="19" t="s">
        <v>38</v>
      </c>
      <c r="B7" s="20" t="s">
        <v>49</v>
      </c>
      <c r="C7" s="20">
        <v>465461</v>
      </c>
      <c r="D7" s="21"/>
      <c r="E7" s="20" t="s">
        <v>9</v>
      </c>
      <c r="F7" s="20" t="s">
        <v>50</v>
      </c>
      <c r="G7" s="20" t="s">
        <v>10</v>
      </c>
      <c r="H7" s="22" t="s">
        <v>8</v>
      </c>
      <c r="I7" s="22" t="s">
        <v>51</v>
      </c>
      <c r="J7" s="22">
        <v>0</v>
      </c>
      <c r="K7" s="22">
        <v>26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5">
        <v>0</v>
      </c>
      <c r="AV7" s="12">
        <f t="shared" si="0"/>
        <v>0</v>
      </c>
      <c r="AW7" s="13">
        <f t="shared" si="1"/>
        <v>0</v>
      </c>
    </row>
    <row r="8" spans="1:49" customFormat="1" ht="19.2" x14ac:dyDescent="0.4">
      <c r="A8" s="19" t="s">
        <v>38</v>
      </c>
      <c r="B8" s="20" t="s">
        <v>52</v>
      </c>
      <c r="C8" s="20">
        <v>465658</v>
      </c>
      <c r="D8" s="21"/>
      <c r="E8" s="20" t="s">
        <v>9</v>
      </c>
      <c r="F8" s="20" t="s">
        <v>53</v>
      </c>
      <c r="G8" s="20" t="s">
        <v>10</v>
      </c>
      <c r="H8" s="22" t="s">
        <v>8</v>
      </c>
      <c r="I8" s="22" t="s">
        <v>51</v>
      </c>
      <c r="J8" s="22">
        <v>0</v>
      </c>
      <c r="K8" s="22">
        <v>9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5">
        <v>0</v>
      </c>
      <c r="AV8" s="12">
        <f t="shared" si="0"/>
        <v>0</v>
      </c>
      <c r="AW8" s="13">
        <f t="shared" si="1"/>
        <v>0</v>
      </c>
    </row>
    <row r="9" spans="1:49" s="25" customFormat="1" ht="19.2" x14ac:dyDescent="0.4">
      <c r="A9" s="14" t="s">
        <v>41</v>
      </c>
      <c r="B9" s="15" t="s">
        <v>43</v>
      </c>
      <c r="C9" s="15">
        <v>465463</v>
      </c>
      <c r="D9" s="16"/>
      <c r="E9" s="15" t="s">
        <v>9</v>
      </c>
      <c r="F9" s="15" t="s">
        <v>44</v>
      </c>
      <c r="G9" s="15" t="s">
        <v>10</v>
      </c>
      <c r="H9" s="17" t="s">
        <v>45</v>
      </c>
      <c r="I9" s="17" t="s">
        <v>46</v>
      </c>
      <c r="J9" s="17">
        <v>0</v>
      </c>
      <c r="K9" s="17">
        <v>2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196</v>
      </c>
      <c r="AC9" s="18">
        <v>39200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6">
        <v>39200</v>
      </c>
      <c r="AV9" s="23">
        <f t="shared" si="0"/>
        <v>39200</v>
      </c>
      <c r="AW9" s="24">
        <f t="shared" si="1"/>
        <v>27440</v>
      </c>
    </row>
    <row r="10" spans="1:49" ht="19.2" x14ac:dyDescent="0.4">
      <c r="A10" s="14" t="s">
        <v>41</v>
      </c>
      <c r="B10" s="15" t="s">
        <v>54</v>
      </c>
      <c r="C10" s="15">
        <v>351846</v>
      </c>
      <c r="D10" s="16"/>
      <c r="E10" s="15" t="s">
        <v>9</v>
      </c>
      <c r="F10" s="15" t="s">
        <v>55</v>
      </c>
      <c r="G10" s="15" t="s">
        <v>10</v>
      </c>
      <c r="H10" s="17" t="s">
        <v>8</v>
      </c>
      <c r="I10" s="17" t="s">
        <v>56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72</v>
      </c>
      <c r="AC10" s="18">
        <v>7200</v>
      </c>
      <c r="AD10" s="17">
        <v>0</v>
      </c>
      <c r="AE10" s="17">
        <v>1</v>
      </c>
      <c r="AF10" s="17">
        <v>200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6">
        <v>7400</v>
      </c>
      <c r="AV10" s="12">
        <f t="shared" si="0"/>
        <v>7400</v>
      </c>
      <c r="AW10" s="13">
        <f t="shared" si="1"/>
        <v>5180</v>
      </c>
    </row>
    <row r="11" spans="1:49" ht="28.8" x14ac:dyDescent="0.4">
      <c r="A11" s="14" t="s">
        <v>41</v>
      </c>
      <c r="B11" s="15" t="s">
        <v>49</v>
      </c>
      <c r="C11" s="15">
        <v>465461</v>
      </c>
      <c r="D11" s="16"/>
      <c r="E11" s="15" t="s">
        <v>9</v>
      </c>
      <c r="F11" s="15" t="s">
        <v>50</v>
      </c>
      <c r="G11" s="15" t="s">
        <v>10</v>
      </c>
      <c r="H11" s="17" t="s">
        <v>8</v>
      </c>
      <c r="I11" s="17" t="s">
        <v>51</v>
      </c>
      <c r="J11" s="17">
        <v>0</v>
      </c>
      <c r="K11" s="17">
        <v>10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28</v>
      </c>
      <c r="AC11" s="18">
        <v>5600</v>
      </c>
      <c r="AD11" s="17">
        <v>0</v>
      </c>
      <c r="AE11" s="17">
        <v>3</v>
      </c>
      <c r="AF11" s="18">
        <v>1200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6">
        <v>6800</v>
      </c>
      <c r="AV11" s="12">
        <f t="shared" si="0"/>
        <v>6800</v>
      </c>
      <c r="AW11" s="13">
        <f t="shared" si="1"/>
        <v>4760</v>
      </c>
    </row>
    <row r="12" spans="1:49" ht="19.2" x14ac:dyDescent="0.4">
      <c r="A12" s="14" t="s">
        <v>41</v>
      </c>
      <c r="B12" s="15" t="s">
        <v>31</v>
      </c>
      <c r="C12" s="15">
        <v>435954</v>
      </c>
      <c r="D12" s="16"/>
      <c r="E12" s="15" t="s">
        <v>9</v>
      </c>
      <c r="F12" s="15" t="s">
        <v>29</v>
      </c>
      <c r="G12" s="15" t="s">
        <v>10</v>
      </c>
      <c r="H12" s="17" t="s">
        <v>8</v>
      </c>
      <c r="I12" s="17" t="s">
        <v>42</v>
      </c>
      <c r="J12" s="17">
        <v>0</v>
      </c>
      <c r="K12" s="17">
        <v>5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26</v>
      </c>
      <c r="AC12" s="18">
        <v>5200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6">
        <v>5200</v>
      </c>
      <c r="AV12" s="12">
        <f t="shared" si="0"/>
        <v>5200</v>
      </c>
      <c r="AW12" s="13">
        <f t="shared" si="1"/>
        <v>3639.9999999999995</v>
      </c>
    </row>
    <row r="13" spans="1:49" ht="19.2" x14ac:dyDescent="0.4">
      <c r="A13" s="14" t="s">
        <v>41</v>
      </c>
      <c r="B13" s="15" t="s">
        <v>47</v>
      </c>
      <c r="C13" s="15">
        <v>432749</v>
      </c>
      <c r="D13" s="16"/>
      <c r="E13" s="15" t="s">
        <v>9</v>
      </c>
      <c r="F13" s="15" t="s">
        <v>48</v>
      </c>
      <c r="G13" s="15" t="s">
        <v>10</v>
      </c>
      <c r="H13" s="17" t="s">
        <v>8</v>
      </c>
      <c r="I13" s="17" t="s">
        <v>42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20</v>
      </c>
      <c r="AC13" s="18">
        <v>4000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6">
        <v>4000</v>
      </c>
      <c r="AV13" s="12">
        <f t="shared" si="0"/>
        <v>4000</v>
      </c>
      <c r="AW13" s="13">
        <f t="shared" si="1"/>
        <v>2800</v>
      </c>
    </row>
    <row r="14" spans="1:49" ht="28.8" x14ac:dyDescent="0.4">
      <c r="A14" s="14" t="s">
        <v>41</v>
      </c>
      <c r="B14" s="15" t="s">
        <v>30</v>
      </c>
      <c r="C14" s="15">
        <v>434897</v>
      </c>
      <c r="D14" s="16"/>
      <c r="E14" s="15" t="s">
        <v>9</v>
      </c>
      <c r="F14" s="15" t="s">
        <v>28</v>
      </c>
      <c r="G14" s="15" t="s">
        <v>10</v>
      </c>
      <c r="H14" s="17" t="s">
        <v>11</v>
      </c>
      <c r="I14" s="17" t="s">
        <v>40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1</v>
      </c>
      <c r="AP14" s="17">
        <v>200</v>
      </c>
      <c r="AQ14" s="17">
        <v>0</v>
      </c>
      <c r="AR14" s="17">
        <v>0</v>
      </c>
      <c r="AS14" s="17">
        <v>0</v>
      </c>
      <c r="AT14" s="17">
        <v>0</v>
      </c>
      <c r="AU14" s="5">
        <v>200</v>
      </c>
      <c r="AV14" s="12">
        <f t="shared" si="0"/>
        <v>200</v>
      </c>
      <c r="AW14" s="13">
        <f t="shared" si="1"/>
        <v>140</v>
      </c>
    </row>
    <row r="15" spans="1:49" ht="19.2" x14ac:dyDescent="0.4">
      <c r="A15" s="14" t="s">
        <v>41</v>
      </c>
      <c r="B15" s="15" t="s">
        <v>32</v>
      </c>
      <c r="C15" s="15">
        <v>448747</v>
      </c>
      <c r="D15" s="16"/>
      <c r="E15" s="15" t="s">
        <v>9</v>
      </c>
      <c r="F15" s="15" t="s">
        <v>33</v>
      </c>
      <c r="G15" s="15" t="s">
        <v>10</v>
      </c>
      <c r="H15" s="17" t="s">
        <v>8</v>
      </c>
      <c r="I15" s="17" t="s">
        <v>34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1</v>
      </c>
      <c r="AC15" s="17">
        <v>200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5">
        <v>200</v>
      </c>
      <c r="AV15" s="12">
        <f t="shared" si="0"/>
        <v>200</v>
      </c>
      <c r="AW15" s="13">
        <f t="shared" si="1"/>
        <v>140</v>
      </c>
    </row>
    <row r="16" spans="1:49" ht="19.2" x14ac:dyDescent="0.4">
      <c r="A16" s="14" t="s">
        <v>41</v>
      </c>
      <c r="B16" s="15" t="s">
        <v>57</v>
      </c>
      <c r="C16" s="15">
        <v>405596</v>
      </c>
      <c r="D16" s="16"/>
      <c r="E16" s="15" t="s">
        <v>9</v>
      </c>
      <c r="F16" s="15" t="s">
        <v>58</v>
      </c>
      <c r="G16" s="15" t="s">
        <v>10</v>
      </c>
      <c r="H16" s="17" t="s">
        <v>8</v>
      </c>
      <c r="I16" s="17" t="s">
        <v>59</v>
      </c>
      <c r="J16" s="17">
        <v>0</v>
      </c>
      <c r="K16" s="17">
        <v>1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5">
        <v>0</v>
      </c>
      <c r="AV16" s="12">
        <f t="shared" si="0"/>
        <v>0</v>
      </c>
      <c r="AW16" s="13">
        <f t="shared" si="1"/>
        <v>0</v>
      </c>
    </row>
    <row r="17" spans="1:49" ht="19.2" x14ac:dyDescent="0.4">
      <c r="A17" s="14" t="s">
        <v>41</v>
      </c>
      <c r="B17" s="15" t="s">
        <v>52</v>
      </c>
      <c r="C17" s="15">
        <v>465658</v>
      </c>
      <c r="D17" s="16"/>
      <c r="E17" s="15" t="s">
        <v>9</v>
      </c>
      <c r="F17" s="15" t="s">
        <v>53</v>
      </c>
      <c r="G17" s="15" t="s">
        <v>10</v>
      </c>
      <c r="H17" s="17" t="s">
        <v>8</v>
      </c>
      <c r="I17" s="17" t="s">
        <v>51</v>
      </c>
      <c r="J17" s="17">
        <v>0</v>
      </c>
      <c r="K17" s="17">
        <v>3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5">
        <v>0</v>
      </c>
      <c r="AV17" s="12">
        <f t="shared" si="0"/>
        <v>0</v>
      </c>
      <c r="AW17" s="13">
        <f t="shared" si="1"/>
        <v>0</v>
      </c>
    </row>
    <row r="18" spans="1:49" ht="19.2" x14ac:dyDescent="0.4">
      <c r="A18" s="27" t="s">
        <v>39</v>
      </c>
      <c r="B18" s="28" t="s">
        <v>31</v>
      </c>
      <c r="C18" s="28">
        <v>435954</v>
      </c>
      <c r="D18" s="29"/>
      <c r="E18" s="28" t="s">
        <v>9</v>
      </c>
      <c r="F18" s="28" t="s">
        <v>29</v>
      </c>
      <c r="G18" s="28" t="s">
        <v>10</v>
      </c>
      <c r="H18" s="30" t="s">
        <v>8</v>
      </c>
      <c r="I18" s="30" t="s">
        <v>42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4</v>
      </c>
      <c r="AC18" s="30">
        <v>800</v>
      </c>
      <c r="AD18" s="30">
        <v>0</v>
      </c>
      <c r="AE18" s="30">
        <v>0</v>
      </c>
      <c r="AF18" s="30">
        <v>0</v>
      </c>
      <c r="AG18" s="30">
        <v>0</v>
      </c>
      <c r="AH18" s="30">
        <v>1</v>
      </c>
      <c r="AI18" s="30">
        <v>240</v>
      </c>
      <c r="AJ18" s="30">
        <v>0</v>
      </c>
      <c r="AK18" s="30">
        <v>0</v>
      </c>
      <c r="AL18" s="30">
        <v>0</v>
      </c>
      <c r="AM18" s="30">
        <v>0</v>
      </c>
      <c r="AN18" s="30">
        <v>72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6">
        <v>1040</v>
      </c>
      <c r="AV18" s="12">
        <f t="shared" si="0"/>
        <v>968</v>
      </c>
      <c r="AW18" s="13">
        <f t="shared" si="1"/>
        <v>677.59999999999991</v>
      </c>
    </row>
    <row r="19" spans="1:49" ht="28.8" x14ac:dyDescent="0.4">
      <c r="A19" s="27" t="s">
        <v>39</v>
      </c>
      <c r="B19" s="28" t="s">
        <v>49</v>
      </c>
      <c r="C19" s="28">
        <v>465461</v>
      </c>
      <c r="D19" s="29"/>
      <c r="E19" s="28" t="s">
        <v>9</v>
      </c>
      <c r="F19" s="28" t="s">
        <v>50</v>
      </c>
      <c r="G19" s="28" t="s">
        <v>10</v>
      </c>
      <c r="H19" s="30" t="s">
        <v>8</v>
      </c>
      <c r="I19" s="30" t="s">
        <v>51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</v>
      </c>
      <c r="AC19" s="30">
        <v>200</v>
      </c>
      <c r="AD19" s="30">
        <v>0</v>
      </c>
      <c r="AE19" s="30">
        <v>0</v>
      </c>
      <c r="AF19" s="30">
        <v>0</v>
      </c>
      <c r="AG19" s="30">
        <v>0</v>
      </c>
      <c r="AH19" s="30">
        <v>1</v>
      </c>
      <c r="AI19" s="30">
        <v>240</v>
      </c>
      <c r="AJ19" s="30">
        <v>0</v>
      </c>
      <c r="AK19" s="30">
        <v>0</v>
      </c>
      <c r="AL19" s="30">
        <v>0</v>
      </c>
      <c r="AM19" s="30">
        <v>0</v>
      </c>
      <c r="AN19" s="30">
        <v>72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5">
        <v>440</v>
      </c>
      <c r="AV19" s="12">
        <f t="shared" si="0"/>
        <v>368</v>
      </c>
      <c r="AW19" s="13">
        <f t="shared" si="1"/>
        <v>257.59999999999997</v>
      </c>
    </row>
    <row r="20" spans="1:49" ht="19.2" x14ac:dyDescent="0.4">
      <c r="A20" s="27" t="s">
        <v>39</v>
      </c>
      <c r="B20" s="28" t="s">
        <v>35</v>
      </c>
      <c r="C20" s="28">
        <v>419155</v>
      </c>
      <c r="D20" s="29"/>
      <c r="E20" s="28" t="s">
        <v>9</v>
      </c>
      <c r="F20" s="28" t="s">
        <v>36</v>
      </c>
      <c r="G20" s="28" t="s">
        <v>10</v>
      </c>
      <c r="H20" s="30" t="s">
        <v>8</v>
      </c>
      <c r="I20" s="30" t="s">
        <v>37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  <c r="AC20" s="30">
        <v>300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5">
        <v>300</v>
      </c>
      <c r="AV20" s="12">
        <f t="shared" si="0"/>
        <v>300</v>
      </c>
      <c r="AW20" s="13">
        <f t="shared" si="1"/>
        <v>210</v>
      </c>
    </row>
    <row r="21" spans="1:49" ht="19.2" x14ac:dyDescent="0.4">
      <c r="A21" s="27" t="s">
        <v>39</v>
      </c>
      <c r="B21" s="28" t="s">
        <v>52</v>
      </c>
      <c r="C21" s="28">
        <v>465658</v>
      </c>
      <c r="D21" s="29"/>
      <c r="E21" s="28" t="s">
        <v>9</v>
      </c>
      <c r="F21" s="28" t="s">
        <v>53</v>
      </c>
      <c r="G21" s="28" t="s">
        <v>10</v>
      </c>
      <c r="H21" s="30" t="s">
        <v>8</v>
      </c>
      <c r="I21" s="30" t="s">
        <v>51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</v>
      </c>
      <c r="AC21" s="30">
        <v>200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5">
        <v>200</v>
      </c>
      <c r="AV21" s="12">
        <f t="shared" si="0"/>
        <v>200</v>
      </c>
      <c r="AW21" s="13">
        <f t="shared" si="1"/>
        <v>140</v>
      </c>
    </row>
    <row r="22" spans="1:49" ht="28.8" x14ac:dyDescent="0.4">
      <c r="A22" s="27" t="s">
        <v>39</v>
      </c>
      <c r="B22" s="28" t="s">
        <v>30</v>
      </c>
      <c r="C22" s="28">
        <v>434897</v>
      </c>
      <c r="D22" s="29"/>
      <c r="E22" s="28" t="s">
        <v>9</v>
      </c>
      <c r="F22" s="28" t="s">
        <v>28</v>
      </c>
      <c r="G22" s="28" t="s">
        <v>10</v>
      </c>
      <c r="H22" s="30" t="s">
        <v>11</v>
      </c>
      <c r="I22" s="30" t="s">
        <v>40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  <c r="AC22" s="30">
        <v>200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5">
        <v>200</v>
      </c>
      <c r="AV22" s="12">
        <f t="shared" si="0"/>
        <v>200</v>
      </c>
      <c r="AW22" s="13">
        <f t="shared" si="1"/>
        <v>140</v>
      </c>
    </row>
    <row r="23" spans="1:49" ht="19.2" x14ac:dyDescent="0.4">
      <c r="A23" s="27" t="s">
        <v>39</v>
      </c>
      <c r="B23" s="28" t="s">
        <v>47</v>
      </c>
      <c r="C23" s="28">
        <v>432749</v>
      </c>
      <c r="D23" s="29"/>
      <c r="E23" s="28" t="s">
        <v>9</v>
      </c>
      <c r="F23" s="28" t="s">
        <v>48</v>
      </c>
      <c r="G23" s="28" t="s">
        <v>10</v>
      </c>
      <c r="H23" s="30" t="s">
        <v>8</v>
      </c>
      <c r="I23" s="30" t="s">
        <v>42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</v>
      </c>
      <c r="AC23" s="30">
        <v>200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5">
        <v>200</v>
      </c>
      <c r="AV23" s="12">
        <f t="shared" si="0"/>
        <v>200</v>
      </c>
      <c r="AW23" s="13">
        <f t="shared" si="1"/>
        <v>140</v>
      </c>
    </row>
    <row r="24" spans="1:49" x14ac:dyDescent="0.4">
      <c r="D24" s="3" t="s">
        <v>60</v>
      </c>
      <c r="AU24" s="26">
        <f>SUM(AU2:AU23)</f>
        <v>66980</v>
      </c>
      <c r="AW24" s="26">
        <f>SUM(AW2:AW23)</f>
        <v>46785.2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2022-05-03T09:17:14Z</dcterms:modified>
</cp:coreProperties>
</file>