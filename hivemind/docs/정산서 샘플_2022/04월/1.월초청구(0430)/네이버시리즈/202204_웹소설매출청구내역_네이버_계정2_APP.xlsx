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월초청구\네이버시리즈\"/>
    </mc:Choice>
  </mc:AlternateContent>
  <bookViews>
    <workbookView xWindow="0" yWindow="0" windowWidth="23040" windowHeight="8952"/>
  </bookViews>
  <sheets>
    <sheet name="합계 (4)" sheetId="253" r:id="rId1"/>
  </sheets>
  <definedNames>
    <definedName name="_xlnm._FilterDatabase" localSheetId="0" hidden="1">'합계 (4)'!$A$1:$AM$6</definedName>
    <definedName name="_xlnm.Extract" localSheetId="0">'합계 (4)'!#REF!</definedName>
  </definedNames>
  <calcPr calcId="152511"/>
</workbook>
</file>

<file path=xl/calcChain.xml><?xml version="1.0" encoding="utf-8"?>
<calcChain xmlns="http://schemas.openxmlformats.org/spreadsheetml/2006/main">
  <c r="AW465" i="253" l="1"/>
  <c r="AV339" i="253"/>
  <c r="AW339" i="253"/>
  <c r="AV340" i="253"/>
  <c r="AW340" i="253"/>
  <c r="AV341" i="253"/>
  <c r="AW341" i="253" s="1"/>
  <c r="AV342" i="253"/>
  <c r="AW342" i="253"/>
  <c r="AV343" i="253"/>
  <c r="AW343" i="253"/>
  <c r="AV344" i="253"/>
  <c r="AW344" i="253"/>
  <c r="AV345" i="253"/>
  <c r="AW345" i="253" s="1"/>
  <c r="AV346" i="253"/>
  <c r="AW346" i="253"/>
  <c r="AV347" i="253"/>
  <c r="AW347" i="253"/>
  <c r="AV348" i="253"/>
  <c r="AW348" i="253"/>
  <c r="AV349" i="253"/>
  <c r="AW349" i="253" s="1"/>
  <c r="AV350" i="253"/>
  <c r="AW350" i="253"/>
  <c r="AV351" i="253"/>
  <c r="AW351" i="253"/>
  <c r="AV352" i="253"/>
  <c r="AW352" i="253"/>
  <c r="AV353" i="253"/>
  <c r="AW353" i="253" s="1"/>
  <c r="AV354" i="253"/>
  <c r="AW354" i="253"/>
  <c r="AV355" i="253"/>
  <c r="AW355" i="253"/>
  <c r="AV356" i="253"/>
  <c r="AW356" i="253"/>
  <c r="AV357" i="253"/>
  <c r="AW357" i="253" s="1"/>
  <c r="AV358" i="253"/>
  <c r="AW358" i="253"/>
  <c r="AV359" i="253"/>
  <c r="AW359" i="253"/>
  <c r="AV360" i="253"/>
  <c r="AW360" i="253"/>
  <c r="AV361" i="253"/>
  <c r="AW361" i="253" s="1"/>
  <c r="AV362" i="253"/>
  <c r="AW362" i="253"/>
  <c r="AV363" i="253"/>
  <c r="AW363" i="253"/>
  <c r="AV364" i="253"/>
  <c r="AW364" i="253"/>
  <c r="AV365" i="253"/>
  <c r="AW365" i="253" s="1"/>
  <c r="AV366" i="253"/>
  <c r="AW366" i="253"/>
  <c r="AV367" i="253"/>
  <c r="AW367" i="253"/>
  <c r="AV368" i="253"/>
  <c r="AW368" i="253"/>
  <c r="AV369" i="253"/>
  <c r="AW369" i="253" s="1"/>
  <c r="AV370" i="253"/>
  <c r="AW370" i="253"/>
  <c r="AV371" i="253"/>
  <c r="AW371" i="253"/>
  <c r="AV372" i="253"/>
  <c r="AW372" i="253"/>
  <c r="AV373" i="253"/>
  <c r="AW373" i="253" s="1"/>
  <c r="AV374" i="253"/>
  <c r="AW374" i="253"/>
  <c r="AV375" i="253"/>
  <c r="AW375" i="253"/>
  <c r="AV376" i="253"/>
  <c r="AW376" i="253"/>
  <c r="AV377" i="253"/>
  <c r="AW377" i="253" s="1"/>
  <c r="AV378" i="253"/>
  <c r="AW378" i="253"/>
  <c r="AV379" i="253"/>
  <c r="AW379" i="253"/>
  <c r="AV380" i="253"/>
  <c r="AW380" i="253"/>
  <c r="AV381" i="253"/>
  <c r="AW381" i="253" s="1"/>
  <c r="AV382" i="253"/>
  <c r="AW382" i="253"/>
  <c r="AV383" i="253"/>
  <c r="AW383" i="253"/>
  <c r="AV384" i="253"/>
  <c r="AW384" i="253"/>
  <c r="AV385" i="253"/>
  <c r="AW385" i="253" s="1"/>
  <c r="AV386" i="253"/>
  <c r="AW386" i="253"/>
  <c r="AV387" i="253"/>
  <c r="AW387" i="253"/>
  <c r="AV388" i="253"/>
  <c r="AW388" i="253"/>
  <c r="AV389" i="253"/>
  <c r="AW389" i="253" s="1"/>
  <c r="AV390" i="253"/>
  <c r="AW390" i="253"/>
  <c r="AV391" i="253"/>
  <c r="AW391" i="253"/>
  <c r="AV392" i="253"/>
  <c r="AW392" i="253"/>
  <c r="AV393" i="253"/>
  <c r="AW393" i="253" s="1"/>
  <c r="AV394" i="253"/>
  <c r="AW394" i="253"/>
  <c r="AV395" i="253"/>
  <c r="AW395" i="253"/>
  <c r="AV396" i="253"/>
  <c r="AW396" i="253"/>
  <c r="AV397" i="253"/>
  <c r="AW397" i="253" s="1"/>
  <c r="AV398" i="253"/>
  <c r="AW398" i="253"/>
  <c r="AV399" i="253"/>
  <c r="AW399" i="253"/>
  <c r="AV400" i="253"/>
  <c r="AW400" i="253"/>
  <c r="AV401" i="253"/>
  <c r="AW401" i="253" s="1"/>
  <c r="AV402" i="253"/>
  <c r="AW402" i="253"/>
  <c r="AV403" i="253"/>
  <c r="AW403" i="253"/>
  <c r="AV404" i="253"/>
  <c r="AW404" i="253"/>
  <c r="AV405" i="253"/>
  <c r="AW405" i="253" s="1"/>
  <c r="AV406" i="253"/>
  <c r="AW406" i="253"/>
  <c r="AV407" i="253"/>
  <c r="AW407" i="253"/>
  <c r="AV408" i="253"/>
  <c r="AW408" i="253"/>
  <c r="AV409" i="253"/>
  <c r="AW409" i="253" s="1"/>
  <c r="AV410" i="253"/>
  <c r="AW410" i="253"/>
  <c r="AV411" i="253"/>
  <c r="AW411" i="253"/>
  <c r="AV412" i="253"/>
  <c r="AW412" i="253"/>
  <c r="AV413" i="253"/>
  <c r="AW413" i="253" s="1"/>
  <c r="AV414" i="253"/>
  <c r="AW414" i="253"/>
  <c r="AV415" i="253"/>
  <c r="AW415" i="253"/>
  <c r="AV416" i="253"/>
  <c r="AW416" i="253"/>
  <c r="AV417" i="253"/>
  <c r="AW417" i="253" s="1"/>
  <c r="AV418" i="253"/>
  <c r="AW418" i="253"/>
  <c r="AV419" i="253"/>
  <c r="AW419" i="253"/>
  <c r="AV420" i="253"/>
  <c r="AW420" i="253"/>
  <c r="AV421" i="253"/>
  <c r="AW421" i="253" s="1"/>
  <c r="AV422" i="253"/>
  <c r="AW422" i="253"/>
  <c r="AV423" i="253"/>
  <c r="AW423" i="253"/>
  <c r="AV424" i="253"/>
  <c r="AW424" i="253"/>
  <c r="AV425" i="253"/>
  <c r="AW425" i="253" s="1"/>
  <c r="AV426" i="253"/>
  <c r="AW426" i="253"/>
  <c r="AV427" i="253"/>
  <c r="AW427" i="253"/>
  <c r="AV428" i="253"/>
  <c r="AW428" i="253"/>
  <c r="AV429" i="253"/>
  <c r="AW429" i="253" s="1"/>
  <c r="AV430" i="253"/>
  <c r="AW430" i="253"/>
  <c r="AV431" i="253"/>
  <c r="AW431" i="253"/>
  <c r="AV432" i="253"/>
  <c r="AW432" i="253"/>
  <c r="AV433" i="253"/>
  <c r="AW433" i="253" s="1"/>
  <c r="AV434" i="253"/>
  <c r="AW434" i="253"/>
  <c r="AV435" i="253"/>
  <c r="AW435" i="253"/>
  <c r="AV436" i="253"/>
  <c r="AW436" i="253"/>
  <c r="AV437" i="253"/>
  <c r="AW437" i="253" s="1"/>
  <c r="AV438" i="253"/>
  <c r="AW438" i="253"/>
  <c r="AV439" i="253"/>
  <c r="AW439" i="253"/>
  <c r="AV440" i="253"/>
  <c r="AW440" i="253"/>
  <c r="AV441" i="253"/>
  <c r="AW441" i="253" s="1"/>
  <c r="AV442" i="253"/>
  <c r="AW442" i="253"/>
  <c r="AV443" i="253"/>
  <c r="AW443" i="253"/>
  <c r="AV444" i="253"/>
  <c r="AW444" i="253"/>
  <c r="AV445" i="253"/>
  <c r="AW445" i="253" s="1"/>
  <c r="AV446" i="253"/>
  <c r="AW446" i="253"/>
  <c r="AV447" i="253"/>
  <c r="AW447" i="253"/>
  <c r="AV448" i="253"/>
  <c r="AW448" i="253"/>
  <c r="AV449" i="253"/>
  <c r="AW449" i="253" s="1"/>
  <c r="AV450" i="253"/>
  <c r="AW450" i="253"/>
  <c r="AV451" i="253"/>
  <c r="AW451" i="253"/>
  <c r="AV452" i="253"/>
  <c r="AW452" i="253" s="1"/>
  <c r="AV453" i="253"/>
  <c r="AW453" i="253" s="1"/>
  <c r="AV454" i="253"/>
  <c r="AW454" i="253"/>
  <c r="AV455" i="253"/>
  <c r="AW455" i="253"/>
  <c r="AV456" i="253"/>
  <c r="AW456" i="253"/>
  <c r="AV457" i="253"/>
  <c r="AW457" i="253" s="1"/>
  <c r="AV458" i="253"/>
  <c r="AW458" i="253"/>
  <c r="AV459" i="253"/>
  <c r="AW459" i="253"/>
  <c r="AV460" i="253"/>
  <c r="AW460" i="253"/>
  <c r="AV461" i="253"/>
  <c r="AW461" i="253" s="1"/>
  <c r="AV462" i="253"/>
  <c r="AW462" i="253"/>
  <c r="AV463" i="253"/>
  <c r="AW463" i="253"/>
  <c r="AV464" i="253"/>
  <c r="AW464" i="253"/>
  <c r="AV197" i="253"/>
  <c r="AW197" i="253"/>
  <c r="AV198" i="253"/>
  <c r="AW198" i="253"/>
  <c r="AV199" i="253"/>
  <c r="AW199" i="253" s="1"/>
  <c r="AV200" i="253"/>
  <c r="AW200" i="253"/>
  <c r="AV201" i="253"/>
  <c r="AW201" i="253"/>
  <c r="AV202" i="253"/>
  <c r="AW202" i="253"/>
  <c r="AV203" i="253"/>
  <c r="AW203" i="253" s="1"/>
  <c r="AV204" i="253"/>
  <c r="AW204" i="253"/>
  <c r="AV205" i="253"/>
  <c r="AW205" i="253"/>
  <c r="AV206" i="253"/>
  <c r="AW206" i="253"/>
  <c r="AV207" i="253"/>
  <c r="AW207" i="253" s="1"/>
  <c r="AV208" i="253"/>
  <c r="AW208" i="253"/>
  <c r="AV209" i="253"/>
  <c r="AW209" i="253"/>
  <c r="AV210" i="253"/>
  <c r="AW210" i="253"/>
  <c r="AV211" i="253"/>
  <c r="AW211" i="253" s="1"/>
  <c r="AV212" i="253"/>
  <c r="AW212" i="253"/>
  <c r="AV213" i="253"/>
  <c r="AW213" i="253"/>
  <c r="AV214" i="253"/>
  <c r="AW214" i="253"/>
  <c r="AV215" i="253"/>
  <c r="AW215" i="253" s="1"/>
  <c r="AV216" i="253"/>
  <c r="AW216" i="253"/>
  <c r="AV217" i="253"/>
  <c r="AW217" i="253"/>
  <c r="AV218" i="253"/>
  <c r="AW218" i="253"/>
  <c r="AV219" i="253"/>
  <c r="AW219" i="253" s="1"/>
  <c r="AV220" i="253"/>
  <c r="AW220" i="253"/>
  <c r="AV221" i="253"/>
  <c r="AW221" i="253"/>
  <c r="AV222" i="253"/>
  <c r="AW222" i="253"/>
  <c r="AV223" i="253"/>
  <c r="AW223" i="253" s="1"/>
  <c r="AV224" i="253"/>
  <c r="AW224" i="253"/>
  <c r="AV225" i="253"/>
  <c r="AW225" i="253"/>
  <c r="AV226" i="253"/>
  <c r="AW226" i="253"/>
  <c r="AV227" i="253"/>
  <c r="AW227" i="253" s="1"/>
  <c r="AV228" i="253"/>
  <c r="AW228" i="253"/>
  <c r="AV229" i="253"/>
  <c r="AW229" i="253"/>
  <c r="AV230" i="253"/>
  <c r="AW230" i="253"/>
  <c r="AV231" i="253"/>
  <c r="AW231" i="253" s="1"/>
  <c r="AV232" i="253"/>
  <c r="AW232" i="253"/>
  <c r="AV233" i="253"/>
  <c r="AW233" i="253"/>
  <c r="AV234" i="253"/>
  <c r="AW234" i="253"/>
  <c r="AV235" i="253"/>
  <c r="AW235" i="253" s="1"/>
  <c r="AV236" i="253"/>
  <c r="AW236" i="253"/>
  <c r="AV237" i="253"/>
  <c r="AW237" i="253"/>
  <c r="AV238" i="253"/>
  <c r="AW238" i="253"/>
  <c r="AV239" i="253"/>
  <c r="AW239" i="253" s="1"/>
  <c r="AV240" i="253"/>
  <c r="AW240" i="253"/>
  <c r="AV241" i="253"/>
  <c r="AW241" i="253"/>
  <c r="AV242" i="253"/>
  <c r="AW242" i="253"/>
  <c r="AV243" i="253"/>
  <c r="AW243" i="253" s="1"/>
  <c r="AV244" i="253"/>
  <c r="AW244" i="253"/>
  <c r="AV245" i="253"/>
  <c r="AW245" i="253"/>
  <c r="AV246" i="253"/>
  <c r="AW246" i="253"/>
  <c r="AV247" i="253"/>
  <c r="AW247" i="253" s="1"/>
  <c r="AV248" i="253"/>
  <c r="AW248" i="253"/>
  <c r="AV249" i="253"/>
  <c r="AW249" i="253"/>
  <c r="AV250" i="253"/>
  <c r="AW250" i="253"/>
  <c r="AV251" i="253"/>
  <c r="AW251" i="253" s="1"/>
  <c r="AV252" i="253"/>
  <c r="AW252" i="253"/>
  <c r="AV253" i="253"/>
  <c r="AW253" i="253"/>
  <c r="AV254" i="253"/>
  <c r="AW254" i="253"/>
  <c r="AV255" i="253"/>
  <c r="AW255" i="253" s="1"/>
  <c r="AV256" i="253"/>
  <c r="AW256" i="253"/>
  <c r="AV257" i="253"/>
  <c r="AW257" i="253"/>
  <c r="AV258" i="253"/>
  <c r="AW258" i="253"/>
  <c r="AV259" i="253"/>
  <c r="AW259" i="253" s="1"/>
  <c r="AV260" i="253"/>
  <c r="AW260" i="253"/>
  <c r="AV261" i="253"/>
  <c r="AW261" i="253"/>
  <c r="AV262" i="253"/>
  <c r="AW262" i="253"/>
  <c r="AV263" i="253"/>
  <c r="AW263" i="253" s="1"/>
  <c r="AV264" i="253"/>
  <c r="AW264" i="253"/>
  <c r="AV265" i="253"/>
  <c r="AW265" i="253"/>
  <c r="AV266" i="253"/>
  <c r="AW266" i="253"/>
  <c r="AV267" i="253"/>
  <c r="AW267" i="253" s="1"/>
  <c r="AV268" i="253"/>
  <c r="AW268" i="253"/>
  <c r="AV269" i="253"/>
  <c r="AW269" i="253"/>
  <c r="AV270" i="253"/>
  <c r="AW270" i="253"/>
  <c r="AV271" i="253"/>
  <c r="AW271" i="253" s="1"/>
  <c r="AV272" i="253"/>
  <c r="AW272" i="253"/>
  <c r="AV273" i="253"/>
  <c r="AW273" i="253"/>
  <c r="AV274" i="253"/>
  <c r="AW274" i="253"/>
  <c r="AV275" i="253"/>
  <c r="AW275" i="253" s="1"/>
  <c r="AV276" i="253"/>
  <c r="AW276" i="253"/>
  <c r="AV277" i="253"/>
  <c r="AW277" i="253"/>
  <c r="AV278" i="253"/>
  <c r="AW278" i="253"/>
  <c r="AV279" i="253"/>
  <c r="AW279" i="253" s="1"/>
  <c r="AV280" i="253"/>
  <c r="AW280" i="253"/>
  <c r="AV281" i="253"/>
  <c r="AW281" i="253"/>
  <c r="AV282" i="253"/>
  <c r="AW282" i="253"/>
  <c r="AV283" i="253"/>
  <c r="AW283" i="253" s="1"/>
  <c r="AV284" i="253"/>
  <c r="AW284" i="253"/>
  <c r="AV285" i="253"/>
  <c r="AW285" i="253"/>
  <c r="AV286" i="253"/>
  <c r="AW286" i="253"/>
  <c r="AV287" i="253"/>
  <c r="AW287" i="253" s="1"/>
  <c r="AV288" i="253"/>
  <c r="AW288" i="253"/>
  <c r="AV289" i="253"/>
  <c r="AW289" i="253"/>
  <c r="AV290" i="253"/>
  <c r="AW290" i="253"/>
  <c r="AV291" i="253"/>
  <c r="AW291" i="253" s="1"/>
  <c r="AV292" i="253"/>
  <c r="AW292" i="253"/>
  <c r="AV293" i="253"/>
  <c r="AW293" i="253"/>
  <c r="AV294" i="253"/>
  <c r="AW294" i="253"/>
  <c r="AV295" i="253"/>
  <c r="AW295" i="253" s="1"/>
  <c r="AV296" i="253"/>
  <c r="AW296" i="253"/>
  <c r="AV297" i="253"/>
  <c r="AW297" i="253"/>
  <c r="AV298" i="253"/>
  <c r="AW298" i="253"/>
  <c r="AV299" i="253"/>
  <c r="AW299" i="253" s="1"/>
  <c r="AV300" i="253"/>
  <c r="AW300" i="253"/>
  <c r="AV301" i="253"/>
  <c r="AW301" i="253"/>
  <c r="AV302" i="253"/>
  <c r="AW302" i="253"/>
  <c r="AV303" i="253"/>
  <c r="AW303" i="253" s="1"/>
  <c r="AV304" i="253"/>
  <c r="AW304" i="253"/>
  <c r="AV305" i="253"/>
  <c r="AW305" i="253"/>
  <c r="AV306" i="253"/>
  <c r="AW306" i="253"/>
  <c r="AV307" i="253"/>
  <c r="AW307" i="253" s="1"/>
  <c r="AV308" i="253"/>
  <c r="AW308" i="253"/>
  <c r="AV309" i="253"/>
  <c r="AW309" i="253"/>
  <c r="AV310" i="253"/>
  <c r="AW310" i="253"/>
  <c r="AV311" i="253"/>
  <c r="AW311" i="253" s="1"/>
  <c r="AV312" i="253"/>
  <c r="AW312" i="253"/>
  <c r="AV313" i="253"/>
  <c r="AW313" i="253"/>
  <c r="AV314" i="253"/>
  <c r="AW314" i="253"/>
  <c r="AV315" i="253"/>
  <c r="AW315" i="253" s="1"/>
  <c r="AV316" i="253"/>
  <c r="AW316" i="253"/>
  <c r="AV317" i="253"/>
  <c r="AW317" i="253"/>
  <c r="AV318" i="253"/>
  <c r="AW318" i="253"/>
  <c r="AV319" i="253"/>
  <c r="AW319" i="253" s="1"/>
  <c r="AV320" i="253"/>
  <c r="AW320" i="253"/>
  <c r="AV321" i="253"/>
  <c r="AW321" i="253"/>
  <c r="AV322" i="253"/>
  <c r="AW322" i="253"/>
  <c r="AV323" i="253"/>
  <c r="AW323" i="253" s="1"/>
  <c r="AV324" i="253"/>
  <c r="AW324" i="253"/>
  <c r="AV325" i="253"/>
  <c r="AW325" i="253"/>
  <c r="AV326" i="253"/>
  <c r="AW326" i="253"/>
  <c r="AV327" i="253"/>
  <c r="AW327" i="253" s="1"/>
  <c r="AV328" i="253"/>
  <c r="AW328" i="253"/>
  <c r="AV329" i="253"/>
  <c r="AW329" i="253"/>
  <c r="AV330" i="253"/>
  <c r="AW330" i="253"/>
  <c r="AV331" i="253"/>
  <c r="AW331" i="253" s="1"/>
  <c r="AV332" i="253"/>
  <c r="AW332" i="253"/>
  <c r="AV333" i="253"/>
  <c r="AW333" i="253"/>
  <c r="AV334" i="253"/>
  <c r="AW334" i="253"/>
  <c r="AV335" i="253"/>
  <c r="AW335" i="253" s="1"/>
  <c r="AV336" i="253"/>
  <c r="AW336" i="253"/>
  <c r="AV337" i="253"/>
  <c r="AW337" i="253"/>
  <c r="AV338" i="253"/>
  <c r="AW338" i="253"/>
  <c r="AV194" i="253" l="1"/>
  <c r="AW194" i="253" s="1"/>
  <c r="AV195" i="253"/>
  <c r="AW195" i="253" s="1"/>
  <c r="AV196" i="253"/>
  <c r="AW196" i="253" s="1"/>
  <c r="AV175" i="253" l="1"/>
  <c r="AW175" i="253" s="1"/>
  <c r="AV176" i="253"/>
  <c r="AW176" i="253" s="1"/>
  <c r="AV177" i="253"/>
  <c r="AW177" i="253" s="1"/>
  <c r="AV178" i="253"/>
  <c r="AW178" i="253" s="1"/>
  <c r="AV179" i="253"/>
  <c r="AW179" i="253" s="1"/>
  <c r="AV180" i="253"/>
  <c r="AW180" i="253" s="1"/>
  <c r="AV181" i="253"/>
  <c r="AW181" i="253" s="1"/>
  <c r="AV182" i="253"/>
  <c r="AW182" i="253" s="1"/>
  <c r="AV183" i="253"/>
  <c r="AW183" i="253" s="1"/>
  <c r="AV184" i="253"/>
  <c r="AW184" i="253" s="1"/>
  <c r="AV185" i="253"/>
  <c r="AW185" i="253" s="1"/>
  <c r="AV186" i="253"/>
  <c r="AW186" i="253" s="1"/>
  <c r="AV187" i="253"/>
  <c r="AW187" i="253" s="1"/>
  <c r="AV188" i="253"/>
  <c r="AW188" i="253" s="1"/>
  <c r="AV189" i="253"/>
  <c r="AW189" i="253" s="1"/>
  <c r="AV190" i="253"/>
  <c r="AW190" i="253" s="1"/>
  <c r="AV191" i="253"/>
  <c r="AW191" i="253" s="1"/>
  <c r="AV192" i="253"/>
  <c r="AW192" i="253" s="1"/>
  <c r="AV193" i="253"/>
  <c r="AW193" i="253" s="1"/>
  <c r="AV165" i="253" l="1"/>
  <c r="AW165" i="253" s="1"/>
  <c r="AV166" i="253"/>
  <c r="AW166" i="253" s="1"/>
  <c r="AV167" i="253"/>
  <c r="AW167" i="253" s="1"/>
  <c r="AV168" i="253"/>
  <c r="AW168" i="253" s="1"/>
  <c r="AV169" i="253"/>
  <c r="AW169" i="253" s="1"/>
  <c r="AV170" i="253"/>
  <c r="AW170" i="253" s="1"/>
  <c r="AV171" i="253"/>
  <c r="AW171" i="253" s="1"/>
  <c r="AV172" i="253"/>
  <c r="AW172" i="253" s="1"/>
  <c r="AV173" i="253"/>
  <c r="AW173" i="253" s="1"/>
  <c r="AV174" i="253"/>
  <c r="AW174" i="253" s="1"/>
  <c r="AV164" i="253" l="1"/>
  <c r="AW164" i="253" s="1"/>
  <c r="AV3" i="253"/>
  <c r="AV4" i="253"/>
  <c r="AV5" i="253"/>
  <c r="AV6" i="253"/>
  <c r="AV7" i="253"/>
  <c r="AV8" i="253"/>
  <c r="AV9" i="253"/>
  <c r="AV10" i="253"/>
  <c r="AV11" i="253"/>
  <c r="AV12" i="253"/>
  <c r="AV13" i="253"/>
  <c r="AV14" i="253"/>
  <c r="AV15" i="253"/>
  <c r="AV16" i="253"/>
  <c r="AV17" i="253"/>
  <c r="AV18" i="253"/>
  <c r="AV19" i="253"/>
  <c r="AV20" i="253"/>
  <c r="AV21" i="253"/>
  <c r="AV22" i="253"/>
  <c r="AV23" i="253"/>
  <c r="AV24" i="253"/>
  <c r="AV25" i="253"/>
  <c r="AV26" i="253"/>
  <c r="AV27" i="253"/>
  <c r="AV28" i="253"/>
  <c r="AV29" i="253"/>
  <c r="AV30" i="253"/>
  <c r="AV31" i="253"/>
  <c r="AV32" i="253"/>
  <c r="AV33" i="253"/>
  <c r="AV34" i="253"/>
  <c r="AV35" i="253"/>
  <c r="AV36" i="253"/>
  <c r="AV37" i="253"/>
  <c r="AV38" i="253"/>
  <c r="AV39" i="253"/>
  <c r="AV40" i="253"/>
  <c r="AV41" i="253"/>
  <c r="AV42" i="253"/>
  <c r="AV43" i="253"/>
  <c r="AV44" i="253"/>
  <c r="AV45" i="253"/>
  <c r="AV46" i="253"/>
  <c r="AV47" i="253"/>
  <c r="AV48" i="253"/>
  <c r="AV49" i="253"/>
  <c r="AV50" i="253"/>
  <c r="AV51" i="253"/>
  <c r="AV52" i="253"/>
  <c r="AV53" i="253"/>
  <c r="AV54" i="253"/>
  <c r="AV55" i="253"/>
  <c r="AV56" i="253"/>
  <c r="AV57" i="253"/>
  <c r="AV58" i="253"/>
  <c r="AV59" i="253"/>
  <c r="AV60" i="253"/>
  <c r="AV61" i="253"/>
  <c r="AV62" i="253"/>
  <c r="AV63" i="253"/>
  <c r="AV64" i="253"/>
  <c r="AV65" i="253"/>
  <c r="AV66" i="253"/>
  <c r="AV67" i="253"/>
  <c r="AV68" i="253"/>
  <c r="AV69" i="253"/>
  <c r="AV70" i="253"/>
  <c r="AV71" i="253"/>
  <c r="AV72" i="253"/>
  <c r="AV73" i="253"/>
  <c r="AV74" i="253"/>
  <c r="AV75" i="253"/>
  <c r="AV76" i="253"/>
  <c r="AV77" i="253"/>
  <c r="AV78" i="253"/>
  <c r="AV79" i="253"/>
  <c r="AV80" i="253"/>
  <c r="AV81" i="253"/>
  <c r="AV82" i="253"/>
  <c r="AV83" i="253"/>
  <c r="AV84" i="253"/>
  <c r="AV85" i="253"/>
  <c r="AV86" i="253"/>
  <c r="AV87" i="253"/>
  <c r="AV88" i="253"/>
  <c r="AV89" i="253"/>
  <c r="AV90" i="253"/>
  <c r="AV91" i="253"/>
  <c r="AV92" i="253"/>
  <c r="AV93" i="253"/>
  <c r="AV94" i="253"/>
  <c r="AV95" i="253"/>
  <c r="AV96" i="253"/>
  <c r="AV97" i="253"/>
  <c r="AV98" i="253"/>
  <c r="AV99" i="253"/>
  <c r="AV100" i="253"/>
  <c r="AV101" i="253"/>
  <c r="AV102" i="253"/>
  <c r="AV103" i="253"/>
  <c r="AV104" i="253"/>
  <c r="AV105" i="253"/>
  <c r="AV106" i="253"/>
  <c r="AV107" i="253"/>
  <c r="AV108" i="253"/>
  <c r="AV109" i="253"/>
  <c r="AV110" i="253"/>
  <c r="AV111" i="253"/>
  <c r="AV112" i="253"/>
  <c r="AV113" i="253"/>
  <c r="AV114" i="253"/>
  <c r="AV115" i="253"/>
  <c r="AV116" i="253"/>
  <c r="AV117" i="253"/>
  <c r="AV118" i="253"/>
  <c r="AV119" i="253"/>
  <c r="AV120" i="253"/>
  <c r="AV121" i="253"/>
  <c r="AV122" i="253"/>
  <c r="AV123" i="253"/>
  <c r="AV124" i="253"/>
  <c r="AV125" i="253"/>
  <c r="AV126" i="253"/>
  <c r="AV127" i="253"/>
  <c r="AV128" i="253"/>
  <c r="AV129" i="253"/>
  <c r="AV130" i="253"/>
  <c r="AV131" i="253"/>
  <c r="AV132" i="253"/>
  <c r="AV133" i="253"/>
  <c r="AV134" i="253"/>
  <c r="AV135" i="253"/>
  <c r="AV136" i="253"/>
  <c r="AV137" i="253"/>
  <c r="AV138" i="253"/>
  <c r="AV139" i="253"/>
  <c r="AV140" i="253"/>
  <c r="AV141" i="253"/>
  <c r="AV142" i="253"/>
  <c r="AV143" i="253"/>
  <c r="AV144" i="253"/>
  <c r="AV145" i="253"/>
  <c r="AV146" i="253"/>
  <c r="AV147" i="253"/>
  <c r="AV148" i="253"/>
  <c r="AV149" i="253"/>
  <c r="AV150" i="253"/>
  <c r="AV151" i="253"/>
  <c r="AV152" i="253"/>
  <c r="AV153" i="253"/>
  <c r="AV154" i="253"/>
  <c r="AV155" i="253"/>
  <c r="AV156" i="253"/>
  <c r="AV157" i="253"/>
  <c r="AV158" i="253"/>
  <c r="AV159" i="253"/>
  <c r="AV160" i="253"/>
  <c r="AV161" i="253"/>
  <c r="AV162" i="253"/>
  <c r="AV163" i="253"/>
  <c r="AV2" i="253"/>
  <c r="AW161" i="253" l="1"/>
  <c r="AW162" i="253"/>
  <c r="AW163" i="253"/>
  <c r="AW122" i="253" l="1"/>
  <c r="AW123" i="253"/>
  <c r="AW124" i="253"/>
  <c r="AW125" i="253"/>
  <c r="AW126" i="253"/>
  <c r="AW127" i="253"/>
  <c r="AW128" i="253"/>
  <c r="AW129" i="253"/>
  <c r="AW130" i="253"/>
  <c r="AW131" i="253"/>
  <c r="AW132" i="253"/>
  <c r="AW133" i="253"/>
  <c r="AW134" i="253"/>
  <c r="AW135" i="253"/>
  <c r="AW136" i="253"/>
  <c r="AW137" i="253"/>
  <c r="AW138" i="253"/>
  <c r="AW139" i="253"/>
  <c r="AW140" i="253"/>
  <c r="AW141" i="253"/>
  <c r="AW142" i="253"/>
  <c r="AW143" i="253"/>
  <c r="AW144" i="253"/>
  <c r="AW145" i="253"/>
  <c r="AW146" i="253"/>
  <c r="AW147" i="253"/>
  <c r="AW148" i="253"/>
  <c r="AW149" i="253"/>
  <c r="AW150" i="253"/>
  <c r="AW151" i="253"/>
  <c r="AW152" i="253"/>
  <c r="AW153" i="253"/>
  <c r="AW154" i="253"/>
  <c r="AW155" i="253"/>
  <c r="AW156" i="253"/>
  <c r="AW157" i="253"/>
  <c r="AW158" i="253"/>
  <c r="AW159" i="253"/>
  <c r="AW160" i="253"/>
  <c r="AW111" i="253" l="1"/>
  <c r="AW112" i="253"/>
  <c r="AW113" i="253"/>
  <c r="AW114" i="253"/>
  <c r="AW115" i="253"/>
  <c r="AW116" i="253"/>
  <c r="AW117" i="253"/>
  <c r="AW118" i="253"/>
  <c r="AW119" i="253"/>
  <c r="AW120" i="253"/>
  <c r="AW121" i="253"/>
  <c r="AW60" i="253" l="1"/>
  <c r="AW61" i="253"/>
  <c r="AW62" i="253"/>
  <c r="AW63" i="253"/>
  <c r="AW64" i="253"/>
  <c r="AW65" i="253"/>
  <c r="AW66" i="253"/>
  <c r="AW67" i="253"/>
  <c r="AW68" i="253"/>
  <c r="AW69" i="253"/>
  <c r="AW70" i="253"/>
  <c r="AW71" i="253"/>
  <c r="AW72" i="253"/>
  <c r="AW73" i="253"/>
  <c r="AW74" i="253"/>
  <c r="AW75" i="253"/>
  <c r="AW76" i="253"/>
  <c r="AW77" i="253"/>
  <c r="AW78" i="253"/>
  <c r="AW79" i="253"/>
  <c r="AW80" i="253"/>
  <c r="AW81" i="253"/>
  <c r="AW82" i="253"/>
  <c r="AW83" i="253"/>
  <c r="AW84" i="253"/>
  <c r="AW85" i="253"/>
  <c r="AW86" i="253"/>
  <c r="AW87" i="253"/>
  <c r="AW88" i="253"/>
  <c r="AW89" i="253"/>
  <c r="AW90" i="253"/>
  <c r="AW91" i="253"/>
  <c r="AW92" i="253"/>
  <c r="AW93" i="253"/>
  <c r="AW94" i="253"/>
  <c r="AW95" i="253"/>
  <c r="AW96" i="253"/>
  <c r="AW97" i="253"/>
  <c r="AW98" i="253"/>
  <c r="AW99" i="253"/>
  <c r="AW100" i="253"/>
  <c r="AW101" i="253"/>
  <c r="AW102" i="253"/>
  <c r="AW103" i="253"/>
  <c r="AW104" i="253"/>
  <c r="AW105" i="253"/>
  <c r="AW106" i="253"/>
  <c r="AW107" i="253"/>
  <c r="AW108" i="253"/>
  <c r="AW109" i="253"/>
  <c r="AW110" i="253"/>
  <c r="AW3" i="253"/>
  <c r="AW4" i="253"/>
  <c r="AW5" i="253"/>
  <c r="AW6" i="253"/>
  <c r="AW7" i="253"/>
  <c r="AW8" i="253"/>
  <c r="AW9" i="253"/>
  <c r="AW10" i="253"/>
  <c r="AW11" i="253"/>
  <c r="AW12" i="253"/>
  <c r="AW13" i="253"/>
  <c r="AW14" i="253"/>
  <c r="AW15" i="253"/>
  <c r="AW16" i="253"/>
  <c r="AW17" i="253"/>
  <c r="AW18" i="253"/>
  <c r="AW19" i="253"/>
  <c r="AW20" i="253"/>
  <c r="AW21" i="253"/>
  <c r="AW22" i="253"/>
  <c r="AW23" i="253"/>
  <c r="AW24" i="253"/>
  <c r="AW25" i="253"/>
  <c r="AW26" i="253"/>
  <c r="AW27" i="253"/>
  <c r="AW28" i="253"/>
  <c r="AW29" i="253"/>
  <c r="AW30" i="253"/>
  <c r="AW31" i="253"/>
  <c r="AW32" i="253"/>
  <c r="AW33" i="253"/>
  <c r="AW34" i="253"/>
  <c r="AW35" i="253"/>
  <c r="AW36" i="253"/>
  <c r="AW37" i="253"/>
  <c r="AW38" i="253"/>
  <c r="AW39" i="253"/>
  <c r="AW40" i="253"/>
  <c r="AW41" i="253"/>
  <c r="AW42" i="253"/>
  <c r="AW43" i="253"/>
  <c r="AW44" i="253"/>
  <c r="AW45" i="253"/>
  <c r="AW46" i="253"/>
  <c r="AW47" i="253"/>
  <c r="AW48" i="253"/>
  <c r="AW49" i="253"/>
  <c r="AW50" i="253"/>
  <c r="AW51" i="253"/>
  <c r="AW52" i="253"/>
  <c r="AW53" i="253"/>
  <c r="AW54" i="253"/>
  <c r="AW55" i="253"/>
  <c r="AW56" i="253"/>
  <c r="AW57" i="253"/>
  <c r="AW58" i="253"/>
  <c r="AW59" i="253"/>
  <c r="AW2" i="253"/>
</calcChain>
</file>

<file path=xl/sharedStrings.xml><?xml version="1.0" encoding="utf-8"?>
<sst xmlns="http://schemas.openxmlformats.org/spreadsheetml/2006/main" count="3297" uniqueCount="505">
  <si>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</si>
  <si>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</si>
  <si>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</si>
  <si>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</si>
  <si>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</si>
  <si>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</si>
  <si>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</si>
  <si>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</si>
  <si>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</si>
  <si>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김광수</t>
  </si>
  <si>
    <t>구분</t>
    <phoneticPr fontId="18" type="noConversion"/>
  </si>
  <si>
    <t>15세 이상 이용가능</t>
  </si>
  <si>
    <t>12세 이상 이용가능</t>
  </si>
  <si>
    <t>스토리위즈</t>
  </si>
  <si>
    <t>2020.09.08</t>
  </si>
  <si>
    <t>최종 보스 : 빛을 향해 달리는 그림자 [독점]</t>
  </si>
  <si>
    <t>스토리위즈_1</t>
  </si>
  <si>
    <t>무장</t>
  </si>
  <si>
    <t>BJ소드마스터 [독점]</t>
  </si>
  <si>
    <t>이동열</t>
  </si>
  <si>
    <t>2020.07.24</t>
  </si>
  <si>
    <t>로드 오브 머니</t>
  </si>
  <si>
    <t>2018.08.02</t>
  </si>
  <si>
    <t>로드 오브 머니 [단행본]</t>
  </si>
  <si>
    <t>2019.08.05</t>
  </si>
  <si>
    <t>회귀의 전설 [단행본]</t>
  </si>
  <si>
    <t>리얼 머니 [독점]</t>
  </si>
  <si>
    <t>진문</t>
  </si>
  <si>
    <t>2020.06.03</t>
  </si>
  <si>
    <t>형사의 게임</t>
  </si>
  <si>
    <t>2017.04.11</t>
  </si>
  <si>
    <t>성군이십니다 [독점]</t>
  </si>
  <si>
    <t>이준영</t>
  </si>
  <si>
    <t>2019.04.17</t>
  </si>
  <si>
    <t>은천검제(2부 화산검제) [단행본]</t>
  </si>
  <si>
    <t>2020.08.26</t>
  </si>
  <si>
    <t>기사가문 망나니는 10클래스</t>
  </si>
  <si>
    <t>예로나</t>
  </si>
  <si>
    <t>2020.03.11</t>
  </si>
  <si>
    <t>말빨</t>
  </si>
  <si>
    <t>2020.02.12</t>
  </si>
  <si>
    <t>SSS급 마왕의 귀환</t>
  </si>
  <si>
    <t>구유</t>
  </si>
  <si>
    <t>2019.06.14</t>
  </si>
  <si>
    <t>형사의 게임 [단행본]</t>
  </si>
  <si>
    <t>2017.10.27</t>
  </si>
  <si>
    <t>간신이 나라를 살림</t>
  </si>
  <si>
    <t>루이세</t>
  </si>
  <si>
    <t>2020.01.22</t>
  </si>
  <si>
    <t>화산검제 [은천검제 2부 연재]</t>
  </si>
  <si>
    <t>2020.03.24</t>
  </si>
  <si>
    <t>게임 속 유닛</t>
  </si>
  <si>
    <t>찬동</t>
  </si>
  <si>
    <t>2020.08.18</t>
  </si>
  <si>
    <t>절대자의 귀환</t>
  </si>
  <si>
    <t>장유진</t>
  </si>
  <si>
    <t>2021.01.19</t>
  </si>
  <si>
    <t>나 혼자만 일일 보상</t>
  </si>
  <si>
    <t>2018.12.20</t>
  </si>
  <si>
    <t>던전 공략 LIVE</t>
  </si>
  <si>
    <t>2018.06.20</t>
  </si>
  <si>
    <t>나 혼자만 일일 보상 [단행본]</t>
  </si>
  <si>
    <t>2020.03.05</t>
  </si>
  <si>
    <t>간신이 나라를 살림 [단행본]</t>
  </si>
  <si>
    <t>라지에르의 서</t>
  </si>
  <si>
    <t>공든탑</t>
  </si>
  <si>
    <t>2017.07.03</t>
  </si>
  <si>
    <t>레이디 스칼렛</t>
  </si>
  <si>
    <t>불고기자리</t>
  </si>
  <si>
    <t>2020.08.20</t>
  </si>
  <si>
    <t>꿈속의 보스</t>
  </si>
  <si>
    <t>온서</t>
  </si>
  <si>
    <t>2021.01.12</t>
  </si>
  <si>
    <t>여왕 아델</t>
  </si>
  <si>
    <t>이린비</t>
  </si>
  <si>
    <t>2018.01.25</t>
  </si>
  <si>
    <t>2021.02.19</t>
  </si>
  <si>
    <t>회귀했는데 FFF급 부두술사 [독점]</t>
  </si>
  <si>
    <t>빡선생</t>
  </si>
  <si>
    <t>삼국지 호접몽전 [단행본]</t>
  </si>
  <si>
    <t>청빙</t>
  </si>
  <si>
    <t>2020.05.05</t>
  </si>
  <si>
    <t>문답무용 - 삼국지 유비의 모사가 되었다</t>
  </si>
  <si>
    <t>2021.02.24</t>
  </si>
  <si>
    <t>여왕 아델 [단행본]</t>
  </si>
  <si>
    <t>2020.10.21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</si>
  <si>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</si>
  <si>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</si>
  <si>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</si>
  <si>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</si>
  <si>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</si>
  <si>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</si>
  <si>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</si>
  <si>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</si>
  <si>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</si>
  <si>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</si>
  <si>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</si>
  <si>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</si>
  <si>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</si>
  <si>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18" type="noConversion"/>
  </si>
  <si>
    <t>SW매출</t>
    <phoneticPr fontId="18" type="noConversion"/>
  </si>
  <si>
    <t>2021.03.06</t>
  </si>
  <si>
    <t>2021.03.29</t>
  </si>
  <si>
    <t>2021.03.26</t>
  </si>
  <si>
    <t>라스트 서바이버 : 진화로 살아남아라!</t>
  </si>
  <si>
    <t>공작가의 남루한 신부</t>
  </si>
  <si>
    <t>무성매직</t>
  </si>
  <si>
    <t>2021.04.08</t>
  </si>
  <si>
    <t>망작 리메이커 [독점]</t>
  </si>
  <si>
    <t>덕킹</t>
  </si>
  <si>
    <t>컬러 러쉬 [BL]</t>
  </si>
  <si>
    <t>세상</t>
  </si>
  <si>
    <t>2021.04.07</t>
  </si>
  <si>
    <t>아저씨, 내 기분 왜 이래요?</t>
  </si>
  <si>
    <t>Livingston</t>
  </si>
  <si>
    <t>컬러 러쉬 [BL][단행본]</t>
  </si>
  <si>
    <t>2021.04.13</t>
  </si>
  <si>
    <t>컬러 러쉬 외전 [BL][단행본]</t>
  </si>
  <si>
    <t>낚싯대 하나로 세계최강 [독점]</t>
  </si>
  <si>
    <t>단팥크림빵7</t>
  </si>
  <si>
    <t>서강후</t>
  </si>
  <si>
    <t>와그작 [BL]</t>
  </si>
  <si>
    <t>19세 이상 이용가능</t>
  </si>
  <si>
    <t>2021.06.02</t>
  </si>
  <si>
    <t>올마스터가 된 비전서고 [독점]</t>
  </si>
  <si>
    <t>글면증</t>
  </si>
  <si>
    <t>칵테일로 레벨업 [독점]</t>
  </si>
  <si>
    <t>유성하소월 [1~83화]</t>
  </si>
  <si>
    <t>se1392001</t>
  </si>
  <si>
    <t>2019.01.31</t>
  </si>
  <si>
    <t>유성하소월 [84~122화]</t>
  </si>
  <si>
    <t>se1392084</t>
  </si>
  <si>
    <t>2014.09.12</t>
  </si>
  <si>
    <t>폴딩</t>
  </si>
  <si>
    <t>2021.08.03</t>
  </si>
  <si>
    <t>2021.08.20</t>
  </si>
  <si>
    <t>위험한 신혼부부 [독점]</t>
  </si>
  <si>
    <t>박수정(방울마마)</t>
  </si>
  <si>
    <t>2016.07.20</t>
  </si>
  <si>
    <t>호랑이 신을 길들여 버렸다</t>
  </si>
  <si>
    <t>부엉이콩</t>
  </si>
  <si>
    <t>버그 걸린 드래곤 [독점]</t>
  </si>
  <si>
    <t>내 안에 흑염룡이 산다! [독점]</t>
  </si>
  <si>
    <t>리세마라</t>
  </si>
  <si>
    <t>2020.10.29</t>
  </si>
  <si>
    <t>신인류 좀비의 아포칼립스 [독점]</t>
  </si>
  <si>
    <t>모험왕선우</t>
  </si>
  <si>
    <t>구공</t>
  </si>
  <si>
    <t>회귀자의 슬기로운 복수생활 [독점]</t>
  </si>
  <si>
    <t>기사가문 망나니는 10클래스 [단행본]</t>
  </si>
  <si>
    <t>2021.11.01</t>
  </si>
  <si>
    <t>2021.10.15</t>
  </si>
  <si>
    <t>위대한 가문의 망나니가 되다 [독점]</t>
  </si>
  <si>
    <t>바나바다</t>
  </si>
  <si>
    <t>붕어빵</t>
  </si>
  <si>
    <t>갓 오브 블랙필드</t>
  </si>
  <si>
    <t>2017.02.27</t>
  </si>
  <si>
    <t>갓 오브 블랙필드 [개정판][단행본]</t>
  </si>
  <si>
    <t>2020.06.24</t>
  </si>
  <si>
    <t>2021.11.18</t>
  </si>
  <si>
    <t>2021.11.17</t>
  </si>
  <si>
    <t>그라운드의 지배자</t>
  </si>
  <si>
    <t>2016.05.30</t>
  </si>
  <si>
    <t>그라운드의 지배자 [단행본]</t>
  </si>
  <si>
    <t>2017.09.06</t>
  </si>
  <si>
    <t>강호유정</t>
  </si>
  <si>
    <t>2020.08.25</t>
  </si>
  <si>
    <t>2021.11.19</t>
  </si>
  <si>
    <t>나 혼자 스킬융합 [독점]</t>
  </si>
  <si>
    <t>도폐풍운록</t>
  </si>
  <si>
    <t>2021.01.29</t>
  </si>
  <si>
    <t>강호유정 [단행본]</t>
  </si>
  <si>
    <t>131100761</t>
  </si>
  <si>
    <t>2013.11.15</t>
  </si>
  <si>
    <t>SSS급 마왕의 귀환 [단행본]</t>
  </si>
  <si>
    <t>2020.03.19</t>
  </si>
  <si>
    <t>2021.12.08</t>
  </si>
  <si>
    <t>복수하는 회귀 사서 [독점]</t>
  </si>
  <si>
    <t>백일하</t>
  </si>
  <si>
    <t>왕십리글쟁이</t>
  </si>
  <si>
    <t>임신부터 할까요?</t>
  </si>
  <si>
    <t>신입사원이 이렇게 일을 잘했다고? [독점]</t>
  </si>
  <si>
    <t>영웅 [개정판][단행본]</t>
  </si>
  <si>
    <t>문답무용 - 삼국지 유비의 모사가 되었다 [단행본]</t>
  </si>
  <si>
    <t>2021.05.20</t>
  </si>
  <si>
    <t>2021.01.21</t>
  </si>
  <si>
    <t>시계태엽오란씨</t>
  </si>
  <si>
    <t>임신부터 할까요? [단행본]</t>
  </si>
  <si>
    <t>2022.01.26</t>
  </si>
  <si>
    <t>선유문주</t>
  </si>
  <si>
    <t>2022.01.27</t>
  </si>
  <si>
    <t>이과생 둘이 회귀했다</t>
  </si>
  <si>
    <t>하이후</t>
  </si>
  <si>
    <t>2020.07.10</t>
  </si>
  <si>
    <t>공작가의 남루한 신부 [단행본]</t>
  </si>
  <si>
    <t>베놈 마스터 [단행본]</t>
  </si>
  <si>
    <t>도폐풍운록 [단행본]</t>
  </si>
  <si>
    <t>선유문주 [단행본]</t>
  </si>
  <si>
    <t>2022.02.10</t>
  </si>
  <si>
    <t>이과생 둘이 회귀했다 [단행본]</t>
  </si>
  <si>
    <t>완전판APP</t>
  </si>
  <si>
    <t>시리즈(IOS)</t>
  </si>
  <si>
    <t>2022.03.30</t>
  </si>
  <si>
    <t>슈퍼스타의 비밀 어플</t>
  </si>
  <si>
    <t>2022.03.11</t>
  </si>
  <si>
    <t>슈퍼스타의 비밀 어플 [단행본]</t>
  </si>
  <si>
    <t>2022.03.10</t>
  </si>
  <si>
    <t>원코인 게이머 아포칼립스</t>
  </si>
  <si>
    <t>이한애비</t>
  </si>
  <si>
    <t>2022.03.23</t>
  </si>
  <si>
    <t>마신부활 [단행본]</t>
  </si>
  <si>
    <t>만렙도끼</t>
  </si>
  <si>
    <t>얼굴 천재 교주가 되었다</t>
  </si>
  <si>
    <t>비고</t>
  </si>
  <si>
    <t>헌터인데 내공이 좀 많네요</t>
  </si>
  <si>
    <t>돈문어</t>
  </si>
  <si>
    <t>2022.03.25</t>
  </si>
  <si>
    <t>내일은 이혼해요</t>
  </si>
  <si>
    <t>윤비밀</t>
  </si>
  <si>
    <t>2020.02.24</t>
  </si>
  <si>
    <t>시리즈(APP)</t>
  </si>
  <si>
    <t>구원, 그 잔혹함에 대하여 [선공개]</t>
  </si>
  <si>
    <t>한보연</t>
  </si>
  <si>
    <t>블레슈</t>
  </si>
  <si>
    <t>2022.05.03</t>
  </si>
  <si>
    <t>어쩌다 계약 아내 [선공개]</t>
  </si>
  <si>
    <t>아슈크림</t>
  </si>
  <si>
    <t>도서출판 태랑</t>
  </si>
  <si>
    <t>2022.03.21</t>
  </si>
  <si>
    <t>2022.04.27</t>
  </si>
  <si>
    <t>바랑둥이 내 남자</t>
  </si>
  <si>
    <t>밈스</t>
  </si>
  <si>
    <t>2019.09.06</t>
  </si>
  <si>
    <t>2022.04.17</t>
  </si>
  <si>
    <t>다정할수록 불순한 [외전 선공개]</t>
  </si>
  <si>
    <t>은지유</t>
  </si>
  <si>
    <t>2022.04.04</t>
  </si>
  <si>
    <t>결혼의 함정 [선공개]</t>
  </si>
  <si>
    <t>블랙커피</t>
  </si>
  <si>
    <t>2022.01.19</t>
  </si>
  <si>
    <t>전생자가 용병단장으로 살아가는 법 [독점]</t>
  </si>
  <si>
    <t>새우깡조아</t>
  </si>
  <si>
    <t>격렬하게, 다시 한번</t>
  </si>
  <si>
    <t>허니레몬</t>
  </si>
  <si>
    <t>2019.07.24</t>
  </si>
  <si>
    <t>내 남자 길들이기</t>
  </si>
  <si>
    <t>2020.11.16</t>
  </si>
  <si>
    <t>사랑도 없이 결혼</t>
  </si>
  <si>
    <t>차홍주</t>
  </si>
  <si>
    <t>2020.12.07</t>
  </si>
  <si>
    <t>구애</t>
  </si>
  <si>
    <t>셔틀</t>
  </si>
  <si>
    <t>2019.11.22</t>
  </si>
  <si>
    <t>우리야, 이리온</t>
  </si>
  <si>
    <t>김온별(러브마인)</t>
  </si>
  <si>
    <t>2022.04.08</t>
  </si>
  <si>
    <t>친구의 고백</t>
  </si>
  <si>
    <t>빵양이</t>
  </si>
  <si>
    <t>2019.02.01</t>
  </si>
  <si>
    <t>시크릿 맨 [개정판][삽화본]</t>
  </si>
  <si>
    <t>2020.04.10</t>
  </si>
  <si>
    <t>월급 주는 남편</t>
  </si>
  <si>
    <t>블 루 스 카 이</t>
  </si>
  <si>
    <t>2020.04.13</t>
  </si>
  <si>
    <t>뜨거운 항해</t>
  </si>
  <si>
    <t>2021.08.16</t>
  </si>
  <si>
    <t>야쿠자가 사랑을 한다면 [개정판][BL]</t>
  </si>
  <si>
    <t>모리미</t>
  </si>
  <si>
    <t>2019.12.05</t>
  </si>
  <si>
    <t>사랑을 놓치고</t>
  </si>
  <si>
    <t>2018.11.09</t>
  </si>
  <si>
    <t>기어이 사랑</t>
  </si>
  <si>
    <t>2020.01.31</t>
  </si>
  <si>
    <t>망작 리메이커 [단행본]</t>
  </si>
  <si>
    <t>2022.03.29</t>
  </si>
  <si>
    <t>그땐 미처</t>
  </si>
  <si>
    <t>2018.12.26</t>
  </si>
  <si>
    <t>이 비서 다리 좀 치워 [BL]</t>
  </si>
  <si>
    <t>2019.05.16</t>
  </si>
  <si>
    <t>우리야, 이리온 [단행본]</t>
  </si>
  <si>
    <t>2021.12.20</t>
  </si>
  <si>
    <t>푸르디푸른 내 달빛</t>
  </si>
  <si>
    <t>모리미J</t>
  </si>
  <si>
    <t>2020.11.30</t>
  </si>
  <si>
    <t>사랑한다 윤혜영 [개정판][삽화본]</t>
  </si>
  <si>
    <t>2021.01.18</t>
  </si>
  <si>
    <t>On the air [BL]</t>
  </si>
  <si>
    <t>DION(디온)</t>
  </si>
  <si>
    <t>2021.02.03</t>
  </si>
  <si>
    <t>아래층에 전남편이 산다</t>
  </si>
  <si>
    <t>스내치</t>
  </si>
  <si>
    <t>2021.10.01</t>
  </si>
  <si>
    <t>어쩌다 계약 아내 [단행본]</t>
  </si>
  <si>
    <t>2021.09.17</t>
  </si>
  <si>
    <t>적왕의 깊은 밤</t>
  </si>
  <si>
    <t>엘리신</t>
  </si>
  <si>
    <t>2020.11.02</t>
  </si>
  <si>
    <t>처음이어도 좋아</t>
  </si>
  <si>
    <t>테레자</t>
  </si>
  <si>
    <t>2020.05.18</t>
  </si>
  <si>
    <t>나쁜 이혼 [선공개]</t>
  </si>
  <si>
    <t>진숙</t>
  </si>
  <si>
    <t>2021.03.02</t>
  </si>
  <si>
    <t>골 때리는 사랑 [BL]</t>
  </si>
  <si>
    <t>2020.04.17</t>
  </si>
  <si>
    <t>비서의 유혹</t>
  </si>
  <si>
    <t>2020.02.14</t>
  </si>
  <si>
    <t>사냥:꿈 [BL]</t>
  </si>
  <si>
    <t>2018.02.22</t>
  </si>
  <si>
    <t>트리거 [BL]</t>
  </si>
  <si>
    <t>2020.06.05</t>
  </si>
  <si>
    <t>내 남편의 열렬한 구애</t>
  </si>
  <si>
    <t>아이리스</t>
  </si>
  <si>
    <t>2019.12.09</t>
  </si>
  <si>
    <t>욕망에 눈뜨다</t>
  </si>
  <si>
    <t>2020.05.15</t>
  </si>
  <si>
    <t>너는 내 숨결이니까</t>
  </si>
  <si>
    <t>2020.09.14</t>
  </si>
  <si>
    <t>본능에 눈뜨다 [개정증보판]</t>
  </si>
  <si>
    <t>2019.11.15</t>
  </si>
  <si>
    <t>위층 아이 아빠 [BL]</t>
  </si>
  <si>
    <t>주이서</t>
  </si>
  <si>
    <t>2019.03.05</t>
  </si>
  <si>
    <t>아프오 안 아프오 나는 [BL]</t>
  </si>
  <si>
    <t>2019.12.27</t>
  </si>
  <si>
    <t>야릇한 그놈</t>
  </si>
  <si>
    <t>해달화영</t>
  </si>
  <si>
    <t>2020.07.22</t>
  </si>
  <si>
    <t>흔적</t>
  </si>
  <si>
    <t>꽃잠</t>
  </si>
  <si>
    <t>어쩌다 계약 아내 외전 [단행본]</t>
  </si>
  <si>
    <t>그 여름 네 입술</t>
  </si>
  <si>
    <t>레드트러블</t>
  </si>
  <si>
    <t>네가 뭔데 그러세요 [BL]</t>
  </si>
  <si>
    <t>2021.01.13</t>
  </si>
  <si>
    <t>사라족의 간택 [삽화본][BL]</t>
  </si>
  <si>
    <t>살 떨리는 동거</t>
  </si>
  <si>
    <t>2021.01.14</t>
  </si>
  <si>
    <t>격렬하게, 다시 한번 [단행본]</t>
  </si>
  <si>
    <t>2020.03.20</t>
  </si>
  <si>
    <t>사랑, 흘러간다 [BL]</t>
  </si>
  <si>
    <t>2019.04.01</t>
  </si>
  <si>
    <t>절대자의 귀환 [단행본]</t>
  </si>
  <si>
    <t>2021.04.15</t>
  </si>
  <si>
    <t>내 사랑 스토커</t>
  </si>
  <si>
    <t>디버스 대도서관</t>
  </si>
  <si>
    <t>내일은 이혼해요 [단행본]</t>
  </si>
  <si>
    <t>두 형사 [개정판][삽화본]</t>
  </si>
  <si>
    <t>2021.03.12</t>
  </si>
  <si>
    <t>보좌관</t>
  </si>
  <si>
    <t>2019.04.11</t>
  </si>
  <si>
    <t>나는 너를, 너는 나를 [BL]</t>
  </si>
  <si>
    <t>라비니안느</t>
  </si>
  <si>
    <t>2019.03.07</t>
  </si>
  <si>
    <t>2022.04.28</t>
  </si>
  <si>
    <t>짝사랑 이별곡 [BL]</t>
  </si>
  <si>
    <t>2019.01.24</t>
  </si>
  <si>
    <t>스타의 연애 [개정판][BL][단행본]</t>
  </si>
  <si>
    <t>2019.05.01</t>
  </si>
  <si>
    <t>베리타 (verità)</t>
  </si>
  <si>
    <t>2021.04.02</t>
  </si>
  <si>
    <t>내 남자 길들이기 [단행본]</t>
  </si>
  <si>
    <t>그 알파 내 오메가 만들기 [BL]</t>
  </si>
  <si>
    <t>2018.09.20</t>
  </si>
  <si>
    <t>형사님, 나랑 사귈래?</t>
  </si>
  <si>
    <t>유하영</t>
  </si>
  <si>
    <t>2018.06.25</t>
  </si>
  <si>
    <t>스타의 연애 [BL]</t>
  </si>
  <si>
    <t>욕과 정이 깨어날 때</t>
  </si>
  <si>
    <t>김너울</t>
  </si>
  <si>
    <t>완벽한 계략 남편</t>
  </si>
  <si>
    <t>2021.01.04</t>
  </si>
  <si>
    <t>더 라스트 웨어울프</t>
  </si>
  <si>
    <t>2020.11.11</t>
  </si>
  <si>
    <t>야쿠자가 사랑을 한다면 2 [개정판][BL][단행본]</t>
  </si>
  <si>
    <t>2022.01.28</t>
  </si>
  <si>
    <t>아이 컨택 [BL][단행본]</t>
  </si>
  <si>
    <t>2021.05.18</t>
  </si>
  <si>
    <t>심장이 뛰면</t>
  </si>
  <si>
    <t>Yulia</t>
  </si>
  <si>
    <t>라지에르의 서 [단행본]</t>
  </si>
  <si>
    <t>2018.01.05</t>
  </si>
  <si>
    <t>완벽한 타인과</t>
  </si>
  <si>
    <t>2020.01.28</t>
  </si>
  <si>
    <t>궁성</t>
  </si>
  <si>
    <t>2020.12.21</t>
  </si>
  <si>
    <t>게이 하우스 [BL]</t>
  </si>
  <si>
    <t>빨강뽀뽀</t>
  </si>
  <si>
    <t>2019.06.26</t>
  </si>
  <si>
    <t>구애 [단행본]</t>
  </si>
  <si>
    <t>던전 공략 LIVE [단행본]</t>
  </si>
  <si>
    <t>2018.02.21</t>
  </si>
  <si>
    <t>너를 삼키다 [BL][단행본]</t>
  </si>
  <si>
    <t>2021.09.08</t>
  </si>
  <si>
    <t>매혹적인 상사</t>
  </si>
  <si>
    <t>2022.03.04</t>
  </si>
  <si>
    <t>퇴마사(巫者) [BL][단행본]</t>
  </si>
  <si>
    <t>시무(蒔舞)</t>
  </si>
  <si>
    <t>2022.01.21</t>
  </si>
  <si>
    <t>기어이 사랑 [단행본]</t>
  </si>
  <si>
    <t>꿈은 이루어진다</t>
  </si>
  <si>
    <t>벗우</t>
  </si>
  <si>
    <t>2019.12.11</t>
  </si>
  <si>
    <t>중독</t>
  </si>
  <si>
    <t>문스톤</t>
  </si>
  <si>
    <t>2019.12.18</t>
  </si>
  <si>
    <t>브레이크 포레스트</t>
  </si>
  <si>
    <t>구이</t>
  </si>
  <si>
    <t>그땐 그랬었다 [BL]</t>
  </si>
  <si>
    <t>2018.09.07</t>
  </si>
  <si>
    <t>우리 [개정판][삽화본]</t>
  </si>
  <si>
    <t>퇴마사(巫者) [BL]</t>
  </si>
  <si>
    <t>2021.12.03</t>
  </si>
  <si>
    <t>썸원(Someone)</t>
  </si>
  <si>
    <t>2020.11.23</t>
  </si>
  <si>
    <t>남이 되어 주세요</t>
  </si>
  <si>
    <t>한서나</t>
  </si>
  <si>
    <t>2018.12.10</t>
  </si>
  <si>
    <t>아로새긴</t>
  </si>
  <si>
    <t>충동적인 결혼</t>
  </si>
  <si>
    <t>2019.11.29</t>
  </si>
  <si>
    <t>숨결을 삼키다</t>
  </si>
  <si>
    <t>2020.08.17</t>
  </si>
  <si>
    <t>바빌로니아의 검은 책</t>
  </si>
  <si>
    <t>펌킨몬</t>
  </si>
  <si>
    <t>2018.07.14</t>
  </si>
  <si>
    <t>사냥 [삽화본]</t>
  </si>
  <si>
    <t>2019.11.07</t>
  </si>
  <si>
    <t>얼어 죽어도, 겨울</t>
  </si>
  <si>
    <t>진새벽</t>
  </si>
  <si>
    <t>2020.11.27</t>
  </si>
  <si>
    <t>비서의 유혹 외전 [단행본]</t>
  </si>
  <si>
    <t>아이 컨택 외전 [BL][단행본]</t>
  </si>
  <si>
    <t>사랑은 내가, 너는 행복만</t>
  </si>
  <si>
    <t>아타락시아</t>
  </si>
  <si>
    <t>2021.02.15</t>
  </si>
  <si>
    <t>바랑둥이 내 남자 [단행본]</t>
  </si>
  <si>
    <t>선택된 남자 [BL][단행본]</t>
  </si>
  <si>
    <t>2021.05.21</t>
  </si>
  <si>
    <t>아래층에 전남편이 산다 [단행본]</t>
  </si>
  <si>
    <t>사랑도 없이 결혼 [단행본]</t>
  </si>
  <si>
    <t>Only you [BL][단행본]</t>
  </si>
  <si>
    <t>2021.09.09</t>
  </si>
  <si>
    <t>골 때리는 사랑 [BL][단행본]</t>
  </si>
  <si>
    <t>2021.03.10</t>
  </si>
  <si>
    <t>On the air [BL][단행본]</t>
  </si>
  <si>
    <t>야쿠자가 사랑을 한다면 [개정판][BL][단행본]</t>
  </si>
  <si>
    <t>완벽한 타인과 [단행본]</t>
  </si>
  <si>
    <t>2020.12.22</t>
  </si>
  <si>
    <t>매혹적인 상사 [단행본]</t>
  </si>
  <si>
    <t>너는 내 숨결이니까 [단행본]</t>
  </si>
  <si>
    <t>2021.04.09</t>
  </si>
  <si>
    <t>베리타 (verità) [단행본]</t>
  </si>
  <si>
    <t>사랑을 놓치고 [단행본]</t>
  </si>
  <si>
    <t>2019.10.11</t>
  </si>
  <si>
    <t>아로새긴 [외전증보판][단행본]</t>
  </si>
  <si>
    <t>우리야, 이리온 외전 [단행본]</t>
  </si>
  <si>
    <t>궁성 [단행본]</t>
  </si>
  <si>
    <t>썸원(Someone) [단행본]</t>
  </si>
  <si>
    <t>흔적 [단행본]</t>
  </si>
  <si>
    <t>2020.12.08</t>
  </si>
  <si>
    <t>심장이 뛰면 [단행본]</t>
  </si>
  <si>
    <t>2021.03.11</t>
  </si>
  <si>
    <t>시크릿 맨 [개정판][삽화본][단행본]</t>
  </si>
  <si>
    <t>2020.05.29</t>
  </si>
  <si>
    <t>그대를 탐하다 [BL][단행본]</t>
  </si>
  <si>
    <t>2021.03.03</t>
  </si>
  <si>
    <t>내 사랑 스토커 2 [단행본]</t>
  </si>
  <si>
    <t>2020.05.11</t>
  </si>
  <si>
    <t>내 사랑 스토커 3 [단행본]</t>
  </si>
  <si>
    <t>2020.05.12</t>
  </si>
  <si>
    <t>완벽한 계략 남편 [단행본]</t>
  </si>
  <si>
    <t>이 비서 다리 좀 치워 [BL][단행본]</t>
  </si>
  <si>
    <t>2020.05.08</t>
  </si>
  <si>
    <t>내 사랑 스토커 1 [단행본]</t>
  </si>
  <si>
    <t>그땐 미처 [외전증보판][단행본]</t>
  </si>
  <si>
    <t>2020.02.07</t>
  </si>
  <si>
    <t>형사님, 나랑 사귈래? [개정판][단행본]</t>
  </si>
  <si>
    <t>2018.09.21</t>
  </si>
  <si>
    <t>적왕의 깊은 밤 [단행본]</t>
  </si>
  <si>
    <t>살 떨리는 동거 [단행본]</t>
  </si>
  <si>
    <t>나쁜 이혼 [단행본]</t>
  </si>
  <si>
    <t>친구의 고백 [단행본]</t>
  </si>
  <si>
    <t>바랑둥이 내 남자 [외전][단행본]</t>
  </si>
  <si>
    <t>매혹적인 상사 외전 [단행본]</t>
  </si>
  <si>
    <t>아래층에 전남편이 산다 외전 [단행본]</t>
  </si>
  <si>
    <t>구애 외전 [단행본]</t>
  </si>
  <si>
    <t>야쿠자가 사랑을 한다면 외전 [개정판][BL][단행본]</t>
  </si>
  <si>
    <t>썸원(Someone) 외전 [단행본]</t>
  </si>
  <si>
    <t>내 남자 길들이기 외전 [단행본]</t>
  </si>
  <si>
    <t>궁성 외전 [단행본]</t>
  </si>
  <si>
    <t>살 떨리는 동거 외전 [단행본]</t>
  </si>
  <si>
    <t>내 사랑 스토커 외전 [단행본]</t>
  </si>
  <si>
    <t>베리타 (verità) 외전 [단행본]</t>
  </si>
  <si>
    <t>선택된 남자 외전 [BL][단행본]</t>
  </si>
  <si>
    <t>시크릿 맨 외전 [개정판][단행본]</t>
  </si>
  <si>
    <t>흔적 외전 [단행본]</t>
  </si>
  <si>
    <t>주님</t>
  </si>
  <si>
    <t>2019.01.25</t>
  </si>
  <si>
    <t>Only you 외전 [BL][단행본]</t>
  </si>
  <si>
    <t>본능에 눈뜨다 외전 [개정판][단행본]</t>
  </si>
  <si>
    <t>연애는 아래로부터</t>
  </si>
  <si>
    <t>2018.12.21</t>
  </si>
  <si>
    <t>나만의 스타</t>
  </si>
  <si>
    <t>2018.11.07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</si>
</sst>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33" borderId="0" xfId="0" applyFont="1" applyFill="1" applyBorder="1" applyAlignment="1">
      <alignment vertical="center" wrapText="1"/>
    </xf>
    <xf numFmtId="0" fontId="20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49" fontId="22" fillId="0" borderId="0" xfId="0" applyNumberFormat="1" applyFont="1" applyAlignment="1">
      <alignment vertical="center" wrapText="1"/>
    </xf>
    <xf numFmtId="0" fontId="22" fillId="0" borderId="0" xfId="0" applyFont="1" applyAlignment="1">
      <alignment vertical="center" wrapText="1"/>
    </xf>
    <xf numFmtId="3" fontId="22" fillId="0" borderId="0" xfId="0" applyNumberFormat="1" applyFont="1" applyAlignment="1">
      <alignment vertical="center" wrapText="1"/>
    </xf>
    <xf numFmtId="4" fontId="22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3" fillId="33" borderId="0" xfId="0" applyFont="1" applyFill="1" applyAlignment="1">
      <alignment horizontal="center" vertical="center" wrapText="1"/>
    </xf>
    <xf numFmtId="0" fontId="23" fillId="34" borderId="0" xfId="0" applyFont="1" applyFill="1" applyAlignment="1">
      <alignment horizontal="center" vertical="center" wrapText="1"/>
    </xf>
    <xf numFmtId="0" fontId="23" fillId="33" borderId="0" xfId="0" applyFont="1" applyFill="1" applyBorder="1" applyAlignment="1">
      <alignment horizontal="center" vertical="center" wrapText="1"/>
    </xf>
    <xf numFmtId="176" fontId="0" fillId="0" borderId="0" xfId="0" applyNumberFormat="1" applyBorder="1">
      <alignment vertical="center"/>
    </xf>
    <xf numFmtId="41" fontId="0" fillId="0" borderId="0" xfId="1" applyFont="1" applyBorder="1">
      <alignment vertical="center"/>
    </xf>
    <xf numFmtId="41" fontId="23" fillId="34" borderId="0" xfId="1" applyFont="1" applyFill="1" applyBorder="1" applyAlignment="1">
      <alignment horizontal="center" vertical="center" wrapText="1"/>
    </xf>
    <xf numFmtId="41" fontId="0" fillId="34" borderId="0" xfId="1" applyFont="1" applyFill="1" applyBorder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3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465"/>
  <sheetViews>
    <sheetView tabSelected="1" zoomScale="85" zoomScaleNormal="85" workbookViewId="0"/>
  </sheetViews>
  <sheetFormatPr defaultColWidth="8.69921875" defaultRowHeight="17.399999999999999" x14ac:dyDescent="0.4"/>
  <cols>
    <col min="1" max="1" width="9.3984375" style="1" customWidth="1"/>
    <col min="2" max="2" width="20" style="1" bestFit="1" customWidth="1"/>
    <col min="3" max="3" width="6.5" style="1" customWidth="1"/>
    <col min="4" max="4" width="7.19921875" style="1" customWidth="1"/>
    <col min="5" max="5" width="6.796875" style="1" customWidth="1"/>
    <col min="6" max="6" width="4.796875" style="1" customWidth="1"/>
    <col min="7" max="7" width="10" style="1" bestFit="1" customWidth="1"/>
    <col min="8" max="8" width="12" style="1" bestFit="1" customWidth="1"/>
    <col min="9" max="9" width="7.3984375" style="1" customWidth="1"/>
    <col min="10" max="10" width="4.296875" style="1" customWidth="1"/>
    <col min="11" max="11" width="4.796875" style="1" customWidth="1"/>
    <col min="12" max="12" width="7.19921875" style="1" customWidth="1"/>
    <col min="13" max="13" width="6.69921875" style="1" customWidth="1"/>
    <col min="14" max="14" width="6" style="1" customWidth="1"/>
    <col min="15" max="16" width="6.296875" style="1" customWidth="1"/>
    <col min="17" max="17" width="5" style="1" customWidth="1"/>
    <col min="18" max="18" width="4.796875" style="1" customWidth="1"/>
    <col min="19" max="19" width="7.19921875" style="1" customWidth="1"/>
    <col min="20" max="20" width="6.69921875" style="1" customWidth="1"/>
    <col min="21" max="21" width="6" style="1" customWidth="1"/>
    <col min="22" max="23" width="6.296875" style="1" customWidth="1"/>
    <col min="24" max="24" width="3.59765625" style="1" customWidth="1"/>
    <col min="25" max="25" width="5" style="1" customWidth="1"/>
    <col min="26" max="27" width="3.59765625" style="1" customWidth="1"/>
    <col min="28" max="28" width="5" style="1" customWidth="1"/>
    <col min="29" max="29" width="4.296875" style="1" customWidth="1"/>
    <col min="30" max="35" width="3.59765625" style="1" customWidth="1"/>
    <col min="36" max="36" width="7.8984375" style="1" customWidth="1"/>
    <col min="37" max="37" width="12.8984375" style="1" bestFit="1" customWidth="1"/>
    <col min="38" max="38" width="12.796875" style="1" bestFit="1" customWidth="1"/>
    <col min="39" max="39" width="12.8984375" style="1" bestFit="1" customWidth="1"/>
    <col min="40" max="46" width="8.69921875" style="1"/>
    <col min="47" max="47" width="13.8984375" style="1" bestFit="1" customWidth="1"/>
    <col min="48" max="48" width="13.5" style="1" bestFit="1" customWidth="1"/>
    <col min="49" max="49" width="13.59765625" style="16" customWidth="1"/>
    <col min="50" max="16384" width="8.69921875" style="1"/>
  </cols>
  <sheetData>
    <row r="1" spans="1:49" ht="38.4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</v>
      </c>
      <c r="I1" s="3" t="s">
        <v>7</v>
      </c>
      <c r="J1" s="12" t="s">
        <v>86</v>
      </c>
      <c r="K1" s="12" t="s">
        <v>87</v>
      </c>
      <c r="L1" s="12" t="s">
        <v>88</v>
      </c>
      <c r="M1" s="12" t="s">
        <v>89</v>
      </c>
      <c r="N1" s="12" t="s">
        <v>90</v>
      </c>
      <c r="O1" s="12" t="s">
        <v>91</v>
      </c>
      <c r="P1" s="12" t="s">
        <v>92</v>
      </c>
      <c r="Q1" s="12" t="s">
        <v>93</v>
      </c>
      <c r="R1" s="12" t="s">
        <v>94</v>
      </c>
      <c r="S1" s="12" t="s">
        <v>86</v>
      </c>
      <c r="T1" s="12" t="s">
        <v>87</v>
      </c>
      <c r="U1" s="12" t="s">
        <v>88</v>
      </c>
      <c r="V1" s="12" t="s">
        <v>89</v>
      </c>
      <c r="W1" s="12" t="s">
        <v>90</v>
      </c>
      <c r="X1" s="12" t="s">
        <v>91</v>
      </c>
      <c r="Y1" s="12" t="s">
        <v>92</v>
      </c>
      <c r="Z1" s="12" t="s">
        <v>93</v>
      </c>
      <c r="AA1" s="12" t="s">
        <v>94</v>
      </c>
      <c r="AB1" s="12" t="s">
        <v>86</v>
      </c>
      <c r="AC1" s="12" t="s">
        <v>95</v>
      </c>
      <c r="AD1" s="12" t="s">
        <v>96</v>
      </c>
      <c r="AE1" s="12" t="s">
        <v>86</v>
      </c>
      <c r="AF1" s="12" t="s">
        <v>95</v>
      </c>
      <c r="AG1" s="12" t="s">
        <v>96</v>
      </c>
      <c r="AH1" s="12" t="s">
        <v>86</v>
      </c>
      <c r="AI1" s="12" t="s">
        <v>95</v>
      </c>
      <c r="AJ1" s="12" t="s">
        <v>96</v>
      </c>
      <c r="AK1" s="12" t="s">
        <v>86</v>
      </c>
      <c r="AL1" s="12" t="s">
        <v>95</v>
      </c>
      <c r="AM1" s="12" t="s">
        <v>96</v>
      </c>
      <c r="AN1" s="13" t="s">
        <v>97</v>
      </c>
      <c r="AO1" s="12" t="s">
        <v>86</v>
      </c>
      <c r="AP1" s="12" t="s">
        <v>95</v>
      </c>
      <c r="AQ1" s="12" t="s">
        <v>96</v>
      </c>
      <c r="AR1" s="12" t="s">
        <v>86</v>
      </c>
      <c r="AS1" s="12" t="s">
        <v>95</v>
      </c>
      <c r="AT1" s="12" t="s">
        <v>96</v>
      </c>
      <c r="AU1" s="13" t="s">
        <v>98</v>
      </c>
      <c r="AV1" s="14" t="s">
        <v>99</v>
      </c>
      <c r="AW1" s="17" t="s">
        <v>100</v>
      </c>
    </row>
    <row r="2" spans="1:49" ht="19.2" x14ac:dyDescent="0.4">
      <c r="A2" s="5" t="s">
        <v>220</v>
      </c>
      <c r="B2" s="5" t="s">
        <v>221</v>
      </c>
      <c r="C2" s="5">
        <v>465248</v>
      </c>
      <c r="D2" s="6"/>
      <c r="E2" s="5" t="s">
        <v>16</v>
      </c>
      <c r="F2" s="5" t="s">
        <v>222</v>
      </c>
      <c r="G2" s="5" t="s">
        <v>223</v>
      </c>
      <c r="H2" s="7" t="s">
        <v>12</v>
      </c>
      <c r="I2" s="7" t="s">
        <v>224</v>
      </c>
      <c r="J2" s="8">
        <v>7006</v>
      </c>
      <c r="K2" s="8">
        <v>42409</v>
      </c>
      <c r="L2" s="8">
        <v>700600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116396</v>
      </c>
      <c r="AF2" s="8">
        <v>9709100</v>
      </c>
      <c r="AG2" s="8">
        <v>1930500</v>
      </c>
      <c r="AH2" s="7">
        <v>0</v>
      </c>
      <c r="AI2" s="7">
        <v>0</v>
      </c>
      <c r="AJ2" s="7">
        <v>0</v>
      </c>
      <c r="AK2" s="7">
        <v>98</v>
      </c>
      <c r="AL2" s="8">
        <v>3240</v>
      </c>
      <c r="AM2" s="8">
        <v>7100</v>
      </c>
      <c r="AN2" s="7">
        <v>972</v>
      </c>
      <c r="AO2" s="7">
        <v>0</v>
      </c>
      <c r="AP2" s="7">
        <v>0</v>
      </c>
      <c r="AQ2" s="7">
        <v>0</v>
      </c>
      <c r="AR2" s="8">
        <v>12027</v>
      </c>
      <c r="AS2" s="8">
        <v>1173700</v>
      </c>
      <c r="AT2" s="8">
        <v>29000</v>
      </c>
      <c r="AU2" s="10">
        <v>13553240</v>
      </c>
      <c r="AV2" s="15">
        <f>AU2-AN2</f>
        <v>13552268</v>
      </c>
      <c r="AW2" s="16">
        <f>AV2*70%</f>
        <v>9486587.5999999996</v>
      </c>
    </row>
    <row r="3" spans="1:49" ht="19.2" x14ac:dyDescent="0.4">
      <c r="A3" s="5" t="s">
        <v>220</v>
      </c>
      <c r="B3" s="5" t="s">
        <v>225</v>
      </c>
      <c r="C3" s="5">
        <v>412919</v>
      </c>
      <c r="D3" s="6"/>
      <c r="E3" s="5" t="s">
        <v>16</v>
      </c>
      <c r="F3" s="5" t="s">
        <v>226</v>
      </c>
      <c r="G3" s="5" t="s">
        <v>227</v>
      </c>
      <c r="H3" s="7" t="s">
        <v>11</v>
      </c>
      <c r="I3" s="7" t="s">
        <v>228</v>
      </c>
      <c r="J3" s="7">
        <v>3</v>
      </c>
      <c r="K3" s="8">
        <v>55169</v>
      </c>
      <c r="L3" s="7">
        <v>300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10</v>
      </c>
      <c r="T3" s="8">
        <v>1521</v>
      </c>
      <c r="U3" s="7">
        <v>0</v>
      </c>
      <c r="V3" s="7">
        <v>0</v>
      </c>
      <c r="W3" s="8">
        <v>1000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8">
        <v>43320</v>
      </c>
      <c r="AF3" s="8">
        <v>3446700</v>
      </c>
      <c r="AG3" s="8">
        <v>885300</v>
      </c>
      <c r="AH3" s="7">
        <v>0</v>
      </c>
      <c r="AI3" s="7">
        <v>0</v>
      </c>
      <c r="AJ3" s="7">
        <v>0</v>
      </c>
      <c r="AK3" s="7">
        <v>67</v>
      </c>
      <c r="AL3" s="8">
        <v>4620</v>
      </c>
      <c r="AM3" s="8">
        <v>2900</v>
      </c>
      <c r="AN3" s="9">
        <v>1386</v>
      </c>
      <c r="AO3" s="7">
        <v>0</v>
      </c>
      <c r="AP3" s="7">
        <v>0</v>
      </c>
      <c r="AQ3" s="7">
        <v>0</v>
      </c>
      <c r="AR3" s="8">
        <v>4521</v>
      </c>
      <c r="AS3" s="8">
        <v>441700</v>
      </c>
      <c r="AT3" s="8">
        <v>10400</v>
      </c>
      <c r="AU3" s="10">
        <v>4792920</v>
      </c>
      <c r="AV3" s="15">
        <f t="shared" ref="AV3:AV66" si="0">AU3-AN3</f>
        <v>4791534</v>
      </c>
      <c r="AW3" s="16">
        <f t="shared" ref="AW3:AW66" si="1">AV3*70%</f>
        <v>3354073.8</v>
      </c>
    </row>
    <row r="4" spans="1:49" ht="19.2" x14ac:dyDescent="0.4">
      <c r="A4" s="5" t="s">
        <v>220</v>
      </c>
      <c r="B4" s="5" t="s">
        <v>181</v>
      </c>
      <c r="C4" s="5">
        <v>454534</v>
      </c>
      <c r="D4" s="6"/>
      <c r="E4" s="5" t="s">
        <v>16</v>
      </c>
      <c r="F4" s="5" t="s">
        <v>179</v>
      </c>
      <c r="G4" s="5" t="s">
        <v>13</v>
      </c>
      <c r="H4" s="7" t="s">
        <v>8</v>
      </c>
      <c r="I4" s="7" t="s">
        <v>229</v>
      </c>
      <c r="J4" s="7">
        <v>0</v>
      </c>
      <c r="K4" s="8">
        <v>57390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464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8">
        <v>30828</v>
      </c>
      <c r="AF4" s="8">
        <v>2431400</v>
      </c>
      <c r="AG4" s="8">
        <v>651400</v>
      </c>
      <c r="AH4" s="7">
        <v>0</v>
      </c>
      <c r="AI4" s="7">
        <v>0</v>
      </c>
      <c r="AJ4" s="7">
        <v>0</v>
      </c>
      <c r="AK4" s="7">
        <v>29</v>
      </c>
      <c r="AL4" s="8">
        <v>3460</v>
      </c>
      <c r="AM4" s="7">
        <v>0</v>
      </c>
      <c r="AN4" s="9">
        <v>1038</v>
      </c>
      <c r="AO4" s="7">
        <v>0</v>
      </c>
      <c r="AP4" s="7">
        <v>0</v>
      </c>
      <c r="AQ4" s="7">
        <v>0</v>
      </c>
      <c r="AR4" s="8">
        <v>5940</v>
      </c>
      <c r="AS4" s="8">
        <v>578700</v>
      </c>
      <c r="AT4" s="8">
        <v>15300</v>
      </c>
      <c r="AU4" s="10">
        <v>3680260</v>
      </c>
      <c r="AV4" s="15">
        <f t="shared" si="0"/>
        <v>3679222</v>
      </c>
      <c r="AW4" s="16">
        <f t="shared" si="1"/>
        <v>2575455.4</v>
      </c>
    </row>
    <row r="5" spans="1:49" ht="19.2" x14ac:dyDescent="0.4">
      <c r="A5" s="5" t="s">
        <v>220</v>
      </c>
      <c r="B5" s="5" t="s">
        <v>155</v>
      </c>
      <c r="C5" s="5">
        <v>178856</v>
      </c>
      <c r="D5" s="6"/>
      <c r="E5" s="5" t="s">
        <v>16</v>
      </c>
      <c r="F5" s="5" t="s">
        <v>17</v>
      </c>
      <c r="G5" s="5" t="s">
        <v>13</v>
      </c>
      <c r="H5" s="7" t="s">
        <v>12</v>
      </c>
      <c r="I5" s="7" t="s">
        <v>156</v>
      </c>
      <c r="J5" s="7">
        <v>0</v>
      </c>
      <c r="K5" s="7">
        <v>16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33</v>
      </c>
      <c r="T5" s="8">
        <v>3726</v>
      </c>
      <c r="U5" s="8">
        <v>1100</v>
      </c>
      <c r="V5" s="8">
        <v>2200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8">
        <v>20498</v>
      </c>
      <c r="AF5" s="8">
        <v>1605900</v>
      </c>
      <c r="AG5" s="8">
        <v>443900</v>
      </c>
      <c r="AH5" s="7">
        <v>0</v>
      </c>
      <c r="AI5" s="7">
        <v>0</v>
      </c>
      <c r="AJ5" s="7">
        <v>0</v>
      </c>
      <c r="AK5" s="7">
        <v>174</v>
      </c>
      <c r="AL5" s="8">
        <v>20880</v>
      </c>
      <c r="AM5" s="7">
        <v>0</v>
      </c>
      <c r="AN5" s="9">
        <v>6264</v>
      </c>
      <c r="AO5" s="7">
        <v>0</v>
      </c>
      <c r="AP5" s="7">
        <v>0</v>
      </c>
      <c r="AQ5" s="7">
        <v>0</v>
      </c>
      <c r="AR5" s="8">
        <v>4747</v>
      </c>
      <c r="AS5" s="8">
        <v>460800</v>
      </c>
      <c r="AT5" s="8">
        <v>13900</v>
      </c>
      <c r="AU5" s="10">
        <v>2548680</v>
      </c>
      <c r="AV5" s="15">
        <f t="shared" si="0"/>
        <v>2542416</v>
      </c>
      <c r="AW5" s="16">
        <f t="shared" si="1"/>
        <v>1779691.2</v>
      </c>
    </row>
    <row r="6" spans="1:49" ht="19.2" x14ac:dyDescent="0.4">
      <c r="A6" s="5" t="s">
        <v>220</v>
      </c>
      <c r="B6" s="5" t="s">
        <v>15</v>
      </c>
      <c r="C6" s="5">
        <v>369220</v>
      </c>
      <c r="D6" s="6"/>
      <c r="E6" s="5" t="s">
        <v>16</v>
      </c>
      <c r="F6" s="5" t="s">
        <v>17</v>
      </c>
      <c r="G6" s="5" t="s">
        <v>13</v>
      </c>
      <c r="H6" s="7" t="s">
        <v>8</v>
      </c>
      <c r="I6" s="7" t="s">
        <v>101</v>
      </c>
      <c r="J6" s="7">
        <v>1</v>
      </c>
      <c r="K6" s="7">
        <v>215</v>
      </c>
      <c r="L6" s="7">
        <v>100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7</v>
      </c>
      <c r="T6" s="8">
        <v>1030</v>
      </c>
      <c r="U6" s="7">
        <v>0</v>
      </c>
      <c r="V6" s="7">
        <v>0</v>
      </c>
      <c r="W6" s="7">
        <v>700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8">
        <v>22880</v>
      </c>
      <c r="AF6" s="8">
        <v>2010400</v>
      </c>
      <c r="AG6" s="8">
        <v>277600</v>
      </c>
      <c r="AH6" s="7">
        <v>0</v>
      </c>
      <c r="AI6" s="7">
        <v>0</v>
      </c>
      <c r="AJ6" s="7">
        <v>0</v>
      </c>
      <c r="AK6" s="7">
        <v>3</v>
      </c>
      <c r="AL6" s="7">
        <v>360</v>
      </c>
      <c r="AM6" s="7">
        <v>0</v>
      </c>
      <c r="AN6" s="7">
        <v>108</v>
      </c>
      <c r="AO6" s="7">
        <v>0</v>
      </c>
      <c r="AP6" s="7">
        <v>0</v>
      </c>
      <c r="AQ6" s="7">
        <v>0</v>
      </c>
      <c r="AR6" s="8">
        <v>2469</v>
      </c>
      <c r="AS6" s="8">
        <v>244300</v>
      </c>
      <c r="AT6" s="8">
        <v>2600</v>
      </c>
      <c r="AU6" s="10">
        <v>2536060</v>
      </c>
      <c r="AV6" s="15">
        <f t="shared" si="0"/>
        <v>2535952</v>
      </c>
      <c r="AW6" s="16">
        <f t="shared" si="1"/>
        <v>1775166.4</v>
      </c>
    </row>
    <row r="7" spans="1:49" ht="19.2" x14ac:dyDescent="0.4">
      <c r="A7" s="5" t="s">
        <v>220</v>
      </c>
      <c r="B7" s="5" t="s">
        <v>148</v>
      </c>
      <c r="C7" s="5">
        <v>442274</v>
      </c>
      <c r="D7" s="6"/>
      <c r="E7" s="5" t="s">
        <v>16</v>
      </c>
      <c r="F7" s="5" t="s">
        <v>147</v>
      </c>
      <c r="G7" s="5" t="s">
        <v>13</v>
      </c>
      <c r="H7" s="7" t="s">
        <v>8</v>
      </c>
      <c r="I7" s="7" t="s">
        <v>202</v>
      </c>
      <c r="J7" s="7">
        <v>12</v>
      </c>
      <c r="K7" s="8">
        <v>11645</v>
      </c>
      <c r="L7" s="8">
        <v>1200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8">
        <v>11732</v>
      </c>
      <c r="AF7" s="8">
        <v>1035200</v>
      </c>
      <c r="AG7" s="8">
        <v>138000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8">
        <v>3826</v>
      </c>
      <c r="AS7" s="8">
        <v>372100</v>
      </c>
      <c r="AT7" s="8">
        <v>10500</v>
      </c>
      <c r="AU7" s="10">
        <v>1557000</v>
      </c>
      <c r="AV7" s="15">
        <f t="shared" si="0"/>
        <v>1557000</v>
      </c>
      <c r="AW7" s="16">
        <f t="shared" si="1"/>
        <v>1089900</v>
      </c>
    </row>
    <row r="8" spans="1:49" ht="19.2" x14ac:dyDescent="0.4">
      <c r="A8" s="5" t="s">
        <v>220</v>
      </c>
      <c r="B8" s="5" t="s">
        <v>25</v>
      </c>
      <c r="C8" s="5">
        <v>414278</v>
      </c>
      <c r="D8" s="6"/>
      <c r="E8" s="5" t="s">
        <v>16</v>
      </c>
      <c r="F8" s="5" t="s">
        <v>9</v>
      </c>
      <c r="G8" s="5" t="s">
        <v>13</v>
      </c>
      <c r="H8" s="7" t="s">
        <v>11</v>
      </c>
      <c r="I8" s="7" t="s">
        <v>76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324</v>
      </c>
      <c r="AF8" s="8">
        <v>931800</v>
      </c>
      <c r="AG8" s="8">
        <v>90500</v>
      </c>
      <c r="AH8" s="7">
        <v>0</v>
      </c>
      <c r="AI8" s="7">
        <v>0</v>
      </c>
      <c r="AJ8" s="7">
        <v>0</v>
      </c>
      <c r="AK8" s="7">
        <v>1</v>
      </c>
      <c r="AL8" s="8">
        <v>3840</v>
      </c>
      <c r="AM8" s="7">
        <v>0</v>
      </c>
      <c r="AN8" s="9">
        <v>1152</v>
      </c>
      <c r="AO8" s="7">
        <v>0</v>
      </c>
      <c r="AP8" s="7">
        <v>0</v>
      </c>
      <c r="AQ8" s="7">
        <v>0</v>
      </c>
      <c r="AR8" s="7">
        <v>77</v>
      </c>
      <c r="AS8" s="8">
        <v>232400</v>
      </c>
      <c r="AT8" s="8">
        <v>9300</v>
      </c>
      <c r="AU8" s="10">
        <v>1267840</v>
      </c>
      <c r="AV8" s="15">
        <f t="shared" si="0"/>
        <v>1266688</v>
      </c>
      <c r="AW8" s="16">
        <f t="shared" si="1"/>
        <v>886681.59999999998</v>
      </c>
    </row>
    <row r="9" spans="1:49" ht="19.2" x14ac:dyDescent="0.4">
      <c r="A9" s="5" t="s">
        <v>220</v>
      </c>
      <c r="B9" s="5" t="s">
        <v>230</v>
      </c>
      <c r="C9" s="5">
        <v>369720</v>
      </c>
      <c r="D9" s="6"/>
      <c r="E9" s="5" t="s">
        <v>16</v>
      </c>
      <c r="F9" s="5" t="s">
        <v>231</v>
      </c>
      <c r="G9" s="5" t="s">
        <v>227</v>
      </c>
      <c r="H9" s="7" t="s">
        <v>11</v>
      </c>
      <c r="I9" s="7" t="s">
        <v>232</v>
      </c>
      <c r="J9" s="7">
        <v>0</v>
      </c>
      <c r="K9" s="7">
        <v>154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5</v>
      </c>
      <c r="T9" s="7">
        <v>433</v>
      </c>
      <c r="U9" s="7">
        <v>0</v>
      </c>
      <c r="V9" s="7">
        <v>400</v>
      </c>
      <c r="W9" s="7">
        <v>100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8">
        <v>9987</v>
      </c>
      <c r="AF9" s="8">
        <v>840800</v>
      </c>
      <c r="AG9" s="8">
        <v>157900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8">
        <v>1118</v>
      </c>
      <c r="AS9" s="8">
        <v>107400</v>
      </c>
      <c r="AT9" s="8">
        <v>4400</v>
      </c>
      <c r="AU9" s="10">
        <v>1111000</v>
      </c>
      <c r="AV9" s="15">
        <f t="shared" si="0"/>
        <v>1111000</v>
      </c>
      <c r="AW9" s="16">
        <f t="shared" si="1"/>
        <v>777700</v>
      </c>
    </row>
    <row r="10" spans="1:49" ht="19.2" x14ac:dyDescent="0.4">
      <c r="A10" s="5" t="s">
        <v>220</v>
      </c>
      <c r="B10" s="5" t="s">
        <v>157</v>
      </c>
      <c r="C10" s="5">
        <v>324335</v>
      </c>
      <c r="D10" s="6"/>
      <c r="E10" s="5" t="s">
        <v>16</v>
      </c>
      <c r="F10" s="5" t="s">
        <v>17</v>
      </c>
      <c r="G10" s="5" t="s">
        <v>13</v>
      </c>
      <c r="H10" s="7" t="s">
        <v>12</v>
      </c>
      <c r="I10" s="7" t="s">
        <v>158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2</v>
      </c>
      <c r="T10" s="7">
        <v>0</v>
      </c>
      <c r="U10" s="7">
        <v>0</v>
      </c>
      <c r="V10" s="8">
        <v>6400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286</v>
      </c>
      <c r="AF10" s="8">
        <v>796900</v>
      </c>
      <c r="AG10" s="8">
        <v>110600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62</v>
      </c>
      <c r="AS10" s="8">
        <v>189300</v>
      </c>
      <c r="AT10" s="8">
        <v>4000</v>
      </c>
      <c r="AU10" s="10">
        <v>1107200</v>
      </c>
      <c r="AV10" s="15">
        <f t="shared" si="0"/>
        <v>1107200</v>
      </c>
      <c r="AW10" s="16">
        <f t="shared" si="1"/>
        <v>775040</v>
      </c>
    </row>
    <row r="11" spans="1:49" ht="19.2" x14ac:dyDescent="0.4">
      <c r="A11" s="5" t="s">
        <v>220</v>
      </c>
      <c r="B11" s="5" t="s">
        <v>152</v>
      </c>
      <c r="C11" s="5">
        <v>445688</v>
      </c>
      <c r="D11" s="6"/>
      <c r="E11" s="5" t="s">
        <v>16</v>
      </c>
      <c r="F11" s="5" t="s">
        <v>153</v>
      </c>
      <c r="G11" s="5" t="s">
        <v>13</v>
      </c>
      <c r="H11" s="7" t="s">
        <v>8</v>
      </c>
      <c r="I11" s="7" t="s">
        <v>233</v>
      </c>
      <c r="J11" s="7">
        <v>0</v>
      </c>
      <c r="K11" s="8">
        <v>8110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8">
        <v>8453</v>
      </c>
      <c r="AF11" s="8">
        <v>802000</v>
      </c>
      <c r="AG11" s="8">
        <v>43300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8">
        <v>2305</v>
      </c>
      <c r="AS11" s="8">
        <v>227600</v>
      </c>
      <c r="AT11" s="8">
        <v>2900</v>
      </c>
      <c r="AU11" s="10">
        <v>1075800</v>
      </c>
      <c r="AV11" s="15">
        <f t="shared" si="0"/>
        <v>1075800</v>
      </c>
      <c r="AW11" s="16">
        <f t="shared" si="1"/>
        <v>753060</v>
      </c>
    </row>
    <row r="12" spans="1:49" ht="19.2" x14ac:dyDescent="0.4">
      <c r="A12" s="5" t="s">
        <v>220</v>
      </c>
      <c r="B12" s="5" t="s">
        <v>168</v>
      </c>
      <c r="C12" s="5">
        <v>449889</v>
      </c>
      <c r="D12" s="6"/>
      <c r="E12" s="5" t="s">
        <v>16</v>
      </c>
      <c r="F12" s="5" t="s">
        <v>154</v>
      </c>
      <c r="G12" s="5" t="s">
        <v>13</v>
      </c>
      <c r="H12" s="7" t="s">
        <v>8</v>
      </c>
      <c r="I12" s="7" t="s">
        <v>224</v>
      </c>
      <c r="J12" s="7">
        <v>0</v>
      </c>
      <c r="K12" s="8">
        <v>19123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176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8">
        <v>8021</v>
      </c>
      <c r="AF12" s="8">
        <v>661700</v>
      </c>
      <c r="AG12" s="8">
        <v>140400</v>
      </c>
      <c r="AH12" s="7">
        <v>0</v>
      </c>
      <c r="AI12" s="7">
        <v>0</v>
      </c>
      <c r="AJ12" s="7">
        <v>0</v>
      </c>
      <c r="AK12" s="7">
        <v>2</v>
      </c>
      <c r="AL12" s="7">
        <v>0</v>
      </c>
      <c r="AM12" s="7">
        <v>200</v>
      </c>
      <c r="AN12" s="7">
        <v>0</v>
      </c>
      <c r="AO12" s="7">
        <v>0</v>
      </c>
      <c r="AP12" s="7">
        <v>0</v>
      </c>
      <c r="AQ12" s="7">
        <v>0</v>
      </c>
      <c r="AR12" s="8">
        <v>1669</v>
      </c>
      <c r="AS12" s="8">
        <v>163700</v>
      </c>
      <c r="AT12" s="8">
        <v>3200</v>
      </c>
      <c r="AU12" s="10">
        <v>969200</v>
      </c>
      <c r="AV12" s="15">
        <f t="shared" si="0"/>
        <v>969200</v>
      </c>
      <c r="AW12" s="16">
        <f t="shared" si="1"/>
        <v>678440</v>
      </c>
    </row>
    <row r="13" spans="1:49" ht="19.2" x14ac:dyDescent="0.4">
      <c r="A13" s="5" t="s">
        <v>220</v>
      </c>
      <c r="B13" s="5" t="s">
        <v>234</v>
      </c>
      <c r="C13" s="5">
        <v>464776</v>
      </c>
      <c r="D13" s="6"/>
      <c r="E13" s="5" t="s">
        <v>16</v>
      </c>
      <c r="F13" s="5" t="s">
        <v>235</v>
      </c>
      <c r="G13" s="5" t="s">
        <v>223</v>
      </c>
      <c r="H13" s="7" t="s">
        <v>12</v>
      </c>
      <c r="I13" s="7" t="s">
        <v>236</v>
      </c>
      <c r="J13" s="7">
        <v>0</v>
      </c>
      <c r="K13" s="7">
        <v>710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8">
        <v>7051</v>
      </c>
      <c r="AF13" s="8">
        <v>673100</v>
      </c>
      <c r="AG13" s="8">
        <v>32000</v>
      </c>
      <c r="AH13" s="7">
        <v>0</v>
      </c>
      <c r="AI13" s="7">
        <v>0</v>
      </c>
      <c r="AJ13" s="7">
        <v>0</v>
      </c>
      <c r="AK13" s="7">
        <v>53</v>
      </c>
      <c r="AL13" s="7">
        <v>0</v>
      </c>
      <c r="AM13" s="8">
        <v>5300</v>
      </c>
      <c r="AN13" s="7">
        <v>0</v>
      </c>
      <c r="AO13" s="7">
        <v>0</v>
      </c>
      <c r="AP13" s="7">
        <v>0</v>
      </c>
      <c r="AQ13" s="7">
        <v>0</v>
      </c>
      <c r="AR13" s="8">
        <v>1002</v>
      </c>
      <c r="AS13" s="8">
        <v>99400</v>
      </c>
      <c r="AT13" s="7">
        <v>800</v>
      </c>
      <c r="AU13" s="10">
        <v>810600</v>
      </c>
      <c r="AV13" s="15">
        <f t="shared" si="0"/>
        <v>810600</v>
      </c>
      <c r="AW13" s="16">
        <f t="shared" si="1"/>
        <v>567420</v>
      </c>
    </row>
    <row r="14" spans="1:49" ht="19.2" x14ac:dyDescent="0.4">
      <c r="A14" s="5" t="s">
        <v>220</v>
      </c>
      <c r="B14" s="5" t="s">
        <v>105</v>
      </c>
      <c r="C14" s="5">
        <v>429621</v>
      </c>
      <c r="D14" s="6"/>
      <c r="E14" s="5" t="s">
        <v>16</v>
      </c>
      <c r="F14" s="5" t="s">
        <v>106</v>
      </c>
      <c r="G14" s="5" t="s">
        <v>13</v>
      </c>
      <c r="H14" s="7" t="s">
        <v>11</v>
      </c>
      <c r="I14" s="7" t="s">
        <v>107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97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8">
        <v>7007</v>
      </c>
      <c r="AF14" s="8">
        <v>682900</v>
      </c>
      <c r="AG14" s="8">
        <v>17800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932</v>
      </c>
      <c r="AS14" s="8">
        <v>92300</v>
      </c>
      <c r="AT14" s="7">
        <v>900</v>
      </c>
      <c r="AU14" s="10">
        <v>793900</v>
      </c>
      <c r="AV14" s="15">
        <f t="shared" si="0"/>
        <v>793900</v>
      </c>
      <c r="AW14" s="16">
        <f t="shared" si="1"/>
        <v>555730</v>
      </c>
    </row>
    <row r="15" spans="1:49" ht="19.2" x14ac:dyDescent="0.4">
      <c r="A15" s="5" t="s">
        <v>220</v>
      </c>
      <c r="B15" s="5" t="s">
        <v>21</v>
      </c>
      <c r="C15" s="5">
        <v>321812</v>
      </c>
      <c r="D15" s="6"/>
      <c r="E15" s="5" t="s">
        <v>16</v>
      </c>
      <c r="F15" s="5" t="s">
        <v>17</v>
      </c>
      <c r="G15" s="5" t="s">
        <v>13</v>
      </c>
      <c r="H15" s="7" t="s">
        <v>8</v>
      </c>
      <c r="I15" s="7" t="s">
        <v>22</v>
      </c>
      <c r="J15" s="7">
        <v>0</v>
      </c>
      <c r="K15" s="7">
        <v>24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198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8">
        <v>6695</v>
      </c>
      <c r="AF15" s="8">
        <v>561000</v>
      </c>
      <c r="AG15" s="8">
        <v>108500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839</v>
      </c>
      <c r="AS15" s="8">
        <v>82900</v>
      </c>
      <c r="AT15" s="8">
        <v>1000</v>
      </c>
      <c r="AU15" s="10">
        <v>753400</v>
      </c>
      <c r="AV15" s="15">
        <f t="shared" si="0"/>
        <v>753400</v>
      </c>
      <c r="AW15" s="16">
        <f t="shared" si="1"/>
        <v>527380</v>
      </c>
    </row>
    <row r="16" spans="1:49" ht="19.2" x14ac:dyDescent="0.4">
      <c r="A16" s="5" t="s">
        <v>220</v>
      </c>
      <c r="B16" s="5" t="s">
        <v>46</v>
      </c>
      <c r="C16" s="5">
        <v>386960</v>
      </c>
      <c r="D16" s="6"/>
      <c r="E16" s="5" t="s">
        <v>16</v>
      </c>
      <c r="F16" s="5" t="s">
        <v>47</v>
      </c>
      <c r="G16" s="5" t="s">
        <v>13</v>
      </c>
      <c r="H16" s="7" t="s">
        <v>8</v>
      </c>
      <c r="I16" s="7" t="s">
        <v>48</v>
      </c>
      <c r="J16" s="7">
        <v>0</v>
      </c>
      <c r="K16" s="7">
        <v>25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181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8">
        <v>6642</v>
      </c>
      <c r="AF16" s="8">
        <v>503800</v>
      </c>
      <c r="AG16" s="8">
        <v>160400</v>
      </c>
      <c r="AH16" s="7">
        <v>0</v>
      </c>
      <c r="AI16" s="7">
        <v>0</v>
      </c>
      <c r="AJ16" s="7">
        <v>0</v>
      </c>
      <c r="AK16" s="7">
        <v>2</v>
      </c>
      <c r="AL16" s="7">
        <v>0</v>
      </c>
      <c r="AM16" s="7">
        <v>200</v>
      </c>
      <c r="AN16" s="7">
        <v>0</v>
      </c>
      <c r="AO16" s="7">
        <v>0</v>
      </c>
      <c r="AP16" s="7">
        <v>0</v>
      </c>
      <c r="AQ16" s="7">
        <v>0</v>
      </c>
      <c r="AR16" s="7">
        <v>247</v>
      </c>
      <c r="AS16" s="8">
        <v>24700</v>
      </c>
      <c r="AT16" s="7">
        <v>0</v>
      </c>
      <c r="AU16" s="10">
        <v>689100</v>
      </c>
      <c r="AV16" s="15">
        <f t="shared" si="0"/>
        <v>689100</v>
      </c>
      <c r="AW16" s="16">
        <f t="shared" si="1"/>
        <v>482369.99999999994</v>
      </c>
    </row>
    <row r="17" spans="1:49" ht="19.2" x14ac:dyDescent="0.4">
      <c r="A17" s="5" t="s">
        <v>220</v>
      </c>
      <c r="B17" s="5" t="s">
        <v>237</v>
      </c>
      <c r="C17" s="5">
        <v>457807</v>
      </c>
      <c r="D17" s="6"/>
      <c r="E17" s="5" t="s">
        <v>16</v>
      </c>
      <c r="F17" s="5" t="s">
        <v>238</v>
      </c>
      <c r="G17" s="5" t="s">
        <v>227</v>
      </c>
      <c r="H17" s="7" t="s">
        <v>11</v>
      </c>
      <c r="I17" s="7" t="s">
        <v>239</v>
      </c>
      <c r="J17" s="7">
        <v>345</v>
      </c>
      <c r="K17" s="8">
        <v>9777</v>
      </c>
      <c r="L17" s="8">
        <v>34500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175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8">
        <v>4987</v>
      </c>
      <c r="AF17" s="8">
        <v>414200</v>
      </c>
      <c r="AG17" s="8">
        <v>84500</v>
      </c>
      <c r="AH17" s="7">
        <v>0</v>
      </c>
      <c r="AI17" s="7">
        <v>0</v>
      </c>
      <c r="AJ17" s="7">
        <v>0</v>
      </c>
      <c r="AK17" s="7">
        <v>3</v>
      </c>
      <c r="AL17" s="7">
        <v>420</v>
      </c>
      <c r="AM17" s="7">
        <v>0</v>
      </c>
      <c r="AN17" s="7">
        <v>126</v>
      </c>
      <c r="AO17" s="7">
        <v>0</v>
      </c>
      <c r="AP17" s="7">
        <v>0</v>
      </c>
      <c r="AQ17" s="7">
        <v>0</v>
      </c>
      <c r="AR17" s="7">
        <v>512</v>
      </c>
      <c r="AS17" s="8">
        <v>46300</v>
      </c>
      <c r="AT17" s="8">
        <v>4900</v>
      </c>
      <c r="AU17" s="10">
        <v>584820</v>
      </c>
      <c r="AV17" s="15">
        <f t="shared" si="0"/>
        <v>584694</v>
      </c>
      <c r="AW17" s="16">
        <f t="shared" si="1"/>
        <v>409285.8</v>
      </c>
    </row>
    <row r="18" spans="1:49" ht="19.2" x14ac:dyDescent="0.4">
      <c r="A18" s="5" t="s">
        <v>220</v>
      </c>
      <c r="B18" s="5" t="s">
        <v>41</v>
      </c>
      <c r="C18" s="5">
        <v>364724</v>
      </c>
      <c r="D18" s="6"/>
      <c r="E18" s="5" t="s">
        <v>16</v>
      </c>
      <c r="F18" s="5" t="s">
        <v>42</v>
      </c>
      <c r="G18" s="5" t="s">
        <v>13</v>
      </c>
      <c r="H18" s="7" t="s">
        <v>8</v>
      </c>
      <c r="I18" s="7" t="s">
        <v>43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117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8">
        <v>3541</v>
      </c>
      <c r="AF18" s="8">
        <v>348000</v>
      </c>
      <c r="AG18" s="8">
        <v>6100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169</v>
      </c>
      <c r="AS18" s="8">
        <v>16000</v>
      </c>
      <c r="AT18" s="7">
        <v>900</v>
      </c>
      <c r="AU18" s="10">
        <v>371000</v>
      </c>
      <c r="AV18" s="15">
        <f t="shared" si="0"/>
        <v>371000</v>
      </c>
      <c r="AW18" s="16">
        <f t="shared" si="1"/>
        <v>259699.99999999997</v>
      </c>
    </row>
    <row r="19" spans="1:49" ht="19.2" x14ac:dyDescent="0.4">
      <c r="A19" s="5" t="s">
        <v>220</v>
      </c>
      <c r="B19" s="5" t="s">
        <v>23</v>
      </c>
      <c r="C19" s="5">
        <v>370935</v>
      </c>
      <c r="D19" s="6"/>
      <c r="E19" s="5" t="s">
        <v>16</v>
      </c>
      <c r="F19" s="5" t="s">
        <v>17</v>
      </c>
      <c r="G19" s="5" t="s">
        <v>13</v>
      </c>
      <c r="H19" s="7" t="s">
        <v>8</v>
      </c>
      <c r="I19" s="7" t="s">
        <v>24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85</v>
      </c>
      <c r="AF19" s="8">
        <v>218800</v>
      </c>
      <c r="AG19" s="8">
        <v>48400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12</v>
      </c>
      <c r="AS19" s="8">
        <v>36400</v>
      </c>
      <c r="AT19" s="7">
        <v>400</v>
      </c>
      <c r="AU19" s="10">
        <v>304000</v>
      </c>
      <c r="AV19" s="15">
        <f t="shared" si="0"/>
        <v>304000</v>
      </c>
      <c r="AW19" s="16">
        <f t="shared" si="1"/>
        <v>212800</v>
      </c>
    </row>
    <row r="20" spans="1:49" ht="19.2" x14ac:dyDescent="0.4">
      <c r="A20" s="5" t="s">
        <v>220</v>
      </c>
      <c r="B20" s="5" t="s">
        <v>240</v>
      </c>
      <c r="C20" s="5">
        <v>459997</v>
      </c>
      <c r="D20" s="6"/>
      <c r="E20" s="5" t="s">
        <v>16</v>
      </c>
      <c r="F20" s="5" t="s">
        <v>241</v>
      </c>
      <c r="G20" s="5" t="s">
        <v>13</v>
      </c>
      <c r="H20" s="7" t="s">
        <v>8</v>
      </c>
      <c r="I20" s="7" t="s">
        <v>224</v>
      </c>
      <c r="J20" s="7">
        <v>206</v>
      </c>
      <c r="K20" s="7">
        <v>0</v>
      </c>
      <c r="L20" s="8">
        <v>20600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7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8">
        <v>2252</v>
      </c>
      <c r="AF20" s="8">
        <v>186600</v>
      </c>
      <c r="AG20" s="8">
        <v>38600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363</v>
      </c>
      <c r="AS20" s="8">
        <v>35300</v>
      </c>
      <c r="AT20" s="8">
        <v>1000</v>
      </c>
      <c r="AU20" s="10">
        <v>282100</v>
      </c>
      <c r="AV20" s="15">
        <f t="shared" si="0"/>
        <v>282100</v>
      </c>
      <c r="AW20" s="16">
        <f t="shared" si="1"/>
        <v>197470</v>
      </c>
    </row>
    <row r="21" spans="1:49" ht="19.2" x14ac:dyDescent="0.4">
      <c r="A21" s="5" t="s">
        <v>220</v>
      </c>
      <c r="B21" s="5" t="s">
        <v>242</v>
      </c>
      <c r="C21" s="5">
        <v>359539</v>
      </c>
      <c r="D21" s="6"/>
      <c r="E21" s="5" t="s">
        <v>16</v>
      </c>
      <c r="F21" s="5" t="s">
        <v>243</v>
      </c>
      <c r="G21" s="5" t="s">
        <v>227</v>
      </c>
      <c r="H21" s="7" t="s">
        <v>11</v>
      </c>
      <c r="I21" s="7" t="s">
        <v>244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35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8">
        <v>2363</v>
      </c>
      <c r="AF21" s="8">
        <v>224800</v>
      </c>
      <c r="AG21" s="8">
        <v>11500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399</v>
      </c>
      <c r="AS21" s="8">
        <v>39700</v>
      </c>
      <c r="AT21" s="7">
        <v>200</v>
      </c>
      <c r="AU21" s="10">
        <v>276200</v>
      </c>
      <c r="AV21" s="15">
        <f t="shared" si="0"/>
        <v>276200</v>
      </c>
      <c r="AW21" s="16">
        <f t="shared" si="1"/>
        <v>193340</v>
      </c>
    </row>
    <row r="22" spans="1:49" ht="19.2" x14ac:dyDescent="0.4">
      <c r="A22" s="5" t="s">
        <v>220</v>
      </c>
      <c r="B22" s="5" t="s">
        <v>36</v>
      </c>
      <c r="C22" s="5">
        <v>387942</v>
      </c>
      <c r="D22" s="6"/>
      <c r="E22" s="5" t="s">
        <v>16</v>
      </c>
      <c r="F22" s="5" t="s">
        <v>37</v>
      </c>
      <c r="G22" s="5" t="s">
        <v>13</v>
      </c>
      <c r="H22" s="7" t="s">
        <v>8</v>
      </c>
      <c r="I22" s="7" t="s">
        <v>38</v>
      </c>
      <c r="J22" s="7">
        <v>0</v>
      </c>
      <c r="K22" s="7">
        <v>5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109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8">
        <v>2447</v>
      </c>
      <c r="AF22" s="8">
        <v>243400</v>
      </c>
      <c r="AG22" s="8">
        <v>1300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229</v>
      </c>
      <c r="AS22" s="8">
        <v>19100</v>
      </c>
      <c r="AT22" s="8">
        <v>3800</v>
      </c>
      <c r="AU22" s="10">
        <v>267600</v>
      </c>
      <c r="AV22" s="15">
        <f t="shared" si="0"/>
        <v>267600</v>
      </c>
      <c r="AW22" s="16">
        <f t="shared" si="1"/>
        <v>187320</v>
      </c>
    </row>
    <row r="23" spans="1:49" ht="19.2" x14ac:dyDescent="0.4">
      <c r="A23" s="5" t="s">
        <v>220</v>
      </c>
      <c r="B23" s="5" t="s">
        <v>207</v>
      </c>
      <c r="C23" s="5">
        <v>463946</v>
      </c>
      <c r="D23" s="6"/>
      <c r="E23" s="5" t="s">
        <v>16</v>
      </c>
      <c r="F23" s="5" t="s">
        <v>208</v>
      </c>
      <c r="G23" s="5" t="s">
        <v>13</v>
      </c>
      <c r="H23" s="7" t="s">
        <v>8</v>
      </c>
      <c r="I23" s="7" t="s">
        <v>209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54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8">
        <v>2175</v>
      </c>
      <c r="AF23" s="8">
        <v>188600</v>
      </c>
      <c r="AG23" s="8">
        <v>28900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483</v>
      </c>
      <c r="AS23" s="8">
        <v>47900</v>
      </c>
      <c r="AT23" s="7">
        <v>400</v>
      </c>
      <c r="AU23" s="10">
        <v>265800</v>
      </c>
      <c r="AV23" s="15">
        <f t="shared" si="0"/>
        <v>265800</v>
      </c>
      <c r="AW23" s="16">
        <f t="shared" si="1"/>
        <v>186060</v>
      </c>
    </row>
    <row r="24" spans="1:49" ht="28.8" x14ac:dyDescent="0.4">
      <c r="A24" s="5" t="s">
        <v>220</v>
      </c>
      <c r="B24" s="5" t="s">
        <v>136</v>
      </c>
      <c r="C24" s="5">
        <v>219203</v>
      </c>
      <c r="D24" s="6"/>
      <c r="E24" s="5" t="s">
        <v>16</v>
      </c>
      <c r="F24" s="5" t="s">
        <v>137</v>
      </c>
      <c r="G24" s="5" t="s">
        <v>13</v>
      </c>
      <c r="H24" s="7" t="s">
        <v>8</v>
      </c>
      <c r="I24" s="7" t="s">
        <v>138</v>
      </c>
      <c r="J24" s="7">
        <v>0</v>
      </c>
      <c r="K24" s="7">
        <v>15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8">
        <v>1397</v>
      </c>
      <c r="AC24" s="8">
        <v>116200</v>
      </c>
      <c r="AD24" s="8">
        <v>23500</v>
      </c>
      <c r="AE24" s="7">
        <v>274</v>
      </c>
      <c r="AF24" s="8">
        <v>59000</v>
      </c>
      <c r="AG24" s="8">
        <v>23000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156</v>
      </c>
      <c r="AP24" s="8">
        <v>15600</v>
      </c>
      <c r="AQ24" s="7">
        <v>0</v>
      </c>
      <c r="AR24" s="7">
        <v>24</v>
      </c>
      <c r="AS24" s="8">
        <v>6800</v>
      </c>
      <c r="AT24" s="7">
        <v>0</v>
      </c>
      <c r="AU24" s="10">
        <v>244100</v>
      </c>
      <c r="AV24" s="15">
        <f t="shared" si="0"/>
        <v>244100</v>
      </c>
      <c r="AW24" s="16">
        <f t="shared" si="1"/>
        <v>170870</v>
      </c>
    </row>
    <row r="25" spans="1:49" ht="19.2" x14ac:dyDescent="0.4">
      <c r="A25" s="5" t="s">
        <v>220</v>
      </c>
      <c r="B25" s="5" t="s">
        <v>29</v>
      </c>
      <c r="C25" s="5">
        <v>245889</v>
      </c>
      <c r="D25" s="6"/>
      <c r="E25" s="5" t="s">
        <v>16</v>
      </c>
      <c r="F25" s="5" t="s">
        <v>17</v>
      </c>
      <c r="G25" s="5" t="s">
        <v>13</v>
      </c>
      <c r="H25" s="7" t="s">
        <v>8</v>
      </c>
      <c r="I25" s="7" t="s">
        <v>30</v>
      </c>
      <c r="J25" s="7">
        <v>3</v>
      </c>
      <c r="K25" s="7">
        <v>0</v>
      </c>
      <c r="L25" s="7">
        <v>300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78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8">
        <v>2413</v>
      </c>
      <c r="AF25" s="8">
        <v>147800</v>
      </c>
      <c r="AG25" s="8">
        <v>93500</v>
      </c>
      <c r="AH25" s="7">
        <v>0</v>
      </c>
      <c r="AI25" s="7">
        <v>0</v>
      </c>
      <c r="AJ25" s="7">
        <v>0</v>
      </c>
      <c r="AK25" s="7">
        <v>1</v>
      </c>
      <c r="AL25" s="7">
        <v>0</v>
      </c>
      <c r="AM25" s="7">
        <v>100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10">
        <v>241700</v>
      </c>
      <c r="AV25" s="15">
        <f t="shared" si="0"/>
        <v>241700</v>
      </c>
      <c r="AW25" s="16">
        <f t="shared" si="1"/>
        <v>169190</v>
      </c>
    </row>
    <row r="26" spans="1:49" ht="19.2" x14ac:dyDescent="0.4">
      <c r="A26" s="5" t="s">
        <v>220</v>
      </c>
      <c r="B26" s="5" t="s">
        <v>203</v>
      </c>
      <c r="C26" s="5">
        <v>462353</v>
      </c>
      <c r="D26" s="6"/>
      <c r="E26" s="5" t="s">
        <v>16</v>
      </c>
      <c r="F26" s="5" t="s">
        <v>179</v>
      </c>
      <c r="G26" s="5" t="s">
        <v>13</v>
      </c>
      <c r="H26" s="7" t="s">
        <v>8</v>
      </c>
      <c r="I26" s="7" t="s">
        <v>204</v>
      </c>
      <c r="J26" s="7">
        <v>15</v>
      </c>
      <c r="K26" s="7">
        <v>0</v>
      </c>
      <c r="L26" s="8">
        <v>1500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40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8">
        <v>1104</v>
      </c>
      <c r="AF26" s="8">
        <v>82900</v>
      </c>
      <c r="AG26" s="8">
        <v>27500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890</v>
      </c>
      <c r="AS26" s="8">
        <v>86900</v>
      </c>
      <c r="AT26" s="8">
        <v>2100</v>
      </c>
      <c r="AU26" s="10">
        <v>200900</v>
      </c>
      <c r="AV26" s="15">
        <f t="shared" si="0"/>
        <v>200900</v>
      </c>
      <c r="AW26" s="16">
        <f t="shared" si="1"/>
        <v>140630</v>
      </c>
    </row>
    <row r="27" spans="1:49" ht="19.2" x14ac:dyDescent="0.4">
      <c r="A27" s="5" t="s">
        <v>220</v>
      </c>
      <c r="B27" s="5" t="s">
        <v>161</v>
      </c>
      <c r="C27" s="5">
        <v>211158</v>
      </c>
      <c r="D27" s="6"/>
      <c r="E27" s="5" t="s">
        <v>16</v>
      </c>
      <c r="F27" s="5" t="s">
        <v>17</v>
      </c>
      <c r="G27" s="5" t="s">
        <v>13</v>
      </c>
      <c r="H27" s="7" t="s">
        <v>8</v>
      </c>
      <c r="I27" s="7" t="s">
        <v>162</v>
      </c>
      <c r="J27" s="7">
        <v>3</v>
      </c>
      <c r="K27" s="7">
        <v>0</v>
      </c>
      <c r="L27" s="7">
        <v>300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30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8">
        <v>1778</v>
      </c>
      <c r="AF27" s="8">
        <v>150800</v>
      </c>
      <c r="AG27" s="8">
        <v>27000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10">
        <v>178100</v>
      </c>
      <c r="AV27" s="15">
        <f t="shared" si="0"/>
        <v>178100</v>
      </c>
      <c r="AW27" s="16">
        <f t="shared" si="1"/>
        <v>124669.99999999999</v>
      </c>
    </row>
    <row r="28" spans="1:49" ht="19.2" x14ac:dyDescent="0.4">
      <c r="A28" s="5" t="s">
        <v>220</v>
      </c>
      <c r="B28" s="5" t="s">
        <v>54</v>
      </c>
      <c r="C28" s="5">
        <v>422032</v>
      </c>
      <c r="D28" s="6"/>
      <c r="E28" s="5" t="s">
        <v>16</v>
      </c>
      <c r="F28" s="5" t="s">
        <v>55</v>
      </c>
      <c r="G28" s="5" t="s">
        <v>13</v>
      </c>
      <c r="H28" s="7" t="s">
        <v>12</v>
      </c>
      <c r="I28" s="7" t="s">
        <v>56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74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8">
        <v>1058</v>
      </c>
      <c r="AF28" s="8">
        <v>105400</v>
      </c>
      <c r="AG28" s="7">
        <v>400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625</v>
      </c>
      <c r="AS28" s="8">
        <v>61700</v>
      </c>
      <c r="AT28" s="7">
        <v>800</v>
      </c>
      <c r="AU28" s="10">
        <v>168300</v>
      </c>
      <c r="AV28" s="15">
        <f t="shared" si="0"/>
        <v>168300</v>
      </c>
      <c r="AW28" s="16">
        <f t="shared" si="1"/>
        <v>117809.99999999999</v>
      </c>
    </row>
    <row r="29" spans="1:49" ht="19.2" x14ac:dyDescent="0.4">
      <c r="A29" s="5" t="s">
        <v>220</v>
      </c>
      <c r="B29" s="5" t="s">
        <v>18</v>
      </c>
      <c r="C29" s="5">
        <v>387417</v>
      </c>
      <c r="D29" s="6"/>
      <c r="E29" s="5" t="s">
        <v>16</v>
      </c>
      <c r="F29" s="5" t="s">
        <v>19</v>
      </c>
      <c r="G29" s="5" t="s">
        <v>13</v>
      </c>
      <c r="H29" s="7" t="s">
        <v>8</v>
      </c>
      <c r="I29" s="7" t="s">
        <v>20</v>
      </c>
      <c r="J29" s="7">
        <v>0</v>
      </c>
      <c r="K29" s="7">
        <v>75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2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8">
        <v>1366</v>
      </c>
      <c r="AF29" s="8">
        <v>103100</v>
      </c>
      <c r="AG29" s="8">
        <v>33500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143</v>
      </c>
      <c r="AS29" s="8">
        <v>14300</v>
      </c>
      <c r="AT29" s="7">
        <v>0</v>
      </c>
      <c r="AU29" s="10">
        <v>150900</v>
      </c>
      <c r="AV29" s="15">
        <f t="shared" si="0"/>
        <v>150900</v>
      </c>
      <c r="AW29" s="16">
        <f t="shared" si="1"/>
        <v>105630</v>
      </c>
    </row>
    <row r="30" spans="1:49" ht="19.2" x14ac:dyDescent="0.4">
      <c r="A30" s="5" t="s">
        <v>220</v>
      </c>
      <c r="B30" s="5" t="s">
        <v>245</v>
      </c>
      <c r="C30" s="5">
        <v>394079</v>
      </c>
      <c r="D30" s="6"/>
      <c r="E30" s="5" t="s">
        <v>16</v>
      </c>
      <c r="F30" s="5" t="s">
        <v>231</v>
      </c>
      <c r="G30" s="5" t="s">
        <v>227</v>
      </c>
      <c r="H30" s="7" t="s">
        <v>11</v>
      </c>
      <c r="I30" s="7" t="s">
        <v>246</v>
      </c>
      <c r="J30" s="7">
        <v>0</v>
      </c>
      <c r="K30" s="7">
        <v>3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42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8">
        <v>1252</v>
      </c>
      <c r="AF30" s="8">
        <v>110200</v>
      </c>
      <c r="AG30" s="8">
        <v>15000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230</v>
      </c>
      <c r="AS30" s="8">
        <v>22100</v>
      </c>
      <c r="AT30" s="7">
        <v>900</v>
      </c>
      <c r="AU30" s="10">
        <v>148200</v>
      </c>
      <c r="AV30" s="15">
        <f t="shared" si="0"/>
        <v>148200</v>
      </c>
      <c r="AW30" s="16">
        <f t="shared" si="1"/>
        <v>103740</v>
      </c>
    </row>
    <row r="31" spans="1:49" ht="19.2" x14ac:dyDescent="0.4">
      <c r="A31" s="5" t="s">
        <v>220</v>
      </c>
      <c r="B31" s="5" t="s">
        <v>247</v>
      </c>
      <c r="C31" s="5">
        <v>395270</v>
      </c>
      <c r="D31" s="6"/>
      <c r="E31" s="5" t="s">
        <v>16</v>
      </c>
      <c r="F31" s="5" t="s">
        <v>248</v>
      </c>
      <c r="G31" s="5" t="s">
        <v>227</v>
      </c>
      <c r="H31" s="7" t="s">
        <v>11</v>
      </c>
      <c r="I31" s="7" t="s">
        <v>249</v>
      </c>
      <c r="J31" s="7">
        <v>3</v>
      </c>
      <c r="K31" s="7">
        <v>8</v>
      </c>
      <c r="L31" s="7">
        <v>300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48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8">
        <v>1312</v>
      </c>
      <c r="AF31" s="8">
        <v>122600</v>
      </c>
      <c r="AG31" s="8">
        <v>8600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116</v>
      </c>
      <c r="AS31" s="8">
        <v>11400</v>
      </c>
      <c r="AT31" s="7">
        <v>200</v>
      </c>
      <c r="AU31" s="10">
        <v>143100</v>
      </c>
      <c r="AV31" s="15">
        <f t="shared" si="0"/>
        <v>143100</v>
      </c>
      <c r="AW31" s="16">
        <f t="shared" si="1"/>
        <v>100170</v>
      </c>
    </row>
    <row r="32" spans="1:49" ht="19.2" x14ac:dyDescent="0.4">
      <c r="A32" s="5" t="s">
        <v>220</v>
      </c>
      <c r="B32" s="5" t="s">
        <v>31</v>
      </c>
      <c r="C32" s="5">
        <v>325640</v>
      </c>
      <c r="D32" s="6"/>
      <c r="E32" s="5" t="s">
        <v>16</v>
      </c>
      <c r="F32" s="5" t="s">
        <v>32</v>
      </c>
      <c r="G32" s="5" t="s">
        <v>13</v>
      </c>
      <c r="H32" s="7" t="s">
        <v>8</v>
      </c>
      <c r="I32" s="7" t="s">
        <v>33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7</v>
      </c>
      <c r="T32" s="7">
        <v>64</v>
      </c>
      <c r="U32" s="7">
        <v>0</v>
      </c>
      <c r="V32" s="7">
        <v>600</v>
      </c>
      <c r="W32" s="7">
        <v>100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990</v>
      </c>
      <c r="AF32" s="8">
        <v>94900</v>
      </c>
      <c r="AG32" s="8">
        <v>4100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405</v>
      </c>
      <c r="AS32" s="8">
        <v>40500</v>
      </c>
      <c r="AT32" s="7">
        <v>0</v>
      </c>
      <c r="AU32" s="10">
        <v>140200</v>
      </c>
      <c r="AV32" s="15">
        <f t="shared" si="0"/>
        <v>140200</v>
      </c>
      <c r="AW32" s="16">
        <f t="shared" si="1"/>
        <v>98140</v>
      </c>
    </row>
    <row r="33" spans="1:49" ht="19.2" x14ac:dyDescent="0.4">
      <c r="A33" s="5" t="s">
        <v>220</v>
      </c>
      <c r="B33" s="5" t="s">
        <v>250</v>
      </c>
      <c r="C33" s="5">
        <v>359912</v>
      </c>
      <c r="D33" s="6"/>
      <c r="E33" s="5" t="s">
        <v>16</v>
      </c>
      <c r="F33" s="5" t="s">
        <v>251</v>
      </c>
      <c r="G33" s="5" t="s">
        <v>227</v>
      </c>
      <c r="H33" s="7" t="s">
        <v>11</v>
      </c>
      <c r="I33" s="7" t="s">
        <v>252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1</v>
      </c>
      <c r="T33" s="7">
        <v>13</v>
      </c>
      <c r="U33" s="7">
        <v>100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8">
        <v>1069</v>
      </c>
      <c r="AF33" s="8">
        <v>104400</v>
      </c>
      <c r="AG33" s="8">
        <v>2500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117</v>
      </c>
      <c r="AS33" s="8">
        <v>11500</v>
      </c>
      <c r="AT33" s="7">
        <v>200</v>
      </c>
      <c r="AU33" s="10">
        <v>118700</v>
      </c>
      <c r="AV33" s="15">
        <f t="shared" si="0"/>
        <v>118700</v>
      </c>
      <c r="AW33" s="16">
        <f t="shared" si="1"/>
        <v>83090</v>
      </c>
    </row>
    <row r="34" spans="1:49" ht="19.2" x14ac:dyDescent="0.4">
      <c r="A34" s="5" t="s">
        <v>220</v>
      </c>
      <c r="B34" s="5" t="s">
        <v>82</v>
      </c>
      <c r="C34" s="5">
        <v>425289</v>
      </c>
      <c r="D34" s="6"/>
      <c r="E34" s="5" t="s">
        <v>16</v>
      </c>
      <c r="F34" s="5" t="s">
        <v>80</v>
      </c>
      <c r="G34" s="5" t="s">
        <v>13</v>
      </c>
      <c r="H34" s="7" t="s">
        <v>8</v>
      </c>
      <c r="I34" s="7" t="s">
        <v>83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22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8">
        <v>1064</v>
      </c>
      <c r="AF34" s="8">
        <v>81000</v>
      </c>
      <c r="AG34" s="8">
        <v>25400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2</v>
      </c>
      <c r="AS34" s="7">
        <v>200</v>
      </c>
      <c r="AT34" s="7">
        <v>0</v>
      </c>
      <c r="AU34" s="10">
        <v>106600</v>
      </c>
      <c r="AV34" s="15">
        <f t="shared" si="0"/>
        <v>106600</v>
      </c>
      <c r="AW34" s="16">
        <f t="shared" si="1"/>
        <v>74620</v>
      </c>
    </row>
    <row r="35" spans="1:49" ht="19.2" x14ac:dyDescent="0.4">
      <c r="A35" s="5" t="s">
        <v>220</v>
      </c>
      <c r="B35" s="5" t="s">
        <v>163</v>
      </c>
      <c r="C35" s="5">
        <v>287641</v>
      </c>
      <c r="D35" s="6"/>
      <c r="E35" s="5" t="s">
        <v>16</v>
      </c>
      <c r="F35" s="5" t="s">
        <v>17</v>
      </c>
      <c r="G35" s="5" t="s">
        <v>13</v>
      </c>
      <c r="H35" s="7" t="s">
        <v>8</v>
      </c>
      <c r="I35" s="7" t="s">
        <v>164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33</v>
      </c>
      <c r="AF35" s="8">
        <v>105600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10">
        <v>105600</v>
      </c>
      <c r="AV35" s="15">
        <f t="shared" si="0"/>
        <v>105600</v>
      </c>
      <c r="AW35" s="16">
        <f t="shared" si="1"/>
        <v>73920</v>
      </c>
    </row>
    <row r="36" spans="1:49" ht="19.2" x14ac:dyDescent="0.4">
      <c r="A36" s="5" t="s">
        <v>220</v>
      </c>
      <c r="B36" s="5" t="s">
        <v>39</v>
      </c>
      <c r="C36" s="5">
        <v>388999</v>
      </c>
      <c r="D36" s="6"/>
      <c r="E36" s="5" t="s">
        <v>16</v>
      </c>
      <c r="F36" s="5" t="s">
        <v>19</v>
      </c>
      <c r="G36" s="5" t="s">
        <v>13</v>
      </c>
      <c r="H36" s="7" t="s">
        <v>8</v>
      </c>
      <c r="I36" s="7" t="s">
        <v>40</v>
      </c>
      <c r="J36" s="7">
        <v>0</v>
      </c>
      <c r="K36" s="7">
        <v>40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18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960</v>
      </c>
      <c r="AF36" s="8">
        <v>85100</v>
      </c>
      <c r="AG36" s="8">
        <v>10900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43</v>
      </c>
      <c r="AS36" s="8">
        <v>4300</v>
      </c>
      <c r="AT36" s="7">
        <v>0</v>
      </c>
      <c r="AU36" s="10">
        <v>100300</v>
      </c>
      <c r="AV36" s="15">
        <f t="shared" si="0"/>
        <v>100300</v>
      </c>
      <c r="AW36" s="16">
        <f t="shared" si="1"/>
        <v>70210</v>
      </c>
    </row>
    <row r="37" spans="1:49" ht="19.2" x14ac:dyDescent="0.4">
      <c r="A37" s="5" t="s">
        <v>220</v>
      </c>
      <c r="B37" s="5" t="s">
        <v>26</v>
      </c>
      <c r="C37" s="5">
        <v>371774</v>
      </c>
      <c r="D37" s="6"/>
      <c r="E37" s="5" t="s">
        <v>16</v>
      </c>
      <c r="F37" s="5" t="s">
        <v>27</v>
      </c>
      <c r="G37" s="5" t="s">
        <v>13</v>
      </c>
      <c r="H37" s="7" t="s">
        <v>8</v>
      </c>
      <c r="I37" s="7" t="s">
        <v>28</v>
      </c>
      <c r="J37" s="7">
        <v>0</v>
      </c>
      <c r="K37" s="7">
        <v>13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33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639</v>
      </c>
      <c r="AF37" s="8">
        <v>52700</v>
      </c>
      <c r="AG37" s="8">
        <v>11200</v>
      </c>
      <c r="AH37" s="7">
        <v>0</v>
      </c>
      <c r="AI37" s="7">
        <v>0</v>
      </c>
      <c r="AJ37" s="7">
        <v>0</v>
      </c>
      <c r="AK37" s="7">
        <v>1</v>
      </c>
      <c r="AL37" s="7">
        <v>120</v>
      </c>
      <c r="AM37" s="7">
        <v>0</v>
      </c>
      <c r="AN37" s="7">
        <v>36</v>
      </c>
      <c r="AO37" s="7">
        <v>0</v>
      </c>
      <c r="AP37" s="7">
        <v>0</v>
      </c>
      <c r="AQ37" s="7">
        <v>0</v>
      </c>
      <c r="AR37" s="7">
        <v>351</v>
      </c>
      <c r="AS37" s="8">
        <v>33600</v>
      </c>
      <c r="AT37" s="8">
        <v>1500</v>
      </c>
      <c r="AU37" s="10">
        <v>99120</v>
      </c>
      <c r="AV37" s="15">
        <f t="shared" si="0"/>
        <v>99084</v>
      </c>
      <c r="AW37" s="16">
        <f t="shared" si="1"/>
        <v>69358.799999999988</v>
      </c>
    </row>
    <row r="38" spans="1:49" ht="19.2" x14ac:dyDescent="0.4">
      <c r="A38" s="5" t="s">
        <v>220</v>
      </c>
      <c r="B38" s="5" t="s">
        <v>126</v>
      </c>
      <c r="C38" s="5">
        <v>433508</v>
      </c>
      <c r="D38" s="6"/>
      <c r="E38" s="5" t="s">
        <v>16</v>
      </c>
      <c r="F38" s="5" t="s">
        <v>120</v>
      </c>
      <c r="G38" s="5" t="s">
        <v>13</v>
      </c>
      <c r="H38" s="7" t="s">
        <v>8</v>
      </c>
      <c r="I38" s="7" t="s">
        <v>150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41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875</v>
      </c>
      <c r="AF38" s="8">
        <v>87100</v>
      </c>
      <c r="AG38" s="7">
        <v>400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107</v>
      </c>
      <c r="AS38" s="8">
        <v>10200</v>
      </c>
      <c r="AT38" s="7">
        <v>500</v>
      </c>
      <c r="AU38" s="10">
        <v>98200</v>
      </c>
      <c r="AV38" s="15">
        <f t="shared" si="0"/>
        <v>98200</v>
      </c>
      <c r="AW38" s="16">
        <f t="shared" si="1"/>
        <v>68740</v>
      </c>
    </row>
    <row r="39" spans="1:49" ht="28.8" x14ac:dyDescent="0.4">
      <c r="A39" s="5" t="s">
        <v>220</v>
      </c>
      <c r="B39" s="5" t="s">
        <v>253</v>
      </c>
      <c r="C39" s="5">
        <v>393598</v>
      </c>
      <c r="D39" s="6"/>
      <c r="E39" s="5" t="s">
        <v>16</v>
      </c>
      <c r="F39" s="5" t="s">
        <v>254</v>
      </c>
      <c r="G39" s="5" t="s">
        <v>227</v>
      </c>
      <c r="H39" s="7" t="s">
        <v>11</v>
      </c>
      <c r="I39" s="7" t="s">
        <v>255</v>
      </c>
      <c r="J39" s="7">
        <v>0</v>
      </c>
      <c r="K39" s="7">
        <v>133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1</v>
      </c>
      <c r="T39" s="7">
        <v>54</v>
      </c>
      <c r="U39" s="7">
        <v>0</v>
      </c>
      <c r="V39" s="7">
        <v>0</v>
      </c>
      <c r="W39" s="7">
        <v>0</v>
      </c>
      <c r="X39" s="7">
        <v>0</v>
      </c>
      <c r="Y39" s="7">
        <v>100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544</v>
      </c>
      <c r="AF39" s="8">
        <v>42900</v>
      </c>
      <c r="AG39" s="8">
        <v>11500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383</v>
      </c>
      <c r="AS39" s="8">
        <v>37600</v>
      </c>
      <c r="AT39" s="7">
        <v>700</v>
      </c>
      <c r="AU39" s="10">
        <v>92800</v>
      </c>
      <c r="AV39" s="15">
        <f t="shared" si="0"/>
        <v>92800</v>
      </c>
      <c r="AW39" s="16">
        <f t="shared" si="1"/>
        <v>64959.999999999993</v>
      </c>
    </row>
    <row r="40" spans="1:49" ht="19.2" x14ac:dyDescent="0.4">
      <c r="A40" s="5" t="s">
        <v>220</v>
      </c>
      <c r="B40" s="5" t="s">
        <v>197</v>
      </c>
      <c r="C40" s="5">
        <v>458566</v>
      </c>
      <c r="D40" s="6"/>
      <c r="E40" s="5" t="s">
        <v>16</v>
      </c>
      <c r="F40" s="5" t="s">
        <v>17</v>
      </c>
      <c r="G40" s="5" t="s">
        <v>13</v>
      </c>
      <c r="H40" s="7" t="s">
        <v>8</v>
      </c>
      <c r="I40" s="7" t="s">
        <v>190</v>
      </c>
      <c r="J40" s="7">
        <v>5</v>
      </c>
      <c r="K40" s="7">
        <v>0</v>
      </c>
      <c r="L40" s="8">
        <v>16000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24</v>
      </c>
      <c r="AF40" s="8">
        <v>76800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10">
        <v>92800</v>
      </c>
      <c r="AV40" s="15">
        <f t="shared" si="0"/>
        <v>92800</v>
      </c>
      <c r="AW40" s="16">
        <f t="shared" si="1"/>
        <v>64959.999999999993</v>
      </c>
    </row>
    <row r="41" spans="1:49" ht="19.2" x14ac:dyDescent="0.4">
      <c r="A41" s="5" t="s">
        <v>220</v>
      </c>
      <c r="B41" s="5" t="s">
        <v>180</v>
      </c>
      <c r="C41" s="5">
        <v>428379</v>
      </c>
      <c r="D41" s="6"/>
      <c r="E41" s="5" t="s">
        <v>16</v>
      </c>
      <c r="F41" s="5" t="s">
        <v>71</v>
      </c>
      <c r="G41" s="5" t="s">
        <v>13</v>
      </c>
      <c r="H41" s="7" t="s">
        <v>11</v>
      </c>
      <c r="I41" s="7" t="s">
        <v>103</v>
      </c>
      <c r="J41" s="7">
        <v>0</v>
      </c>
      <c r="K41" s="7">
        <v>89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3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726</v>
      </c>
      <c r="AF41" s="8">
        <v>63700</v>
      </c>
      <c r="AG41" s="8">
        <v>8900</v>
      </c>
      <c r="AH41" s="7">
        <v>0</v>
      </c>
      <c r="AI41" s="7">
        <v>0</v>
      </c>
      <c r="AJ41" s="7">
        <v>0</v>
      </c>
      <c r="AK41" s="7">
        <v>1</v>
      </c>
      <c r="AL41" s="7">
        <v>0</v>
      </c>
      <c r="AM41" s="7">
        <v>100</v>
      </c>
      <c r="AN41" s="7">
        <v>0</v>
      </c>
      <c r="AO41" s="7">
        <v>0</v>
      </c>
      <c r="AP41" s="7">
        <v>0</v>
      </c>
      <c r="AQ41" s="7">
        <v>0</v>
      </c>
      <c r="AR41" s="7">
        <v>158</v>
      </c>
      <c r="AS41" s="8">
        <v>15800</v>
      </c>
      <c r="AT41" s="7">
        <v>0</v>
      </c>
      <c r="AU41" s="10">
        <v>88500</v>
      </c>
      <c r="AV41" s="15">
        <f t="shared" si="0"/>
        <v>88500</v>
      </c>
      <c r="AW41" s="16">
        <f t="shared" si="1"/>
        <v>61949.999999999993</v>
      </c>
    </row>
    <row r="42" spans="1:49" ht="19.2" x14ac:dyDescent="0.4">
      <c r="A42" s="5" t="s">
        <v>220</v>
      </c>
      <c r="B42" s="5" t="s">
        <v>256</v>
      </c>
      <c r="C42" s="5">
        <v>350894</v>
      </c>
      <c r="D42" s="6"/>
      <c r="E42" s="5" t="s">
        <v>16</v>
      </c>
      <c r="F42" s="5" t="s">
        <v>257</v>
      </c>
      <c r="G42" s="5" t="s">
        <v>227</v>
      </c>
      <c r="H42" s="7" t="s">
        <v>11</v>
      </c>
      <c r="I42" s="7" t="s">
        <v>258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46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811</v>
      </c>
      <c r="AF42" s="8">
        <v>63000</v>
      </c>
      <c r="AG42" s="8">
        <v>18100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2</v>
      </c>
      <c r="AS42" s="7">
        <v>200</v>
      </c>
      <c r="AT42" s="7">
        <v>0</v>
      </c>
      <c r="AU42" s="10">
        <v>81300</v>
      </c>
      <c r="AV42" s="15">
        <f t="shared" si="0"/>
        <v>81300</v>
      </c>
      <c r="AW42" s="16">
        <f t="shared" si="1"/>
        <v>56910</v>
      </c>
    </row>
    <row r="43" spans="1:49" ht="19.2" x14ac:dyDescent="0.4">
      <c r="A43" s="5" t="s">
        <v>220</v>
      </c>
      <c r="B43" s="5" t="s">
        <v>259</v>
      </c>
      <c r="C43" s="5">
        <v>394830</v>
      </c>
      <c r="D43" s="6"/>
      <c r="E43" s="5" t="s">
        <v>16</v>
      </c>
      <c r="F43" s="5" t="s">
        <v>238</v>
      </c>
      <c r="G43" s="5" t="s">
        <v>227</v>
      </c>
      <c r="H43" s="7" t="s">
        <v>11</v>
      </c>
      <c r="I43" s="7" t="s">
        <v>260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39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624</v>
      </c>
      <c r="AF43" s="8">
        <v>62400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150</v>
      </c>
      <c r="AS43" s="8">
        <v>14800</v>
      </c>
      <c r="AT43" s="7">
        <v>200</v>
      </c>
      <c r="AU43" s="10">
        <v>77400</v>
      </c>
      <c r="AV43" s="15">
        <f t="shared" si="0"/>
        <v>77400</v>
      </c>
      <c r="AW43" s="16">
        <f t="shared" si="1"/>
        <v>54180</v>
      </c>
    </row>
    <row r="44" spans="1:49" ht="19.2" x14ac:dyDescent="0.4">
      <c r="A44" s="5" t="s">
        <v>220</v>
      </c>
      <c r="B44" s="5" t="s">
        <v>57</v>
      </c>
      <c r="C44" s="5">
        <v>316658</v>
      </c>
      <c r="D44" s="6"/>
      <c r="E44" s="5" t="s">
        <v>16</v>
      </c>
      <c r="F44" s="5" t="s">
        <v>19</v>
      </c>
      <c r="G44" s="5" t="s">
        <v>13</v>
      </c>
      <c r="H44" s="7" t="s">
        <v>8</v>
      </c>
      <c r="I44" s="7" t="s">
        <v>58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39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750</v>
      </c>
      <c r="AF44" s="8">
        <v>68900</v>
      </c>
      <c r="AG44" s="8">
        <v>6100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21</v>
      </c>
      <c r="AS44" s="8">
        <v>2100</v>
      </c>
      <c r="AT44" s="7">
        <v>0</v>
      </c>
      <c r="AU44" s="10">
        <v>77100</v>
      </c>
      <c r="AV44" s="15">
        <f t="shared" si="0"/>
        <v>77100</v>
      </c>
      <c r="AW44" s="16">
        <f t="shared" si="1"/>
        <v>53970</v>
      </c>
    </row>
    <row r="45" spans="1:49" ht="19.2" x14ac:dyDescent="0.4">
      <c r="A45" s="5" t="s">
        <v>220</v>
      </c>
      <c r="B45" s="5" t="s">
        <v>79</v>
      </c>
      <c r="C45" s="5">
        <v>395179</v>
      </c>
      <c r="D45" s="6"/>
      <c r="E45" s="5" t="s">
        <v>16</v>
      </c>
      <c r="F45" s="5" t="s">
        <v>80</v>
      </c>
      <c r="G45" s="5" t="s">
        <v>13</v>
      </c>
      <c r="H45" s="7" t="s">
        <v>8</v>
      </c>
      <c r="I45" s="7" t="s">
        <v>81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21</v>
      </c>
      <c r="AF45" s="8">
        <v>49600</v>
      </c>
      <c r="AG45" s="8">
        <v>13400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5</v>
      </c>
      <c r="AS45" s="8">
        <v>10000</v>
      </c>
      <c r="AT45" s="7">
        <v>600</v>
      </c>
      <c r="AU45" s="10">
        <v>73600</v>
      </c>
      <c r="AV45" s="15">
        <f t="shared" si="0"/>
        <v>73600</v>
      </c>
      <c r="AW45" s="16">
        <f t="shared" si="1"/>
        <v>51520</v>
      </c>
    </row>
    <row r="46" spans="1:49" ht="28.8" x14ac:dyDescent="0.4">
      <c r="A46" s="5" t="s">
        <v>220</v>
      </c>
      <c r="B46" s="5" t="s">
        <v>261</v>
      </c>
      <c r="C46" s="5">
        <v>386704</v>
      </c>
      <c r="D46" s="6"/>
      <c r="E46" s="5" t="s">
        <v>16</v>
      </c>
      <c r="F46" s="5" t="s">
        <v>262</v>
      </c>
      <c r="G46" s="5" t="s">
        <v>227</v>
      </c>
      <c r="H46" s="7" t="s">
        <v>11</v>
      </c>
      <c r="I46" s="7" t="s">
        <v>263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12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633</v>
      </c>
      <c r="AF46" s="8">
        <v>60600</v>
      </c>
      <c r="AG46" s="8">
        <v>2700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90</v>
      </c>
      <c r="AS46" s="8">
        <v>8800</v>
      </c>
      <c r="AT46" s="7">
        <v>200</v>
      </c>
      <c r="AU46" s="10">
        <v>72300</v>
      </c>
      <c r="AV46" s="15">
        <f t="shared" si="0"/>
        <v>72300</v>
      </c>
      <c r="AW46" s="16">
        <f t="shared" si="1"/>
        <v>50610</v>
      </c>
    </row>
    <row r="47" spans="1:49" ht="19.2" x14ac:dyDescent="0.4">
      <c r="A47" s="5" t="s">
        <v>220</v>
      </c>
      <c r="B47" s="5" t="s">
        <v>264</v>
      </c>
      <c r="C47" s="5">
        <v>415710</v>
      </c>
      <c r="D47" s="6"/>
      <c r="E47" s="5" t="s">
        <v>16</v>
      </c>
      <c r="F47" s="5" t="s">
        <v>231</v>
      </c>
      <c r="G47" s="5" t="s">
        <v>227</v>
      </c>
      <c r="H47" s="7" t="s">
        <v>11</v>
      </c>
      <c r="I47" s="7" t="s">
        <v>265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662</v>
      </c>
      <c r="AF47" s="8">
        <v>62400</v>
      </c>
      <c r="AG47" s="8">
        <v>3800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57</v>
      </c>
      <c r="AS47" s="8">
        <v>5700</v>
      </c>
      <c r="AT47" s="7">
        <v>0</v>
      </c>
      <c r="AU47" s="10">
        <v>71900</v>
      </c>
      <c r="AV47" s="15">
        <f t="shared" si="0"/>
        <v>71900</v>
      </c>
      <c r="AW47" s="16">
        <f t="shared" si="1"/>
        <v>50330</v>
      </c>
    </row>
    <row r="48" spans="1:49" ht="19.2" x14ac:dyDescent="0.4">
      <c r="A48" s="5" t="s">
        <v>220</v>
      </c>
      <c r="B48" s="5" t="s">
        <v>266</v>
      </c>
      <c r="C48" s="5">
        <v>383229</v>
      </c>
      <c r="D48" s="6"/>
      <c r="E48" s="5" t="s">
        <v>16</v>
      </c>
      <c r="F48" s="5" t="s">
        <v>267</v>
      </c>
      <c r="G48" s="5" t="s">
        <v>227</v>
      </c>
      <c r="H48" s="7" t="s">
        <v>11</v>
      </c>
      <c r="I48" s="7" t="s">
        <v>268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20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695</v>
      </c>
      <c r="AF48" s="8">
        <v>56000</v>
      </c>
      <c r="AG48" s="8">
        <v>13500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10">
        <v>69500</v>
      </c>
      <c r="AV48" s="15">
        <f t="shared" si="0"/>
        <v>69500</v>
      </c>
      <c r="AW48" s="16">
        <f t="shared" si="1"/>
        <v>48650</v>
      </c>
    </row>
    <row r="49" spans="1:49" ht="19.2" x14ac:dyDescent="0.4">
      <c r="A49" s="5" t="s">
        <v>220</v>
      </c>
      <c r="B49" s="5" t="s">
        <v>174</v>
      </c>
      <c r="C49" s="5">
        <v>392777</v>
      </c>
      <c r="D49" s="6"/>
      <c r="E49" s="5" t="s">
        <v>16</v>
      </c>
      <c r="F49" s="5" t="s">
        <v>42</v>
      </c>
      <c r="G49" s="5" t="s">
        <v>13</v>
      </c>
      <c r="H49" s="7" t="s">
        <v>8</v>
      </c>
      <c r="I49" s="7" t="s">
        <v>175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11</v>
      </c>
      <c r="AF49" s="8">
        <v>32700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11</v>
      </c>
      <c r="AS49" s="8">
        <v>34300</v>
      </c>
      <c r="AT49" s="7">
        <v>200</v>
      </c>
      <c r="AU49" s="10">
        <v>67200</v>
      </c>
      <c r="AV49" s="15">
        <f t="shared" si="0"/>
        <v>67200</v>
      </c>
      <c r="AW49" s="16">
        <f t="shared" si="1"/>
        <v>47040</v>
      </c>
    </row>
    <row r="50" spans="1:49" ht="19.2" x14ac:dyDescent="0.4">
      <c r="A50" s="5" t="s">
        <v>220</v>
      </c>
      <c r="B50" s="5" t="s">
        <v>269</v>
      </c>
      <c r="C50" s="5">
        <v>328404</v>
      </c>
      <c r="D50" s="6"/>
      <c r="E50" s="5" t="s">
        <v>16</v>
      </c>
      <c r="F50" s="5" t="s">
        <v>248</v>
      </c>
      <c r="G50" s="5" t="s">
        <v>227</v>
      </c>
      <c r="H50" s="7" t="s">
        <v>11</v>
      </c>
      <c r="I50" s="7" t="s">
        <v>270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10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640</v>
      </c>
      <c r="AF50" s="8">
        <v>58100</v>
      </c>
      <c r="AG50" s="8">
        <v>5900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10">
        <v>64000</v>
      </c>
      <c r="AV50" s="15">
        <f t="shared" si="0"/>
        <v>64000</v>
      </c>
      <c r="AW50" s="16">
        <f t="shared" si="1"/>
        <v>44800</v>
      </c>
    </row>
    <row r="51" spans="1:49" ht="19.2" x14ac:dyDescent="0.4">
      <c r="A51" s="5" t="s">
        <v>220</v>
      </c>
      <c r="B51" s="5" t="s">
        <v>271</v>
      </c>
      <c r="C51" s="5">
        <v>367994</v>
      </c>
      <c r="D51" s="6"/>
      <c r="E51" s="5" t="s">
        <v>16</v>
      </c>
      <c r="F51" s="5" t="s">
        <v>248</v>
      </c>
      <c r="G51" s="5" t="s">
        <v>227</v>
      </c>
      <c r="H51" s="7" t="s">
        <v>11</v>
      </c>
      <c r="I51" s="7" t="s">
        <v>272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18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568</v>
      </c>
      <c r="AF51" s="8">
        <v>53700</v>
      </c>
      <c r="AG51" s="8">
        <v>3100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64</v>
      </c>
      <c r="AS51" s="8">
        <v>6200</v>
      </c>
      <c r="AT51" s="7">
        <v>200</v>
      </c>
      <c r="AU51" s="10">
        <v>63200</v>
      </c>
      <c r="AV51" s="15">
        <f t="shared" si="0"/>
        <v>63200</v>
      </c>
      <c r="AW51" s="16">
        <f t="shared" si="1"/>
        <v>44240</v>
      </c>
    </row>
    <row r="52" spans="1:49" ht="19.2" x14ac:dyDescent="0.4">
      <c r="A52" s="5" t="s">
        <v>220</v>
      </c>
      <c r="B52" s="5" t="s">
        <v>273</v>
      </c>
      <c r="C52" s="5">
        <v>463951</v>
      </c>
      <c r="D52" s="6"/>
      <c r="E52" s="5" t="s">
        <v>16</v>
      </c>
      <c r="F52" s="5" t="s">
        <v>109</v>
      </c>
      <c r="G52" s="5" t="s">
        <v>13</v>
      </c>
      <c r="H52" s="7" t="s">
        <v>8</v>
      </c>
      <c r="I52" s="7" t="s">
        <v>274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11</v>
      </c>
      <c r="AF52" s="8">
        <v>35200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8</v>
      </c>
      <c r="AS52" s="8">
        <v>24700</v>
      </c>
      <c r="AT52" s="7">
        <v>900</v>
      </c>
      <c r="AU52" s="10">
        <v>60800</v>
      </c>
      <c r="AV52" s="15">
        <f t="shared" si="0"/>
        <v>60800</v>
      </c>
      <c r="AW52" s="16">
        <f t="shared" si="1"/>
        <v>42560</v>
      </c>
    </row>
    <row r="53" spans="1:49" ht="19.2" x14ac:dyDescent="0.4">
      <c r="A53" s="5" t="s">
        <v>220</v>
      </c>
      <c r="B53" s="5" t="s">
        <v>34</v>
      </c>
      <c r="C53" s="5">
        <v>408579</v>
      </c>
      <c r="D53" s="6"/>
      <c r="E53" s="5" t="s">
        <v>16</v>
      </c>
      <c r="F53" s="5" t="s">
        <v>17</v>
      </c>
      <c r="G53" s="5" t="s">
        <v>13</v>
      </c>
      <c r="H53" s="7" t="s">
        <v>8</v>
      </c>
      <c r="I53" s="7" t="s">
        <v>35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19</v>
      </c>
      <c r="AF53" s="8">
        <v>57600</v>
      </c>
      <c r="AG53" s="8">
        <v>3200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10">
        <v>60800</v>
      </c>
      <c r="AV53" s="15">
        <f t="shared" si="0"/>
        <v>60800</v>
      </c>
      <c r="AW53" s="16">
        <f t="shared" si="1"/>
        <v>42560</v>
      </c>
    </row>
    <row r="54" spans="1:49" ht="19.2" x14ac:dyDescent="0.4">
      <c r="A54" s="5" t="s">
        <v>220</v>
      </c>
      <c r="B54" s="5" t="s">
        <v>275</v>
      </c>
      <c r="C54" s="5">
        <v>337887</v>
      </c>
      <c r="D54" s="6"/>
      <c r="E54" s="5" t="s">
        <v>16</v>
      </c>
      <c r="F54" s="5" t="s">
        <v>251</v>
      </c>
      <c r="G54" s="5" t="s">
        <v>227</v>
      </c>
      <c r="H54" s="7" t="s">
        <v>11</v>
      </c>
      <c r="I54" s="7" t="s">
        <v>276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16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584</v>
      </c>
      <c r="AF54" s="8">
        <v>55100</v>
      </c>
      <c r="AG54" s="8">
        <v>3300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16</v>
      </c>
      <c r="AS54" s="8">
        <v>1600</v>
      </c>
      <c r="AT54" s="7">
        <v>0</v>
      </c>
      <c r="AU54" s="10">
        <v>60000</v>
      </c>
      <c r="AV54" s="15">
        <f t="shared" si="0"/>
        <v>60000</v>
      </c>
      <c r="AW54" s="16">
        <f t="shared" si="1"/>
        <v>42000</v>
      </c>
    </row>
    <row r="55" spans="1:49" ht="19.2" x14ac:dyDescent="0.4">
      <c r="A55" s="5" t="s">
        <v>220</v>
      </c>
      <c r="B55" s="5" t="s">
        <v>44</v>
      </c>
      <c r="C55" s="5">
        <v>290890</v>
      </c>
      <c r="D55" s="6"/>
      <c r="E55" s="5" t="s">
        <v>16</v>
      </c>
      <c r="F55" s="5" t="s">
        <v>17</v>
      </c>
      <c r="G55" s="5" t="s">
        <v>13</v>
      </c>
      <c r="H55" s="7" t="s">
        <v>8</v>
      </c>
      <c r="I55" s="7" t="s">
        <v>45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29</v>
      </c>
      <c r="AC55" s="8">
        <v>25200</v>
      </c>
      <c r="AD55" s="7">
        <v>900</v>
      </c>
      <c r="AE55" s="7">
        <v>6</v>
      </c>
      <c r="AF55" s="7">
        <v>0</v>
      </c>
      <c r="AG55" s="8">
        <v>19200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16</v>
      </c>
      <c r="AP55" s="8">
        <v>14200</v>
      </c>
      <c r="AQ55" s="7">
        <v>200</v>
      </c>
      <c r="AR55" s="7">
        <v>0</v>
      </c>
      <c r="AS55" s="7">
        <v>0</v>
      </c>
      <c r="AT55" s="7">
        <v>0</v>
      </c>
      <c r="AU55" s="10">
        <v>59700</v>
      </c>
      <c r="AV55" s="15">
        <f t="shared" si="0"/>
        <v>59700</v>
      </c>
      <c r="AW55" s="16">
        <f t="shared" si="1"/>
        <v>41790</v>
      </c>
    </row>
    <row r="56" spans="1:49" ht="19.2" x14ac:dyDescent="0.4">
      <c r="A56" s="5" t="s">
        <v>220</v>
      </c>
      <c r="B56" s="5" t="s">
        <v>73</v>
      </c>
      <c r="C56" s="5">
        <v>297776</v>
      </c>
      <c r="D56" s="6"/>
      <c r="E56" s="5" t="s">
        <v>16</v>
      </c>
      <c r="F56" s="5" t="s">
        <v>74</v>
      </c>
      <c r="G56" s="5" t="s">
        <v>13</v>
      </c>
      <c r="H56" s="7" t="s">
        <v>12</v>
      </c>
      <c r="I56" s="7" t="s">
        <v>75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8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475</v>
      </c>
      <c r="AF56" s="8">
        <v>38100</v>
      </c>
      <c r="AG56" s="8">
        <v>9400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31</v>
      </c>
      <c r="AS56" s="8">
        <v>3100</v>
      </c>
      <c r="AT56" s="7">
        <v>0</v>
      </c>
      <c r="AU56" s="10">
        <v>50600</v>
      </c>
      <c r="AV56" s="15">
        <f t="shared" si="0"/>
        <v>50600</v>
      </c>
      <c r="AW56" s="16">
        <f t="shared" si="1"/>
        <v>35420</v>
      </c>
    </row>
    <row r="57" spans="1:49" ht="19.2" x14ac:dyDescent="0.4">
      <c r="A57" s="5" t="s">
        <v>220</v>
      </c>
      <c r="B57" s="5" t="s">
        <v>49</v>
      </c>
      <c r="C57" s="5">
        <v>379813</v>
      </c>
      <c r="D57" s="6"/>
      <c r="E57" s="5" t="s">
        <v>16</v>
      </c>
      <c r="F57" s="5" t="s">
        <v>17</v>
      </c>
      <c r="G57" s="5" t="s">
        <v>13</v>
      </c>
      <c r="H57" s="7" t="s">
        <v>8</v>
      </c>
      <c r="I57" s="7" t="s">
        <v>50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18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500</v>
      </c>
      <c r="AF57" s="8">
        <v>40200</v>
      </c>
      <c r="AG57" s="8">
        <v>9800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10">
        <v>50000</v>
      </c>
      <c r="AV57" s="15">
        <f t="shared" si="0"/>
        <v>50000</v>
      </c>
      <c r="AW57" s="16">
        <f t="shared" si="1"/>
        <v>35000</v>
      </c>
    </row>
    <row r="58" spans="1:49" ht="19.2" x14ac:dyDescent="0.4">
      <c r="A58" s="5" t="s">
        <v>220</v>
      </c>
      <c r="B58" s="5" t="s">
        <v>277</v>
      </c>
      <c r="C58" s="5">
        <v>359006</v>
      </c>
      <c r="D58" s="6"/>
      <c r="E58" s="5" t="s">
        <v>16</v>
      </c>
      <c r="F58" s="5" t="s">
        <v>267</v>
      </c>
      <c r="G58" s="5" t="s">
        <v>227</v>
      </c>
      <c r="H58" s="7" t="s">
        <v>11</v>
      </c>
      <c r="I58" s="7" t="s">
        <v>278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17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491</v>
      </c>
      <c r="AF58" s="8">
        <v>46900</v>
      </c>
      <c r="AG58" s="8">
        <v>2200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1</v>
      </c>
      <c r="AS58" s="7">
        <v>100</v>
      </c>
      <c r="AT58" s="7">
        <v>0</v>
      </c>
      <c r="AU58" s="10">
        <v>49200</v>
      </c>
      <c r="AV58" s="15">
        <f t="shared" si="0"/>
        <v>49200</v>
      </c>
      <c r="AW58" s="16">
        <f t="shared" si="1"/>
        <v>34440</v>
      </c>
    </row>
    <row r="59" spans="1:49" ht="19.2" x14ac:dyDescent="0.4">
      <c r="A59" s="5" t="s">
        <v>220</v>
      </c>
      <c r="B59" s="5" t="s">
        <v>110</v>
      </c>
      <c r="C59" s="5">
        <v>429496</v>
      </c>
      <c r="D59" s="6"/>
      <c r="E59" s="5" t="s">
        <v>16</v>
      </c>
      <c r="F59" s="5" t="s">
        <v>111</v>
      </c>
      <c r="G59" s="5" t="s">
        <v>13</v>
      </c>
      <c r="H59" s="7" t="s">
        <v>8</v>
      </c>
      <c r="I59" s="7" t="s">
        <v>112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14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486</v>
      </c>
      <c r="AF59" s="8">
        <v>32200</v>
      </c>
      <c r="AG59" s="8">
        <v>16400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10">
        <v>48600</v>
      </c>
      <c r="AV59" s="15">
        <f t="shared" si="0"/>
        <v>48600</v>
      </c>
      <c r="AW59" s="16">
        <f t="shared" si="1"/>
        <v>34020</v>
      </c>
    </row>
    <row r="60" spans="1:49" ht="19.2" x14ac:dyDescent="0.4">
      <c r="A60" s="5" t="s">
        <v>220</v>
      </c>
      <c r="B60" s="5" t="s">
        <v>169</v>
      </c>
      <c r="C60" s="5">
        <v>423328</v>
      </c>
      <c r="D60" s="6"/>
      <c r="E60" s="5" t="s">
        <v>16</v>
      </c>
      <c r="F60" s="5" t="s">
        <v>17</v>
      </c>
      <c r="G60" s="5" t="s">
        <v>13</v>
      </c>
      <c r="H60" s="7" t="s">
        <v>8</v>
      </c>
      <c r="I60" s="7" t="s">
        <v>170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22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386</v>
      </c>
      <c r="AF60" s="8">
        <v>22800</v>
      </c>
      <c r="AG60" s="8">
        <v>15800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100</v>
      </c>
      <c r="AS60" s="8">
        <v>10000</v>
      </c>
      <c r="AT60" s="7">
        <v>0</v>
      </c>
      <c r="AU60" s="10">
        <v>48600</v>
      </c>
      <c r="AV60" s="15">
        <f t="shared" si="0"/>
        <v>48600</v>
      </c>
      <c r="AW60" s="16">
        <f t="shared" si="1"/>
        <v>34020</v>
      </c>
    </row>
    <row r="61" spans="1:49" ht="28.8" x14ac:dyDescent="0.4">
      <c r="A61" s="5" t="s">
        <v>220</v>
      </c>
      <c r="B61" s="5" t="s">
        <v>279</v>
      </c>
      <c r="C61" s="5">
        <v>454879</v>
      </c>
      <c r="D61" s="6"/>
      <c r="E61" s="5" t="s">
        <v>16</v>
      </c>
      <c r="F61" s="5" t="s">
        <v>254</v>
      </c>
      <c r="G61" s="5" t="s">
        <v>227</v>
      </c>
      <c r="H61" s="7" t="s">
        <v>122</v>
      </c>
      <c r="I61" s="7" t="s">
        <v>280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13</v>
      </c>
      <c r="AF61" s="8">
        <v>46800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10">
        <v>46800</v>
      </c>
      <c r="AV61" s="15">
        <f t="shared" si="0"/>
        <v>46800</v>
      </c>
      <c r="AW61" s="16">
        <f t="shared" si="1"/>
        <v>32759.999999999996</v>
      </c>
    </row>
    <row r="62" spans="1:49" ht="19.2" x14ac:dyDescent="0.4">
      <c r="A62" s="5" t="s">
        <v>220</v>
      </c>
      <c r="B62" s="5" t="s">
        <v>281</v>
      </c>
      <c r="C62" s="5">
        <v>417258</v>
      </c>
      <c r="D62" s="6"/>
      <c r="E62" s="5" t="s">
        <v>16</v>
      </c>
      <c r="F62" s="5" t="s">
        <v>282</v>
      </c>
      <c r="G62" s="5" t="s">
        <v>227</v>
      </c>
      <c r="H62" s="7" t="s">
        <v>11</v>
      </c>
      <c r="I62" s="7" t="s">
        <v>283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6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456</v>
      </c>
      <c r="AF62" s="8">
        <v>45300</v>
      </c>
      <c r="AG62" s="7">
        <v>300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10">
        <v>45600</v>
      </c>
      <c r="AV62" s="15">
        <f t="shared" si="0"/>
        <v>45600</v>
      </c>
      <c r="AW62" s="16">
        <f t="shared" si="1"/>
        <v>31919.999999999996</v>
      </c>
    </row>
    <row r="63" spans="1:49" ht="19.2" x14ac:dyDescent="0.4">
      <c r="A63" s="5" t="s">
        <v>220</v>
      </c>
      <c r="B63" s="5" t="s">
        <v>124</v>
      </c>
      <c r="C63" s="5">
        <v>434558</v>
      </c>
      <c r="D63" s="6"/>
      <c r="E63" s="5" t="s">
        <v>16</v>
      </c>
      <c r="F63" s="5" t="s">
        <v>125</v>
      </c>
      <c r="G63" s="5" t="s">
        <v>13</v>
      </c>
      <c r="H63" s="7" t="s">
        <v>8</v>
      </c>
      <c r="I63" s="7" t="s">
        <v>159</v>
      </c>
      <c r="J63" s="7">
        <v>3</v>
      </c>
      <c r="K63" s="7">
        <v>655</v>
      </c>
      <c r="L63" s="7">
        <v>300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6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253</v>
      </c>
      <c r="AF63" s="8">
        <v>22500</v>
      </c>
      <c r="AG63" s="8">
        <v>2800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195</v>
      </c>
      <c r="AS63" s="8">
        <v>19100</v>
      </c>
      <c r="AT63" s="7">
        <v>400</v>
      </c>
      <c r="AU63" s="10">
        <v>45100</v>
      </c>
      <c r="AV63" s="15">
        <f t="shared" si="0"/>
        <v>45100</v>
      </c>
      <c r="AW63" s="16">
        <f t="shared" si="1"/>
        <v>31569.999999999996</v>
      </c>
    </row>
    <row r="64" spans="1:49" ht="19.2" x14ac:dyDescent="0.4">
      <c r="A64" s="5" t="s">
        <v>220</v>
      </c>
      <c r="B64" s="5" t="s">
        <v>210</v>
      </c>
      <c r="C64" s="5">
        <v>463950</v>
      </c>
      <c r="D64" s="6"/>
      <c r="E64" s="5" t="s">
        <v>16</v>
      </c>
      <c r="F64" s="5" t="s">
        <v>211</v>
      </c>
      <c r="G64" s="5" t="s">
        <v>13</v>
      </c>
      <c r="H64" s="7" t="s">
        <v>8</v>
      </c>
      <c r="I64" s="7" t="s">
        <v>209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14</v>
      </c>
      <c r="AF64" s="8">
        <v>44800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10">
        <v>44800</v>
      </c>
      <c r="AV64" s="15">
        <f t="shared" si="0"/>
        <v>44800</v>
      </c>
      <c r="AW64" s="16">
        <f t="shared" si="1"/>
        <v>31359.999999999996</v>
      </c>
    </row>
    <row r="65" spans="1:49" ht="19.2" x14ac:dyDescent="0.4">
      <c r="A65" s="5" t="s">
        <v>220</v>
      </c>
      <c r="B65" s="5" t="s">
        <v>284</v>
      </c>
      <c r="C65" s="5">
        <v>402649</v>
      </c>
      <c r="D65" s="6"/>
      <c r="E65" s="5" t="s">
        <v>16</v>
      </c>
      <c r="F65" s="5" t="s">
        <v>238</v>
      </c>
      <c r="G65" s="5" t="s">
        <v>227</v>
      </c>
      <c r="H65" s="7" t="s">
        <v>11</v>
      </c>
      <c r="I65" s="7" t="s">
        <v>285</v>
      </c>
      <c r="J65" s="7">
        <v>6</v>
      </c>
      <c r="K65" s="7">
        <v>0</v>
      </c>
      <c r="L65" s="7">
        <v>600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7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414</v>
      </c>
      <c r="AF65" s="8">
        <v>41400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16</v>
      </c>
      <c r="AS65" s="8">
        <v>1600</v>
      </c>
      <c r="AT65" s="7">
        <v>0</v>
      </c>
      <c r="AU65" s="10">
        <v>43600</v>
      </c>
      <c r="AV65" s="15">
        <f t="shared" si="0"/>
        <v>43600</v>
      </c>
      <c r="AW65" s="16">
        <f t="shared" si="1"/>
        <v>30519.999999999996</v>
      </c>
    </row>
    <row r="66" spans="1:49" ht="19.2" x14ac:dyDescent="0.4">
      <c r="A66" s="5" t="s">
        <v>220</v>
      </c>
      <c r="B66" s="5" t="s">
        <v>212</v>
      </c>
      <c r="C66" s="5">
        <v>463949</v>
      </c>
      <c r="D66" s="6"/>
      <c r="E66" s="5" t="s">
        <v>16</v>
      </c>
      <c r="F66" s="5" t="s">
        <v>213</v>
      </c>
      <c r="G66" s="5" t="s">
        <v>13</v>
      </c>
      <c r="H66" s="7" t="s">
        <v>8</v>
      </c>
      <c r="I66" s="7" t="s">
        <v>209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13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352</v>
      </c>
      <c r="AF66" s="8">
        <v>35000</v>
      </c>
      <c r="AG66" s="7">
        <v>200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81</v>
      </c>
      <c r="AS66" s="8">
        <v>8100</v>
      </c>
      <c r="AT66" s="7">
        <v>0</v>
      </c>
      <c r="AU66" s="10">
        <v>43300</v>
      </c>
      <c r="AV66" s="15">
        <f t="shared" si="0"/>
        <v>43300</v>
      </c>
      <c r="AW66" s="16">
        <f t="shared" si="1"/>
        <v>30309.999999999996</v>
      </c>
    </row>
    <row r="67" spans="1:49" ht="19.2" x14ac:dyDescent="0.4">
      <c r="A67" s="5" t="s">
        <v>220</v>
      </c>
      <c r="B67" s="5" t="s">
        <v>115</v>
      </c>
      <c r="C67" s="5">
        <v>429534</v>
      </c>
      <c r="D67" s="6"/>
      <c r="E67" s="5" t="s">
        <v>16</v>
      </c>
      <c r="F67" s="5" t="s">
        <v>111</v>
      </c>
      <c r="G67" s="5" t="s">
        <v>13</v>
      </c>
      <c r="H67" s="7" t="s">
        <v>8</v>
      </c>
      <c r="I67" s="7" t="s">
        <v>116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15</v>
      </c>
      <c r="AF67" s="8">
        <v>36400</v>
      </c>
      <c r="AG67" s="8">
        <v>5600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10">
        <v>42000</v>
      </c>
      <c r="AV67" s="15">
        <f t="shared" ref="AV67:AV130" si="2">AU67-AN67</f>
        <v>42000</v>
      </c>
      <c r="AW67" s="16">
        <f t="shared" ref="AW67:AW110" si="3">AV67*70%</f>
        <v>29399.999999999996</v>
      </c>
    </row>
    <row r="68" spans="1:49" ht="19.2" x14ac:dyDescent="0.4">
      <c r="A68" s="5" t="s">
        <v>220</v>
      </c>
      <c r="B68" s="5" t="s">
        <v>286</v>
      </c>
      <c r="C68" s="5">
        <v>423577</v>
      </c>
      <c r="D68" s="6"/>
      <c r="E68" s="5" t="s">
        <v>16</v>
      </c>
      <c r="F68" s="5" t="s">
        <v>287</v>
      </c>
      <c r="G68" s="5" t="s">
        <v>227</v>
      </c>
      <c r="H68" s="7" t="s">
        <v>11</v>
      </c>
      <c r="I68" s="7" t="s">
        <v>288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12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393</v>
      </c>
      <c r="AF68" s="8">
        <v>37500</v>
      </c>
      <c r="AG68" s="8">
        <v>1800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10">
        <v>39300</v>
      </c>
      <c r="AV68" s="15">
        <f t="shared" si="2"/>
        <v>39300</v>
      </c>
      <c r="AW68" s="16">
        <f t="shared" si="3"/>
        <v>27510</v>
      </c>
    </row>
    <row r="69" spans="1:49" ht="19.2" x14ac:dyDescent="0.4">
      <c r="A69" s="5" t="s">
        <v>220</v>
      </c>
      <c r="B69" s="5" t="s">
        <v>289</v>
      </c>
      <c r="C69" s="5">
        <v>431330</v>
      </c>
      <c r="D69" s="6"/>
      <c r="E69" s="5" t="s">
        <v>16</v>
      </c>
      <c r="F69" s="5" t="s">
        <v>290</v>
      </c>
      <c r="G69" s="5" t="s">
        <v>227</v>
      </c>
      <c r="H69" s="7" t="s">
        <v>11</v>
      </c>
      <c r="I69" s="7" t="s">
        <v>291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11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282</v>
      </c>
      <c r="AF69" s="8">
        <v>27200</v>
      </c>
      <c r="AG69" s="8">
        <v>1000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107</v>
      </c>
      <c r="AS69" s="8">
        <v>9800</v>
      </c>
      <c r="AT69" s="7">
        <v>900</v>
      </c>
      <c r="AU69" s="10">
        <v>38900</v>
      </c>
      <c r="AV69" s="15">
        <f t="shared" si="2"/>
        <v>38900</v>
      </c>
      <c r="AW69" s="16">
        <f t="shared" si="3"/>
        <v>27230</v>
      </c>
    </row>
    <row r="70" spans="1:49" ht="19.2" x14ac:dyDescent="0.4">
      <c r="A70" s="5" t="s">
        <v>220</v>
      </c>
      <c r="B70" s="5" t="s">
        <v>189</v>
      </c>
      <c r="C70" s="5">
        <v>458561</v>
      </c>
      <c r="D70" s="6"/>
      <c r="E70" s="5" t="s">
        <v>16</v>
      </c>
      <c r="F70" s="5" t="s">
        <v>17</v>
      </c>
      <c r="G70" s="5" t="s">
        <v>13</v>
      </c>
      <c r="H70" s="7" t="s">
        <v>8</v>
      </c>
      <c r="I70" s="7" t="s">
        <v>190</v>
      </c>
      <c r="J70" s="7">
        <v>4</v>
      </c>
      <c r="K70" s="7">
        <v>0</v>
      </c>
      <c r="L70" s="7">
        <v>400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363</v>
      </c>
      <c r="AF70" s="8">
        <v>36100</v>
      </c>
      <c r="AG70" s="7">
        <v>200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20</v>
      </c>
      <c r="AS70" s="8">
        <v>2000</v>
      </c>
      <c r="AT70" s="7">
        <v>0</v>
      </c>
      <c r="AU70" s="10">
        <v>38700</v>
      </c>
      <c r="AV70" s="15">
        <f t="shared" si="2"/>
        <v>38700</v>
      </c>
      <c r="AW70" s="16">
        <f t="shared" si="3"/>
        <v>27090</v>
      </c>
    </row>
    <row r="71" spans="1:49" ht="19.2" x14ac:dyDescent="0.4">
      <c r="A71" s="5" t="s">
        <v>220</v>
      </c>
      <c r="B71" s="5" t="s">
        <v>182</v>
      </c>
      <c r="C71" s="5">
        <v>414343</v>
      </c>
      <c r="D71" s="6"/>
      <c r="E71" s="5" t="s">
        <v>16</v>
      </c>
      <c r="F71" s="5" t="s">
        <v>9</v>
      </c>
      <c r="G71" s="5" t="s">
        <v>13</v>
      </c>
      <c r="H71" s="7" t="s">
        <v>8</v>
      </c>
      <c r="I71" s="7" t="s">
        <v>144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12</v>
      </c>
      <c r="AF71" s="8">
        <v>38400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10">
        <v>38400</v>
      </c>
      <c r="AV71" s="15">
        <f t="shared" si="2"/>
        <v>38400</v>
      </c>
      <c r="AW71" s="16">
        <f t="shared" si="3"/>
        <v>26880</v>
      </c>
    </row>
    <row r="72" spans="1:49" ht="19.2" x14ac:dyDescent="0.4">
      <c r="A72" s="5" t="s">
        <v>220</v>
      </c>
      <c r="B72" s="5" t="s">
        <v>292</v>
      </c>
      <c r="C72" s="5">
        <v>445861</v>
      </c>
      <c r="D72" s="6"/>
      <c r="E72" s="5" t="s">
        <v>16</v>
      </c>
      <c r="F72" s="5" t="s">
        <v>226</v>
      </c>
      <c r="G72" s="5" t="s">
        <v>227</v>
      </c>
      <c r="H72" s="7" t="s">
        <v>11</v>
      </c>
      <c r="I72" s="7" t="s">
        <v>293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13</v>
      </c>
      <c r="AF72" s="8">
        <v>33100</v>
      </c>
      <c r="AG72" s="8">
        <v>3300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10">
        <v>36400</v>
      </c>
      <c r="AV72" s="15">
        <f t="shared" si="2"/>
        <v>36400</v>
      </c>
      <c r="AW72" s="16">
        <f t="shared" si="3"/>
        <v>25480</v>
      </c>
    </row>
    <row r="73" spans="1:49" ht="19.2" x14ac:dyDescent="0.4">
      <c r="A73" s="5" t="s">
        <v>220</v>
      </c>
      <c r="B73" s="5" t="s">
        <v>294</v>
      </c>
      <c r="C73" s="5">
        <v>399034</v>
      </c>
      <c r="D73" s="6"/>
      <c r="E73" s="5" t="s">
        <v>16</v>
      </c>
      <c r="F73" s="5" t="s">
        <v>295</v>
      </c>
      <c r="G73" s="5" t="s">
        <v>227</v>
      </c>
      <c r="H73" s="7" t="s">
        <v>11</v>
      </c>
      <c r="I73" s="7" t="s">
        <v>296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10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262</v>
      </c>
      <c r="AF73" s="8">
        <v>25400</v>
      </c>
      <c r="AG73" s="7">
        <v>800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73</v>
      </c>
      <c r="AS73" s="8">
        <v>6600</v>
      </c>
      <c r="AT73" s="7">
        <v>700</v>
      </c>
      <c r="AU73" s="10">
        <v>33500</v>
      </c>
      <c r="AV73" s="15">
        <f t="shared" si="2"/>
        <v>33500</v>
      </c>
      <c r="AW73" s="16">
        <f t="shared" si="3"/>
        <v>23450</v>
      </c>
    </row>
    <row r="74" spans="1:49" ht="19.2" x14ac:dyDescent="0.4">
      <c r="A74" s="5" t="s">
        <v>220</v>
      </c>
      <c r="B74" s="5" t="s">
        <v>108</v>
      </c>
      <c r="C74" s="5">
        <v>425414</v>
      </c>
      <c r="D74" s="6"/>
      <c r="E74" s="5" t="s">
        <v>16</v>
      </c>
      <c r="F74" s="5" t="s">
        <v>109</v>
      </c>
      <c r="G74" s="5" t="s">
        <v>13</v>
      </c>
      <c r="H74" s="7" t="s">
        <v>8</v>
      </c>
      <c r="I74" s="7" t="s">
        <v>134</v>
      </c>
      <c r="J74" s="7">
        <v>3</v>
      </c>
      <c r="K74" s="7">
        <v>0</v>
      </c>
      <c r="L74" s="7">
        <v>300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20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306</v>
      </c>
      <c r="AF74" s="8">
        <v>26900</v>
      </c>
      <c r="AG74" s="8">
        <v>3700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23</v>
      </c>
      <c r="AS74" s="8">
        <v>2300</v>
      </c>
      <c r="AT74" s="7">
        <v>0</v>
      </c>
      <c r="AU74" s="10">
        <v>33200</v>
      </c>
      <c r="AV74" s="15">
        <f t="shared" si="2"/>
        <v>33200</v>
      </c>
      <c r="AW74" s="16">
        <f t="shared" si="3"/>
        <v>23240</v>
      </c>
    </row>
    <row r="75" spans="1:49" ht="19.2" x14ac:dyDescent="0.4">
      <c r="A75" s="5" t="s">
        <v>220</v>
      </c>
      <c r="B75" s="5" t="s">
        <v>297</v>
      </c>
      <c r="C75" s="5">
        <v>387822</v>
      </c>
      <c r="D75" s="6"/>
      <c r="E75" s="5" t="s">
        <v>16</v>
      </c>
      <c r="F75" s="5" t="s">
        <v>298</v>
      </c>
      <c r="G75" s="5" t="s">
        <v>227</v>
      </c>
      <c r="H75" s="7" t="s">
        <v>11</v>
      </c>
      <c r="I75" s="7" t="s">
        <v>299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14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319</v>
      </c>
      <c r="AF75" s="8">
        <v>31900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10">
        <v>31900</v>
      </c>
      <c r="AV75" s="15">
        <f t="shared" si="2"/>
        <v>31900</v>
      </c>
      <c r="AW75" s="16">
        <f t="shared" si="3"/>
        <v>22330</v>
      </c>
    </row>
    <row r="76" spans="1:49" ht="19.2" x14ac:dyDescent="0.4">
      <c r="A76" s="5" t="s">
        <v>220</v>
      </c>
      <c r="B76" s="5" t="s">
        <v>141</v>
      </c>
      <c r="C76" s="5">
        <v>434877</v>
      </c>
      <c r="D76" s="6"/>
      <c r="E76" s="5" t="s">
        <v>16</v>
      </c>
      <c r="F76" s="5" t="s">
        <v>133</v>
      </c>
      <c r="G76" s="5" t="s">
        <v>13</v>
      </c>
      <c r="H76" s="7" t="s">
        <v>8</v>
      </c>
      <c r="I76" s="7" t="s">
        <v>151</v>
      </c>
      <c r="J76" s="7">
        <v>15</v>
      </c>
      <c r="K76" s="7">
        <v>0</v>
      </c>
      <c r="L76" s="8">
        <v>1500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8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300</v>
      </c>
      <c r="AF76" s="8">
        <v>26500</v>
      </c>
      <c r="AG76" s="8">
        <v>3500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3</v>
      </c>
      <c r="AS76" s="7">
        <v>300</v>
      </c>
      <c r="AT76" s="7">
        <v>0</v>
      </c>
      <c r="AU76" s="10">
        <v>31800</v>
      </c>
      <c r="AV76" s="15">
        <f t="shared" si="2"/>
        <v>31800</v>
      </c>
      <c r="AW76" s="16">
        <f t="shared" si="3"/>
        <v>22260</v>
      </c>
    </row>
    <row r="77" spans="1:49" ht="19.2" x14ac:dyDescent="0.4">
      <c r="A77" s="5" t="s">
        <v>220</v>
      </c>
      <c r="B77" s="5" t="s">
        <v>104</v>
      </c>
      <c r="C77" s="5">
        <v>428319</v>
      </c>
      <c r="D77" s="6"/>
      <c r="E77" s="5" t="s">
        <v>16</v>
      </c>
      <c r="F77" s="5" t="s">
        <v>80</v>
      </c>
      <c r="G77" s="5" t="s">
        <v>13</v>
      </c>
      <c r="H77" s="7" t="s">
        <v>8</v>
      </c>
      <c r="I77" s="7" t="s">
        <v>103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8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312</v>
      </c>
      <c r="AF77" s="8">
        <v>31200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10">
        <v>31200</v>
      </c>
      <c r="AV77" s="15">
        <f t="shared" si="2"/>
        <v>31200</v>
      </c>
      <c r="AW77" s="16">
        <f t="shared" si="3"/>
        <v>21840</v>
      </c>
    </row>
    <row r="78" spans="1:49" ht="19.2" x14ac:dyDescent="0.4">
      <c r="A78" s="5" t="s">
        <v>220</v>
      </c>
      <c r="B78" s="5" t="s">
        <v>300</v>
      </c>
      <c r="C78" s="5">
        <v>399878</v>
      </c>
      <c r="D78" s="6"/>
      <c r="E78" s="5" t="s">
        <v>16</v>
      </c>
      <c r="F78" s="5" t="s">
        <v>301</v>
      </c>
      <c r="G78" s="5" t="s">
        <v>227</v>
      </c>
      <c r="H78" s="7" t="s">
        <v>11</v>
      </c>
      <c r="I78" s="7" t="s">
        <v>302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18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236</v>
      </c>
      <c r="AF78" s="8">
        <v>23600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72</v>
      </c>
      <c r="AS78" s="8">
        <v>7200</v>
      </c>
      <c r="AT78" s="7">
        <v>0</v>
      </c>
      <c r="AU78" s="10">
        <v>30800</v>
      </c>
      <c r="AV78" s="15">
        <f t="shared" si="2"/>
        <v>30800</v>
      </c>
      <c r="AW78" s="16">
        <f t="shared" si="3"/>
        <v>21560</v>
      </c>
    </row>
    <row r="79" spans="1:49" ht="19.2" x14ac:dyDescent="0.4">
      <c r="A79" s="5" t="s">
        <v>220</v>
      </c>
      <c r="B79" s="5" t="s">
        <v>303</v>
      </c>
      <c r="C79" s="5">
        <v>395192</v>
      </c>
      <c r="D79" s="6"/>
      <c r="E79" s="5" t="s">
        <v>16</v>
      </c>
      <c r="F79" s="5" t="s">
        <v>267</v>
      </c>
      <c r="G79" s="5" t="s">
        <v>227</v>
      </c>
      <c r="H79" s="7" t="s">
        <v>11</v>
      </c>
      <c r="I79" s="7" t="s">
        <v>304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9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293</v>
      </c>
      <c r="AF79" s="8">
        <v>21800</v>
      </c>
      <c r="AG79" s="8">
        <v>7500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13</v>
      </c>
      <c r="AS79" s="8">
        <v>1300</v>
      </c>
      <c r="AT79" s="7">
        <v>0</v>
      </c>
      <c r="AU79" s="10">
        <v>30600</v>
      </c>
      <c r="AV79" s="15">
        <f t="shared" si="2"/>
        <v>30600</v>
      </c>
      <c r="AW79" s="16">
        <f t="shared" si="3"/>
        <v>21420</v>
      </c>
    </row>
    <row r="80" spans="1:49" ht="19.2" x14ac:dyDescent="0.4">
      <c r="A80" s="5" t="s">
        <v>220</v>
      </c>
      <c r="B80" s="5" t="s">
        <v>305</v>
      </c>
      <c r="C80" s="5">
        <v>382446</v>
      </c>
      <c r="D80" s="6"/>
      <c r="E80" s="5" t="s">
        <v>16</v>
      </c>
      <c r="F80" s="5" t="s">
        <v>231</v>
      </c>
      <c r="G80" s="5" t="s">
        <v>227</v>
      </c>
      <c r="H80" s="7" t="s">
        <v>11</v>
      </c>
      <c r="I80" s="7" t="s">
        <v>306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190</v>
      </c>
      <c r="AF80" s="8">
        <v>18700</v>
      </c>
      <c r="AG80" s="7">
        <v>300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110</v>
      </c>
      <c r="AS80" s="8">
        <v>10800</v>
      </c>
      <c r="AT80" s="7">
        <v>200</v>
      </c>
      <c r="AU80" s="10">
        <v>30000</v>
      </c>
      <c r="AV80" s="15">
        <f t="shared" si="2"/>
        <v>30000</v>
      </c>
      <c r="AW80" s="16">
        <f t="shared" si="3"/>
        <v>21000</v>
      </c>
    </row>
    <row r="81" spans="1:49" ht="19.2" x14ac:dyDescent="0.4">
      <c r="A81" s="5" t="s">
        <v>220</v>
      </c>
      <c r="B81" s="5" t="s">
        <v>127</v>
      </c>
      <c r="C81" s="5">
        <v>351033</v>
      </c>
      <c r="D81" s="6" t="s">
        <v>128</v>
      </c>
      <c r="E81" s="5" t="s">
        <v>16</v>
      </c>
      <c r="F81" s="5" t="s">
        <v>17</v>
      </c>
      <c r="G81" s="5" t="s">
        <v>13</v>
      </c>
      <c r="H81" s="7" t="s">
        <v>8</v>
      </c>
      <c r="I81" s="7" t="s">
        <v>129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293</v>
      </c>
      <c r="AF81" s="8">
        <v>27900</v>
      </c>
      <c r="AG81" s="8">
        <v>1400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10">
        <v>29300</v>
      </c>
      <c r="AV81" s="15">
        <f t="shared" si="2"/>
        <v>29300</v>
      </c>
      <c r="AW81" s="16">
        <f t="shared" si="3"/>
        <v>20510</v>
      </c>
    </row>
    <row r="82" spans="1:49" ht="19.2" x14ac:dyDescent="0.4">
      <c r="A82" s="5" t="s">
        <v>220</v>
      </c>
      <c r="B82" s="5" t="s">
        <v>187</v>
      </c>
      <c r="C82" s="5">
        <v>441966</v>
      </c>
      <c r="D82" s="6"/>
      <c r="E82" s="5" t="s">
        <v>16</v>
      </c>
      <c r="F82" s="5" t="s">
        <v>71</v>
      </c>
      <c r="G82" s="5" t="s">
        <v>13</v>
      </c>
      <c r="H82" s="7" t="s">
        <v>11</v>
      </c>
      <c r="I82" s="7" t="s">
        <v>188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6</v>
      </c>
      <c r="AC82" s="8">
        <v>7600</v>
      </c>
      <c r="AD82" s="8">
        <v>2400</v>
      </c>
      <c r="AE82" s="7">
        <v>6</v>
      </c>
      <c r="AF82" s="8">
        <v>14100</v>
      </c>
      <c r="AG82" s="7">
        <v>300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2</v>
      </c>
      <c r="AP82" s="8">
        <v>3300</v>
      </c>
      <c r="AQ82" s="7">
        <v>0</v>
      </c>
      <c r="AR82" s="7">
        <v>0</v>
      </c>
      <c r="AS82" s="7">
        <v>0</v>
      </c>
      <c r="AT82" s="7">
        <v>0</v>
      </c>
      <c r="AU82" s="10">
        <v>27700</v>
      </c>
      <c r="AV82" s="15">
        <f t="shared" si="2"/>
        <v>27700</v>
      </c>
      <c r="AW82" s="16">
        <f t="shared" si="3"/>
        <v>19390</v>
      </c>
    </row>
    <row r="83" spans="1:49" ht="19.2" x14ac:dyDescent="0.4">
      <c r="A83" s="5" t="s">
        <v>220</v>
      </c>
      <c r="B83" s="5" t="s">
        <v>214</v>
      </c>
      <c r="C83" s="5">
        <v>463944</v>
      </c>
      <c r="D83" s="6"/>
      <c r="E83" s="5" t="s">
        <v>16</v>
      </c>
      <c r="F83" s="5" t="s">
        <v>215</v>
      </c>
      <c r="G83" s="5" t="s">
        <v>13</v>
      </c>
      <c r="H83" s="7" t="s">
        <v>12</v>
      </c>
      <c r="I83" s="7" t="s">
        <v>216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2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176</v>
      </c>
      <c r="AF83" s="8">
        <v>17600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90</v>
      </c>
      <c r="AS83" s="8">
        <v>8800</v>
      </c>
      <c r="AT83" s="7">
        <v>200</v>
      </c>
      <c r="AU83" s="10">
        <v>26600</v>
      </c>
      <c r="AV83" s="15">
        <f t="shared" si="2"/>
        <v>26600</v>
      </c>
      <c r="AW83" s="16">
        <f t="shared" si="3"/>
        <v>18620</v>
      </c>
    </row>
    <row r="84" spans="1:49" ht="19.2" x14ac:dyDescent="0.4">
      <c r="A84" s="5" t="s">
        <v>220</v>
      </c>
      <c r="B84" s="5" t="s">
        <v>307</v>
      </c>
      <c r="C84" s="5">
        <v>305522</v>
      </c>
      <c r="D84" s="6"/>
      <c r="E84" s="5" t="s">
        <v>16</v>
      </c>
      <c r="F84" s="5" t="s">
        <v>238</v>
      </c>
      <c r="G84" s="5" t="s">
        <v>227</v>
      </c>
      <c r="H84" s="7" t="s">
        <v>11</v>
      </c>
      <c r="I84" s="7" t="s">
        <v>308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251</v>
      </c>
      <c r="AF84" s="8">
        <v>23700</v>
      </c>
      <c r="AG84" s="8">
        <v>1400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10">
        <v>25100</v>
      </c>
      <c r="AV84" s="15">
        <f t="shared" si="2"/>
        <v>25100</v>
      </c>
      <c r="AW84" s="16">
        <f t="shared" si="3"/>
        <v>17570</v>
      </c>
    </row>
    <row r="85" spans="1:49" ht="19.2" x14ac:dyDescent="0.4">
      <c r="A85" s="5" t="s">
        <v>220</v>
      </c>
      <c r="B85" s="5" t="s">
        <v>309</v>
      </c>
      <c r="C85" s="5">
        <v>400251</v>
      </c>
      <c r="D85" s="6"/>
      <c r="E85" s="5" t="s">
        <v>16</v>
      </c>
      <c r="F85" s="5" t="s">
        <v>238</v>
      </c>
      <c r="G85" s="5" t="s">
        <v>227</v>
      </c>
      <c r="H85" s="7" t="s">
        <v>11</v>
      </c>
      <c r="I85" s="7" t="s">
        <v>310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8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231</v>
      </c>
      <c r="AF85" s="8">
        <v>17500</v>
      </c>
      <c r="AG85" s="8">
        <v>5600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19</v>
      </c>
      <c r="AS85" s="8">
        <v>1900</v>
      </c>
      <c r="AT85" s="7">
        <v>0</v>
      </c>
      <c r="AU85" s="10">
        <v>25000</v>
      </c>
      <c r="AV85" s="15">
        <f t="shared" si="2"/>
        <v>25000</v>
      </c>
      <c r="AW85" s="16">
        <f t="shared" si="3"/>
        <v>17500</v>
      </c>
    </row>
    <row r="86" spans="1:49" ht="19.2" x14ac:dyDescent="0.4">
      <c r="A86" s="5" t="s">
        <v>220</v>
      </c>
      <c r="B86" s="5" t="s">
        <v>311</v>
      </c>
      <c r="C86" s="5">
        <v>377088</v>
      </c>
      <c r="D86" s="6"/>
      <c r="E86" s="5" t="s">
        <v>16</v>
      </c>
      <c r="F86" s="5" t="s">
        <v>312</v>
      </c>
      <c r="G86" s="5" t="s">
        <v>227</v>
      </c>
      <c r="H86" s="7" t="s">
        <v>11</v>
      </c>
      <c r="I86" s="7" t="s">
        <v>313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12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148</v>
      </c>
      <c r="AF86" s="8">
        <v>14600</v>
      </c>
      <c r="AG86" s="7">
        <v>200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101</v>
      </c>
      <c r="AS86" s="8">
        <v>10100</v>
      </c>
      <c r="AT86" s="7">
        <v>0</v>
      </c>
      <c r="AU86" s="10">
        <v>24900</v>
      </c>
      <c r="AV86" s="15">
        <f t="shared" si="2"/>
        <v>24900</v>
      </c>
      <c r="AW86" s="16">
        <f t="shared" si="3"/>
        <v>17430</v>
      </c>
    </row>
    <row r="87" spans="1:49" ht="19.2" x14ac:dyDescent="0.4">
      <c r="A87" s="5" t="s">
        <v>220</v>
      </c>
      <c r="B87" s="5" t="s">
        <v>118</v>
      </c>
      <c r="C87" s="5">
        <v>428860</v>
      </c>
      <c r="D87" s="6"/>
      <c r="E87" s="5" t="s">
        <v>16</v>
      </c>
      <c r="F87" s="5" t="s">
        <v>119</v>
      </c>
      <c r="G87" s="5" t="s">
        <v>13</v>
      </c>
      <c r="H87" s="7" t="s">
        <v>8</v>
      </c>
      <c r="I87" s="7" t="s">
        <v>135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8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236</v>
      </c>
      <c r="AF87" s="8">
        <v>17100</v>
      </c>
      <c r="AG87" s="8">
        <v>6500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10">
        <v>23600</v>
      </c>
      <c r="AV87" s="15">
        <f t="shared" si="2"/>
        <v>23600</v>
      </c>
      <c r="AW87" s="16">
        <f t="shared" si="3"/>
        <v>16520</v>
      </c>
    </row>
    <row r="88" spans="1:49" ht="19.2" x14ac:dyDescent="0.4">
      <c r="A88" s="5" t="s">
        <v>220</v>
      </c>
      <c r="B88" s="5" t="s">
        <v>51</v>
      </c>
      <c r="C88" s="5">
        <v>406849</v>
      </c>
      <c r="D88" s="6"/>
      <c r="E88" s="5" t="s">
        <v>16</v>
      </c>
      <c r="F88" s="5" t="s">
        <v>52</v>
      </c>
      <c r="G88" s="5" t="s">
        <v>13</v>
      </c>
      <c r="H88" s="7" t="s">
        <v>8</v>
      </c>
      <c r="I88" s="7" t="s">
        <v>53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11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232</v>
      </c>
      <c r="AF88" s="8">
        <v>20300</v>
      </c>
      <c r="AG88" s="8">
        <v>2900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10">
        <v>23200</v>
      </c>
      <c r="AV88" s="15">
        <f t="shared" si="2"/>
        <v>23200</v>
      </c>
      <c r="AW88" s="16">
        <f t="shared" si="3"/>
        <v>16239.999999999998</v>
      </c>
    </row>
    <row r="89" spans="1:49" ht="19.2" x14ac:dyDescent="0.4">
      <c r="A89" s="5" t="s">
        <v>220</v>
      </c>
      <c r="B89" s="5" t="s">
        <v>149</v>
      </c>
      <c r="C89" s="5">
        <v>408593</v>
      </c>
      <c r="D89" s="6"/>
      <c r="E89" s="5" t="s">
        <v>16</v>
      </c>
      <c r="F89" s="5" t="s">
        <v>37</v>
      </c>
      <c r="G89" s="5" t="s">
        <v>13</v>
      </c>
      <c r="H89" s="7" t="s">
        <v>8</v>
      </c>
      <c r="I89" s="7" t="s">
        <v>35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7</v>
      </c>
      <c r="AS89" s="8">
        <v>22200</v>
      </c>
      <c r="AT89" s="7">
        <v>200</v>
      </c>
      <c r="AU89" s="10">
        <v>22400</v>
      </c>
      <c r="AV89" s="15">
        <f t="shared" si="2"/>
        <v>22400</v>
      </c>
      <c r="AW89" s="16">
        <f t="shared" si="3"/>
        <v>15679.999999999998</v>
      </c>
    </row>
    <row r="90" spans="1:49" ht="19.2" x14ac:dyDescent="0.4">
      <c r="A90" s="5" t="s">
        <v>220</v>
      </c>
      <c r="B90" s="5" t="s">
        <v>171</v>
      </c>
      <c r="C90" s="5">
        <v>134596</v>
      </c>
      <c r="D90" s="6" t="s">
        <v>172</v>
      </c>
      <c r="E90" s="5" t="s">
        <v>16</v>
      </c>
      <c r="F90" s="5" t="s">
        <v>17</v>
      </c>
      <c r="G90" s="5" t="s">
        <v>13</v>
      </c>
      <c r="H90" s="7" t="s">
        <v>8</v>
      </c>
      <c r="I90" s="7" t="s">
        <v>173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7</v>
      </c>
      <c r="AF90" s="8">
        <v>22400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10">
        <v>22400</v>
      </c>
      <c r="AV90" s="15">
        <f t="shared" si="2"/>
        <v>22400</v>
      </c>
      <c r="AW90" s="16">
        <f t="shared" si="3"/>
        <v>15679.999999999998</v>
      </c>
    </row>
    <row r="91" spans="1:49" ht="19.2" x14ac:dyDescent="0.4">
      <c r="A91" s="5" t="s">
        <v>220</v>
      </c>
      <c r="B91" s="5" t="s">
        <v>183</v>
      </c>
      <c r="C91" s="5">
        <v>431511</v>
      </c>
      <c r="D91" s="6"/>
      <c r="E91" s="5" t="s">
        <v>16</v>
      </c>
      <c r="F91" s="5" t="s">
        <v>80</v>
      </c>
      <c r="G91" s="5" t="s">
        <v>13</v>
      </c>
      <c r="H91" s="7" t="s">
        <v>8</v>
      </c>
      <c r="I91" s="7" t="s">
        <v>184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7</v>
      </c>
      <c r="AF91" s="8">
        <v>22400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10">
        <v>22400</v>
      </c>
      <c r="AV91" s="15">
        <f t="shared" si="2"/>
        <v>22400</v>
      </c>
      <c r="AW91" s="16">
        <f t="shared" si="3"/>
        <v>15679.999999999998</v>
      </c>
    </row>
    <row r="92" spans="1:49" ht="19.2" x14ac:dyDescent="0.4">
      <c r="A92" s="5" t="s">
        <v>220</v>
      </c>
      <c r="B92" s="5" t="s">
        <v>314</v>
      </c>
      <c r="C92" s="5">
        <v>370192</v>
      </c>
      <c r="D92" s="6"/>
      <c r="E92" s="5" t="s">
        <v>16</v>
      </c>
      <c r="F92" s="5" t="s">
        <v>251</v>
      </c>
      <c r="G92" s="5" t="s">
        <v>227</v>
      </c>
      <c r="H92" s="7" t="s">
        <v>11</v>
      </c>
      <c r="I92" s="7" t="s">
        <v>315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12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198</v>
      </c>
      <c r="AF92" s="8">
        <v>9400</v>
      </c>
      <c r="AG92" s="8">
        <v>10400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22</v>
      </c>
      <c r="AS92" s="8">
        <v>2200</v>
      </c>
      <c r="AT92" s="7">
        <v>0</v>
      </c>
      <c r="AU92" s="10">
        <v>22000</v>
      </c>
      <c r="AV92" s="15">
        <f t="shared" si="2"/>
        <v>22000</v>
      </c>
      <c r="AW92" s="16">
        <f t="shared" si="3"/>
        <v>15399.999999999998</v>
      </c>
    </row>
    <row r="93" spans="1:49" ht="19.2" x14ac:dyDescent="0.4">
      <c r="A93" s="5" t="s">
        <v>220</v>
      </c>
      <c r="B93" s="5" t="s">
        <v>316</v>
      </c>
      <c r="C93" s="5">
        <v>376361</v>
      </c>
      <c r="D93" s="6"/>
      <c r="E93" s="5" t="s">
        <v>16</v>
      </c>
      <c r="F93" s="5" t="s">
        <v>226</v>
      </c>
      <c r="G93" s="5" t="s">
        <v>227</v>
      </c>
      <c r="H93" s="7" t="s">
        <v>11</v>
      </c>
      <c r="I93" s="7" t="s">
        <v>317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8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173</v>
      </c>
      <c r="AF93" s="8">
        <v>17100</v>
      </c>
      <c r="AG93" s="7">
        <v>200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43</v>
      </c>
      <c r="AS93" s="8">
        <v>4200</v>
      </c>
      <c r="AT93" s="7">
        <v>100</v>
      </c>
      <c r="AU93" s="10">
        <v>21600</v>
      </c>
      <c r="AV93" s="15">
        <f t="shared" si="2"/>
        <v>21600</v>
      </c>
      <c r="AW93" s="16">
        <f t="shared" si="3"/>
        <v>15119.999999999998</v>
      </c>
    </row>
    <row r="94" spans="1:49" ht="19.2" x14ac:dyDescent="0.4">
      <c r="A94" s="5" t="s">
        <v>220</v>
      </c>
      <c r="B94" s="5" t="s">
        <v>67</v>
      </c>
      <c r="C94" s="5">
        <v>406872</v>
      </c>
      <c r="D94" s="6"/>
      <c r="E94" s="5" t="s">
        <v>16</v>
      </c>
      <c r="F94" s="5" t="s">
        <v>68</v>
      </c>
      <c r="G94" s="5" t="s">
        <v>13</v>
      </c>
      <c r="H94" s="7" t="s">
        <v>12</v>
      </c>
      <c r="I94" s="7" t="s">
        <v>69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6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137</v>
      </c>
      <c r="AF94" s="8">
        <v>9900</v>
      </c>
      <c r="AG94" s="8">
        <v>3800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70</v>
      </c>
      <c r="AS94" s="8">
        <v>6800</v>
      </c>
      <c r="AT94" s="7">
        <v>200</v>
      </c>
      <c r="AU94" s="10">
        <v>20700</v>
      </c>
      <c r="AV94" s="15">
        <f t="shared" si="2"/>
        <v>20700</v>
      </c>
      <c r="AW94" s="16">
        <f t="shared" si="3"/>
        <v>14489.999999999998</v>
      </c>
    </row>
    <row r="95" spans="1:49" ht="19.2" x14ac:dyDescent="0.4">
      <c r="A95" s="5" t="s">
        <v>220</v>
      </c>
      <c r="B95" s="5" t="s">
        <v>318</v>
      </c>
      <c r="C95" s="5">
        <v>363413</v>
      </c>
      <c r="D95" s="6"/>
      <c r="E95" s="5" t="s">
        <v>16</v>
      </c>
      <c r="F95" s="5" t="s">
        <v>243</v>
      </c>
      <c r="G95" s="5" t="s">
        <v>227</v>
      </c>
      <c r="H95" s="7" t="s">
        <v>11</v>
      </c>
      <c r="I95" s="7" t="s">
        <v>319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14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192</v>
      </c>
      <c r="AF95" s="8">
        <v>19100</v>
      </c>
      <c r="AG95" s="7">
        <v>100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11</v>
      </c>
      <c r="AS95" s="8">
        <v>1100</v>
      </c>
      <c r="AT95" s="7">
        <v>0</v>
      </c>
      <c r="AU95" s="10">
        <v>20300</v>
      </c>
      <c r="AV95" s="15">
        <f t="shared" si="2"/>
        <v>20300</v>
      </c>
      <c r="AW95" s="16">
        <f t="shared" si="3"/>
        <v>14210</v>
      </c>
    </row>
    <row r="96" spans="1:49" ht="19.2" x14ac:dyDescent="0.4">
      <c r="A96" s="5" t="s">
        <v>220</v>
      </c>
      <c r="B96" s="5" t="s">
        <v>64</v>
      </c>
      <c r="C96" s="5">
        <v>278898</v>
      </c>
      <c r="D96" s="6"/>
      <c r="E96" s="5" t="s">
        <v>16</v>
      </c>
      <c r="F96" s="5" t="s">
        <v>65</v>
      </c>
      <c r="G96" s="5" t="s">
        <v>13</v>
      </c>
      <c r="H96" s="7" t="s">
        <v>8</v>
      </c>
      <c r="I96" s="7" t="s">
        <v>66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11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199</v>
      </c>
      <c r="AF96" s="8">
        <v>19900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10">
        <v>19900</v>
      </c>
      <c r="AV96" s="15">
        <f t="shared" si="2"/>
        <v>19900</v>
      </c>
      <c r="AW96" s="16">
        <f t="shared" si="3"/>
        <v>13930</v>
      </c>
    </row>
    <row r="97" spans="1:49" ht="19.2" x14ac:dyDescent="0.4">
      <c r="A97" s="5" t="s">
        <v>220</v>
      </c>
      <c r="B97" s="5" t="s">
        <v>320</v>
      </c>
      <c r="C97" s="5">
        <v>353788</v>
      </c>
      <c r="D97" s="6"/>
      <c r="E97" s="5" t="s">
        <v>16</v>
      </c>
      <c r="F97" s="5" t="s">
        <v>321</v>
      </c>
      <c r="G97" s="5" t="s">
        <v>227</v>
      </c>
      <c r="H97" s="7" t="s">
        <v>11</v>
      </c>
      <c r="I97" s="7" t="s">
        <v>322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5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141</v>
      </c>
      <c r="AF97" s="8">
        <v>12200</v>
      </c>
      <c r="AG97" s="8">
        <v>1900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52</v>
      </c>
      <c r="AS97" s="8">
        <v>5200</v>
      </c>
      <c r="AT97" s="7">
        <v>0</v>
      </c>
      <c r="AU97" s="10">
        <v>19300</v>
      </c>
      <c r="AV97" s="15">
        <f t="shared" si="2"/>
        <v>19300</v>
      </c>
      <c r="AW97" s="16">
        <f t="shared" si="3"/>
        <v>13510</v>
      </c>
    </row>
    <row r="98" spans="1:49" ht="19.2" x14ac:dyDescent="0.4">
      <c r="A98" s="5" t="s">
        <v>220</v>
      </c>
      <c r="B98" s="5" t="s">
        <v>323</v>
      </c>
      <c r="C98" s="5">
        <v>385169</v>
      </c>
      <c r="D98" s="6"/>
      <c r="E98" s="5" t="s">
        <v>16</v>
      </c>
      <c r="F98" s="5" t="s">
        <v>321</v>
      </c>
      <c r="G98" s="5" t="s">
        <v>227</v>
      </c>
      <c r="H98" s="7" t="s">
        <v>11</v>
      </c>
      <c r="I98" s="7" t="s">
        <v>324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4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190</v>
      </c>
      <c r="AF98" s="8">
        <v>14000</v>
      </c>
      <c r="AG98" s="8">
        <v>5000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10">
        <v>19000</v>
      </c>
      <c r="AV98" s="15">
        <f t="shared" si="2"/>
        <v>19000</v>
      </c>
      <c r="AW98" s="16">
        <f t="shared" si="3"/>
        <v>13300</v>
      </c>
    </row>
    <row r="99" spans="1:49" ht="19.2" x14ac:dyDescent="0.4">
      <c r="A99" s="5" t="s">
        <v>220</v>
      </c>
      <c r="B99" s="5" t="s">
        <v>325</v>
      </c>
      <c r="C99" s="5">
        <v>404148</v>
      </c>
      <c r="D99" s="6"/>
      <c r="E99" s="5" t="s">
        <v>16</v>
      </c>
      <c r="F99" s="5" t="s">
        <v>326</v>
      </c>
      <c r="G99" s="5" t="s">
        <v>227</v>
      </c>
      <c r="H99" s="7" t="s">
        <v>11</v>
      </c>
      <c r="I99" s="7" t="s">
        <v>327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7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154</v>
      </c>
      <c r="AF99" s="8">
        <v>15400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32</v>
      </c>
      <c r="AS99" s="8">
        <v>3200</v>
      </c>
      <c r="AT99" s="7">
        <v>0</v>
      </c>
      <c r="AU99" s="10">
        <v>18600</v>
      </c>
      <c r="AV99" s="15">
        <f t="shared" si="2"/>
        <v>18600</v>
      </c>
      <c r="AW99" s="16">
        <f t="shared" si="3"/>
        <v>13020</v>
      </c>
    </row>
    <row r="100" spans="1:49" ht="19.2" x14ac:dyDescent="0.4">
      <c r="A100" s="5" t="s">
        <v>220</v>
      </c>
      <c r="B100" s="5" t="s">
        <v>328</v>
      </c>
      <c r="C100" s="5">
        <v>390809</v>
      </c>
      <c r="D100" s="6"/>
      <c r="E100" s="5" t="s">
        <v>16</v>
      </c>
      <c r="F100" s="5" t="s">
        <v>329</v>
      </c>
      <c r="G100" s="5" t="s">
        <v>227</v>
      </c>
      <c r="H100" s="7" t="s">
        <v>11</v>
      </c>
      <c r="I100" s="7" t="s">
        <v>249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122</v>
      </c>
      <c r="AF100" s="8">
        <v>12100</v>
      </c>
      <c r="AG100" s="7">
        <v>100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59</v>
      </c>
      <c r="AS100" s="8">
        <v>5900</v>
      </c>
      <c r="AT100" s="7">
        <v>0</v>
      </c>
      <c r="AU100" s="10">
        <v>18100</v>
      </c>
      <c r="AV100" s="15">
        <f t="shared" si="2"/>
        <v>18100</v>
      </c>
      <c r="AW100" s="16">
        <f t="shared" si="3"/>
        <v>12670</v>
      </c>
    </row>
    <row r="101" spans="1:49" ht="19.2" x14ac:dyDescent="0.4">
      <c r="A101" s="5" t="s">
        <v>220</v>
      </c>
      <c r="B101" s="5" t="s">
        <v>217</v>
      </c>
      <c r="C101" s="5">
        <v>388508</v>
      </c>
      <c r="D101" s="6"/>
      <c r="E101" s="5" t="s">
        <v>16</v>
      </c>
      <c r="F101" s="5" t="s">
        <v>218</v>
      </c>
      <c r="G101" s="5" t="s">
        <v>13</v>
      </c>
      <c r="H101" s="7" t="s">
        <v>8</v>
      </c>
      <c r="I101" s="7" t="s">
        <v>219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14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3</v>
      </c>
      <c r="AF101" s="7">
        <v>300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176</v>
      </c>
      <c r="AS101" s="8">
        <v>17600</v>
      </c>
      <c r="AT101" s="7">
        <v>0</v>
      </c>
      <c r="AU101" s="10">
        <v>17900</v>
      </c>
      <c r="AV101" s="15">
        <f t="shared" si="2"/>
        <v>17900</v>
      </c>
      <c r="AW101" s="16">
        <f t="shared" si="3"/>
        <v>12530</v>
      </c>
    </row>
    <row r="102" spans="1:49" ht="19.2" x14ac:dyDescent="0.4">
      <c r="A102" s="5" t="s">
        <v>220</v>
      </c>
      <c r="B102" s="5" t="s">
        <v>330</v>
      </c>
      <c r="C102" s="5">
        <v>445862</v>
      </c>
      <c r="D102" s="6"/>
      <c r="E102" s="5" t="s">
        <v>16</v>
      </c>
      <c r="F102" s="5" t="s">
        <v>226</v>
      </c>
      <c r="G102" s="5" t="s">
        <v>227</v>
      </c>
      <c r="H102" s="7" t="s">
        <v>11</v>
      </c>
      <c r="I102" s="7" t="s">
        <v>293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7</v>
      </c>
      <c r="AF102" s="8">
        <v>13200</v>
      </c>
      <c r="AG102" s="8">
        <v>2200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1</v>
      </c>
      <c r="AS102" s="8">
        <v>1600</v>
      </c>
      <c r="AT102" s="7">
        <v>600</v>
      </c>
      <c r="AU102" s="10">
        <v>17600</v>
      </c>
      <c r="AV102" s="15">
        <f t="shared" si="2"/>
        <v>17600</v>
      </c>
      <c r="AW102" s="16">
        <f t="shared" si="3"/>
        <v>12320</v>
      </c>
    </row>
    <row r="103" spans="1:49" ht="19.2" x14ac:dyDescent="0.4">
      <c r="A103" s="5" t="s">
        <v>220</v>
      </c>
      <c r="B103" s="5" t="s">
        <v>331</v>
      </c>
      <c r="C103" s="5">
        <v>358724</v>
      </c>
      <c r="D103" s="6"/>
      <c r="E103" s="5" t="s">
        <v>16</v>
      </c>
      <c r="F103" s="5" t="s">
        <v>332</v>
      </c>
      <c r="G103" s="5" t="s">
        <v>227</v>
      </c>
      <c r="H103" s="7" t="s">
        <v>11</v>
      </c>
      <c r="I103" s="7" t="s">
        <v>244</v>
      </c>
      <c r="J103" s="7">
        <v>7</v>
      </c>
      <c r="K103" s="7">
        <v>0</v>
      </c>
      <c r="L103" s="7">
        <v>700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11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150</v>
      </c>
      <c r="AF103" s="8">
        <v>15000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10">
        <v>15700</v>
      </c>
      <c r="AV103" s="15">
        <f t="shared" si="2"/>
        <v>15700</v>
      </c>
      <c r="AW103" s="16">
        <f t="shared" si="3"/>
        <v>10990</v>
      </c>
    </row>
    <row r="104" spans="1:49" ht="19.2" x14ac:dyDescent="0.4">
      <c r="A104" s="5" t="s">
        <v>220</v>
      </c>
      <c r="B104" s="5" t="s">
        <v>333</v>
      </c>
      <c r="C104" s="5">
        <v>421661</v>
      </c>
      <c r="D104" s="6"/>
      <c r="E104" s="5" t="s">
        <v>16</v>
      </c>
      <c r="F104" s="5" t="s">
        <v>321</v>
      </c>
      <c r="G104" s="5" t="s">
        <v>227</v>
      </c>
      <c r="H104" s="7" t="s">
        <v>11</v>
      </c>
      <c r="I104" s="7" t="s">
        <v>334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9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97</v>
      </c>
      <c r="AF104" s="8">
        <v>9700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54</v>
      </c>
      <c r="AS104" s="8">
        <v>5400</v>
      </c>
      <c r="AT104" s="7">
        <v>0</v>
      </c>
      <c r="AU104" s="10">
        <v>15100</v>
      </c>
      <c r="AV104" s="15">
        <f t="shared" si="2"/>
        <v>15100</v>
      </c>
      <c r="AW104" s="16">
        <f t="shared" si="3"/>
        <v>10570</v>
      </c>
    </row>
    <row r="105" spans="1:49" ht="19.2" x14ac:dyDescent="0.4">
      <c r="A105" s="5" t="s">
        <v>220</v>
      </c>
      <c r="B105" s="5" t="s">
        <v>335</v>
      </c>
      <c r="C105" s="5">
        <v>408191</v>
      </c>
      <c r="D105" s="6"/>
      <c r="E105" s="5" t="s">
        <v>16</v>
      </c>
      <c r="F105" s="5" t="s">
        <v>267</v>
      </c>
      <c r="G105" s="5" t="s">
        <v>227</v>
      </c>
      <c r="H105" s="7" t="s">
        <v>11</v>
      </c>
      <c r="I105" s="7" t="s">
        <v>35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4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107</v>
      </c>
      <c r="AF105" s="8">
        <v>8600</v>
      </c>
      <c r="AG105" s="8">
        <v>2100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40</v>
      </c>
      <c r="AS105" s="8">
        <v>4000</v>
      </c>
      <c r="AT105" s="7">
        <v>0</v>
      </c>
      <c r="AU105" s="10">
        <v>14700</v>
      </c>
      <c r="AV105" s="15">
        <f t="shared" si="2"/>
        <v>14700</v>
      </c>
      <c r="AW105" s="16">
        <f t="shared" si="3"/>
        <v>10290</v>
      </c>
    </row>
    <row r="106" spans="1:49" ht="19.2" x14ac:dyDescent="0.4">
      <c r="A106" s="5" t="s">
        <v>220</v>
      </c>
      <c r="B106" s="5" t="s">
        <v>336</v>
      </c>
      <c r="C106" s="5">
        <v>378409</v>
      </c>
      <c r="D106" s="6"/>
      <c r="E106" s="5" t="s">
        <v>16</v>
      </c>
      <c r="F106" s="5" t="s">
        <v>226</v>
      </c>
      <c r="G106" s="5" t="s">
        <v>227</v>
      </c>
      <c r="H106" s="7" t="s">
        <v>11</v>
      </c>
      <c r="I106" s="7" t="s">
        <v>337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7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110</v>
      </c>
      <c r="AF106" s="8">
        <v>10800</v>
      </c>
      <c r="AG106" s="7">
        <v>200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33</v>
      </c>
      <c r="AS106" s="8">
        <v>3300</v>
      </c>
      <c r="AT106" s="7">
        <v>0</v>
      </c>
      <c r="AU106" s="10">
        <v>14300</v>
      </c>
      <c r="AV106" s="15">
        <f t="shared" si="2"/>
        <v>14300</v>
      </c>
      <c r="AW106" s="16">
        <f t="shared" si="3"/>
        <v>10010</v>
      </c>
    </row>
    <row r="107" spans="1:49" ht="19.2" x14ac:dyDescent="0.4">
      <c r="A107" s="5" t="s">
        <v>220</v>
      </c>
      <c r="B107" s="5" t="s">
        <v>165</v>
      </c>
      <c r="C107" s="5">
        <v>407733</v>
      </c>
      <c r="D107" s="6"/>
      <c r="E107" s="5" t="s">
        <v>16</v>
      </c>
      <c r="F107" s="5" t="s">
        <v>17</v>
      </c>
      <c r="G107" s="5" t="s">
        <v>13</v>
      </c>
      <c r="H107" s="7" t="s">
        <v>8</v>
      </c>
      <c r="I107" s="7" t="s">
        <v>166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9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130</v>
      </c>
      <c r="AF107" s="8">
        <v>11300</v>
      </c>
      <c r="AG107" s="8">
        <v>1700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10">
        <v>13000</v>
      </c>
      <c r="AV107" s="15">
        <f t="shared" si="2"/>
        <v>13000</v>
      </c>
      <c r="AW107" s="16">
        <f t="shared" si="3"/>
        <v>9100</v>
      </c>
    </row>
    <row r="108" spans="1:49" ht="19.2" x14ac:dyDescent="0.4">
      <c r="A108" s="5" t="s">
        <v>220</v>
      </c>
      <c r="B108" s="5" t="s">
        <v>338</v>
      </c>
      <c r="C108" s="5">
        <v>392673</v>
      </c>
      <c r="D108" s="6"/>
      <c r="E108" s="5" t="s">
        <v>16</v>
      </c>
      <c r="F108" s="5" t="s">
        <v>243</v>
      </c>
      <c r="G108" s="5" t="s">
        <v>227</v>
      </c>
      <c r="H108" s="7" t="s">
        <v>11</v>
      </c>
      <c r="I108" s="7" t="s">
        <v>339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4</v>
      </c>
      <c r="AF108" s="8">
        <v>12800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10">
        <v>12800</v>
      </c>
      <c r="AV108" s="15">
        <f t="shared" si="2"/>
        <v>12800</v>
      </c>
      <c r="AW108" s="16">
        <f t="shared" si="3"/>
        <v>8960</v>
      </c>
    </row>
    <row r="109" spans="1:49" ht="19.2" x14ac:dyDescent="0.4">
      <c r="A109" s="5" t="s">
        <v>220</v>
      </c>
      <c r="B109" s="5" t="s">
        <v>199</v>
      </c>
      <c r="C109" s="5">
        <v>422374</v>
      </c>
      <c r="D109" s="6"/>
      <c r="E109" s="5" t="s">
        <v>16</v>
      </c>
      <c r="F109" s="5" t="s">
        <v>192</v>
      </c>
      <c r="G109" s="5" t="s">
        <v>13</v>
      </c>
      <c r="H109" s="7" t="s">
        <v>8</v>
      </c>
      <c r="I109" s="7" t="s">
        <v>185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4</v>
      </c>
      <c r="AF109" s="8">
        <v>12800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10">
        <v>12800</v>
      </c>
      <c r="AV109" s="15">
        <f t="shared" si="2"/>
        <v>12800</v>
      </c>
      <c r="AW109" s="16">
        <f t="shared" si="3"/>
        <v>8960</v>
      </c>
    </row>
    <row r="110" spans="1:49" ht="19.2" x14ac:dyDescent="0.4">
      <c r="A110" s="5" t="s">
        <v>220</v>
      </c>
      <c r="B110" s="5" t="s">
        <v>340</v>
      </c>
      <c r="C110" s="5">
        <v>356295</v>
      </c>
      <c r="D110" s="6"/>
      <c r="E110" s="5" t="s">
        <v>16</v>
      </c>
      <c r="F110" s="5" t="s">
        <v>238</v>
      </c>
      <c r="G110" s="5" t="s">
        <v>227</v>
      </c>
      <c r="H110" s="7" t="s">
        <v>11</v>
      </c>
      <c r="I110" s="7" t="s">
        <v>341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8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119</v>
      </c>
      <c r="AF110" s="8">
        <v>9500</v>
      </c>
      <c r="AG110" s="8">
        <v>2400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9</v>
      </c>
      <c r="AS110" s="7">
        <v>900</v>
      </c>
      <c r="AT110" s="7">
        <v>0</v>
      </c>
      <c r="AU110" s="10">
        <v>12800</v>
      </c>
      <c r="AV110" s="15">
        <f t="shared" si="2"/>
        <v>12800</v>
      </c>
      <c r="AW110" s="16">
        <f t="shared" si="3"/>
        <v>8960</v>
      </c>
    </row>
    <row r="111" spans="1:49" ht="19.2" x14ac:dyDescent="0.4">
      <c r="A111" s="5" t="s">
        <v>220</v>
      </c>
      <c r="B111" s="5" t="s">
        <v>63</v>
      </c>
      <c r="C111" s="5">
        <v>410142</v>
      </c>
      <c r="D111" s="6"/>
      <c r="E111" s="5" t="s">
        <v>16</v>
      </c>
      <c r="F111" s="5" t="s">
        <v>47</v>
      </c>
      <c r="G111" s="5" t="s">
        <v>13</v>
      </c>
      <c r="H111" s="7" t="s">
        <v>8</v>
      </c>
      <c r="I111" s="7" t="s">
        <v>14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4</v>
      </c>
      <c r="AF111" s="8">
        <v>9900</v>
      </c>
      <c r="AG111" s="8">
        <v>2900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10">
        <v>12800</v>
      </c>
      <c r="AV111" s="15">
        <f t="shared" si="2"/>
        <v>12800</v>
      </c>
      <c r="AW111" s="16">
        <f t="shared" ref="AW111:AW121" si="4">AV111*70%</f>
        <v>8960</v>
      </c>
    </row>
    <row r="112" spans="1:49" ht="19.2" x14ac:dyDescent="0.4">
      <c r="A112" s="5" t="s">
        <v>220</v>
      </c>
      <c r="B112" s="5" t="s">
        <v>205</v>
      </c>
      <c r="C112" s="5">
        <v>462361</v>
      </c>
      <c r="D112" s="6"/>
      <c r="E112" s="5" t="s">
        <v>16</v>
      </c>
      <c r="F112" s="5" t="s">
        <v>179</v>
      </c>
      <c r="G112" s="5" t="s">
        <v>13</v>
      </c>
      <c r="H112" s="7" t="s">
        <v>8</v>
      </c>
      <c r="I112" s="7" t="s">
        <v>206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4</v>
      </c>
      <c r="AF112" s="8">
        <v>12800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10">
        <v>12800</v>
      </c>
      <c r="AV112" s="15">
        <f t="shared" si="2"/>
        <v>12800</v>
      </c>
      <c r="AW112" s="16">
        <f t="shared" si="4"/>
        <v>8960</v>
      </c>
    </row>
    <row r="113" spans="1:49" ht="19.2" x14ac:dyDescent="0.4">
      <c r="A113" s="5" t="s">
        <v>220</v>
      </c>
      <c r="B113" s="5" t="s">
        <v>196</v>
      </c>
      <c r="C113" s="5">
        <v>458568</v>
      </c>
      <c r="D113" s="6"/>
      <c r="E113" s="5" t="s">
        <v>16</v>
      </c>
      <c r="F113" s="5" t="s">
        <v>17</v>
      </c>
      <c r="G113" s="5" t="s">
        <v>13</v>
      </c>
      <c r="H113" s="7" t="s">
        <v>8</v>
      </c>
      <c r="I113" s="7" t="s">
        <v>190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3</v>
      </c>
      <c r="AF113" s="8">
        <v>9600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10">
        <v>9600</v>
      </c>
      <c r="AV113" s="15">
        <f t="shared" si="2"/>
        <v>9600</v>
      </c>
      <c r="AW113" s="16">
        <f t="shared" si="4"/>
        <v>6720</v>
      </c>
    </row>
    <row r="114" spans="1:49" ht="28.8" x14ac:dyDescent="0.4">
      <c r="A114" s="5" t="s">
        <v>220</v>
      </c>
      <c r="B114" s="5" t="s">
        <v>195</v>
      </c>
      <c r="C114" s="5">
        <v>408588</v>
      </c>
      <c r="D114" s="6"/>
      <c r="E114" s="5" t="s">
        <v>16</v>
      </c>
      <c r="F114" s="5" t="s">
        <v>186</v>
      </c>
      <c r="G114" s="5" t="s">
        <v>13</v>
      </c>
      <c r="H114" s="7" t="s">
        <v>8</v>
      </c>
      <c r="I114" s="7" t="s">
        <v>35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2</v>
      </c>
      <c r="AF114" s="8">
        <v>2100</v>
      </c>
      <c r="AG114" s="8">
        <v>4300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1</v>
      </c>
      <c r="AS114" s="8">
        <v>3200</v>
      </c>
      <c r="AT114" s="7">
        <v>0</v>
      </c>
      <c r="AU114" s="10">
        <v>9600</v>
      </c>
      <c r="AV114" s="15">
        <f t="shared" si="2"/>
        <v>9600</v>
      </c>
      <c r="AW114" s="16">
        <f t="shared" si="4"/>
        <v>6720</v>
      </c>
    </row>
    <row r="115" spans="1:49" ht="19.2" x14ac:dyDescent="0.4">
      <c r="A115" s="5" t="s">
        <v>220</v>
      </c>
      <c r="B115" s="5" t="s">
        <v>342</v>
      </c>
      <c r="C115" s="5">
        <v>430085</v>
      </c>
      <c r="D115" s="6"/>
      <c r="E115" s="5" t="s">
        <v>16</v>
      </c>
      <c r="F115" s="5" t="s">
        <v>55</v>
      </c>
      <c r="G115" s="5" t="s">
        <v>13</v>
      </c>
      <c r="H115" s="7" t="s">
        <v>12</v>
      </c>
      <c r="I115" s="7" t="s">
        <v>343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2</v>
      </c>
      <c r="AF115" s="8">
        <v>6400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1</v>
      </c>
      <c r="AS115" s="8">
        <v>3200</v>
      </c>
      <c r="AT115" s="7">
        <v>0</v>
      </c>
      <c r="AU115" s="10">
        <v>9600</v>
      </c>
      <c r="AV115" s="15">
        <f t="shared" si="2"/>
        <v>9600</v>
      </c>
      <c r="AW115" s="16">
        <f t="shared" si="4"/>
        <v>6720</v>
      </c>
    </row>
    <row r="116" spans="1:49" ht="28.8" x14ac:dyDescent="0.4">
      <c r="A116" s="5" t="s">
        <v>220</v>
      </c>
      <c r="B116" s="5" t="s">
        <v>344</v>
      </c>
      <c r="C116" s="5">
        <v>332138</v>
      </c>
      <c r="D116" s="6"/>
      <c r="E116" s="5" t="s">
        <v>16</v>
      </c>
      <c r="F116" s="5" t="s">
        <v>345</v>
      </c>
      <c r="G116" s="5" t="s">
        <v>227</v>
      </c>
      <c r="H116" s="7" t="s">
        <v>12</v>
      </c>
      <c r="I116" s="7" t="s">
        <v>341</v>
      </c>
      <c r="J116" s="7">
        <v>15</v>
      </c>
      <c r="K116" s="7">
        <v>0</v>
      </c>
      <c r="L116" s="8">
        <v>1500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6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80</v>
      </c>
      <c r="AF116" s="7">
        <v>700</v>
      </c>
      <c r="AG116" s="8">
        <v>7300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10">
        <v>9500</v>
      </c>
      <c r="AV116" s="15">
        <f t="shared" si="2"/>
        <v>9500</v>
      </c>
      <c r="AW116" s="16">
        <f t="shared" si="4"/>
        <v>6650</v>
      </c>
    </row>
    <row r="117" spans="1:49" ht="19.2" x14ac:dyDescent="0.4">
      <c r="A117" s="5" t="s">
        <v>220</v>
      </c>
      <c r="B117" s="5" t="s">
        <v>346</v>
      </c>
      <c r="C117" s="5">
        <v>415993</v>
      </c>
      <c r="D117" s="6"/>
      <c r="E117" s="5" t="s">
        <v>16</v>
      </c>
      <c r="F117" s="5" t="s">
        <v>218</v>
      </c>
      <c r="G117" s="5" t="s">
        <v>13</v>
      </c>
      <c r="H117" s="7" t="s">
        <v>8</v>
      </c>
      <c r="I117" s="7" t="s">
        <v>246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3</v>
      </c>
      <c r="AF117" s="8">
        <v>9000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10">
        <v>9000</v>
      </c>
      <c r="AV117" s="15">
        <f t="shared" si="2"/>
        <v>9000</v>
      </c>
      <c r="AW117" s="16">
        <f t="shared" si="4"/>
        <v>6300</v>
      </c>
    </row>
    <row r="118" spans="1:49" ht="19.2" x14ac:dyDescent="0.4">
      <c r="A118" s="5" t="s">
        <v>220</v>
      </c>
      <c r="B118" s="5" t="s">
        <v>347</v>
      </c>
      <c r="C118" s="5">
        <v>427091</v>
      </c>
      <c r="D118" s="6"/>
      <c r="E118" s="5" t="s">
        <v>16</v>
      </c>
      <c r="F118" s="5" t="s">
        <v>238</v>
      </c>
      <c r="G118" s="5" t="s">
        <v>227</v>
      </c>
      <c r="H118" s="7" t="s">
        <v>11</v>
      </c>
      <c r="I118" s="7" t="s">
        <v>348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4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90</v>
      </c>
      <c r="AF118" s="8">
        <v>5800</v>
      </c>
      <c r="AG118" s="8">
        <v>3200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10">
        <v>9000</v>
      </c>
      <c r="AV118" s="15">
        <f t="shared" si="2"/>
        <v>9000</v>
      </c>
      <c r="AW118" s="16">
        <f t="shared" si="4"/>
        <v>6300</v>
      </c>
    </row>
    <row r="119" spans="1:49" ht="19.2" x14ac:dyDescent="0.4">
      <c r="A119" s="5" t="s">
        <v>220</v>
      </c>
      <c r="B119" s="5" t="s">
        <v>349</v>
      </c>
      <c r="C119" s="5">
        <v>358202</v>
      </c>
      <c r="D119" s="6"/>
      <c r="E119" s="5" t="s">
        <v>16</v>
      </c>
      <c r="F119" s="5" t="s">
        <v>290</v>
      </c>
      <c r="G119" s="5" t="s">
        <v>227</v>
      </c>
      <c r="H119" s="7" t="s">
        <v>11</v>
      </c>
      <c r="I119" s="7" t="s">
        <v>350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90</v>
      </c>
      <c r="AF119" s="8">
        <v>7000</v>
      </c>
      <c r="AG119" s="8">
        <v>2000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10">
        <v>9000</v>
      </c>
      <c r="AV119" s="15">
        <f t="shared" si="2"/>
        <v>9000</v>
      </c>
      <c r="AW119" s="16">
        <f t="shared" si="4"/>
        <v>6300</v>
      </c>
    </row>
    <row r="120" spans="1:49" ht="19.2" x14ac:dyDescent="0.4">
      <c r="A120" s="5" t="s">
        <v>220</v>
      </c>
      <c r="B120" s="5" t="s">
        <v>351</v>
      </c>
      <c r="C120" s="5">
        <v>353981</v>
      </c>
      <c r="D120" s="6"/>
      <c r="E120" s="5" t="s">
        <v>16</v>
      </c>
      <c r="F120" s="5" t="s">
        <v>352</v>
      </c>
      <c r="G120" s="5" t="s">
        <v>227</v>
      </c>
      <c r="H120" s="7" t="s">
        <v>11</v>
      </c>
      <c r="I120" s="7" t="s">
        <v>353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89</v>
      </c>
      <c r="AF120" s="8">
        <v>6900</v>
      </c>
      <c r="AG120" s="8">
        <v>2000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10">
        <v>8900</v>
      </c>
      <c r="AV120" s="15">
        <f t="shared" si="2"/>
        <v>8900</v>
      </c>
      <c r="AW120" s="16">
        <f t="shared" si="4"/>
        <v>6230</v>
      </c>
    </row>
    <row r="121" spans="1:49" ht="19.2" x14ac:dyDescent="0.4">
      <c r="A121" s="5" t="s">
        <v>220</v>
      </c>
      <c r="B121" s="5" t="s">
        <v>77</v>
      </c>
      <c r="C121" s="5">
        <v>419744</v>
      </c>
      <c r="D121" s="6"/>
      <c r="E121" s="5" t="s">
        <v>16</v>
      </c>
      <c r="F121" s="5" t="s">
        <v>78</v>
      </c>
      <c r="G121" s="5" t="s">
        <v>13</v>
      </c>
      <c r="H121" s="7" t="s">
        <v>8</v>
      </c>
      <c r="I121" s="7" t="s">
        <v>160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1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86</v>
      </c>
      <c r="AF121" s="7">
        <v>700</v>
      </c>
      <c r="AG121" s="8">
        <v>7900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10">
        <v>8600</v>
      </c>
      <c r="AV121" s="15">
        <f t="shared" si="2"/>
        <v>8600</v>
      </c>
      <c r="AW121" s="16">
        <f t="shared" si="4"/>
        <v>6020</v>
      </c>
    </row>
    <row r="122" spans="1:49" ht="19.2" x14ac:dyDescent="0.4">
      <c r="A122" s="5" t="s">
        <v>220</v>
      </c>
      <c r="B122" s="5" t="s">
        <v>177</v>
      </c>
      <c r="C122" s="5">
        <v>450457</v>
      </c>
      <c r="D122" s="6"/>
      <c r="E122" s="5" t="s">
        <v>16</v>
      </c>
      <c r="F122" s="5" t="s">
        <v>178</v>
      </c>
      <c r="G122" s="5" t="s">
        <v>13</v>
      </c>
      <c r="H122" s="7" t="s">
        <v>8</v>
      </c>
      <c r="I122" s="7" t="s">
        <v>354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83</v>
      </c>
      <c r="AF122" s="8">
        <v>7000</v>
      </c>
      <c r="AG122" s="8">
        <v>1300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1</v>
      </c>
      <c r="AS122" s="7">
        <v>100</v>
      </c>
      <c r="AT122" s="7">
        <v>0</v>
      </c>
      <c r="AU122" s="10">
        <v>8400</v>
      </c>
      <c r="AV122" s="15">
        <f t="shared" si="2"/>
        <v>8400</v>
      </c>
      <c r="AW122" s="16">
        <f t="shared" ref="AW122:AW160" si="5">AV122*70%</f>
        <v>5880</v>
      </c>
    </row>
    <row r="123" spans="1:49" ht="19.2" x14ac:dyDescent="0.4">
      <c r="A123" s="5" t="s">
        <v>220</v>
      </c>
      <c r="B123" s="5" t="s">
        <v>355</v>
      </c>
      <c r="C123" s="5">
        <v>341374</v>
      </c>
      <c r="D123" s="6"/>
      <c r="E123" s="5" t="s">
        <v>16</v>
      </c>
      <c r="F123" s="5" t="s">
        <v>267</v>
      </c>
      <c r="G123" s="5" t="s">
        <v>227</v>
      </c>
      <c r="H123" s="7" t="s">
        <v>11</v>
      </c>
      <c r="I123" s="7" t="s">
        <v>356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84</v>
      </c>
      <c r="AF123" s="8">
        <v>4900</v>
      </c>
      <c r="AG123" s="8">
        <v>3500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10">
        <v>8400</v>
      </c>
      <c r="AV123" s="15">
        <f t="shared" si="2"/>
        <v>8400</v>
      </c>
      <c r="AW123" s="16">
        <f t="shared" si="5"/>
        <v>5880</v>
      </c>
    </row>
    <row r="124" spans="1:49" ht="19.2" x14ac:dyDescent="0.4">
      <c r="A124" s="5" t="s">
        <v>220</v>
      </c>
      <c r="B124" s="5" t="s">
        <v>357</v>
      </c>
      <c r="C124" s="5">
        <v>360524</v>
      </c>
      <c r="D124" s="6"/>
      <c r="E124" s="5" t="s">
        <v>16</v>
      </c>
      <c r="F124" s="5" t="s">
        <v>238</v>
      </c>
      <c r="G124" s="5" t="s">
        <v>227</v>
      </c>
      <c r="H124" s="7" t="s">
        <v>122</v>
      </c>
      <c r="I124" s="7" t="s">
        <v>358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2</v>
      </c>
      <c r="AF124" s="8">
        <v>4000</v>
      </c>
      <c r="AG124" s="8">
        <v>4000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10">
        <v>8000</v>
      </c>
      <c r="AV124" s="15">
        <f t="shared" si="2"/>
        <v>8000</v>
      </c>
      <c r="AW124" s="16">
        <f t="shared" si="5"/>
        <v>5600</v>
      </c>
    </row>
    <row r="125" spans="1:49" ht="19.2" x14ac:dyDescent="0.4">
      <c r="A125" s="5" t="s">
        <v>220</v>
      </c>
      <c r="B125" s="5" t="s">
        <v>359</v>
      </c>
      <c r="C125" s="5">
        <v>415992</v>
      </c>
      <c r="D125" s="6"/>
      <c r="E125" s="5" t="s">
        <v>16</v>
      </c>
      <c r="F125" s="5" t="s">
        <v>238</v>
      </c>
      <c r="G125" s="5" t="s">
        <v>227</v>
      </c>
      <c r="H125" s="7" t="s">
        <v>11</v>
      </c>
      <c r="I125" s="7" t="s">
        <v>360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79</v>
      </c>
      <c r="AF125" s="8">
        <v>6500</v>
      </c>
      <c r="AG125" s="8">
        <v>1400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10">
        <v>7900</v>
      </c>
      <c r="AV125" s="15">
        <f t="shared" si="2"/>
        <v>7900</v>
      </c>
      <c r="AW125" s="16">
        <f t="shared" si="5"/>
        <v>5530</v>
      </c>
    </row>
    <row r="126" spans="1:49" ht="19.2" x14ac:dyDescent="0.4">
      <c r="A126" s="5" t="s">
        <v>220</v>
      </c>
      <c r="B126" s="5" t="s">
        <v>361</v>
      </c>
      <c r="C126" s="5">
        <v>416195</v>
      </c>
      <c r="D126" s="6"/>
      <c r="E126" s="5" t="s">
        <v>16</v>
      </c>
      <c r="F126" s="5" t="s">
        <v>231</v>
      </c>
      <c r="G126" s="5" t="s">
        <v>227</v>
      </c>
      <c r="H126" s="7" t="s">
        <v>122</v>
      </c>
      <c r="I126" s="7" t="s">
        <v>246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2</v>
      </c>
      <c r="AF126" s="8">
        <v>7600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10">
        <v>7600</v>
      </c>
      <c r="AV126" s="15">
        <f t="shared" si="2"/>
        <v>7600</v>
      </c>
      <c r="AW126" s="16">
        <f t="shared" si="5"/>
        <v>5320</v>
      </c>
    </row>
    <row r="127" spans="1:49" ht="19.2" x14ac:dyDescent="0.4">
      <c r="A127" s="5" t="s">
        <v>220</v>
      </c>
      <c r="B127" s="5" t="s">
        <v>362</v>
      </c>
      <c r="C127" s="5">
        <v>328894</v>
      </c>
      <c r="D127" s="6"/>
      <c r="E127" s="5" t="s">
        <v>16</v>
      </c>
      <c r="F127" s="5" t="s">
        <v>321</v>
      </c>
      <c r="G127" s="5" t="s">
        <v>227</v>
      </c>
      <c r="H127" s="7" t="s">
        <v>11</v>
      </c>
      <c r="I127" s="7" t="s">
        <v>363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4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71</v>
      </c>
      <c r="AF127" s="8">
        <v>7000</v>
      </c>
      <c r="AG127" s="7">
        <v>100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2</v>
      </c>
      <c r="AS127" s="7">
        <v>200</v>
      </c>
      <c r="AT127" s="7">
        <v>0</v>
      </c>
      <c r="AU127" s="10">
        <v>7300</v>
      </c>
      <c r="AV127" s="15">
        <f t="shared" si="2"/>
        <v>7300</v>
      </c>
      <c r="AW127" s="16">
        <f t="shared" si="5"/>
        <v>5110</v>
      </c>
    </row>
    <row r="128" spans="1:49" ht="19.2" x14ac:dyDescent="0.4">
      <c r="A128" s="5" t="s">
        <v>220</v>
      </c>
      <c r="B128" s="5" t="s">
        <v>364</v>
      </c>
      <c r="C128" s="5">
        <v>318636</v>
      </c>
      <c r="D128" s="6"/>
      <c r="E128" s="5" t="s">
        <v>16</v>
      </c>
      <c r="F128" s="5" t="s">
        <v>365</v>
      </c>
      <c r="G128" s="5" t="s">
        <v>227</v>
      </c>
      <c r="H128" s="7" t="s">
        <v>11</v>
      </c>
      <c r="I128" s="7" t="s">
        <v>366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70</v>
      </c>
      <c r="AF128" s="8">
        <v>3800</v>
      </c>
      <c r="AG128" s="8">
        <v>3200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10">
        <v>7000</v>
      </c>
      <c r="AV128" s="15">
        <f t="shared" si="2"/>
        <v>7000</v>
      </c>
      <c r="AW128" s="16">
        <f t="shared" si="5"/>
        <v>4900</v>
      </c>
    </row>
    <row r="129" spans="1:49" ht="19.2" x14ac:dyDescent="0.4">
      <c r="A129" s="5" t="s">
        <v>220</v>
      </c>
      <c r="B129" s="5" t="s">
        <v>367</v>
      </c>
      <c r="C129" s="5">
        <v>356294</v>
      </c>
      <c r="D129" s="6"/>
      <c r="E129" s="5" t="s">
        <v>16</v>
      </c>
      <c r="F129" s="5" t="s">
        <v>238</v>
      </c>
      <c r="G129" s="5" t="s">
        <v>227</v>
      </c>
      <c r="H129" s="7" t="s">
        <v>11</v>
      </c>
      <c r="I129" s="7" t="s">
        <v>341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70</v>
      </c>
      <c r="AF129" s="8">
        <v>7000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10">
        <v>7000</v>
      </c>
      <c r="AV129" s="15">
        <f t="shared" si="2"/>
        <v>7000</v>
      </c>
      <c r="AW129" s="16">
        <f t="shared" si="5"/>
        <v>4900</v>
      </c>
    </row>
    <row r="130" spans="1:49" ht="19.2" x14ac:dyDescent="0.4">
      <c r="A130" s="5" t="s">
        <v>220</v>
      </c>
      <c r="B130" s="5" t="s">
        <v>368</v>
      </c>
      <c r="C130" s="5">
        <v>355320</v>
      </c>
      <c r="D130" s="6"/>
      <c r="E130" s="5" t="s">
        <v>16</v>
      </c>
      <c r="F130" s="5" t="s">
        <v>369</v>
      </c>
      <c r="G130" s="5" t="s">
        <v>227</v>
      </c>
      <c r="H130" s="7" t="s">
        <v>11</v>
      </c>
      <c r="I130" s="7" t="s">
        <v>324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68</v>
      </c>
      <c r="AF130" s="8">
        <v>6800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10">
        <v>6800</v>
      </c>
      <c r="AV130" s="15">
        <f t="shared" si="2"/>
        <v>6800</v>
      </c>
      <c r="AW130" s="16">
        <f t="shared" si="5"/>
        <v>4760</v>
      </c>
    </row>
    <row r="131" spans="1:49" ht="19.2" x14ac:dyDescent="0.4">
      <c r="A131" s="5" t="s">
        <v>220</v>
      </c>
      <c r="B131" s="5" t="s">
        <v>130</v>
      </c>
      <c r="C131" s="5">
        <v>157002</v>
      </c>
      <c r="D131" s="6" t="s">
        <v>131</v>
      </c>
      <c r="E131" s="5" t="s">
        <v>16</v>
      </c>
      <c r="F131" s="5" t="s">
        <v>17</v>
      </c>
      <c r="G131" s="5" t="s">
        <v>13</v>
      </c>
      <c r="H131" s="7" t="s">
        <v>8</v>
      </c>
      <c r="I131" s="7" t="s">
        <v>132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65</v>
      </c>
      <c r="AF131" s="8">
        <v>5700</v>
      </c>
      <c r="AG131" s="7">
        <v>800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10">
        <v>6500</v>
      </c>
      <c r="AV131" s="15">
        <f t="shared" ref="AV131:AV163" si="6">AU131-AN131</f>
        <v>6500</v>
      </c>
      <c r="AW131" s="16">
        <f t="shared" si="5"/>
        <v>4550</v>
      </c>
    </row>
    <row r="132" spans="1:49" ht="28.8" x14ac:dyDescent="0.4">
      <c r="A132" s="5" t="s">
        <v>220</v>
      </c>
      <c r="B132" s="5" t="s">
        <v>370</v>
      </c>
      <c r="C132" s="5">
        <v>416378</v>
      </c>
      <c r="D132" s="6"/>
      <c r="E132" s="5" t="s">
        <v>16</v>
      </c>
      <c r="F132" s="5" t="s">
        <v>262</v>
      </c>
      <c r="G132" s="5" t="s">
        <v>227</v>
      </c>
      <c r="H132" s="7" t="s">
        <v>11</v>
      </c>
      <c r="I132" s="7" t="s">
        <v>371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64</v>
      </c>
      <c r="AF132" s="8">
        <v>6400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10">
        <v>6400</v>
      </c>
      <c r="AV132" s="15">
        <f t="shared" si="6"/>
        <v>6400</v>
      </c>
      <c r="AW132" s="16">
        <f t="shared" si="5"/>
        <v>4480</v>
      </c>
    </row>
    <row r="133" spans="1:49" ht="28.8" x14ac:dyDescent="0.4">
      <c r="A133" s="5" t="s">
        <v>220</v>
      </c>
      <c r="B133" s="5" t="s">
        <v>372</v>
      </c>
      <c r="C133" s="5">
        <v>391008</v>
      </c>
      <c r="D133" s="6"/>
      <c r="E133" s="5" t="s">
        <v>16</v>
      </c>
      <c r="F133" s="5" t="s">
        <v>262</v>
      </c>
      <c r="G133" s="5" t="s">
        <v>227</v>
      </c>
      <c r="H133" s="7" t="s">
        <v>11</v>
      </c>
      <c r="I133" s="7" t="s">
        <v>373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6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64</v>
      </c>
      <c r="AF133" s="8">
        <v>6400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10">
        <v>6400</v>
      </c>
      <c r="AV133" s="15">
        <f t="shared" si="6"/>
        <v>6400</v>
      </c>
      <c r="AW133" s="16">
        <f t="shared" si="5"/>
        <v>4480</v>
      </c>
    </row>
    <row r="134" spans="1:49" ht="19.2" x14ac:dyDescent="0.4">
      <c r="A134" s="5" t="s">
        <v>220</v>
      </c>
      <c r="B134" s="5" t="s">
        <v>61</v>
      </c>
      <c r="C134" s="5">
        <v>391329</v>
      </c>
      <c r="D134" s="6"/>
      <c r="E134" s="5" t="s">
        <v>16</v>
      </c>
      <c r="F134" s="5" t="s">
        <v>19</v>
      </c>
      <c r="G134" s="5" t="s">
        <v>13</v>
      </c>
      <c r="H134" s="7" t="s">
        <v>8</v>
      </c>
      <c r="I134" s="7" t="s">
        <v>62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2</v>
      </c>
      <c r="AF134" s="8">
        <v>6400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10">
        <v>6400</v>
      </c>
      <c r="AV134" s="15">
        <f t="shared" si="6"/>
        <v>6400</v>
      </c>
      <c r="AW134" s="16">
        <f t="shared" si="5"/>
        <v>4480</v>
      </c>
    </row>
    <row r="135" spans="1:49" ht="19.2" x14ac:dyDescent="0.4">
      <c r="A135" s="5" t="s">
        <v>220</v>
      </c>
      <c r="B135" s="5" t="s">
        <v>374</v>
      </c>
      <c r="C135" s="5">
        <v>458432</v>
      </c>
      <c r="D135" s="6"/>
      <c r="E135" s="5" t="s">
        <v>16</v>
      </c>
      <c r="F135" s="5" t="s">
        <v>267</v>
      </c>
      <c r="G135" s="5" t="s">
        <v>227</v>
      </c>
      <c r="H135" s="7" t="s">
        <v>122</v>
      </c>
      <c r="I135" s="7" t="s">
        <v>375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2</v>
      </c>
      <c r="AF135" s="8">
        <v>3000</v>
      </c>
      <c r="AG135" s="8">
        <v>3000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10">
        <v>6000</v>
      </c>
      <c r="AV135" s="15">
        <f t="shared" si="6"/>
        <v>6000</v>
      </c>
      <c r="AW135" s="16">
        <f t="shared" si="5"/>
        <v>4200</v>
      </c>
    </row>
    <row r="136" spans="1:49" ht="19.2" x14ac:dyDescent="0.4">
      <c r="A136" s="5" t="s">
        <v>220</v>
      </c>
      <c r="B136" s="5" t="s">
        <v>376</v>
      </c>
      <c r="C136" s="5">
        <v>431788</v>
      </c>
      <c r="D136" s="6"/>
      <c r="E136" s="5" t="s">
        <v>16</v>
      </c>
      <c r="F136" s="5" t="s">
        <v>267</v>
      </c>
      <c r="G136" s="5" t="s">
        <v>227</v>
      </c>
      <c r="H136" s="7" t="s">
        <v>122</v>
      </c>
      <c r="I136" s="7" t="s">
        <v>377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2</v>
      </c>
      <c r="AF136" s="8">
        <v>6000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10">
        <v>6000</v>
      </c>
      <c r="AV136" s="15">
        <f t="shared" si="6"/>
        <v>6000</v>
      </c>
      <c r="AW136" s="16">
        <f t="shared" si="5"/>
        <v>4200</v>
      </c>
    </row>
    <row r="137" spans="1:49" ht="19.2" x14ac:dyDescent="0.4">
      <c r="A137" s="5" t="s">
        <v>220</v>
      </c>
      <c r="B137" s="5" t="s">
        <v>378</v>
      </c>
      <c r="C137" s="5">
        <v>360192</v>
      </c>
      <c r="D137" s="6"/>
      <c r="E137" s="5" t="s">
        <v>16</v>
      </c>
      <c r="F137" s="5" t="s">
        <v>379</v>
      </c>
      <c r="G137" s="5" t="s">
        <v>227</v>
      </c>
      <c r="H137" s="7" t="s">
        <v>11</v>
      </c>
      <c r="I137" s="7" t="s">
        <v>358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59</v>
      </c>
      <c r="AF137" s="8">
        <v>5900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10">
        <v>5900</v>
      </c>
      <c r="AV137" s="15">
        <f t="shared" si="6"/>
        <v>5900</v>
      </c>
      <c r="AW137" s="16">
        <f t="shared" si="5"/>
        <v>4130</v>
      </c>
    </row>
    <row r="138" spans="1:49" ht="19.2" x14ac:dyDescent="0.4">
      <c r="A138" s="5" t="s">
        <v>220</v>
      </c>
      <c r="B138" s="5" t="s">
        <v>380</v>
      </c>
      <c r="C138" s="5">
        <v>299970</v>
      </c>
      <c r="D138" s="6"/>
      <c r="E138" s="5" t="s">
        <v>16</v>
      </c>
      <c r="F138" s="5" t="s">
        <v>65</v>
      </c>
      <c r="G138" s="5" t="s">
        <v>13</v>
      </c>
      <c r="H138" s="7" t="s">
        <v>8</v>
      </c>
      <c r="I138" s="7" t="s">
        <v>381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6</v>
      </c>
      <c r="AC138" s="8">
        <v>5400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10">
        <v>5400</v>
      </c>
      <c r="AV138" s="15">
        <f t="shared" si="6"/>
        <v>5400</v>
      </c>
      <c r="AW138" s="16">
        <f t="shared" si="5"/>
        <v>3779.9999999999995</v>
      </c>
    </row>
    <row r="139" spans="1:49" ht="19.2" x14ac:dyDescent="0.4">
      <c r="A139" s="5" t="s">
        <v>220</v>
      </c>
      <c r="B139" s="5" t="s">
        <v>382</v>
      </c>
      <c r="C139" s="5">
        <v>387687</v>
      </c>
      <c r="D139" s="6"/>
      <c r="E139" s="5" t="s">
        <v>16</v>
      </c>
      <c r="F139" s="5" t="s">
        <v>329</v>
      </c>
      <c r="G139" s="5" t="s">
        <v>227</v>
      </c>
      <c r="H139" s="7" t="s">
        <v>11</v>
      </c>
      <c r="I139" s="7" t="s">
        <v>383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3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53</v>
      </c>
      <c r="AF139" s="8">
        <v>5200</v>
      </c>
      <c r="AG139" s="7">
        <v>100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10">
        <v>5300</v>
      </c>
      <c r="AV139" s="15">
        <f t="shared" si="6"/>
        <v>5300</v>
      </c>
      <c r="AW139" s="16">
        <f t="shared" si="5"/>
        <v>3709.9999999999995</v>
      </c>
    </row>
    <row r="140" spans="1:49" ht="19.2" x14ac:dyDescent="0.4">
      <c r="A140" s="5" t="s">
        <v>220</v>
      </c>
      <c r="B140" s="5" t="s">
        <v>384</v>
      </c>
      <c r="C140" s="5">
        <v>407159</v>
      </c>
      <c r="D140" s="6"/>
      <c r="E140" s="5" t="s">
        <v>16</v>
      </c>
      <c r="F140" s="5" t="s">
        <v>290</v>
      </c>
      <c r="G140" s="5" t="s">
        <v>227</v>
      </c>
      <c r="H140" s="7" t="s">
        <v>11</v>
      </c>
      <c r="I140" s="7" t="s">
        <v>385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45</v>
      </c>
      <c r="AF140" s="8">
        <v>4500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10">
        <v>4500</v>
      </c>
      <c r="AV140" s="15">
        <f t="shared" si="6"/>
        <v>4500</v>
      </c>
      <c r="AW140" s="16">
        <f t="shared" si="5"/>
        <v>3150</v>
      </c>
    </row>
    <row r="141" spans="1:49" ht="19.2" x14ac:dyDescent="0.4">
      <c r="A141" s="5" t="s">
        <v>220</v>
      </c>
      <c r="B141" s="5" t="s">
        <v>386</v>
      </c>
      <c r="C141" s="5">
        <v>366144</v>
      </c>
      <c r="D141" s="6"/>
      <c r="E141" s="5" t="s">
        <v>16</v>
      </c>
      <c r="F141" s="5" t="s">
        <v>387</v>
      </c>
      <c r="G141" s="5" t="s">
        <v>227</v>
      </c>
      <c r="H141" s="7" t="s">
        <v>11</v>
      </c>
      <c r="I141" s="7" t="s">
        <v>388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44</v>
      </c>
      <c r="AF141" s="8">
        <v>3200</v>
      </c>
      <c r="AG141" s="8">
        <v>1200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10">
        <v>4400</v>
      </c>
      <c r="AV141" s="15">
        <f t="shared" si="6"/>
        <v>4400</v>
      </c>
      <c r="AW141" s="16">
        <f t="shared" si="5"/>
        <v>3080</v>
      </c>
    </row>
    <row r="142" spans="1:49" ht="19.2" x14ac:dyDescent="0.4">
      <c r="A142" s="5" t="s">
        <v>220</v>
      </c>
      <c r="B142" s="5" t="s">
        <v>117</v>
      </c>
      <c r="C142" s="5">
        <v>429538</v>
      </c>
      <c r="D142" s="6"/>
      <c r="E142" s="5" t="s">
        <v>16</v>
      </c>
      <c r="F142" s="5" t="s">
        <v>111</v>
      </c>
      <c r="G142" s="5" t="s">
        <v>13</v>
      </c>
      <c r="H142" s="7" t="s">
        <v>8</v>
      </c>
      <c r="I142" s="7" t="s">
        <v>116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4</v>
      </c>
      <c r="AF142" s="8">
        <v>3000</v>
      </c>
      <c r="AG142" s="8">
        <v>1000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10">
        <v>4000</v>
      </c>
      <c r="AV142" s="15">
        <f t="shared" si="6"/>
        <v>4000</v>
      </c>
      <c r="AW142" s="16">
        <f t="shared" si="5"/>
        <v>2800</v>
      </c>
    </row>
    <row r="143" spans="1:49" ht="19.2" x14ac:dyDescent="0.4">
      <c r="A143" s="5" t="s">
        <v>220</v>
      </c>
      <c r="B143" s="5" t="s">
        <v>389</v>
      </c>
      <c r="C143" s="5">
        <v>381684</v>
      </c>
      <c r="D143" s="6"/>
      <c r="E143" s="5" t="s">
        <v>16</v>
      </c>
      <c r="F143" s="5" t="s">
        <v>251</v>
      </c>
      <c r="G143" s="5" t="s">
        <v>227</v>
      </c>
      <c r="H143" s="7" t="s">
        <v>122</v>
      </c>
      <c r="I143" s="7" t="s">
        <v>252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1</v>
      </c>
      <c r="AS143" s="8">
        <v>3800</v>
      </c>
      <c r="AT143" s="7">
        <v>0</v>
      </c>
      <c r="AU143" s="10">
        <v>3800</v>
      </c>
      <c r="AV143" s="15">
        <f t="shared" si="6"/>
        <v>3800</v>
      </c>
      <c r="AW143" s="16">
        <f t="shared" si="5"/>
        <v>2660</v>
      </c>
    </row>
    <row r="144" spans="1:49" ht="19.2" x14ac:dyDescent="0.4">
      <c r="A144" s="5" t="s">
        <v>220</v>
      </c>
      <c r="B144" s="5" t="s">
        <v>390</v>
      </c>
      <c r="C144" s="5">
        <v>304651</v>
      </c>
      <c r="D144" s="6"/>
      <c r="E144" s="5" t="s">
        <v>16</v>
      </c>
      <c r="F144" s="5" t="s">
        <v>19</v>
      </c>
      <c r="G144" s="5" t="s">
        <v>13</v>
      </c>
      <c r="H144" s="7" t="s">
        <v>8</v>
      </c>
      <c r="I144" s="7" t="s">
        <v>391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2</v>
      </c>
      <c r="AC144" s="7">
        <v>900</v>
      </c>
      <c r="AD144" s="7">
        <v>200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3</v>
      </c>
      <c r="AP144" s="8">
        <v>2500</v>
      </c>
      <c r="AQ144" s="7">
        <v>0</v>
      </c>
      <c r="AR144" s="7">
        <v>0</v>
      </c>
      <c r="AS144" s="7">
        <v>0</v>
      </c>
      <c r="AT144" s="7">
        <v>0</v>
      </c>
      <c r="AU144" s="10">
        <v>3600</v>
      </c>
      <c r="AV144" s="15">
        <f t="shared" si="6"/>
        <v>3600</v>
      </c>
      <c r="AW144" s="16">
        <f t="shared" si="5"/>
        <v>2520</v>
      </c>
    </row>
    <row r="145" spans="1:49" ht="19.2" x14ac:dyDescent="0.4">
      <c r="A145" s="5" t="s">
        <v>220</v>
      </c>
      <c r="B145" s="5" t="s">
        <v>392</v>
      </c>
      <c r="C145" s="5">
        <v>444215</v>
      </c>
      <c r="D145" s="6"/>
      <c r="E145" s="5" t="s">
        <v>16</v>
      </c>
      <c r="F145" s="5" t="s">
        <v>352</v>
      </c>
      <c r="G145" s="5" t="s">
        <v>227</v>
      </c>
      <c r="H145" s="7" t="s">
        <v>122</v>
      </c>
      <c r="I145" s="7" t="s">
        <v>393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1</v>
      </c>
      <c r="AF145" s="8">
        <v>3400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10">
        <v>3400</v>
      </c>
      <c r="AV145" s="15">
        <f t="shared" si="6"/>
        <v>3400</v>
      </c>
      <c r="AW145" s="16">
        <f t="shared" si="5"/>
        <v>2380</v>
      </c>
    </row>
    <row r="146" spans="1:49" ht="19.2" x14ac:dyDescent="0.4">
      <c r="A146" s="5" t="s">
        <v>220</v>
      </c>
      <c r="B146" s="5" t="s">
        <v>394</v>
      </c>
      <c r="C146" s="5">
        <v>447222</v>
      </c>
      <c r="D146" s="6"/>
      <c r="E146" s="5" t="s">
        <v>16</v>
      </c>
      <c r="F146" s="5" t="s">
        <v>290</v>
      </c>
      <c r="G146" s="5" t="s">
        <v>227</v>
      </c>
      <c r="H146" s="7" t="s">
        <v>11</v>
      </c>
      <c r="I146" s="7" t="s">
        <v>395</v>
      </c>
      <c r="J146" s="7">
        <v>0</v>
      </c>
      <c r="K146" s="7">
        <v>12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27</v>
      </c>
      <c r="AF146" s="8">
        <v>1200</v>
      </c>
      <c r="AG146" s="8">
        <v>1500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6</v>
      </c>
      <c r="AS146" s="7">
        <v>600</v>
      </c>
      <c r="AT146" s="7">
        <v>0</v>
      </c>
      <c r="AU146" s="10">
        <v>3300</v>
      </c>
      <c r="AV146" s="15">
        <f t="shared" si="6"/>
        <v>3300</v>
      </c>
      <c r="AW146" s="16">
        <f t="shared" si="5"/>
        <v>2310</v>
      </c>
    </row>
    <row r="147" spans="1:49" ht="19.2" x14ac:dyDescent="0.4">
      <c r="A147" s="5" t="s">
        <v>220</v>
      </c>
      <c r="B147" s="5" t="s">
        <v>396</v>
      </c>
      <c r="C147" s="5">
        <v>457958</v>
      </c>
      <c r="D147" s="6"/>
      <c r="E147" s="5" t="s">
        <v>16</v>
      </c>
      <c r="F147" s="5" t="s">
        <v>397</v>
      </c>
      <c r="G147" s="5" t="s">
        <v>227</v>
      </c>
      <c r="H147" s="7" t="s">
        <v>11</v>
      </c>
      <c r="I147" s="7" t="s">
        <v>398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1</v>
      </c>
      <c r="AF147" s="8">
        <v>3300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10">
        <v>3300</v>
      </c>
      <c r="AV147" s="15">
        <f t="shared" si="6"/>
        <v>3300</v>
      </c>
      <c r="AW147" s="16">
        <f t="shared" si="5"/>
        <v>2310</v>
      </c>
    </row>
    <row r="148" spans="1:49" ht="19.2" x14ac:dyDescent="0.4">
      <c r="A148" s="5" t="s">
        <v>220</v>
      </c>
      <c r="B148" s="5" t="s">
        <v>399</v>
      </c>
      <c r="C148" s="5">
        <v>387972</v>
      </c>
      <c r="D148" s="6"/>
      <c r="E148" s="5" t="s">
        <v>16</v>
      </c>
      <c r="F148" s="5" t="s">
        <v>248</v>
      </c>
      <c r="G148" s="5" t="s">
        <v>227</v>
      </c>
      <c r="H148" s="7" t="s">
        <v>122</v>
      </c>
      <c r="I148" s="7" t="s">
        <v>272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1</v>
      </c>
      <c r="AF148" s="8">
        <v>3200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10">
        <v>3200</v>
      </c>
      <c r="AV148" s="15">
        <f t="shared" si="6"/>
        <v>3200</v>
      </c>
      <c r="AW148" s="16">
        <f t="shared" si="5"/>
        <v>2240</v>
      </c>
    </row>
    <row r="149" spans="1:49" ht="19.2" x14ac:dyDescent="0.4">
      <c r="A149" s="5" t="s">
        <v>220</v>
      </c>
      <c r="B149" s="5" t="s">
        <v>400</v>
      </c>
      <c r="C149" s="5">
        <v>373610</v>
      </c>
      <c r="D149" s="6"/>
      <c r="E149" s="5" t="s">
        <v>16</v>
      </c>
      <c r="F149" s="5" t="s">
        <v>401</v>
      </c>
      <c r="G149" s="5" t="s">
        <v>13</v>
      </c>
      <c r="H149" s="7" t="s">
        <v>8</v>
      </c>
      <c r="I149" s="7" t="s">
        <v>402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32</v>
      </c>
      <c r="AF149" s="8">
        <v>3200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10">
        <v>3200</v>
      </c>
      <c r="AV149" s="15">
        <f t="shared" si="6"/>
        <v>3200</v>
      </c>
      <c r="AW149" s="16">
        <f t="shared" si="5"/>
        <v>2240</v>
      </c>
    </row>
    <row r="150" spans="1:49" ht="19.2" x14ac:dyDescent="0.4">
      <c r="A150" s="5" t="s">
        <v>220</v>
      </c>
      <c r="B150" s="5" t="s">
        <v>191</v>
      </c>
      <c r="C150" s="5">
        <v>382640</v>
      </c>
      <c r="D150" s="6"/>
      <c r="E150" s="5" t="s">
        <v>16</v>
      </c>
      <c r="F150" s="5" t="s">
        <v>192</v>
      </c>
      <c r="G150" s="5" t="s">
        <v>13</v>
      </c>
      <c r="H150" s="7" t="s">
        <v>8</v>
      </c>
      <c r="I150" s="7" t="s">
        <v>193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29</v>
      </c>
      <c r="AF150" s="8">
        <v>2800</v>
      </c>
      <c r="AG150" s="7">
        <v>100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10">
        <v>2900</v>
      </c>
      <c r="AV150" s="15">
        <f t="shared" si="6"/>
        <v>2900</v>
      </c>
      <c r="AW150" s="16">
        <f t="shared" si="5"/>
        <v>2029.9999999999998</v>
      </c>
    </row>
    <row r="151" spans="1:49" ht="19.2" x14ac:dyDescent="0.4">
      <c r="A151" s="5" t="s">
        <v>220</v>
      </c>
      <c r="B151" s="5" t="s">
        <v>403</v>
      </c>
      <c r="C151" s="5">
        <v>384107</v>
      </c>
      <c r="D151" s="6"/>
      <c r="E151" s="5" t="s">
        <v>16</v>
      </c>
      <c r="F151" s="5" t="s">
        <v>404</v>
      </c>
      <c r="G151" s="5" t="s">
        <v>227</v>
      </c>
      <c r="H151" s="7" t="s">
        <v>122</v>
      </c>
      <c r="I151" s="7" t="s">
        <v>405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27</v>
      </c>
      <c r="AF151" s="8">
        <v>2700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10">
        <v>2700</v>
      </c>
      <c r="AV151" s="15">
        <f t="shared" si="6"/>
        <v>2700</v>
      </c>
      <c r="AW151" s="16">
        <f t="shared" si="5"/>
        <v>1889.9999999999998</v>
      </c>
    </row>
    <row r="152" spans="1:49" ht="19.2" x14ac:dyDescent="0.4">
      <c r="A152" s="5" t="s">
        <v>220</v>
      </c>
      <c r="B152" s="5" t="s">
        <v>142</v>
      </c>
      <c r="C152" s="5">
        <v>434853</v>
      </c>
      <c r="D152" s="6"/>
      <c r="E152" s="5" t="s">
        <v>16</v>
      </c>
      <c r="F152" s="5" t="s">
        <v>143</v>
      </c>
      <c r="G152" s="5" t="s">
        <v>13</v>
      </c>
      <c r="H152" s="7" t="s">
        <v>8</v>
      </c>
      <c r="I152" s="7" t="s">
        <v>198</v>
      </c>
      <c r="J152" s="7">
        <v>16</v>
      </c>
      <c r="K152" s="7">
        <v>0</v>
      </c>
      <c r="L152" s="8">
        <v>1600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10</v>
      </c>
      <c r="AF152" s="7">
        <v>100</v>
      </c>
      <c r="AG152" s="7">
        <v>900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10">
        <v>2600</v>
      </c>
      <c r="AV152" s="15">
        <f t="shared" si="6"/>
        <v>2600</v>
      </c>
      <c r="AW152" s="16">
        <f t="shared" si="5"/>
        <v>1819.9999999999998</v>
      </c>
    </row>
    <row r="153" spans="1:49" ht="19.2" x14ac:dyDescent="0.4">
      <c r="A153" s="5" t="s">
        <v>220</v>
      </c>
      <c r="B153" s="5" t="s">
        <v>406</v>
      </c>
      <c r="C153" s="5">
        <v>428374</v>
      </c>
      <c r="D153" s="6"/>
      <c r="E153" s="5" t="s">
        <v>16</v>
      </c>
      <c r="F153" s="5" t="s">
        <v>407</v>
      </c>
      <c r="G153" s="5" t="s">
        <v>13</v>
      </c>
      <c r="H153" s="7" t="s">
        <v>8</v>
      </c>
      <c r="I153" s="7" t="s">
        <v>103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24</v>
      </c>
      <c r="AF153" s="8">
        <v>2400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10">
        <v>2400</v>
      </c>
      <c r="AV153" s="15">
        <f t="shared" si="6"/>
        <v>2400</v>
      </c>
      <c r="AW153" s="16">
        <f t="shared" si="5"/>
        <v>1680</v>
      </c>
    </row>
    <row r="154" spans="1:49" ht="19.2" x14ac:dyDescent="0.4">
      <c r="A154" s="5" t="s">
        <v>220</v>
      </c>
      <c r="B154" s="5" t="s">
        <v>408</v>
      </c>
      <c r="C154" s="5">
        <v>327548</v>
      </c>
      <c r="D154" s="6"/>
      <c r="E154" s="5" t="s">
        <v>16</v>
      </c>
      <c r="F154" s="5" t="s">
        <v>321</v>
      </c>
      <c r="G154" s="5" t="s">
        <v>227</v>
      </c>
      <c r="H154" s="7" t="s">
        <v>11</v>
      </c>
      <c r="I154" s="7" t="s">
        <v>409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24</v>
      </c>
      <c r="AF154" s="8">
        <v>2400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10">
        <v>2400</v>
      </c>
      <c r="AV154" s="15">
        <f t="shared" si="6"/>
        <v>2400</v>
      </c>
      <c r="AW154" s="16">
        <f t="shared" si="5"/>
        <v>1680</v>
      </c>
    </row>
    <row r="155" spans="1:49" ht="19.2" x14ac:dyDescent="0.4">
      <c r="A155" s="5" t="s">
        <v>220</v>
      </c>
      <c r="B155" s="5" t="s">
        <v>410</v>
      </c>
      <c r="C155" s="5">
        <v>414120</v>
      </c>
      <c r="D155" s="6"/>
      <c r="E155" s="5" t="s">
        <v>16</v>
      </c>
      <c r="F155" s="5" t="s">
        <v>238</v>
      </c>
      <c r="G155" s="5" t="s">
        <v>227</v>
      </c>
      <c r="H155" s="7" t="s">
        <v>11</v>
      </c>
      <c r="I155" s="7" t="s">
        <v>144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2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22</v>
      </c>
      <c r="AF155" s="8">
        <v>2200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10">
        <v>2200</v>
      </c>
      <c r="AV155" s="15">
        <f t="shared" si="6"/>
        <v>2200</v>
      </c>
      <c r="AW155" s="16">
        <f t="shared" si="5"/>
        <v>1540</v>
      </c>
    </row>
    <row r="156" spans="1:49" ht="19.2" x14ac:dyDescent="0.4">
      <c r="A156" s="5" t="s">
        <v>220</v>
      </c>
      <c r="B156" s="5" t="s">
        <v>411</v>
      </c>
      <c r="C156" s="5">
        <v>452403</v>
      </c>
      <c r="D156" s="6"/>
      <c r="E156" s="5" t="s">
        <v>16</v>
      </c>
      <c r="F156" s="5" t="s">
        <v>397</v>
      </c>
      <c r="G156" s="5" t="s">
        <v>227</v>
      </c>
      <c r="H156" s="7" t="s">
        <v>11</v>
      </c>
      <c r="I156" s="7" t="s">
        <v>412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10</v>
      </c>
      <c r="AF156" s="7">
        <v>0</v>
      </c>
      <c r="AG156" s="8">
        <v>1000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12</v>
      </c>
      <c r="AS156" s="8">
        <v>1200</v>
      </c>
      <c r="AT156" s="7">
        <v>0</v>
      </c>
      <c r="AU156" s="10">
        <v>2200</v>
      </c>
      <c r="AV156" s="15">
        <f t="shared" si="6"/>
        <v>2200</v>
      </c>
      <c r="AW156" s="16">
        <f t="shared" si="5"/>
        <v>1540</v>
      </c>
    </row>
    <row r="157" spans="1:49" ht="19.2" x14ac:dyDescent="0.4">
      <c r="A157" s="5" t="s">
        <v>220</v>
      </c>
      <c r="B157" s="5" t="s">
        <v>139</v>
      </c>
      <c r="C157" s="5">
        <v>440303</v>
      </c>
      <c r="D157" s="6"/>
      <c r="E157" s="5" t="s">
        <v>16</v>
      </c>
      <c r="F157" s="5" t="s">
        <v>140</v>
      </c>
      <c r="G157" s="5" t="s">
        <v>13</v>
      </c>
      <c r="H157" s="7" t="s">
        <v>8</v>
      </c>
      <c r="I157" s="7" t="s">
        <v>167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16</v>
      </c>
      <c r="AF157" s="7">
        <v>300</v>
      </c>
      <c r="AG157" s="8">
        <v>1300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10">
        <v>1600</v>
      </c>
      <c r="AV157" s="15">
        <f t="shared" si="6"/>
        <v>1600</v>
      </c>
      <c r="AW157" s="16">
        <f t="shared" si="5"/>
        <v>1120</v>
      </c>
    </row>
    <row r="158" spans="1:49" ht="19.2" x14ac:dyDescent="0.4">
      <c r="A158" s="5" t="s">
        <v>220</v>
      </c>
      <c r="B158" s="5" t="s">
        <v>413</v>
      </c>
      <c r="C158" s="5">
        <v>392578</v>
      </c>
      <c r="D158" s="6"/>
      <c r="E158" s="5" t="s">
        <v>16</v>
      </c>
      <c r="F158" s="5" t="s">
        <v>290</v>
      </c>
      <c r="G158" s="5" t="s">
        <v>227</v>
      </c>
      <c r="H158" s="7" t="s">
        <v>122</v>
      </c>
      <c r="I158" s="7" t="s">
        <v>414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14</v>
      </c>
      <c r="AF158" s="8">
        <v>1400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10">
        <v>1400</v>
      </c>
      <c r="AV158" s="15">
        <f t="shared" si="6"/>
        <v>1400</v>
      </c>
      <c r="AW158" s="16">
        <f t="shared" si="5"/>
        <v>979.99999999999989</v>
      </c>
    </row>
    <row r="159" spans="1:49" ht="19.2" x14ac:dyDescent="0.4">
      <c r="A159" s="5" t="s">
        <v>220</v>
      </c>
      <c r="B159" s="5" t="s">
        <v>415</v>
      </c>
      <c r="C159" s="5">
        <v>336316</v>
      </c>
      <c r="D159" s="6"/>
      <c r="E159" s="5" t="s">
        <v>16</v>
      </c>
      <c r="F159" s="5" t="s">
        <v>416</v>
      </c>
      <c r="G159" s="5" t="s">
        <v>227</v>
      </c>
      <c r="H159" s="7" t="s">
        <v>11</v>
      </c>
      <c r="I159" s="7" t="s">
        <v>417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10</v>
      </c>
      <c r="AF159" s="7">
        <v>700</v>
      </c>
      <c r="AG159" s="7">
        <v>300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10">
        <v>1000</v>
      </c>
      <c r="AV159" s="15">
        <f t="shared" si="6"/>
        <v>1000</v>
      </c>
      <c r="AW159" s="16">
        <f t="shared" si="5"/>
        <v>700</v>
      </c>
    </row>
    <row r="160" spans="1:49" ht="19.2" x14ac:dyDescent="0.4">
      <c r="A160" s="5" t="s">
        <v>220</v>
      </c>
      <c r="B160" s="5" t="s">
        <v>418</v>
      </c>
      <c r="C160" s="5">
        <v>383716</v>
      </c>
      <c r="D160" s="6"/>
      <c r="E160" s="5" t="s">
        <v>16</v>
      </c>
      <c r="F160" s="5" t="s">
        <v>290</v>
      </c>
      <c r="G160" s="5" t="s">
        <v>227</v>
      </c>
      <c r="H160" s="7" t="s">
        <v>122</v>
      </c>
      <c r="I160" s="7" t="s">
        <v>405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1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9</v>
      </c>
      <c r="AF160" s="7">
        <v>900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11">
        <v>900</v>
      </c>
      <c r="AV160" s="15">
        <f t="shared" si="6"/>
        <v>900</v>
      </c>
      <c r="AW160" s="16">
        <f t="shared" si="5"/>
        <v>630</v>
      </c>
    </row>
    <row r="161" spans="1:49" ht="19.2" x14ac:dyDescent="0.4">
      <c r="A161" s="5" t="s">
        <v>220</v>
      </c>
      <c r="B161" s="5" t="s">
        <v>113</v>
      </c>
      <c r="C161" s="5">
        <v>424589</v>
      </c>
      <c r="D161" s="6"/>
      <c r="E161" s="5" t="s">
        <v>16</v>
      </c>
      <c r="F161" s="5" t="s">
        <v>114</v>
      </c>
      <c r="G161" s="5" t="s">
        <v>13</v>
      </c>
      <c r="H161" s="7" t="s">
        <v>11</v>
      </c>
      <c r="I161" s="7" t="s">
        <v>102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8</v>
      </c>
      <c r="AF161" s="7">
        <v>800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11">
        <v>800</v>
      </c>
      <c r="AV161" s="15">
        <f t="shared" si="6"/>
        <v>800</v>
      </c>
      <c r="AW161" s="16">
        <f t="shared" ref="AW161:AW163" si="7">AV161*70%</f>
        <v>560</v>
      </c>
    </row>
    <row r="162" spans="1:49" ht="19.2" x14ac:dyDescent="0.4">
      <c r="A162" s="5" t="s">
        <v>220</v>
      </c>
      <c r="B162" s="5" t="s">
        <v>419</v>
      </c>
      <c r="C162" s="5">
        <v>382325</v>
      </c>
      <c r="D162" s="6"/>
      <c r="E162" s="5" t="s">
        <v>16</v>
      </c>
      <c r="F162" s="5" t="s">
        <v>248</v>
      </c>
      <c r="G162" s="5" t="s">
        <v>227</v>
      </c>
      <c r="H162" s="7" t="s">
        <v>11</v>
      </c>
      <c r="I162" s="7" t="s">
        <v>420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7</v>
      </c>
      <c r="AF162" s="7">
        <v>700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11">
        <v>700</v>
      </c>
      <c r="AV162" s="15">
        <f t="shared" si="6"/>
        <v>700</v>
      </c>
      <c r="AW162" s="16">
        <f t="shared" si="7"/>
        <v>489.99999999999994</v>
      </c>
    </row>
    <row r="163" spans="1:49" ht="19.2" x14ac:dyDescent="0.4">
      <c r="A163" s="5" t="s">
        <v>220</v>
      </c>
      <c r="B163" s="5" t="s">
        <v>421</v>
      </c>
      <c r="C163" s="5">
        <v>407003</v>
      </c>
      <c r="D163" s="6"/>
      <c r="E163" s="5" t="s">
        <v>16</v>
      </c>
      <c r="F163" s="5" t="s">
        <v>404</v>
      </c>
      <c r="G163" s="5" t="s">
        <v>227</v>
      </c>
      <c r="H163" s="7" t="s">
        <v>122</v>
      </c>
      <c r="I163" s="7" t="s">
        <v>422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6</v>
      </c>
      <c r="AF163" s="7">
        <v>600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11">
        <v>600</v>
      </c>
      <c r="AV163" s="15">
        <f t="shared" si="6"/>
        <v>600</v>
      </c>
      <c r="AW163" s="16">
        <f t="shared" si="7"/>
        <v>420</v>
      </c>
    </row>
    <row r="164" spans="1:49" ht="19.2" x14ac:dyDescent="0.4">
      <c r="A164" s="5" t="s">
        <v>220</v>
      </c>
      <c r="B164" s="5" t="s">
        <v>423</v>
      </c>
      <c r="C164" s="5">
        <v>321027</v>
      </c>
      <c r="D164" s="6"/>
      <c r="E164" s="5" t="s">
        <v>16</v>
      </c>
      <c r="F164" s="5" t="s">
        <v>424</v>
      </c>
      <c r="G164" s="5" t="s">
        <v>13</v>
      </c>
      <c r="H164" s="7" t="s">
        <v>8</v>
      </c>
      <c r="I164" s="7" t="s">
        <v>425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5</v>
      </c>
      <c r="AF164" s="7">
        <v>500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11">
        <v>500</v>
      </c>
      <c r="AV164" s="15">
        <f t="shared" ref="AV164:AV165" si="8">AU164-AN164</f>
        <v>500</v>
      </c>
      <c r="AW164" s="16">
        <f t="shared" ref="AW164:AW165" si="9">AV164*70%</f>
        <v>350</v>
      </c>
    </row>
    <row r="165" spans="1:49" ht="19.2" x14ac:dyDescent="0.4">
      <c r="A165" s="5" t="s">
        <v>220</v>
      </c>
      <c r="B165" s="5" t="s">
        <v>426</v>
      </c>
      <c r="C165" s="5">
        <v>380275</v>
      </c>
      <c r="D165" s="6"/>
      <c r="E165" s="5" t="s">
        <v>16</v>
      </c>
      <c r="F165" s="5" t="s">
        <v>238</v>
      </c>
      <c r="G165" s="5" t="s">
        <v>227</v>
      </c>
      <c r="H165" s="7" t="s">
        <v>122</v>
      </c>
      <c r="I165" s="7" t="s">
        <v>427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4</v>
      </c>
      <c r="AF165" s="7">
        <v>400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11">
        <v>400</v>
      </c>
      <c r="AV165" s="15">
        <f t="shared" si="8"/>
        <v>400</v>
      </c>
      <c r="AW165" s="16">
        <f t="shared" si="9"/>
        <v>280</v>
      </c>
    </row>
    <row r="166" spans="1:49" ht="19.2" x14ac:dyDescent="0.4">
      <c r="A166" s="5" t="s">
        <v>220</v>
      </c>
      <c r="B166" s="5" t="s">
        <v>428</v>
      </c>
      <c r="C166" s="5">
        <v>381070</v>
      </c>
      <c r="D166" s="6"/>
      <c r="E166" s="5" t="s">
        <v>16</v>
      </c>
      <c r="F166" s="5" t="s">
        <v>429</v>
      </c>
      <c r="G166" s="5" t="s">
        <v>227</v>
      </c>
      <c r="H166" s="7" t="s">
        <v>11</v>
      </c>
      <c r="I166" s="7" t="s">
        <v>430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3</v>
      </c>
      <c r="AF166" s="7">
        <v>300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1</v>
      </c>
      <c r="AS166" s="7">
        <v>100</v>
      </c>
      <c r="AT166" s="7">
        <v>0</v>
      </c>
      <c r="AU166" s="11">
        <v>400</v>
      </c>
      <c r="AV166" s="15">
        <f t="shared" ref="AV166:AV174" si="10">AU166-AN166</f>
        <v>400</v>
      </c>
      <c r="AW166" s="16">
        <f t="shared" ref="AW166:AW174" si="11">AV166*70%</f>
        <v>280</v>
      </c>
    </row>
    <row r="167" spans="1:49" ht="19.2" x14ac:dyDescent="0.4">
      <c r="A167" s="5" t="s">
        <v>220</v>
      </c>
      <c r="B167" s="5" t="s">
        <v>431</v>
      </c>
      <c r="C167" s="5">
        <v>381822</v>
      </c>
      <c r="D167" s="6"/>
      <c r="E167" s="5" t="s">
        <v>16</v>
      </c>
      <c r="F167" s="5" t="s">
        <v>231</v>
      </c>
      <c r="G167" s="5" t="s">
        <v>227</v>
      </c>
      <c r="H167" s="7" t="s">
        <v>8</v>
      </c>
      <c r="I167" s="7" t="s">
        <v>420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1</v>
      </c>
      <c r="AF167" s="7">
        <v>400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11">
        <v>400</v>
      </c>
      <c r="AV167" s="15">
        <f t="shared" si="10"/>
        <v>400</v>
      </c>
      <c r="AW167" s="16">
        <f t="shared" si="11"/>
        <v>280</v>
      </c>
    </row>
    <row r="168" spans="1:49" ht="19.2" x14ac:dyDescent="0.4">
      <c r="A168" s="5" t="s">
        <v>220</v>
      </c>
      <c r="B168" s="5" t="s">
        <v>432</v>
      </c>
      <c r="C168" s="5">
        <v>431789</v>
      </c>
      <c r="D168" s="6"/>
      <c r="E168" s="5" t="s">
        <v>16</v>
      </c>
      <c r="F168" s="5" t="s">
        <v>267</v>
      </c>
      <c r="G168" s="5" t="s">
        <v>227</v>
      </c>
      <c r="H168" s="7" t="s">
        <v>122</v>
      </c>
      <c r="I168" s="7" t="s">
        <v>377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1</v>
      </c>
      <c r="AF168" s="7">
        <v>300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11">
        <v>300</v>
      </c>
      <c r="AV168" s="15">
        <f t="shared" si="10"/>
        <v>300</v>
      </c>
      <c r="AW168" s="16">
        <f t="shared" si="11"/>
        <v>210</v>
      </c>
    </row>
    <row r="169" spans="1:49" ht="19.2" x14ac:dyDescent="0.4">
      <c r="A169" s="5" t="s">
        <v>220</v>
      </c>
      <c r="B169" s="5" t="s">
        <v>145</v>
      </c>
      <c r="C169" s="5">
        <v>434847</v>
      </c>
      <c r="D169" s="6"/>
      <c r="E169" s="5" t="s">
        <v>16</v>
      </c>
      <c r="F169" s="5" t="s">
        <v>146</v>
      </c>
      <c r="G169" s="5" t="s">
        <v>13</v>
      </c>
      <c r="H169" s="7" t="s">
        <v>8</v>
      </c>
      <c r="I169" s="7" t="s">
        <v>176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2</v>
      </c>
      <c r="AF169" s="7">
        <v>0</v>
      </c>
      <c r="AG169" s="7">
        <v>200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11">
        <v>200</v>
      </c>
      <c r="AV169" s="15">
        <f t="shared" si="10"/>
        <v>200</v>
      </c>
      <c r="AW169" s="16">
        <f t="shared" si="11"/>
        <v>140</v>
      </c>
    </row>
    <row r="170" spans="1:49" ht="19.2" x14ac:dyDescent="0.4">
      <c r="A170" s="5" t="s">
        <v>220</v>
      </c>
      <c r="B170" s="5" t="s">
        <v>59</v>
      </c>
      <c r="C170" s="5">
        <v>251205</v>
      </c>
      <c r="D170" s="6"/>
      <c r="E170" s="5" t="s">
        <v>16</v>
      </c>
      <c r="F170" s="5" t="s">
        <v>19</v>
      </c>
      <c r="G170" s="5" t="s">
        <v>13</v>
      </c>
      <c r="H170" s="7" t="s">
        <v>8</v>
      </c>
      <c r="I170" s="7" t="s">
        <v>60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1</v>
      </c>
      <c r="AF170" s="7">
        <v>0</v>
      </c>
      <c r="AG170" s="7">
        <v>100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11">
        <v>100</v>
      </c>
      <c r="AV170" s="15">
        <f t="shared" si="10"/>
        <v>100</v>
      </c>
      <c r="AW170" s="16">
        <f t="shared" si="11"/>
        <v>70</v>
      </c>
    </row>
    <row r="171" spans="1:49" ht="19.2" x14ac:dyDescent="0.4">
      <c r="A171" s="5" t="s">
        <v>220</v>
      </c>
      <c r="B171" s="5" t="s">
        <v>433</v>
      </c>
      <c r="C171" s="5">
        <v>414859</v>
      </c>
      <c r="D171" s="6"/>
      <c r="E171" s="5" t="s">
        <v>16</v>
      </c>
      <c r="F171" s="5" t="s">
        <v>434</v>
      </c>
      <c r="G171" s="5" t="s">
        <v>227</v>
      </c>
      <c r="H171" s="7" t="s">
        <v>11</v>
      </c>
      <c r="I171" s="7" t="s">
        <v>435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1</v>
      </c>
      <c r="AF171" s="7">
        <v>100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11">
        <v>100</v>
      </c>
      <c r="AV171" s="15">
        <f t="shared" si="10"/>
        <v>100</v>
      </c>
      <c r="AW171" s="16">
        <f t="shared" si="11"/>
        <v>70</v>
      </c>
    </row>
    <row r="172" spans="1:49" ht="19.2" x14ac:dyDescent="0.4">
      <c r="A172" s="5" t="s">
        <v>200</v>
      </c>
      <c r="B172" s="5" t="s">
        <v>221</v>
      </c>
      <c r="C172" s="5">
        <v>465248</v>
      </c>
      <c r="D172" s="6"/>
      <c r="E172" s="5" t="s">
        <v>16</v>
      </c>
      <c r="F172" s="5" t="s">
        <v>222</v>
      </c>
      <c r="G172" s="5" t="s">
        <v>223</v>
      </c>
      <c r="H172" s="7" t="s">
        <v>12</v>
      </c>
      <c r="I172" s="7" t="s">
        <v>224</v>
      </c>
      <c r="J172" s="8">
        <v>2363</v>
      </c>
      <c r="K172" s="8">
        <v>10493</v>
      </c>
      <c r="L172" s="8">
        <v>236300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8">
        <v>33645</v>
      </c>
      <c r="AF172" s="8">
        <v>2664300</v>
      </c>
      <c r="AG172" s="8">
        <v>700200</v>
      </c>
      <c r="AH172" s="7">
        <v>0</v>
      </c>
      <c r="AI172" s="7">
        <v>0</v>
      </c>
      <c r="AJ172" s="7">
        <v>0</v>
      </c>
      <c r="AK172" s="7">
        <v>2</v>
      </c>
      <c r="AL172" s="7">
        <v>0</v>
      </c>
      <c r="AM172" s="7">
        <v>200</v>
      </c>
      <c r="AN172" s="7">
        <v>0</v>
      </c>
      <c r="AO172" s="7">
        <v>0</v>
      </c>
      <c r="AP172" s="7">
        <v>0</v>
      </c>
      <c r="AQ172" s="7">
        <v>0</v>
      </c>
      <c r="AR172" s="8">
        <v>4808</v>
      </c>
      <c r="AS172" s="8">
        <v>463800</v>
      </c>
      <c r="AT172" s="8">
        <v>17000</v>
      </c>
      <c r="AU172" s="10">
        <v>4081800</v>
      </c>
      <c r="AV172" s="15">
        <f t="shared" si="10"/>
        <v>4081800</v>
      </c>
      <c r="AW172" s="16">
        <f t="shared" si="11"/>
        <v>2857260</v>
      </c>
    </row>
    <row r="173" spans="1:49" ht="19.2" x14ac:dyDescent="0.4">
      <c r="A173" s="5" t="s">
        <v>200</v>
      </c>
      <c r="B173" s="5" t="s">
        <v>225</v>
      </c>
      <c r="C173" s="5">
        <v>412919</v>
      </c>
      <c r="D173" s="6"/>
      <c r="E173" s="5" t="s">
        <v>16</v>
      </c>
      <c r="F173" s="5" t="s">
        <v>226</v>
      </c>
      <c r="G173" s="5" t="s">
        <v>227</v>
      </c>
      <c r="H173" s="7" t="s">
        <v>11</v>
      </c>
      <c r="I173" s="7" t="s">
        <v>228</v>
      </c>
      <c r="J173" s="7">
        <v>0</v>
      </c>
      <c r="K173" s="8">
        <v>9903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313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8">
        <v>6914</v>
      </c>
      <c r="AF173" s="8">
        <v>510800</v>
      </c>
      <c r="AG173" s="8">
        <v>180600</v>
      </c>
      <c r="AH173" s="7">
        <v>0</v>
      </c>
      <c r="AI173" s="7">
        <v>0</v>
      </c>
      <c r="AJ173" s="7">
        <v>0</v>
      </c>
      <c r="AK173" s="7">
        <v>23</v>
      </c>
      <c r="AL173" s="8">
        <v>1080</v>
      </c>
      <c r="AM173" s="8">
        <v>1400</v>
      </c>
      <c r="AN173" s="7">
        <v>324</v>
      </c>
      <c r="AO173" s="7">
        <v>0</v>
      </c>
      <c r="AP173" s="7">
        <v>0</v>
      </c>
      <c r="AQ173" s="7">
        <v>0</v>
      </c>
      <c r="AR173" s="7">
        <v>854</v>
      </c>
      <c r="AS173" s="8">
        <v>83600</v>
      </c>
      <c r="AT173" s="8">
        <v>1800</v>
      </c>
      <c r="AU173" s="10">
        <v>779280</v>
      </c>
      <c r="AV173" s="15">
        <f t="shared" si="10"/>
        <v>778956</v>
      </c>
      <c r="AW173" s="16">
        <f t="shared" si="11"/>
        <v>545269.19999999995</v>
      </c>
    </row>
    <row r="174" spans="1:49" ht="19.2" x14ac:dyDescent="0.4">
      <c r="A174" s="5" t="s">
        <v>200</v>
      </c>
      <c r="B174" s="5" t="s">
        <v>181</v>
      </c>
      <c r="C174" s="5">
        <v>454534</v>
      </c>
      <c r="D174" s="6"/>
      <c r="E174" s="5" t="s">
        <v>16</v>
      </c>
      <c r="F174" s="5" t="s">
        <v>179</v>
      </c>
      <c r="G174" s="5" t="s">
        <v>13</v>
      </c>
      <c r="H174" s="7" t="s">
        <v>8</v>
      </c>
      <c r="I174" s="7" t="s">
        <v>229</v>
      </c>
      <c r="J174" s="7">
        <v>0</v>
      </c>
      <c r="K174" s="8">
        <v>13014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55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8">
        <v>3875</v>
      </c>
      <c r="AF174" s="8">
        <v>292900</v>
      </c>
      <c r="AG174" s="8">
        <v>94600</v>
      </c>
      <c r="AH174" s="7">
        <v>0</v>
      </c>
      <c r="AI174" s="7">
        <v>0</v>
      </c>
      <c r="AJ174" s="7">
        <v>0</v>
      </c>
      <c r="AK174" s="7">
        <v>3</v>
      </c>
      <c r="AL174" s="7">
        <v>360</v>
      </c>
      <c r="AM174" s="7">
        <v>0</v>
      </c>
      <c r="AN174" s="7">
        <v>108</v>
      </c>
      <c r="AO174" s="7">
        <v>0</v>
      </c>
      <c r="AP174" s="7">
        <v>0</v>
      </c>
      <c r="AQ174" s="7">
        <v>0</v>
      </c>
      <c r="AR174" s="7">
        <v>823</v>
      </c>
      <c r="AS174" s="8">
        <v>78700</v>
      </c>
      <c r="AT174" s="8">
        <v>3600</v>
      </c>
      <c r="AU174" s="10">
        <v>470160</v>
      </c>
      <c r="AV174" s="15">
        <f t="shared" si="10"/>
        <v>470052</v>
      </c>
      <c r="AW174" s="16">
        <f t="shared" si="11"/>
        <v>329036.39999999997</v>
      </c>
    </row>
    <row r="175" spans="1:49" ht="19.2" x14ac:dyDescent="0.4">
      <c r="A175" s="5" t="s">
        <v>200</v>
      </c>
      <c r="B175" s="5" t="s">
        <v>155</v>
      </c>
      <c r="C175" s="5">
        <v>178856</v>
      </c>
      <c r="D175" s="6"/>
      <c r="E175" s="5" t="s">
        <v>16</v>
      </c>
      <c r="F175" s="5" t="s">
        <v>17</v>
      </c>
      <c r="G175" s="5" t="s">
        <v>13</v>
      </c>
      <c r="H175" s="7" t="s">
        <v>12</v>
      </c>
      <c r="I175" s="7" t="s">
        <v>156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351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8">
        <v>3629</v>
      </c>
      <c r="AF175" s="8">
        <v>325700</v>
      </c>
      <c r="AG175" s="8">
        <v>37200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10">
        <v>362900</v>
      </c>
      <c r="AV175" s="15">
        <f t="shared" ref="AV175:AV193" si="12">AU175-AN175</f>
        <v>362900</v>
      </c>
      <c r="AW175" s="16">
        <f t="shared" ref="AW175:AW193" si="13">AV175*70%</f>
        <v>254029.99999999997</v>
      </c>
    </row>
    <row r="176" spans="1:49" ht="19.2" x14ac:dyDescent="0.4">
      <c r="A176" s="5" t="s">
        <v>200</v>
      </c>
      <c r="B176" s="5" t="s">
        <v>15</v>
      </c>
      <c r="C176" s="5">
        <v>369220</v>
      </c>
      <c r="D176" s="6"/>
      <c r="E176" s="5" t="s">
        <v>16</v>
      </c>
      <c r="F176" s="5" t="s">
        <v>17</v>
      </c>
      <c r="G176" s="5" t="s">
        <v>13</v>
      </c>
      <c r="H176" s="7" t="s">
        <v>8</v>
      </c>
      <c r="I176" s="7" t="s">
        <v>101</v>
      </c>
      <c r="J176" s="7">
        <v>0</v>
      </c>
      <c r="K176" s="7">
        <v>49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200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8">
        <v>2756</v>
      </c>
      <c r="AF176" s="8">
        <v>271900</v>
      </c>
      <c r="AG176" s="8">
        <v>3700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10">
        <v>275600</v>
      </c>
      <c r="AV176" s="15">
        <f t="shared" si="12"/>
        <v>275600</v>
      </c>
      <c r="AW176" s="16">
        <f t="shared" si="13"/>
        <v>192920</v>
      </c>
    </row>
    <row r="177" spans="1:49" ht="19.2" x14ac:dyDescent="0.4">
      <c r="A177" s="5" t="s">
        <v>200</v>
      </c>
      <c r="B177" s="5" t="s">
        <v>25</v>
      </c>
      <c r="C177" s="5">
        <v>414278</v>
      </c>
      <c r="D177" s="6"/>
      <c r="E177" s="5" t="s">
        <v>16</v>
      </c>
      <c r="F177" s="5" t="s">
        <v>9</v>
      </c>
      <c r="G177" s="5" t="s">
        <v>13</v>
      </c>
      <c r="H177" s="7" t="s">
        <v>11</v>
      </c>
      <c r="I177" s="7" t="s">
        <v>76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33</v>
      </c>
      <c r="AF177" s="8">
        <v>96600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53</v>
      </c>
      <c r="AS177" s="8">
        <v>166200</v>
      </c>
      <c r="AT177" s="8">
        <v>2800</v>
      </c>
      <c r="AU177" s="10">
        <v>265600</v>
      </c>
      <c r="AV177" s="15">
        <f t="shared" si="12"/>
        <v>265600</v>
      </c>
      <c r="AW177" s="16">
        <f t="shared" si="13"/>
        <v>185920</v>
      </c>
    </row>
    <row r="178" spans="1:49" ht="19.2" x14ac:dyDescent="0.4">
      <c r="A178" s="5" t="s">
        <v>200</v>
      </c>
      <c r="B178" s="5" t="s">
        <v>230</v>
      </c>
      <c r="C178" s="5">
        <v>369720</v>
      </c>
      <c r="D178" s="6"/>
      <c r="E178" s="5" t="s">
        <v>16</v>
      </c>
      <c r="F178" s="5" t="s">
        <v>231</v>
      </c>
      <c r="G178" s="5" t="s">
        <v>227</v>
      </c>
      <c r="H178" s="7" t="s">
        <v>11</v>
      </c>
      <c r="I178" s="7" t="s">
        <v>232</v>
      </c>
      <c r="J178" s="7">
        <v>0</v>
      </c>
      <c r="K178" s="7">
        <v>42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128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8">
        <v>1501</v>
      </c>
      <c r="AF178" s="8">
        <v>127600</v>
      </c>
      <c r="AG178" s="8">
        <v>22500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505</v>
      </c>
      <c r="AS178" s="8">
        <v>49000</v>
      </c>
      <c r="AT178" s="8">
        <v>1500</v>
      </c>
      <c r="AU178" s="10">
        <v>200600</v>
      </c>
      <c r="AV178" s="15">
        <f t="shared" si="12"/>
        <v>200600</v>
      </c>
      <c r="AW178" s="16">
        <f t="shared" si="13"/>
        <v>140420</v>
      </c>
    </row>
    <row r="179" spans="1:49" ht="19.2" x14ac:dyDescent="0.4">
      <c r="A179" s="5" t="s">
        <v>200</v>
      </c>
      <c r="B179" s="5" t="s">
        <v>234</v>
      </c>
      <c r="C179" s="5">
        <v>464776</v>
      </c>
      <c r="D179" s="6"/>
      <c r="E179" s="5" t="s">
        <v>16</v>
      </c>
      <c r="F179" s="5" t="s">
        <v>235</v>
      </c>
      <c r="G179" s="5" t="s">
        <v>223</v>
      </c>
      <c r="H179" s="7" t="s">
        <v>12</v>
      </c>
      <c r="I179" s="7" t="s">
        <v>236</v>
      </c>
      <c r="J179" s="7">
        <v>0</v>
      </c>
      <c r="K179" s="7">
        <v>269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8">
        <v>1278</v>
      </c>
      <c r="AF179" s="8">
        <v>118900</v>
      </c>
      <c r="AG179" s="8">
        <v>8900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306</v>
      </c>
      <c r="AS179" s="8">
        <v>30100</v>
      </c>
      <c r="AT179" s="7">
        <v>500</v>
      </c>
      <c r="AU179" s="10">
        <v>158400</v>
      </c>
      <c r="AV179" s="15">
        <f t="shared" si="12"/>
        <v>158400</v>
      </c>
      <c r="AW179" s="16">
        <f t="shared" si="13"/>
        <v>110880</v>
      </c>
    </row>
    <row r="180" spans="1:49" ht="19.2" x14ac:dyDescent="0.4">
      <c r="A180" s="5" t="s">
        <v>200</v>
      </c>
      <c r="B180" s="5" t="s">
        <v>237</v>
      </c>
      <c r="C180" s="5">
        <v>457807</v>
      </c>
      <c r="D180" s="6"/>
      <c r="E180" s="5" t="s">
        <v>16</v>
      </c>
      <c r="F180" s="5" t="s">
        <v>238</v>
      </c>
      <c r="G180" s="5" t="s">
        <v>227</v>
      </c>
      <c r="H180" s="7" t="s">
        <v>11</v>
      </c>
      <c r="I180" s="7" t="s">
        <v>239</v>
      </c>
      <c r="J180" s="7">
        <v>65</v>
      </c>
      <c r="K180" s="8">
        <v>2487</v>
      </c>
      <c r="L180" s="8">
        <v>6500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71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8">
        <v>1236</v>
      </c>
      <c r="AF180" s="8">
        <v>98900</v>
      </c>
      <c r="AG180" s="8">
        <v>24700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146</v>
      </c>
      <c r="AS180" s="8">
        <v>13200</v>
      </c>
      <c r="AT180" s="8">
        <v>1400</v>
      </c>
      <c r="AU180" s="10">
        <v>144700</v>
      </c>
      <c r="AV180" s="15">
        <f t="shared" si="12"/>
        <v>144700</v>
      </c>
      <c r="AW180" s="16">
        <f t="shared" si="13"/>
        <v>101290</v>
      </c>
    </row>
    <row r="181" spans="1:49" ht="19.2" x14ac:dyDescent="0.4">
      <c r="A181" s="5" t="s">
        <v>200</v>
      </c>
      <c r="B181" s="5" t="s">
        <v>105</v>
      </c>
      <c r="C181" s="5">
        <v>429621</v>
      </c>
      <c r="D181" s="6"/>
      <c r="E181" s="5" t="s">
        <v>16</v>
      </c>
      <c r="F181" s="5" t="s">
        <v>106</v>
      </c>
      <c r="G181" s="5" t="s">
        <v>13</v>
      </c>
      <c r="H181" s="7" t="s">
        <v>11</v>
      </c>
      <c r="I181" s="7" t="s">
        <v>107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28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8">
        <v>1281</v>
      </c>
      <c r="AF181" s="8">
        <v>125600</v>
      </c>
      <c r="AG181" s="8">
        <v>2500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165</v>
      </c>
      <c r="AS181" s="8">
        <v>16500</v>
      </c>
      <c r="AT181" s="7">
        <v>0</v>
      </c>
      <c r="AU181" s="10">
        <v>144600</v>
      </c>
      <c r="AV181" s="15">
        <f t="shared" si="12"/>
        <v>144600</v>
      </c>
      <c r="AW181" s="16">
        <f t="shared" si="13"/>
        <v>101220</v>
      </c>
    </row>
    <row r="182" spans="1:49" ht="19.2" x14ac:dyDescent="0.4">
      <c r="A182" s="5" t="s">
        <v>200</v>
      </c>
      <c r="B182" s="5" t="s">
        <v>148</v>
      </c>
      <c r="C182" s="5">
        <v>442274</v>
      </c>
      <c r="D182" s="6"/>
      <c r="E182" s="5" t="s">
        <v>16</v>
      </c>
      <c r="F182" s="5" t="s">
        <v>147</v>
      </c>
      <c r="G182" s="5" t="s">
        <v>13</v>
      </c>
      <c r="H182" s="7" t="s">
        <v>8</v>
      </c>
      <c r="I182" s="7" t="s">
        <v>202</v>
      </c>
      <c r="J182" s="7">
        <v>0</v>
      </c>
      <c r="K182" s="8">
        <v>3965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8">
        <v>1157</v>
      </c>
      <c r="AF182" s="8">
        <v>104200</v>
      </c>
      <c r="AG182" s="8">
        <v>11500</v>
      </c>
      <c r="AH182" s="7">
        <v>0</v>
      </c>
      <c r="AI182" s="7">
        <v>0</v>
      </c>
      <c r="AJ182" s="7">
        <v>0</v>
      </c>
      <c r="AK182" s="7">
        <v>13</v>
      </c>
      <c r="AL182" s="7">
        <v>0</v>
      </c>
      <c r="AM182" s="8">
        <v>1300</v>
      </c>
      <c r="AN182" s="7">
        <v>0</v>
      </c>
      <c r="AO182" s="7">
        <v>0</v>
      </c>
      <c r="AP182" s="7">
        <v>0</v>
      </c>
      <c r="AQ182" s="7">
        <v>0</v>
      </c>
      <c r="AR182" s="7">
        <v>65</v>
      </c>
      <c r="AS182" s="8">
        <v>6300</v>
      </c>
      <c r="AT182" s="7">
        <v>200</v>
      </c>
      <c r="AU182" s="10">
        <v>123500</v>
      </c>
      <c r="AV182" s="15">
        <f t="shared" si="12"/>
        <v>123500</v>
      </c>
      <c r="AW182" s="16">
        <f t="shared" si="13"/>
        <v>86450</v>
      </c>
    </row>
    <row r="183" spans="1:49" ht="19.2" x14ac:dyDescent="0.4">
      <c r="A183" s="5" t="s">
        <v>200</v>
      </c>
      <c r="B183" s="5" t="s">
        <v>168</v>
      </c>
      <c r="C183" s="5">
        <v>449889</v>
      </c>
      <c r="D183" s="6"/>
      <c r="E183" s="5" t="s">
        <v>16</v>
      </c>
      <c r="F183" s="5" t="s">
        <v>154</v>
      </c>
      <c r="G183" s="5" t="s">
        <v>13</v>
      </c>
      <c r="H183" s="7" t="s">
        <v>8</v>
      </c>
      <c r="I183" s="7" t="s">
        <v>224</v>
      </c>
      <c r="J183" s="7">
        <v>0</v>
      </c>
      <c r="K183" s="8">
        <v>1816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36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864</v>
      </c>
      <c r="AF183" s="8">
        <v>77500</v>
      </c>
      <c r="AG183" s="8">
        <v>8900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107</v>
      </c>
      <c r="AS183" s="8">
        <v>10700</v>
      </c>
      <c r="AT183" s="7">
        <v>0</v>
      </c>
      <c r="AU183" s="10">
        <v>97100</v>
      </c>
      <c r="AV183" s="15">
        <f t="shared" si="12"/>
        <v>97100</v>
      </c>
      <c r="AW183" s="16">
        <f t="shared" si="13"/>
        <v>67970</v>
      </c>
    </row>
    <row r="184" spans="1:49" ht="19.2" x14ac:dyDescent="0.4">
      <c r="A184" s="5" t="s">
        <v>200</v>
      </c>
      <c r="B184" s="5" t="s">
        <v>152</v>
      </c>
      <c r="C184" s="5">
        <v>445688</v>
      </c>
      <c r="D184" s="6"/>
      <c r="E184" s="5" t="s">
        <v>16</v>
      </c>
      <c r="F184" s="5" t="s">
        <v>153</v>
      </c>
      <c r="G184" s="5" t="s">
        <v>13</v>
      </c>
      <c r="H184" s="7" t="s">
        <v>8</v>
      </c>
      <c r="I184" s="7" t="s">
        <v>233</v>
      </c>
      <c r="J184" s="7">
        <v>0</v>
      </c>
      <c r="K184" s="7">
        <v>620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520</v>
      </c>
      <c r="AF184" s="8">
        <v>43400</v>
      </c>
      <c r="AG184" s="8">
        <v>8600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409</v>
      </c>
      <c r="AS184" s="8">
        <v>39000</v>
      </c>
      <c r="AT184" s="8">
        <v>1900</v>
      </c>
      <c r="AU184" s="10">
        <v>92900</v>
      </c>
      <c r="AV184" s="15">
        <f t="shared" si="12"/>
        <v>92900</v>
      </c>
      <c r="AW184" s="16">
        <f t="shared" si="13"/>
        <v>65029.999999999993</v>
      </c>
    </row>
    <row r="185" spans="1:49" ht="19.2" x14ac:dyDescent="0.4">
      <c r="A185" s="5" t="s">
        <v>200</v>
      </c>
      <c r="B185" s="5" t="s">
        <v>436</v>
      </c>
      <c r="C185" s="5">
        <v>392658</v>
      </c>
      <c r="D185" s="6"/>
      <c r="E185" s="5" t="s">
        <v>16</v>
      </c>
      <c r="F185" s="5" t="s">
        <v>231</v>
      </c>
      <c r="G185" s="5" t="s">
        <v>227</v>
      </c>
      <c r="H185" s="7" t="s">
        <v>122</v>
      </c>
      <c r="I185" s="7" t="s">
        <v>339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19</v>
      </c>
      <c r="AF185" s="8">
        <v>57600</v>
      </c>
      <c r="AG185" s="7">
        <v>200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11</v>
      </c>
      <c r="AS185" s="8">
        <v>35000</v>
      </c>
      <c r="AT185" s="7">
        <v>0</v>
      </c>
      <c r="AU185" s="10">
        <v>92800</v>
      </c>
      <c r="AV185" s="15">
        <f t="shared" si="12"/>
        <v>92800</v>
      </c>
      <c r="AW185" s="16">
        <f t="shared" si="13"/>
        <v>64959.999999999993</v>
      </c>
    </row>
    <row r="186" spans="1:49" ht="19.2" x14ac:dyDescent="0.4">
      <c r="A186" s="5" t="s">
        <v>200</v>
      </c>
      <c r="B186" s="5" t="s">
        <v>157</v>
      </c>
      <c r="C186" s="5">
        <v>324335</v>
      </c>
      <c r="D186" s="6"/>
      <c r="E186" s="5" t="s">
        <v>16</v>
      </c>
      <c r="F186" s="5" t="s">
        <v>17</v>
      </c>
      <c r="G186" s="5" t="s">
        <v>13</v>
      </c>
      <c r="H186" s="7" t="s">
        <v>12</v>
      </c>
      <c r="I186" s="7" t="s">
        <v>158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22</v>
      </c>
      <c r="AF186" s="8">
        <v>65500</v>
      </c>
      <c r="AG186" s="8">
        <v>4900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10">
        <v>70400</v>
      </c>
      <c r="AV186" s="15">
        <f t="shared" si="12"/>
        <v>70400</v>
      </c>
      <c r="AW186" s="16">
        <f t="shared" si="13"/>
        <v>49280</v>
      </c>
    </row>
    <row r="187" spans="1:49" ht="19.2" x14ac:dyDescent="0.4">
      <c r="A187" s="5" t="s">
        <v>200</v>
      </c>
      <c r="B187" s="5" t="s">
        <v>21</v>
      </c>
      <c r="C187" s="5">
        <v>321812</v>
      </c>
      <c r="D187" s="6"/>
      <c r="E187" s="5" t="s">
        <v>16</v>
      </c>
      <c r="F187" s="5" t="s">
        <v>17</v>
      </c>
      <c r="G187" s="5" t="s">
        <v>13</v>
      </c>
      <c r="H187" s="7" t="s">
        <v>8</v>
      </c>
      <c r="I187" s="7" t="s">
        <v>22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1</v>
      </c>
      <c r="T187" s="7">
        <v>0</v>
      </c>
      <c r="U187" s="7">
        <v>0</v>
      </c>
      <c r="V187" s="7">
        <v>100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560</v>
      </c>
      <c r="AF187" s="8">
        <v>51200</v>
      </c>
      <c r="AG187" s="8">
        <v>4800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10">
        <v>56100</v>
      </c>
      <c r="AV187" s="15">
        <f t="shared" si="12"/>
        <v>56100</v>
      </c>
      <c r="AW187" s="16">
        <f t="shared" si="13"/>
        <v>39270</v>
      </c>
    </row>
    <row r="188" spans="1:49" ht="19.2" x14ac:dyDescent="0.4">
      <c r="A188" s="5" t="s">
        <v>200</v>
      </c>
      <c r="B188" s="5" t="s">
        <v>46</v>
      </c>
      <c r="C188" s="5">
        <v>386960</v>
      </c>
      <c r="D188" s="6"/>
      <c r="E188" s="5" t="s">
        <v>16</v>
      </c>
      <c r="F188" s="5" t="s">
        <v>47</v>
      </c>
      <c r="G188" s="5" t="s">
        <v>13</v>
      </c>
      <c r="H188" s="7" t="s">
        <v>8</v>
      </c>
      <c r="I188" s="7" t="s">
        <v>48</v>
      </c>
      <c r="J188" s="7">
        <v>0</v>
      </c>
      <c r="K188" s="7">
        <v>6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21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375</v>
      </c>
      <c r="AF188" s="8">
        <v>9800</v>
      </c>
      <c r="AG188" s="8">
        <v>27700</v>
      </c>
      <c r="AH188" s="7">
        <v>0</v>
      </c>
      <c r="AI188" s="7">
        <v>0</v>
      </c>
      <c r="AJ188" s="7">
        <v>0</v>
      </c>
      <c r="AK188" s="7">
        <v>48</v>
      </c>
      <c r="AL188" s="7">
        <v>0</v>
      </c>
      <c r="AM188" s="8">
        <v>4800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10">
        <v>42300</v>
      </c>
      <c r="AV188" s="15">
        <f t="shared" si="12"/>
        <v>42300</v>
      </c>
      <c r="AW188" s="16">
        <f t="shared" si="13"/>
        <v>29609.999999999996</v>
      </c>
    </row>
    <row r="189" spans="1:49" ht="28.8" x14ac:dyDescent="0.4">
      <c r="A189" s="5" t="s">
        <v>200</v>
      </c>
      <c r="B189" s="5" t="s">
        <v>253</v>
      </c>
      <c r="C189" s="5">
        <v>393598</v>
      </c>
      <c r="D189" s="6"/>
      <c r="E189" s="5" t="s">
        <v>16</v>
      </c>
      <c r="F189" s="5" t="s">
        <v>254</v>
      </c>
      <c r="G189" s="5" t="s">
        <v>227</v>
      </c>
      <c r="H189" s="7" t="s">
        <v>11</v>
      </c>
      <c r="I189" s="7" t="s">
        <v>255</v>
      </c>
      <c r="J189" s="7">
        <v>0</v>
      </c>
      <c r="K189" s="7">
        <v>40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37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398</v>
      </c>
      <c r="AF189" s="8">
        <v>35700</v>
      </c>
      <c r="AG189" s="8">
        <v>4100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10</v>
      </c>
      <c r="AS189" s="8">
        <v>1000</v>
      </c>
      <c r="AT189" s="7">
        <v>0</v>
      </c>
      <c r="AU189" s="10">
        <v>40800</v>
      </c>
      <c r="AV189" s="15">
        <f t="shared" si="12"/>
        <v>40800</v>
      </c>
      <c r="AW189" s="16">
        <f t="shared" si="13"/>
        <v>28560</v>
      </c>
    </row>
    <row r="190" spans="1:49" ht="28.8" x14ac:dyDescent="0.4">
      <c r="A190" s="5" t="s">
        <v>200</v>
      </c>
      <c r="B190" s="5" t="s">
        <v>279</v>
      </c>
      <c r="C190" s="5">
        <v>454879</v>
      </c>
      <c r="D190" s="6"/>
      <c r="E190" s="5" t="s">
        <v>16</v>
      </c>
      <c r="F190" s="5" t="s">
        <v>254</v>
      </c>
      <c r="G190" s="5" t="s">
        <v>227</v>
      </c>
      <c r="H190" s="7" t="s">
        <v>122</v>
      </c>
      <c r="I190" s="7" t="s">
        <v>280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6</v>
      </c>
      <c r="AF190" s="8">
        <v>12500</v>
      </c>
      <c r="AG190" s="8">
        <v>5800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6</v>
      </c>
      <c r="AS190" s="8">
        <v>20400</v>
      </c>
      <c r="AT190" s="7">
        <v>900</v>
      </c>
      <c r="AU190" s="10">
        <v>39600</v>
      </c>
      <c r="AV190" s="15">
        <f t="shared" si="12"/>
        <v>39600</v>
      </c>
      <c r="AW190" s="16">
        <f t="shared" si="13"/>
        <v>27720</v>
      </c>
    </row>
    <row r="191" spans="1:49" ht="19.2" x14ac:dyDescent="0.4">
      <c r="A191" s="5" t="s">
        <v>200</v>
      </c>
      <c r="B191" s="5" t="s">
        <v>29</v>
      </c>
      <c r="C191" s="5">
        <v>245889</v>
      </c>
      <c r="D191" s="6"/>
      <c r="E191" s="5" t="s">
        <v>16</v>
      </c>
      <c r="F191" s="5" t="s">
        <v>17</v>
      </c>
      <c r="G191" s="5" t="s">
        <v>13</v>
      </c>
      <c r="H191" s="7" t="s">
        <v>8</v>
      </c>
      <c r="I191" s="7" t="s">
        <v>30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28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370</v>
      </c>
      <c r="AF191" s="8">
        <v>34800</v>
      </c>
      <c r="AG191" s="8">
        <v>2200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1</v>
      </c>
      <c r="AS191" s="7">
        <v>100</v>
      </c>
      <c r="AT191" s="7">
        <v>0</v>
      </c>
      <c r="AU191" s="10">
        <v>37100</v>
      </c>
      <c r="AV191" s="15">
        <f t="shared" si="12"/>
        <v>37100</v>
      </c>
      <c r="AW191" s="16">
        <f t="shared" si="13"/>
        <v>25970</v>
      </c>
    </row>
    <row r="192" spans="1:49" ht="19.2" x14ac:dyDescent="0.4">
      <c r="A192" s="5" t="s">
        <v>200</v>
      </c>
      <c r="B192" s="5" t="s">
        <v>57</v>
      </c>
      <c r="C192" s="5">
        <v>316658</v>
      </c>
      <c r="D192" s="6"/>
      <c r="E192" s="5" t="s">
        <v>16</v>
      </c>
      <c r="F192" s="5" t="s">
        <v>19</v>
      </c>
      <c r="G192" s="5" t="s">
        <v>13</v>
      </c>
      <c r="H192" s="7" t="s">
        <v>8</v>
      </c>
      <c r="I192" s="7" t="s">
        <v>58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15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309</v>
      </c>
      <c r="AF192" s="8">
        <v>30700</v>
      </c>
      <c r="AG192" s="7">
        <v>200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30</v>
      </c>
      <c r="AS192" s="8">
        <v>3000</v>
      </c>
      <c r="AT192" s="7">
        <v>0</v>
      </c>
      <c r="AU192" s="10">
        <v>33900</v>
      </c>
      <c r="AV192" s="15">
        <f t="shared" si="12"/>
        <v>33900</v>
      </c>
      <c r="AW192" s="16">
        <f t="shared" si="13"/>
        <v>23730</v>
      </c>
    </row>
    <row r="193" spans="1:49" ht="19.2" x14ac:dyDescent="0.4">
      <c r="A193" s="5" t="s">
        <v>200</v>
      </c>
      <c r="B193" s="5" t="s">
        <v>124</v>
      </c>
      <c r="C193" s="5">
        <v>434558</v>
      </c>
      <c r="D193" s="6"/>
      <c r="E193" s="5" t="s">
        <v>16</v>
      </c>
      <c r="F193" s="5" t="s">
        <v>125</v>
      </c>
      <c r="G193" s="5" t="s">
        <v>13</v>
      </c>
      <c r="H193" s="7" t="s">
        <v>8</v>
      </c>
      <c r="I193" s="7" t="s">
        <v>159</v>
      </c>
      <c r="J193" s="7">
        <v>5</v>
      </c>
      <c r="K193" s="7">
        <v>82</v>
      </c>
      <c r="L193" s="7">
        <v>500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20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329</v>
      </c>
      <c r="AF193" s="8">
        <v>32900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10">
        <v>33400</v>
      </c>
      <c r="AV193" s="15">
        <f t="shared" si="12"/>
        <v>33400</v>
      </c>
      <c r="AW193" s="16">
        <f t="shared" si="13"/>
        <v>23380</v>
      </c>
    </row>
    <row r="194" spans="1:49" ht="19.2" x14ac:dyDescent="0.4">
      <c r="A194" s="5" t="s">
        <v>200</v>
      </c>
      <c r="B194" s="5" t="s">
        <v>259</v>
      </c>
      <c r="C194" s="5">
        <v>394830</v>
      </c>
      <c r="D194" s="6"/>
      <c r="E194" s="5" t="s">
        <v>16</v>
      </c>
      <c r="F194" s="5" t="s">
        <v>238</v>
      </c>
      <c r="G194" s="5" t="s">
        <v>227</v>
      </c>
      <c r="H194" s="7" t="s">
        <v>11</v>
      </c>
      <c r="I194" s="7" t="s">
        <v>260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18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294</v>
      </c>
      <c r="AF194" s="8">
        <v>28700</v>
      </c>
      <c r="AG194" s="7">
        <v>700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37</v>
      </c>
      <c r="AS194" s="8">
        <v>3700</v>
      </c>
      <c r="AT194" s="7">
        <v>0</v>
      </c>
      <c r="AU194" s="10">
        <v>33100</v>
      </c>
      <c r="AV194" s="15">
        <f t="shared" ref="AV194:AV196" si="14">AU194-AN194</f>
        <v>33100</v>
      </c>
      <c r="AW194" s="16">
        <f t="shared" ref="AW194:AW196" si="15">AV194*70%</f>
        <v>23170</v>
      </c>
    </row>
    <row r="195" spans="1:49" ht="28.8" x14ac:dyDescent="0.4">
      <c r="A195" s="5" t="s">
        <v>200</v>
      </c>
      <c r="B195" s="5" t="s">
        <v>136</v>
      </c>
      <c r="C195" s="5">
        <v>219203</v>
      </c>
      <c r="D195" s="6"/>
      <c r="E195" s="5" t="s">
        <v>16</v>
      </c>
      <c r="F195" s="5" t="s">
        <v>137</v>
      </c>
      <c r="G195" s="5" t="s">
        <v>13</v>
      </c>
      <c r="H195" s="7" t="s">
        <v>8</v>
      </c>
      <c r="I195" s="7" t="s">
        <v>138</v>
      </c>
      <c r="J195" s="7">
        <v>0</v>
      </c>
      <c r="K195" s="7">
        <v>5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243</v>
      </c>
      <c r="AC195" s="8">
        <v>21000</v>
      </c>
      <c r="AD195" s="8">
        <v>3300</v>
      </c>
      <c r="AE195" s="7">
        <v>2</v>
      </c>
      <c r="AF195" s="7">
        <v>600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79</v>
      </c>
      <c r="AP195" s="8">
        <v>7000</v>
      </c>
      <c r="AQ195" s="7">
        <v>900</v>
      </c>
      <c r="AR195" s="7">
        <v>0</v>
      </c>
      <c r="AS195" s="7">
        <v>0</v>
      </c>
      <c r="AT195" s="7">
        <v>0</v>
      </c>
      <c r="AU195" s="10">
        <v>32800</v>
      </c>
      <c r="AV195" s="15">
        <f t="shared" si="14"/>
        <v>32800</v>
      </c>
      <c r="AW195" s="16">
        <f t="shared" si="15"/>
        <v>22960</v>
      </c>
    </row>
    <row r="196" spans="1:49" ht="19.2" x14ac:dyDescent="0.4">
      <c r="A196" s="5" t="s">
        <v>200</v>
      </c>
      <c r="B196" s="5" t="s">
        <v>245</v>
      </c>
      <c r="C196" s="5">
        <v>394079</v>
      </c>
      <c r="D196" s="6"/>
      <c r="E196" s="5" t="s">
        <v>16</v>
      </c>
      <c r="F196" s="5" t="s">
        <v>231</v>
      </c>
      <c r="G196" s="5" t="s">
        <v>227</v>
      </c>
      <c r="H196" s="7" t="s">
        <v>11</v>
      </c>
      <c r="I196" s="7" t="s">
        <v>246</v>
      </c>
      <c r="J196" s="7">
        <v>0</v>
      </c>
      <c r="K196" s="7">
        <v>2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215</v>
      </c>
      <c r="AF196" s="8">
        <v>21500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98</v>
      </c>
      <c r="AS196" s="8">
        <v>9600</v>
      </c>
      <c r="AT196" s="7">
        <v>200</v>
      </c>
      <c r="AU196" s="10">
        <v>31300</v>
      </c>
      <c r="AV196" s="15">
        <f t="shared" si="14"/>
        <v>31300</v>
      </c>
      <c r="AW196" s="16">
        <f t="shared" si="15"/>
        <v>21910</v>
      </c>
    </row>
    <row r="197" spans="1:49" ht="19.2" x14ac:dyDescent="0.4">
      <c r="A197" s="5" t="s">
        <v>200</v>
      </c>
      <c r="B197" s="5" t="s">
        <v>361</v>
      </c>
      <c r="C197" s="5">
        <v>416195</v>
      </c>
      <c r="D197" s="6"/>
      <c r="E197" s="5" t="s">
        <v>16</v>
      </c>
      <c r="F197" s="5" t="s">
        <v>231</v>
      </c>
      <c r="G197" s="5" t="s">
        <v>227</v>
      </c>
      <c r="H197" s="7" t="s">
        <v>122</v>
      </c>
      <c r="I197" s="7" t="s">
        <v>246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4</v>
      </c>
      <c r="AF197" s="8">
        <v>11400</v>
      </c>
      <c r="AG197" s="7">
        <v>800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4</v>
      </c>
      <c r="AS197" s="8">
        <v>14400</v>
      </c>
      <c r="AT197" s="7">
        <v>0</v>
      </c>
      <c r="AU197" s="10">
        <v>26600</v>
      </c>
      <c r="AV197" s="15">
        <f t="shared" ref="AV197:AV260" si="16">AU197-AN197</f>
        <v>26600</v>
      </c>
      <c r="AW197" s="16">
        <f t="shared" ref="AW197:AW260" si="17">AV197*70%</f>
        <v>18620</v>
      </c>
    </row>
    <row r="198" spans="1:49" ht="19.2" x14ac:dyDescent="0.4">
      <c r="A198" s="5" t="s">
        <v>200</v>
      </c>
      <c r="B198" s="5" t="s">
        <v>161</v>
      </c>
      <c r="C198" s="5">
        <v>211158</v>
      </c>
      <c r="D198" s="6"/>
      <c r="E198" s="5" t="s">
        <v>16</v>
      </c>
      <c r="F198" s="5" t="s">
        <v>17</v>
      </c>
      <c r="G198" s="5" t="s">
        <v>13</v>
      </c>
      <c r="H198" s="7" t="s">
        <v>8</v>
      </c>
      <c r="I198" s="7" t="s">
        <v>162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10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263</v>
      </c>
      <c r="AF198" s="8">
        <v>23700</v>
      </c>
      <c r="AG198" s="8">
        <v>2600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10">
        <v>26300</v>
      </c>
      <c r="AV198" s="15">
        <f t="shared" si="16"/>
        <v>26300</v>
      </c>
      <c r="AW198" s="16">
        <f t="shared" si="17"/>
        <v>18410</v>
      </c>
    </row>
    <row r="199" spans="1:49" ht="19.2" x14ac:dyDescent="0.4">
      <c r="A199" s="5" t="s">
        <v>200</v>
      </c>
      <c r="B199" s="5" t="s">
        <v>351</v>
      </c>
      <c r="C199" s="5">
        <v>353981</v>
      </c>
      <c r="D199" s="6"/>
      <c r="E199" s="5" t="s">
        <v>16</v>
      </c>
      <c r="F199" s="5" t="s">
        <v>352</v>
      </c>
      <c r="G199" s="5" t="s">
        <v>227</v>
      </c>
      <c r="H199" s="7" t="s">
        <v>11</v>
      </c>
      <c r="I199" s="7" t="s">
        <v>353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24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171</v>
      </c>
      <c r="AF199" s="8">
        <v>17100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86</v>
      </c>
      <c r="AS199" s="8">
        <v>8600</v>
      </c>
      <c r="AT199" s="7">
        <v>0</v>
      </c>
      <c r="AU199" s="10">
        <v>25700</v>
      </c>
      <c r="AV199" s="15">
        <f t="shared" si="16"/>
        <v>25700</v>
      </c>
      <c r="AW199" s="16">
        <f t="shared" si="17"/>
        <v>17990</v>
      </c>
    </row>
    <row r="200" spans="1:49" ht="19.2" x14ac:dyDescent="0.4">
      <c r="A200" s="5" t="s">
        <v>200</v>
      </c>
      <c r="B200" s="5" t="s">
        <v>63</v>
      </c>
      <c r="C200" s="5">
        <v>410142</v>
      </c>
      <c r="D200" s="6"/>
      <c r="E200" s="5" t="s">
        <v>16</v>
      </c>
      <c r="F200" s="5" t="s">
        <v>47</v>
      </c>
      <c r="G200" s="5" t="s">
        <v>13</v>
      </c>
      <c r="H200" s="7" t="s">
        <v>8</v>
      </c>
      <c r="I200" s="7" t="s">
        <v>14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8</v>
      </c>
      <c r="AF200" s="8">
        <v>19200</v>
      </c>
      <c r="AG200" s="8">
        <v>6400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10">
        <v>25600</v>
      </c>
      <c r="AV200" s="15">
        <f t="shared" si="16"/>
        <v>25600</v>
      </c>
      <c r="AW200" s="16">
        <f t="shared" si="17"/>
        <v>17920</v>
      </c>
    </row>
    <row r="201" spans="1:49" ht="19.2" x14ac:dyDescent="0.4">
      <c r="A201" s="5" t="s">
        <v>200</v>
      </c>
      <c r="B201" s="5" t="s">
        <v>196</v>
      </c>
      <c r="C201" s="5">
        <v>458568</v>
      </c>
      <c r="D201" s="6"/>
      <c r="E201" s="5" t="s">
        <v>16</v>
      </c>
      <c r="F201" s="5" t="s">
        <v>17</v>
      </c>
      <c r="G201" s="5" t="s">
        <v>13</v>
      </c>
      <c r="H201" s="7" t="s">
        <v>8</v>
      </c>
      <c r="I201" s="7" t="s">
        <v>190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8</v>
      </c>
      <c r="AF201" s="8">
        <v>25600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10">
        <v>25600</v>
      </c>
      <c r="AV201" s="15">
        <f t="shared" si="16"/>
        <v>25600</v>
      </c>
      <c r="AW201" s="16">
        <f t="shared" si="17"/>
        <v>17920</v>
      </c>
    </row>
    <row r="202" spans="1:49" ht="19.2" x14ac:dyDescent="0.4">
      <c r="A202" s="5" t="s">
        <v>200</v>
      </c>
      <c r="B202" s="5" t="s">
        <v>437</v>
      </c>
      <c r="C202" s="5">
        <v>431802</v>
      </c>
      <c r="D202" s="6"/>
      <c r="E202" s="5" t="s">
        <v>16</v>
      </c>
      <c r="F202" s="5" t="s">
        <v>267</v>
      </c>
      <c r="G202" s="5" t="s">
        <v>227</v>
      </c>
      <c r="H202" s="7" t="s">
        <v>122</v>
      </c>
      <c r="I202" s="7" t="s">
        <v>438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6</v>
      </c>
      <c r="AF202" s="8">
        <v>9600</v>
      </c>
      <c r="AG202" s="7">
        <v>500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6</v>
      </c>
      <c r="AS202" s="8">
        <v>13900</v>
      </c>
      <c r="AT202" s="7">
        <v>0</v>
      </c>
      <c r="AU202" s="10">
        <v>24000</v>
      </c>
      <c r="AV202" s="15">
        <f t="shared" si="16"/>
        <v>24000</v>
      </c>
      <c r="AW202" s="16">
        <f t="shared" si="17"/>
        <v>16800</v>
      </c>
    </row>
    <row r="203" spans="1:49" ht="19.2" x14ac:dyDescent="0.4">
      <c r="A203" s="5" t="s">
        <v>200</v>
      </c>
      <c r="B203" s="5" t="s">
        <v>67</v>
      </c>
      <c r="C203" s="5">
        <v>406872</v>
      </c>
      <c r="D203" s="6"/>
      <c r="E203" s="5" t="s">
        <v>16</v>
      </c>
      <c r="F203" s="5" t="s">
        <v>68</v>
      </c>
      <c r="G203" s="5" t="s">
        <v>13</v>
      </c>
      <c r="H203" s="7" t="s">
        <v>12</v>
      </c>
      <c r="I203" s="7" t="s">
        <v>69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170</v>
      </c>
      <c r="T203" s="7">
        <v>40</v>
      </c>
      <c r="U203" s="7">
        <v>0</v>
      </c>
      <c r="V203" s="7">
        <v>0</v>
      </c>
      <c r="W203" s="8">
        <v>17000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69</v>
      </c>
      <c r="AF203" s="8">
        <v>6700</v>
      </c>
      <c r="AG203" s="7">
        <v>200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10">
        <v>23900</v>
      </c>
      <c r="AV203" s="15">
        <f t="shared" si="16"/>
        <v>23900</v>
      </c>
      <c r="AW203" s="16">
        <f t="shared" si="17"/>
        <v>16730</v>
      </c>
    </row>
    <row r="204" spans="1:49" ht="19.2" x14ac:dyDescent="0.4">
      <c r="A204" s="5" t="s">
        <v>200</v>
      </c>
      <c r="B204" s="5" t="s">
        <v>203</v>
      </c>
      <c r="C204" s="5">
        <v>462353</v>
      </c>
      <c r="D204" s="6"/>
      <c r="E204" s="5" t="s">
        <v>16</v>
      </c>
      <c r="F204" s="5" t="s">
        <v>179</v>
      </c>
      <c r="G204" s="5" t="s">
        <v>13</v>
      </c>
      <c r="H204" s="7" t="s">
        <v>8</v>
      </c>
      <c r="I204" s="7" t="s">
        <v>204</v>
      </c>
      <c r="J204" s="7">
        <v>3</v>
      </c>
      <c r="K204" s="7">
        <v>0</v>
      </c>
      <c r="L204" s="7">
        <v>300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194</v>
      </c>
      <c r="AF204" s="8">
        <v>19200</v>
      </c>
      <c r="AG204" s="7">
        <v>200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39</v>
      </c>
      <c r="AS204" s="8">
        <v>3900</v>
      </c>
      <c r="AT204" s="7">
        <v>0</v>
      </c>
      <c r="AU204" s="10">
        <v>23600</v>
      </c>
      <c r="AV204" s="15">
        <f t="shared" si="16"/>
        <v>23600</v>
      </c>
      <c r="AW204" s="16">
        <f t="shared" si="17"/>
        <v>16520</v>
      </c>
    </row>
    <row r="205" spans="1:49" ht="19.2" x14ac:dyDescent="0.4">
      <c r="A205" s="5" t="s">
        <v>200</v>
      </c>
      <c r="B205" s="5" t="s">
        <v>194</v>
      </c>
      <c r="C205" s="5">
        <v>441958</v>
      </c>
      <c r="D205" s="6"/>
      <c r="E205" s="5" t="s">
        <v>16</v>
      </c>
      <c r="F205" s="5" t="s">
        <v>106</v>
      </c>
      <c r="G205" s="5" t="s">
        <v>13</v>
      </c>
      <c r="H205" s="7" t="s">
        <v>11</v>
      </c>
      <c r="I205" s="7" t="s">
        <v>188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5</v>
      </c>
      <c r="AF205" s="7">
        <v>700</v>
      </c>
      <c r="AG205" s="8">
        <v>11300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4</v>
      </c>
      <c r="AS205" s="8">
        <v>9600</v>
      </c>
      <c r="AT205" s="7">
        <v>0</v>
      </c>
      <c r="AU205" s="10">
        <v>21600</v>
      </c>
      <c r="AV205" s="15">
        <f t="shared" si="16"/>
        <v>21600</v>
      </c>
      <c r="AW205" s="16">
        <f t="shared" si="17"/>
        <v>15119.999999999998</v>
      </c>
    </row>
    <row r="206" spans="1:49" ht="19.2" x14ac:dyDescent="0.4">
      <c r="A206" s="5" t="s">
        <v>200</v>
      </c>
      <c r="B206" s="5" t="s">
        <v>376</v>
      </c>
      <c r="C206" s="5">
        <v>431788</v>
      </c>
      <c r="D206" s="6"/>
      <c r="E206" s="5" t="s">
        <v>16</v>
      </c>
      <c r="F206" s="5" t="s">
        <v>267</v>
      </c>
      <c r="G206" s="5" t="s">
        <v>227</v>
      </c>
      <c r="H206" s="7" t="s">
        <v>122</v>
      </c>
      <c r="I206" s="7" t="s">
        <v>377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4</v>
      </c>
      <c r="AF206" s="8">
        <v>6000</v>
      </c>
      <c r="AG206" s="8">
        <v>3200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4</v>
      </c>
      <c r="AS206" s="8">
        <v>11800</v>
      </c>
      <c r="AT206" s="7">
        <v>0</v>
      </c>
      <c r="AU206" s="10">
        <v>21000</v>
      </c>
      <c r="AV206" s="15">
        <f t="shared" si="16"/>
        <v>21000</v>
      </c>
      <c r="AW206" s="16">
        <f t="shared" si="17"/>
        <v>14699.999999999998</v>
      </c>
    </row>
    <row r="207" spans="1:49" ht="19.2" x14ac:dyDescent="0.4">
      <c r="A207" s="5" t="s">
        <v>200</v>
      </c>
      <c r="B207" s="5" t="s">
        <v>439</v>
      </c>
      <c r="C207" s="5">
        <v>446880</v>
      </c>
      <c r="D207" s="6"/>
      <c r="E207" s="5" t="s">
        <v>16</v>
      </c>
      <c r="F207" s="5" t="s">
        <v>290</v>
      </c>
      <c r="G207" s="5" t="s">
        <v>227</v>
      </c>
      <c r="H207" s="7" t="s">
        <v>122</v>
      </c>
      <c r="I207" s="7" t="s">
        <v>291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6</v>
      </c>
      <c r="AF207" s="8">
        <v>18600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1</v>
      </c>
      <c r="AS207" s="8">
        <v>2200</v>
      </c>
      <c r="AT207" s="7">
        <v>200</v>
      </c>
      <c r="AU207" s="10">
        <v>21000</v>
      </c>
      <c r="AV207" s="15">
        <f t="shared" si="16"/>
        <v>21000</v>
      </c>
      <c r="AW207" s="16">
        <f t="shared" si="17"/>
        <v>14699.999999999998</v>
      </c>
    </row>
    <row r="208" spans="1:49" ht="19.2" x14ac:dyDescent="0.4">
      <c r="A208" s="5" t="s">
        <v>200</v>
      </c>
      <c r="B208" s="5" t="s">
        <v>292</v>
      </c>
      <c r="C208" s="5">
        <v>445861</v>
      </c>
      <c r="D208" s="6"/>
      <c r="E208" s="5" t="s">
        <v>16</v>
      </c>
      <c r="F208" s="5" t="s">
        <v>226</v>
      </c>
      <c r="G208" s="5" t="s">
        <v>227</v>
      </c>
      <c r="H208" s="7" t="s">
        <v>11</v>
      </c>
      <c r="I208" s="7" t="s">
        <v>293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7</v>
      </c>
      <c r="AF208" s="8">
        <v>13200</v>
      </c>
      <c r="AG208" s="8">
        <v>6400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10">
        <v>19600</v>
      </c>
      <c r="AV208" s="15">
        <f t="shared" si="16"/>
        <v>19600</v>
      </c>
      <c r="AW208" s="16">
        <f t="shared" si="17"/>
        <v>13720</v>
      </c>
    </row>
    <row r="209" spans="1:49" ht="19.2" x14ac:dyDescent="0.4">
      <c r="A209" s="5" t="s">
        <v>200</v>
      </c>
      <c r="B209" s="5" t="s">
        <v>205</v>
      </c>
      <c r="C209" s="5">
        <v>462361</v>
      </c>
      <c r="D209" s="6"/>
      <c r="E209" s="5" t="s">
        <v>16</v>
      </c>
      <c r="F209" s="5" t="s">
        <v>179</v>
      </c>
      <c r="G209" s="5" t="s">
        <v>13</v>
      </c>
      <c r="H209" s="7" t="s">
        <v>8</v>
      </c>
      <c r="I209" s="7" t="s">
        <v>206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1</v>
      </c>
      <c r="AF209" s="8">
        <v>3200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5</v>
      </c>
      <c r="AS209" s="8">
        <v>15600</v>
      </c>
      <c r="AT209" s="7">
        <v>400</v>
      </c>
      <c r="AU209" s="10">
        <v>19200</v>
      </c>
      <c r="AV209" s="15">
        <f t="shared" si="16"/>
        <v>19200</v>
      </c>
      <c r="AW209" s="16">
        <f t="shared" si="17"/>
        <v>13440</v>
      </c>
    </row>
    <row r="210" spans="1:49" ht="19.2" x14ac:dyDescent="0.4">
      <c r="A210" s="5" t="s">
        <v>200</v>
      </c>
      <c r="B210" s="5" t="s">
        <v>240</v>
      </c>
      <c r="C210" s="5">
        <v>459997</v>
      </c>
      <c r="D210" s="6"/>
      <c r="E210" s="5" t="s">
        <v>16</v>
      </c>
      <c r="F210" s="5" t="s">
        <v>241</v>
      </c>
      <c r="G210" s="5" t="s">
        <v>13</v>
      </c>
      <c r="H210" s="7" t="s">
        <v>8</v>
      </c>
      <c r="I210" s="7" t="s">
        <v>224</v>
      </c>
      <c r="J210" s="7">
        <v>17</v>
      </c>
      <c r="K210" s="7">
        <v>0</v>
      </c>
      <c r="L210" s="8">
        <v>1700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143</v>
      </c>
      <c r="AF210" s="8">
        <v>10800</v>
      </c>
      <c r="AG210" s="8">
        <v>3500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16</v>
      </c>
      <c r="AS210" s="8">
        <v>1600</v>
      </c>
      <c r="AT210" s="7">
        <v>0</v>
      </c>
      <c r="AU210" s="10">
        <v>17600</v>
      </c>
      <c r="AV210" s="15">
        <f t="shared" si="16"/>
        <v>17600</v>
      </c>
      <c r="AW210" s="16">
        <f t="shared" si="17"/>
        <v>12320</v>
      </c>
    </row>
    <row r="211" spans="1:49" ht="19.2" x14ac:dyDescent="0.4">
      <c r="A211" s="5" t="s">
        <v>200</v>
      </c>
      <c r="B211" s="5" t="s">
        <v>440</v>
      </c>
      <c r="C211" s="5">
        <v>418302</v>
      </c>
      <c r="D211" s="6"/>
      <c r="E211" s="5" t="s">
        <v>16</v>
      </c>
      <c r="F211" s="5" t="s">
        <v>248</v>
      </c>
      <c r="G211" s="5" t="s">
        <v>227</v>
      </c>
      <c r="H211" s="7" t="s">
        <v>122</v>
      </c>
      <c r="I211" s="7" t="s">
        <v>249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5</v>
      </c>
      <c r="AF211" s="8">
        <v>17500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10">
        <v>17500</v>
      </c>
      <c r="AV211" s="15">
        <f t="shared" si="16"/>
        <v>17500</v>
      </c>
      <c r="AW211" s="16">
        <f t="shared" si="17"/>
        <v>12250</v>
      </c>
    </row>
    <row r="212" spans="1:49" ht="19.2" x14ac:dyDescent="0.4">
      <c r="A212" s="5" t="s">
        <v>200</v>
      </c>
      <c r="B212" s="5" t="s">
        <v>441</v>
      </c>
      <c r="C212" s="5">
        <v>444217</v>
      </c>
      <c r="D212" s="6"/>
      <c r="E212" s="5" t="s">
        <v>16</v>
      </c>
      <c r="F212" s="5" t="s">
        <v>267</v>
      </c>
      <c r="G212" s="5" t="s">
        <v>227</v>
      </c>
      <c r="H212" s="7" t="s">
        <v>122</v>
      </c>
      <c r="I212" s="7" t="s">
        <v>442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5</v>
      </c>
      <c r="AF212" s="8">
        <v>10000</v>
      </c>
      <c r="AG212" s="8">
        <v>2500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2</v>
      </c>
      <c r="AS212" s="8">
        <v>5000</v>
      </c>
      <c r="AT212" s="7">
        <v>0</v>
      </c>
      <c r="AU212" s="10">
        <v>17500</v>
      </c>
      <c r="AV212" s="15">
        <f t="shared" si="16"/>
        <v>17500</v>
      </c>
      <c r="AW212" s="16">
        <f t="shared" si="17"/>
        <v>12250</v>
      </c>
    </row>
    <row r="213" spans="1:49" ht="19.2" x14ac:dyDescent="0.4">
      <c r="A213" s="5" t="s">
        <v>200</v>
      </c>
      <c r="B213" s="5" t="s">
        <v>54</v>
      </c>
      <c r="C213" s="5">
        <v>422032</v>
      </c>
      <c r="D213" s="6"/>
      <c r="E213" s="5" t="s">
        <v>16</v>
      </c>
      <c r="F213" s="5" t="s">
        <v>55</v>
      </c>
      <c r="G213" s="5" t="s">
        <v>13</v>
      </c>
      <c r="H213" s="7" t="s">
        <v>12</v>
      </c>
      <c r="I213" s="7" t="s">
        <v>56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11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175</v>
      </c>
      <c r="AF213" s="8">
        <v>16900</v>
      </c>
      <c r="AG213" s="7">
        <v>600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10">
        <v>17500</v>
      </c>
      <c r="AV213" s="15">
        <f t="shared" si="16"/>
        <v>17500</v>
      </c>
      <c r="AW213" s="16">
        <f t="shared" si="17"/>
        <v>12250</v>
      </c>
    </row>
    <row r="214" spans="1:49" ht="19.2" x14ac:dyDescent="0.4">
      <c r="A214" s="5" t="s">
        <v>200</v>
      </c>
      <c r="B214" s="5" t="s">
        <v>403</v>
      </c>
      <c r="C214" s="5">
        <v>384107</v>
      </c>
      <c r="D214" s="6"/>
      <c r="E214" s="5" t="s">
        <v>16</v>
      </c>
      <c r="F214" s="5" t="s">
        <v>404</v>
      </c>
      <c r="G214" s="5" t="s">
        <v>227</v>
      </c>
      <c r="H214" s="7" t="s">
        <v>122</v>
      </c>
      <c r="I214" s="7" t="s">
        <v>405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3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170</v>
      </c>
      <c r="AF214" s="8">
        <v>10400</v>
      </c>
      <c r="AG214" s="8">
        <v>6600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10">
        <v>17000</v>
      </c>
      <c r="AV214" s="15">
        <f t="shared" si="16"/>
        <v>17000</v>
      </c>
      <c r="AW214" s="16">
        <f t="shared" si="17"/>
        <v>11900</v>
      </c>
    </row>
    <row r="215" spans="1:49" ht="19.2" x14ac:dyDescent="0.4">
      <c r="A215" s="5" t="s">
        <v>200</v>
      </c>
      <c r="B215" s="5" t="s">
        <v>443</v>
      </c>
      <c r="C215" s="5">
        <v>426259</v>
      </c>
      <c r="D215" s="6"/>
      <c r="E215" s="5" t="s">
        <v>16</v>
      </c>
      <c r="F215" s="5" t="s">
        <v>267</v>
      </c>
      <c r="G215" s="5" t="s">
        <v>227</v>
      </c>
      <c r="H215" s="7" t="s">
        <v>122</v>
      </c>
      <c r="I215" s="7" t="s">
        <v>444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4</v>
      </c>
      <c r="AF215" s="8">
        <v>11200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2</v>
      </c>
      <c r="AS215" s="8">
        <v>5600</v>
      </c>
      <c r="AT215" s="7">
        <v>0</v>
      </c>
      <c r="AU215" s="10">
        <v>16800</v>
      </c>
      <c r="AV215" s="15">
        <f t="shared" si="16"/>
        <v>16800</v>
      </c>
      <c r="AW215" s="16">
        <f t="shared" si="17"/>
        <v>11760</v>
      </c>
    </row>
    <row r="216" spans="1:49" ht="19.2" x14ac:dyDescent="0.4">
      <c r="A216" s="5" t="s">
        <v>200</v>
      </c>
      <c r="B216" s="5" t="s">
        <v>266</v>
      </c>
      <c r="C216" s="5">
        <v>383229</v>
      </c>
      <c r="D216" s="6"/>
      <c r="E216" s="5" t="s">
        <v>16</v>
      </c>
      <c r="F216" s="5" t="s">
        <v>267</v>
      </c>
      <c r="G216" s="5" t="s">
        <v>227</v>
      </c>
      <c r="H216" s="7" t="s">
        <v>11</v>
      </c>
      <c r="I216" s="7" t="s">
        <v>268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7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168</v>
      </c>
      <c r="AF216" s="8">
        <v>14600</v>
      </c>
      <c r="AG216" s="8">
        <v>2200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10">
        <v>16800</v>
      </c>
      <c r="AV216" s="15">
        <f t="shared" si="16"/>
        <v>16800</v>
      </c>
      <c r="AW216" s="16">
        <f t="shared" si="17"/>
        <v>11760</v>
      </c>
    </row>
    <row r="217" spans="1:49" ht="19.2" x14ac:dyDescent="0.4">
      <c r="A217" s="5" t="s">
        <v>200</v>
      </c>
      <c r="B217" s="5" t="s">
        <v>374</v>
      </c>
      <c r="C217" s="5">
        <v>458432</v>
      </c>
      <c r="D217" s="6"/>
      <c r="E217" s="5" t="s">
        <v>16</v>
      </c>
      <c r="F217" s="5" t="s">
        <v>267</v>
      </c>
      <c r="G217" s="5" t="s">
        <v>227</v>
      </c>
      <c r="H217" s="7" t="s">
        <v>122</v>
      </c>
      <c r="I217" s="7" t="s">
        <v>375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5</v>
      </c>
      <c r="AF217" s="8">
        <v>12000</v>
      </c>
      <c r="AG217" s="8">
        <v>3000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10">
        <v>15000</v>
      </c>
      <c r="AV217" s="15">
        <f t="shared" si="16"/>
        <v>15000</v>
      </c>
      <c r="AW217" s="16">
        <f t="shared" si="17"/>
        <v>10500</v>
      </c>
    </row>
    <row r="218" spans="1:49" ht="19.2" x14ac:dyDescent="0.4">
      <c r="A218" s="5" t="s">
        <v>200</v>
      </c>
      <c r="B218" s="5" t="s">
        <v>445</v>
      </c>
      <c r="C218" s="5">
        <v>423579</v>
      </c>
      <c r="D218" s="6"/>
      <c r="E218" s="5" t="s">
        <v>16</v>
      </c>
      <c r="F218" s="5" t="s">
        <v>287</v>
      </c>
      <c r="G218" s="5" t="s">
        <v>227</v>
      </c>
      <c r="H218" s="7" t="s">
        <v>122</v>
      </c>
      <c r="I218" s="7" t="s">
        <v>288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4</v>
      </c>
      <c r="AF218" s="8">
        <v>7200</v>
      </c>
      <c r="AG218" s="8">
        <v>7200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10">
        <v>14400</v>
      </c>
      <c r="AV218" s="15">
        <f t="shared" si="16"/>
        <v>14400</v>
      </c>
      <c r="AW218" s="16">
        <f t="shared" si="17"/>
        <v>10080</v>
      </c>
    </row>
    <row r="219" spans="1:49" ht="19.2" x14ac:dyDescent="0.4">
      <c r="A219" s="5" t="s">
        <v>200</v>
      </c>
      <c r="B219" s="5" t="s">
        <v>294</v>
      </c>
      <c r="C219" s="5">
        <v>399034</v>
      </c>
      <c r="D219" s="6"/>
      <c r="E219" s="5" t="s">
        <v>16</v>
      </c>
      <c r="F219" s="5" t="s">
        <v>295</v>
      </c>
      <c r="G219" s="5" t="s">
        <v>227</v>
      </c>
      <c r="H219" s="7" t="s">
        <v>11</v>
      </c>
      <c r="I219" s="7" t="s">
        <v>296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132</v>
      </c>
      <c r="AF219" s="8">
        <v>13200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1</v>
      </c>
      <c r="AS219" s="7">
        <v>100</v>
      </c>
      <c r="AT219" s="7">
        <v>0</v>
      </c>
      <c r="AU219" s="10">
        <v>13300</v>
      </c>
      <c r="AV219" s="15">
        <f t="shared" si="16"/>
        <v>13300</v>
      </c>
      <c r="AW219" s="16">
        <f t="shared" si="17"/>
        <v>9310</v>
      </c>
    </row>
    <row r="220" spans="1:49" ht="19.2" x14ac:dyDescent="0.4">
      <c r="A220" s="5" t="s">
        <v>200</v>
      </c>
      <c r="B220" s="5" t="s">
        <v>247</v>
      </c>
      <c r="C220" s="5">
        <v>395270</v>
      </c>
      <c r="D220" s="6"/>
      <c r="E220" s="5" t="s">
        <v>16</v>
      </c>
      <c r="F220" s="5" t="s">
        <v>248</v>
      </c>
      <c r="G220" s="5" t="s">
        <v>227</v>
      </c>
      <c r="H220" s="7" t="s">
        <v>11</v>
      </c>
      <c r="I220" s="7" t="s">
        <v>249</v>
      </c>
      <c r="J220" s="7">
        <v>0</v>
      </c>
      <c r="K220" s="7">
        <v>3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6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130</v>
      </c>
      <c r="AF220" s="8">
        <v>12400</v>
      </c>
      <c r="AG220" s="7">
        <v>600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2</v>
      </c>
      <c r="AS220" s="7">
        <v>200</v>
      </c>
      <c r="AT220" s="7">
        <v>0</v>
      </c>
      <c r="AU220" s="10">
        <v>13200</v>
      </c>
      <c r="AV220" s="15">
        <f t="shared" si="16"/>
        <v>13200</v>
      </c>
      <c r="AW220" s="16">
        <f t="shared" si="17"/>
        <v>9240</v>
      </c>
    </row>
    <row r="221" spans="1:49" ht="19.2" x14ac:dyDescent="0.4">
      <c r="A221" s="5" t="s">
        <v>200</v>
      </c>
      <c r="B221" s="5" t="s">
        <v>399</v>
      </c>
      <c r="C221" s="5">
        <v>387972</v>
      </c>
      <c r="D221" s="6"/>
      <c r="E221" s="5" t="s">
        <v>16</v>
      </c>
      <c r="F221" s="5" t="s">
        <v>248</v>
      </c>
      <c r="G221" s="5" t="s">
        <v>227</v>
      </c>
      <c r="H221" s="7" t="s">
        <v>122</v>
      </c>
      <c r="I221" s="7" t="s">
        <v>272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2</v>
      </c>
      <c r="AF221" s="8">
        <v>5400</v>
      </c>
      <c r="AG221" s="8">
        <v>1000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2</v>
      </c>
      <c r="AS221" s="8">
        <v>3200</v>
      </c>
      <c r="AT221" s="8">
        <v>3200</v>
      </c>
      <c r="AU221" s="10">
        <v>12800</v>
      </c>
      <c r="AV221" s="15">
        <f t="shared" si="16"/>
        <v>12800</v>
      </c>
      <c r="AW221" s="16">
        <f t="shared" si="17"/>
        <v>8960</v>
      </c>
    </row>
    <row r="222" spans="1:49" ht="19.2" x14ac:dyDescent="0.4">
      <c r="A222" s="5" t="s">
        <v>200</v>
      </c>
      <c r="B222" s="5" t="s">
        <v>446</v>
      </c>
      <c r="C222" s="5">
        <v>383234</v>
      </c>
      <c r="D222" s="6"/>
      <c r="E222" s="5" t="s">
        <v>16</v>
      </c>
      <c r="F222" s="5" t="s">
        <v>267</v>
      </c>
      <c r="G222" s="5" t="s">
        <v>227</v>
      </c>
      <c r="H222" s="7" t="s">
        <v>122</v>
      </c>
      <c r="I222" s="7" t="s">
        <v>268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4</v>
      </c>
      <c r="AF222" s="8">
        <v>6400</v>
      </c>
      <c r="AG222" s="8">
        <v>6400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10">
        <v>12800</v>
      </c>
      <c r="AV222" s="15">
        <f t="shared" si="16"/>
        <v>12800</v>
      </c>
      <c r="AW222" s="16">
        <f t="shared" si="17"/>
        <v>8960</v>
      </c>
    </row>
    <row r="223" spans="1:49" ht="19.2" x14ac:dyDescent="0.4">
      <c r="A223" s="5" t="s">
        <v>200</v>
      </c>
      <c r="B223" s="5" t="s">
        <v>149</v>
      </c>
      <c r="C223" s="5">
        <v>408593</v>
      </c>
      <c r="D223" s="6"/>
      <c r="E223" s="5" t="s">
        <v>16</v>
      </c>
      <c r="F223" s="5" t="s">
        <v>37</v>
      </c>
      <c r="G223" s="5" t="s">
        <v>13</v>
      </c>
      <c r="H223" s="7" t="s">
        <v>8</v>
      </c>
      <c r="I223" s="7" t="s">
        <v>35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4</v>
      </c>
      <c r="AF223" s="8">
        <v>12800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10">
        <v>12800</v>
      </c>
      <c r="AV223" s="15">
        <f t="shared" si="16"/>
        <v>12800</v>
      </c>
      <c r="AW223" s="16">
        <f t="shared" si="17"/>
        <v>8960</v>
      </c>
    </row>
    <row r="224" spans="1:49" ht="19.2" x14ac:dyDescent="0.4">
      <c r="A224" s="5" t="s">
        <v>200</v>
      </c>
      <c r="B224" s="5" t="s">
        <v>18</v>
      </c>
      <c r="C224" s="5">
        <v>387417</v>
      </c>
      <c r="D224" s="6"/>
      <c r="E224" s="5" t="s">
        <v>16</v>
      </c>
      <c r="F224" s="5" t="s">
        <v>19</v>
      </c>
      <c r="G224" s="5" t="s">
        <v>13</v>
      </c>
      <c r="H224" s="7" t="s">
        <v>8</v>
      </c>
      <c r="I224" s="7" t="s">
        <v>20</v>
      </c>
      <c r="J224" s="7">
        <v>0</v>
      </c>
      <c r="K224" s="7">
        <v>27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100</v>
      </c>
      <c r="AF224" s="8">
        <v>7700</v>
      </c>
      <c r="AG224" s="8">
        <v>2300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23</v>
      </c>
      <c r="AS224" s="8">
        <v>2300</v>
      </c>
      <c r="AT224" s="7">
        <v>0</v>
      </c>
      <c r="AU224" s="10">
        <v>12300</v>
      </c>
      <c r="AV224" s="15">
        <f t="shared" si="16"/>
        <v>12300</v>
      </c>
      <c r="AW224" s="16">
        <f t="shared" si="17"/>
        <v>8610</v>
      </c>
    </row>
    <row r="225" spans="1:49" ht="19.2" x14ac:dyDescent="0.4">
      <c r="A225" s="5" t="s">
        <v>200</v>
      </c>
      <c r="B225" s="5" t="s">
        <v>320</v>
      </c>
      <c r="C225" s="5">
        <v>353788</v>
      </c>
      <c r="D225" s="6"/>
      <c r="E225" s="5" t="s">
        <v>16</v>
      </c>
      <c r="F225" s="5" t="s">
        <v>321</v>
      </c>
      <c r="G225" s="5" t="s">
        <v>227</v>
      </c>
      <c r="H225" s="7" t="s">
        <v>11</v>
      </c>
      <c r="I225" s="7" t="s">
        <v>322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9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122</v>
      </c>
      <c r="AF225" s="8">
        <v>6200</v>
      </c>
      <c r="AG225" s="8">
        <v>6000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10">
        <v>12200</v>
      </c>
      <c r="AV225" s="15">
        <f t="shared" si="16"/>
        <v>12200</v>
      </c>
      <c r="AW225" s="16">
        <f t="shared" si="17"/>
        <v>8540</v>
      </c>
    </row>
    <row r="226" spans="1:49" ht="19.2" x14ac:dyDescent="0.4">
      <c r="A226" s="5" t="s">
        <v>200</v>
      </c>
      <c r="B226" s="5" t="s">
        <v>447</v>
      </c>
      <c r="C226" s="5">
        <v>419418</v>
      </c>
      <c r="D226" s="6"/>
      <c r="E226" s="5" t="s">
        <v>16</v>
      </c>
      <c r="F226" s="5" t="s">
        <v>329</v>
      </c>
      <c r="G226" s="5" t="s">
        <v>227</v>
      </c>
      <c r="H226" s="7" t="s">
        <v>122</v>
      </c>
      <c r="I226" s="7" t="s">
        <v>448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3</v>
      </c>
      <c r="AF226" s="8">
        <v>10000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1</v>
      </c>
      <c r="AS226" s="8">
        <v>2000</v>
      </c>
      <c r="AT226" s="7">
        <v>0</v>
      </c>
      <c r="AU226" s="10">
        <v>12000</v>
      </c>
      <c r="AV226" s="15">
        <f t="shared" si="16"/>
        <v>12000</v>
      </c>
      <c r="AW226" s="16">
        <f t="shared" si="17"/>
        <v>8400</v>
      </c>
    </row>
    <row r="227" spans="1:49" ht="19.2" x14ac:dyDescent="0.4">
      <c r="A227" s="5" t="s">
        <v>200</v>
      </c>
      <c r="B227" s="5" t="s">
        <v>126</v>
      </c>
      <c r="C227" s="5">
        <v>433508</v>
      </c>
      <c r="D227" s="6"/>
      <c r="E227" s="5" t="s">
        <v>16</v>
      </c>
      <c r="F227" s="5" t="s">
        <v>120</v>
      </c>
      <c r="G227" s="5" t="s">
        <v>13</v>
      </c>
      <c r="H227" s="7" t="s">
        <v>8</v>
      </c>
      <c r="I227" s="7" t="s">
        <v>150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118</v>
      </c>
      <c r="AF227" s="8">
        <v>11800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10">
        <v>11800</v>
      </c>
      <c r="AV227" s="15">
        <f t="shared" si="16"/>
        <v>11800</v>
      </c>
      <c r="AW227" s="16">
        <f t="shared" si="17"/>
        <v>8260</v>
      </c>
    </row>
    <row r="228" spans="1:49" ht="19.2" x14ac:dyDescent="0.4">
      <c r="A228" s="5" t="s">
        <v>200</v>
      </c>
      <c r="B228" s="5" t="s">
        <v>389</v>
      </c>
      <c r="C228" s="5">
        <v>381684</v>
      </c>
      <c r="D228" s="6"/>
      <c r="E228" s="5" t="s">
        <v>16</v>
      </c>
      <c r="F228" s="5" t="s">
        <v>251</v>
      </c>
      <c r="G228" s="5" t="s">
        <v>227</v>
      </c>
      <c r="H228" s="7" t="s">
        <v>122</v>
      </c>
      <c r="I228" s="7" t="s">
        <v>252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3</v>
      </c>
      <c r="AF228" s="8">
        <v>11400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10">
        <v>11400</v>
      </c>
      <c r="AV228" s="15">
        <f t="shared" si="16"/>
        <v>11400</v>
      </c>
      <c r="AW228" s="16">
        <f t="shared" si="17"/>
        <v>7979.9999999999991</v>
      </c>
    </row>
    <row r="229" spans="1:49" ht="19.2" x14ac:dyDescent="0.4">
      <c r="A229" s="5" t="s">
        <v>200</v>
      </c>
      <c r="B229" s="5" t="s">
        <v>449</v>
      </c>
      <c r="C229" s="5">
        <v>462656</v>
      </c>
      <c r="D229" s="6"/>
      <c r="E229" s="5" t="s">
        <v>16</v>
      </c>
      <c r="F229" s="5" t="s">
        <v>290</v>
      </c>
      <c r="G229" s="5" t="s">
        <v>227</v>
      </c>
      <c r="H229" s="7" t="s">
        <v>122</v>
      </c>
      <c r="I229" s="7" t="s">
        <v>204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2</v>
      </c>
      <c r="AF229" s="8">
        <v>7600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1</v>
      </c>
      <c r="AS229" s="8">
        <v>3800</v>
      </c>
      <c r="AT229" s="7">
        <v>0</v>
      </c>
      <c r="AU229" s="10">
        <v>11400</v>
      </c>
      <c r="AV229" s="15">
        <f t="shared" si="16"/>
        <v>11400</v>
      </c>
      <c r="AW229" s="16">
        <f t="shared" si="17"/>
        <v>7979.9999999999991</v>
      </c>
    </row>
    <row r="230" spans="1:49" ht="19.2" x14ac:dyDescent="0.4">
      <c r="A230" s="5" t="s">
        <v>200</v>
      </c>
      <c r="B230" s="5" t="s">
        <v>187</v>
      </c>
      <c r="C230" s="5">
        <v>441966</v>
      </c>
      <c r="D230" s="6"/>
      <c r="E230" s="5" t="s">
        <v>16</v>
      </c>
      <c r="F230" s="5" t="s">
        <v>71</v>
      </c>
      <c r="G230" s="5" t="s">
        <v>13</v>
      </c>
      <c r="H230" s="7" t="s">
        <v>11</v>
      </c>
      <c r="I230" s="7" t="s">
        <v>188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4</v>
      </c>
      <c r="AC230" s="8">
        <v>2400</v>
      </c>
      <c r="AD230" s="8">
        <v>4300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3</v>
      </c>
      <c r="AP230" s="8">
        <v>4700</v>
      </c>
      <c r="AQ230" s="7">
        <v>0</v>
      </c>
      <c r="AR230" s="7">
        <v>0</v>
      </c>
      <c r="AS230" s="7">
        <v>0</v>
      </c>
      <c r="AT230" s="7">
        <v>0</v>
      </c>
      <c r="AU230" s="10">
        <v>11400</v>
      </c>
      <c r="AV230" s="15">
        <f t="shared" si="16"/>
        <v>11400</v>
      </c>
      <c r="AW230" s="16">
        <f t="shared" si="17"/>
        <v>7979.9999999999991</v>
      </c>
    </row>
    <row r="231" spans="1:49" ht="19.2" x14ac:dyDescent="0.4">
      <c r="A231" s="5" t="s">
        <v>200</v>
      </c>
      <c r="B231" s="5" t="s">
        <v>264</v>
      </c>
      <c r="C231" s="5">
        <v>415710</v>
      </c>
      <c r="D231" s="6"/>
      <c r="E231" s="5" t="s">
        <v>16</v>
      </c>
      <c r="F231" s="5" t="s">
        <v>231</v>
      </c>
      <c r="G231" s="5" t="s">
        <v>227</v>
      </c>
      <c r="H231" s="7" t="s">
        <v>11</v>
      </c>
      <c r="I231" s="7" t="s">
        <v>265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10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57</v>
      </c>
      <c r="AF231" s="8">
        <v>5700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56</v>
      </c>
      <c r="AS231" s="8">
        <v>3600</v>
      </c>
      <c r="AT231" s="8">
        <v>2000</v>
      </c>
      <c r="AU231" s="10">
        <v>11300</v>
      </c>
      <c r="AV231" s="15">
        <f t="shared" si="16"/>
        <v>11300</v>
      </c>
      <c r="AW231" s="16">
        <f t="shared" si="17"/>
        <v>7909.9999999999991</v>
      </c>
    </row>
    <row r="232" spans="1:49" ht="19.2" x14ac:dyDescent="0.4">
      <c r="A232" s="5" t="s">
        <v>200</v>
      </c>
      <c r="B232" s="5" t="s">
        <v>305</v>
      </c>
      <c r="C232" s="5">
        <v>382446</v>
      </c>
      <c r="D232" s="6"/>
      <c r="E232" s="5" t="s">
        <v>16</v>
      </c>
      <c r="F232" s="5" t="s">
        <v>231</v>
      </c>
      <c r="G232" s="5" t="s">
        <v>227</v>
      </c>
      <c r="H232" s="7" t="s">
        <v>11</v>
      </c>
      <c r="I232" s="7" t="s">
        <v>306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3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76</v>
      </c>
      <c r="AF232" s="8">
        <v>7600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37</v>
      </c>
      <c r="AS232" s="8">
        <v>3700</v>
      </c>
      <c r="AT232" s="7">
        <v>0</v>
      </c>
      <c r="AU232" s="10">
        <v>11300</v>
      </c>
      <c r="AV232" s="15">
        <f t="shared" si="16"/>
        <v>11300</v>
      </c>
      <c r="AW232" s="16">
        <f t="shared" si="17"/>
        <v>7909.9999999999991</v>
      </c>
    </row>
    <row r="233" spans="1:49" ht="19.2" x14ac:dyDescent="0.4">
      <c r="A233" s="5" t="s">
        <v>200</v>
      </c>
      <c r="B233" s="5" t="s">
        <v>242</v>
      </c>
      <c r="C233" s="5">
        <v>359539</v>
      </c>
      <c r="D233" s="6"/>
      <c r="E233" s="5" t="s">
        <v>16</v>
      </c>
      <c r="F233" s="5" t="s">
        <v>243</v>
      </c>
      <c r="G233" s="5" t="s">
        <v>227</v>
      </c>
      <c r="H233" s="7" t="s">
        <v>11</v>
      </c>
      <c r="I233" s="7" t="s">
        <v>244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1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110</v>
      </c>
      <c r="AF233" s="8">
        <v>10900</v>
      </c>
      <c r="AG233" s="7">
        <v>100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1</v>
      </c>
      <c r="AS233" s="7">
        <v>100</v>
      </c>
      <c r="AT233" s="7">
        <v>0</v>
      </c>
      <c r="AU233" s="10">
        <v>11100</v>
      </c>
      <c r="AV233" s="15">
        <f t="shared" si="16"/>
        <v>11100</v>
      </c>
      <c r="AW233" s="16">
        <f t="shared" si="17"/>
        <v>7769.9999999999991</v>
      </c>
    </row>
    <row r="234" spans="1:49" ht="19.2" x14ac:dyDescent="0.4">
      <c r="A234" s="5" t="s">
        <v>200</v>
      </c>
      <c r="B234" s="5" t="s">
        <v>127</v>
      </c>
      <c r="C234" s="5">
        <v>351033</v>
      </c>
      <c r="D234" s="6" t="s">
        <v>128</v>
      </c>
      <c r="E234" s="5" t="s">
        <v>16</v>
      </c>
      <c r="F234" s="5" t="s">
        <v>17</v>
      </c>
      <c r="G234" s="5" t="s">
        <v>13</v>
      </c>
      <c r="H234" s="7" t="s">
        <v>8</v>
      </c>
      <c r="I234" s="7" t="s">
        <v>129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110</v>
      </c>
      <c r="AF234" s="8">
        <v>7500</v>
      </c>
      <c r="AG234" s="8">
        <v>3500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10">
        <v>11000</v>
      </c>
      <c r="AV234" s="15">
        <f t="shared" si="16"/>
        <v>11000</v>
      </c>
      <c r="AW234" s="16">
        <f t="shared" si="17"/>
        <v>7699.9999999999991</v>
      </c>
    </row>
    <row r="235" spans="1:49" ht="19.2" x14ac:dyDescent="0.4">
      <c r="A235" s="5" t="s">
        <v>200</v>
      </c>
      <c r="B235" s="5" t="s">
        <v>256</v>
      </c>
      <c r="C235" s="5">
        <v>350894</v>
      </c>
      <c r="D235" s="6"/>
      <c r="E235" s="5" t="s">
        <v>16</v>
      </c>
      <c r="F235" s="5" t="s">
        <v>257</v>
      </c>
      <c r="G235" s="5" t="s">
        <v>227</v>
      </c>
      <c r="H235" s="7" t="s">
        <v>11</v>
      </c>
      <c r="I235" s="7" t="s">
        <v>258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7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105</v>
      </c>
      <c r="AF235" s="8">
        <v>9100</v>
      </c>
      <c r="AG235" s="8">
        <v>1400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10">
        <v>10500</v>
      </c>
      <c r="AV235" s="15">
        <f t="shared" si="16"/>
        <v>10500</v>
      </c>
      <c r="AW235" s="16">
        <f t="shared" si="17"/>
        <v>7349.9999999999991</v>
      </c>
    </row>
    <row r="236" spans="1:49" ht="19.2" x14ac:dyDescent="0.4">
      <c r="A236" s="5" t="s">
        <v>200</v>
      </c>
      <c r="B236" s="5" t="s">
        <v>450</v>
      </c>
      <c r="C236" s="5">
        <v>428126</v>
      </c>
      <c r="D236" s="6"/>
      <c r="E236" s="5" t="s">
        <v>16</v>
      </c>
      <c r="F236" s="5" t="s">
        <v>226</v>
      </c>
      <c r="G236" s="5" t="s">
        <v>227</v>
      </c>
      <c r="H236" s="7" t="s">
        <v>122</v>
      </c>
      <c r="I236" s="7" t="s">
        <v>451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3</v>
      </c>
      <c r="AF236" s="8">
        <v>10500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10">
        <v>10500</v>
      </c>
      <c r="AV236" s="15">
        <f t="shared" si="16"/>
        <v>10500</v>
      </c>
      <c r="AW236" s="16">
        <f t="shared" si="17"/>
        <v>7349.9999999999991</v>
      </c>
    </row>
    <row r="237" spans="1:49" ht="19.2" x14ac:dyDescent="0.4">
      <c r="A237" s="5" t="s">
        <v>200</v>
      </c>
      <c r="B237" s="5" t="s">
        <v>452</v>
      </c>
      <c r="C237" s="5">
        <v>428408</v>
      </c>
      <c r="D237" s="6"/>
      <c r="E237" s="5" t="s">
        <v>16</v>
      </c>
      <c r="F237" s="5" t="s">
        <v>238</v>
      </c>
      <c r="G237" s="5" t="s">
        <v>227</v>
      </c>
      <c r="H237" s="7" t="s">
        <v>122</v>
      </c>
      <c r="I237" s="7" t="s">
        <v>360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4</v>
      </c>
      <c r="AF237" s="8">
        <v>5200</v>
      </c>
      <c r="AG237" s="8">
        <v>5200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10">
        <v>10400</v>
      </c>
      <c r="AV237" s="15">
        <f t="shared" si="16"/>
        <v>10400</v>
      </c>
      <c r="AW237" s="16">
        <f t="shared" si="17"/>
        <v>7279.9999999999991</v>
      </c>
    </row>
    <row r="238" spans="1:49" ht="19.2" x14ac:dyDescent="0.4">
      <c r="A238" s="5" t="s">
        <v>200</v>
      </c>
      <c r="B238" s="5" t="s">
        <v>41</v>
      </c>
      <c r="C238" s="5">
        <v>364724</v>
      </c>
      <c r="D238" s="6"/>
      <c r="E238" s="5" t="s">
        <v>16</v>
      </c>
      <c r="F238" s="5" t="s">
        <v>42</v>
      </c>
      <c r="G238" s="5" t="s">
        <v>13</v>
      </c>
      <c r="H238" s="7" t="s">
        <v>8</v>
      </c>
      <c r="I238" s="7" t="s">
        <v>43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8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103</v>
      </c>
      <c r="AF238" s="8">
        <v>10000</v>
      </c>
      <c r="AG238" s="7">
        <v>300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10">
        <v>10300</v>
      </c>
      <c r="AV238" s="15">
        <f t="shared" si="16"/>
        <v>10300</v>
      </c>
      <c r="AW238" s="16">
        <f t="shared" si="17"/>
        <v>7209.9999999999991</v>
      </c>
    </row>
    <row r="239" spans="1:49" ht="19.2" x14ac:dyDescent="0.4">
      <c r="A239" s="5" t="s">
        <v>200</v>
      </c>
      <c r="B239" s="5" t="s">
        <v>289</v>
      </c>
      <c r="C239" s="5">
        <v>431330</v>
      </c>
      <c r="D239" s="6"/>
      <c r="E239" s="5" t="s">
        <v>16</v>
      </c>
      <c r="F239" s="5" t="s">
        <v>290</v>
      </c>
      <c r="G239" s="5" t="s">
        <v>227</v>
      </c>
      <c r="H239" s="7" t="s">
        <v>11</v>
      </c>
      <c r="I239" s="7" t="s">
        <v>291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100</v>
      </c>
      <c r="AF239" s="8">
        <v>6300</v>
      </c>
      <c r="AG239" s="8">
        <v>3700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10">
        <v>10000</v>
      </c>
      <c r="AV239" s="15">
        <f t="shared" si="16"/>
        <v>10000</v>
      </c>
      <c r="AW239" s="16">
        <f t="shared" si="17"/>
        <v>7000</v>
      </c>
    </row>
    <row r="240" spans="1:49" ht="19.2" x14ac:dyDescent="0.4">
      <c r="A240" s="5" t="s">
        <v>200</v>
      </c>
      <c r="B240" s="5" t="s">
        <v>34</v>
      </c>
      <c r="C240" s="5">
        <v>408579</v>
      </c>
      <c r="D240" s="6"/>
      <c r="E240" s="5" t="s">
        <v>16</v>
      </c>
      <c r="F240" s="5" t="s">
        <v>17</v>
      </c>
      <c r="G240" s="5" t="s">
        <v>13</v>
      </c>
      <c r="H240" s="7" t="s">
        <v>8</v>
      </c>
      <c r="I240" s="7" t="s">
        <v>35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3</v>
      </c>
      <c r="AF240" s="8">
        <v>9600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10">
        <v>9600</v>
      </c>
      <c r="AV240" s="15">
        <f t="shared" si="16"/>
        <v>9600</v>
      </c>
      <c r="AW240" s="16">
        <f t="shared" si="17"/>
        <v>6720</v>
      </c>
    </row>
    <row r="241" spans="1:49" ht="19.2" x14ac:dyDescent="0.4">
      <c r="A241" s="5" t="s">
        <v>200</v>
      </c>
      <c r="B241" s="5" t="s">
        <v>165</v>
      </c>
      <c r="C241" s="5">
        <v>407733</v>
      </c>
      <c r="D241" s="6"/>
      <c r="E241" s="5" t="s">
        <v>16</v>
      </c>
      <c r="F241" s="5" t="s">
        <v>17</v>
      </c>
      <c r="G241" s="5" t="s">
        <v>13</v>
      </c>
      <c r="H241" s="7" t="s">
        <v>8</v>
      </c>
      <c r="I241" s="7" t="s">
        <v>166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5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4</v>
      </c>
      <c r="AF241" s="7">
        <v>400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89</v>
      </c>
      <c r="AS241" s="8">
        <v>8900</v>
      </c>
      <c r="AT241" s="7">
        <v>0</v>
      </c>
      <c r="AU241" s="10">
        <v>9300</v>
      </c>
      <c r="AV241" s="15">
        <f t="shared" si="16"/>
        <v>9300</v>
      </c>
      <c r="AW241" s="16">
        <f t="shared" si="17"/>
        <v>6510</v>
      </c>
    </row>
    <row r="242" spans="1:49" ht="19.2" x14ac:dyDescent="0.4">
      <c r="A242" s="5" t="s">
        <v>200</v>
      </c>
      <c r="B242" s="5" t="s">
        <v>453</v>
      </c>
      <c r="C242" s="5">
        <v>377683</v>
      </c>
      <c r="D242" s="6"/>
      <c r="E242" s="5" t="s">
        <v>16</v>
      </c>
      <c r="F242" s="5" t="s">
        <v>248</v>
      </c>
      <c r="G242" s="5" t="s">
        <v>227</v>
      </c>
      <c r="H242" s="7" t="s">
        <v>122</v>
      </c>
      <c r="I242" s="7" t="s">
        <v>454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3</v>
      </c>
      <c r="AF242" s="8">
        <v>6900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1</v>
      </c>
      <c r="AS242" s="8">
        <v>2100</v>
      </c>
      <c r="AT242" s="7">
        <v>0</v>
      </c>
      <c r="AU242" s="10">
        <v>9000</v>
      </c>
      <c r="AV242" s="15">
        <f t="shared" si="16"/>
        <v>9000</v>
      </c>
      <c r="AW242" s="16">
        <f t="shared" si="17"/>
        <v>6300</v>
      </c>
    </row>
    <row r="243" spans="1:49" ht="19.2" x14ac:dyDescent="0.4">
      <c r="A243" s="5" t="s">
        <v>200</v>
      </c>
      <c r="B243" s="5" t="s">
        <v>297</v>
      </c>
      <c r="C243" s="5">
        <v>387822</v>
      </c>
      <c r="D243" s="6"/>
      <c r="E243" s="5" t="s">
        <v>16</v>
      </c>
      <c r="F243" s="5" t="s">
        <v>298</v>
      </c>
      <c r="G243" s="5" t="s">
        <v>227</v>
      </c>
      <c r="H243" s="7" t="s">
        <v>11</v>
      </c>
      <c r="I243" s="7" t="s">
        <v>299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5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86</v>
      </c>
      <c r="AF243" s="8">
        <v>7800</v>
      </c>
      <c r="AG243" s="7">
        <v>800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10">
        <v>8600</v>
      </c>
      <c r="AV243" s="15">
        <f t="shared" si="16"/>
        <v>8600</v>
      </c>
      <c r="AW243" s="16">
        <f t="shared" si="17"/>
        <v>6020</v>
      </c>
    </row>
    <row r="244" spans="1:49" ht="19.2" x14ac:dyDescent="0.4">
      <c r="A244" s="5" t="s">
        <v>200</v>
      </c>
      <c r="B244" s="5" t="s">
        <v>169</v>
      </c>
      <c r="C244" s="5">
        <v>423328</v>
      </c>
      <c r="D244" s="6"/>
      <c r="E244" s="5" t="s">
        <v>16</v>
      </c>
      <c r="F244" s="5" t="s">
        <v>17</v>
      </c>
      <c r="G244" s="5" t="s">
        <v>13</v>
      </c>
      <c r="H244" s="7" t="s">
        <v>8</v>
      </c>
      <c r="I244" s="7" t="s">
        <v>170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5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76</v>
      </c>
      <c r="AF244" s="8">
        <v>6900</v>
      </c>
      <c r="AG244" s="7">
        <v>700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8</v>
      </c>
      <c r="AS244" s="7">
        <v>800</v>
      </c>
      <c r="AT244" s="7">
        <v>0</v>
      </c>
      <c r="AU244" s="10">
        <v>8400</v>
      </c>
      <c r="AV244" s="15">
        <f t="shared" si="16"/>
        <v>8400</v>
      </c>
      <c r="AW244" s="16">
        <f t="shared" si="17"/>
        <v>5880</v>
      </c>
    </row>
    <row r="245" spans="1:49" ht="19.2" x14ac:dyDescent="0.4">
      <c r="A245" s="5" t="s">
        <v>200</v>
      </c>
      <c r="B245" s="5" t="s">
        <v>455</v>
      </c>
      <c r="C245" s="5">
        <v>383717</v>
      </c>
      <c r="D245" s="6"/>
      <c r="E245" s="5" t="s">
        <v>16</v>
      </c>
      <c r="F245" s="5" t="s">
        <v>290</v>
      </c>
      <c r="G245" s="5" t="s">
        <v>227</v>
      </c>
      <c r="H245" s="7" t="s">
        <v>122</v>
      </c>
      <c r="I245" s="7" t="s">
        <v>268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2</v>
      </c>
      <c r="AF245" s="8">
        <v>4000</v>
      </c>
      <c r="AG245" s="8">
        <v>4000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10">
        <v>8000</v>
      </c>
      <c r="AV245" s="15">
        <f t="shared" si="16"/>
        <v>8000</v>
      </c>
      <c r="AW245" s="16">
        <f t="shared" si="17"/>
        <v>5600</v>
      </c>
    </row>
    <row r="246" spans="1:49" ht="19.2" x14ac:dyDescent="0.4">
      <c r="A246" s="5" t="s">
        <v>200</v>
      </c>
      <c r="B246" s="5" t="s">
        <v>110</v>
      </c>
      <c r="C246" s="5">
        <v>429496</v>
      </c>
      <c r="D246" s="6"/>
      <c r="E246" s="5" t="s">
        <v>16</v>
      </c>
      <c r="F246" s="5" t="s">
        <v>111</v>
      </c>
      <c r="G246" s="5" t="s">
        <v>13</v>
      </c>
      <c r="H246" s="7" t="s">
        <v>8</v>
      </c>
      <c r="I246" s="7" t="s">
        <v>112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1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80</v>
      </c>
      <c r="AF246" s="7">
        <v>0</v>
      </c>
      <c r="AG246" s="8">
        <v>8000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10">
        <v>8000</v>
      </c>
      <c r="AV246" s="15">
        <f t="shared" si="16"/>
        <v>8000</v>
      </c>
      <c r="AW246" s="16">
        <f t="shared" si="17"/>
        <v>5600</v>
      </c>
    </row>
    <row r="247" spans="1:49" ht="19.2" x14ac:dyDescent="0.4">
      <c r="A247" s="5" t="s">
        <v>200</v>
      </c>
      <c r="B247" s="5" t="s">
        <v>39</v>
      </c>
      <c r="C247" s="5">
        <v>388999</v>
      </c>
      <c r="D247" s="6"/>
      <c r="E247" s="5" t="s">
        <v>16</v>
      </c>
      <c r="F247" s="5" t="s">
        <v>19</v>
      </c>
      <c r="G247" s="5" t="s">
        <v>13</v>
      </c>
      <c r="H247" s="7" t="s">
        <v>8</v>
      </c>
      <c r="I247" s="7" t="s">
        <v>40</v>
      </c>
      <c r="J247" s="7">
        <v>0</v>
      </c>
      <c r="K247" s="7">
        <v>1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80</v>
      </c>
      <c r="AF247" s="8">
        <v>8000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10">
        <v>8000</v>
      </c>
      <c r="AV247" s="15">
        <f t="shared" si="16"/>
        <v>8000</v>
      </c>
      <c r="AW247" s="16">
        <f t="shared" si="17"/>
        <v>5600</v>
      </c>
    </row>
    <row r="248" spans="1:49" ht="28.8" x14ac:dyDescent="0.4">
      <c r="A248" s="5" t="s">
        <v>200</v>
      </c>
      <c r="B248" s="5" t="s">
        <v>456</v>
      </c>
      <c r="C248" s="5">
        <v>464146</v>
      </c>
      <c r="D248" s="6"/>
      <c r="E248" s="5" t="s">
        <v>16</v>
      </c>
      <c r="F248" s="5" t="s">
        <v>254</v>
      </c>
      <c r="G248" s="5" t="s">
        <v>227</v>
      </c>
      <c r="H248" s="7" t="s">
        <v>122</v>
      </c>
      <c r="I248" s="7" t="s">
        <v>255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4</v>
      </c>
      <c r="AF248" s="8">
        <v>4400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3</v>
      </c>
      <c r="AS248" s="8">
        <v>3300</v>
      </c>
      <c r="AT248" s="7">
        <v>0</v>
      </c>
      <c r="AU248" s="10">
        <v>7700</v>
      </c>
      <c r="AV248" s="15">
        <f t="shared" si="16"/>
        <v>7700</v>
      </c>
      <c r="AW248" s="16">
        <f t="shared" si="17"/>
        <v>5390</v>
      </c>
    </row>
    <row r="249" spans="1:49" ht="19.2" x14ac:dyDescent="0.4">
      <c r="A249" s="5" t="s">
        <v>200</v>
      </c>
      <c r="B249" s="5" t="s">
        <v>457</v>
      </c>
      <c r="C249" s="5">
        <v>419222</v>
      </c>
      <c r="D249" s="6"/>
      <c r="E249" s="5" t="s">
        <v>16</v>
      </c>
      <c r="F249" s="5" t="s">
        <v>290</v>
      </c>
      <c r="G249" s="5" t="s">
        <v>227</v>
      </c>
      <c r="H249" s="7" t="s">
        <v>122</v>
      </c>
      <c r="I249" s="7" t="s">
        <v>385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2</v>
      </c>
      <c r="AF249" s="8">
        <v>7600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10">
        <v>7600</v>
      </c>
      <c r="AV249" s="15">
        <f t="shared" si="16"/>
        <v>7600</v>
      </c>
      <c r="AW249" s="16">
        <f t="shared" si="17"/>
        <v>5320</v>
      </c>
    </row>
    <row r="250" spans="1:49" ht="19.2" x14ac:dyDescent="0.4">
      <c r="A250" s="5" t="s">
        <v>200</v>
      </c>
      <c r="B250" s="5" t="s">
        <v>180</v>
      </c>
      <c r="C250" s="5">
        <v>428379</v>
      </c>
      <c r="D250" s="6"/>
      <c r="E250" s="5" t="s">
        <v>16</v>
      </c>
      <c r="F250" s="5" t="s">
        <v>71</v>
      </c>
      <c r="G250" s="5" t="s">
        <v>13</v>
      </c>
      <c r="H250" s="7" t="s">
        <v>11</v>
      </c>
      <c r="I250" s="7" t="s">
        <v>103</v>
      </c>
      <c r="J250" s="7">
        <v>0</v>
      </c>
      <c r="K250" s="7">
        <v>43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1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70</v>
      </c>
      <c r="AF250" s="8">
        <v>6900</v>
      </c>
      <c r="AG250" s="7">
        <v>100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6</v>
      </c>
      <c r="AS250" s="7">
        <v>500</v>
      </c>
      <c r="AT250" s="7">
        <v>100</v>
      </c>
      <c r="AU250" s="10">
        <v>7600</v>
      </c>
      <c r="AV250" s="15">
        <f t="shared" si="16"/>
        <v>7600</v>
      </c>
      <c r="AW250" s="16">
        <f t="shared" si="17"/>
        <v>5320</v>
      </c>
    </row>
    <row r="251" spans="1:49" ht="19.2" x14ac:dyDescent="0.4">
      <c r="A251" s="5" t="s">
        <v>200</v>
      </c>
      <c r="B251" s="5" t="s">
        <v>121</v>
      </c>
      <c r="C251" s="5">
        <v>434544</v>
      </c>
      <c r="D251" s="6"/>
      <c r="E251" s="5" t="s">
        <v>16</v>
      </c>
      <c r="F251" s="5" t="s">
        <v>111</v>
      </c>
      <c r="G251" s="5" t="s">
        <v>13</v>
      </c>
      <c r="H251" s="7" t="s">
        <v>122</v>
      </c>
      <c r="I251" s="7" t="s">
        <v>123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1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72</v>
      </c>
      <c r="AF251" s="8">
        <v>4100</v>
      </c>
      <c r="AG251" s="8">
        <v>3100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10">
        <v>7200</v>
      </c>
      <c r="AV251" s="15">
        <f t="shared" si="16"/>
        <v>7200</v>
      </c>
      <c r="AW251" s="16">
        <f t="shared" si="17"/>
        <v>5040</v>
      </c>
    </row>
    <row r="252" spans="1:49" ht="19.2" x14ac:dyDescent="0.4">
      <c r="A252" s="5" t="s">
        <v>200</v>
      </c>
      <c r="B252" s="5" t="s">
        <v>458</v>
      </c>
      <c r="C252" s="5">
        <v>416208</v>
      </c>
      <c r="D252" s="6"/>
      <c r="E252" s="5" t="s">
        <v>16</v>
      </c>
      <c r="F252" s="5" t="s">
        <v>290</v>
      </c>
      <c r="G252" s="5" t="s">
        <v>227</v>
      </c>
      <c r="H252" s="7" t="s">
        <v>122</v>
      </c>
      <c r="I252" s="7" t="s">
        <v>414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2</v>
      </c>
      <c r="AF252" s="8">
        <v>7000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10">
        <v>7000</v>
      </c>
      <c r="AV252" s="15">
        <f t="shared" si="16"/>
        <v>7000</v>
      </c>
      <c r="AW252" s="16">
        <f t="shared" si="17"/>
        <v>4900</v>
      </c>
    </row>
    <row r="253" spans="1:49" ht="19.2" x14ac:dyDescent="0.4">
      <c r="A253" s="5" t="s">
        <v>200</v>
      </c>
      <c r="B253" s="5" t="s">
        <v>73</v>
      </c>
      <c r="C253" s="5">
        <v>297776</v>
      </c>
      <c r="D253" s="6"/>
      <c r="E253" s="5" t="s">
        <v>16</v>
      </c>
      <c r="F253" s="5" t="s">
        <v>74</v>
      </c>
      <c r="G253" s="5" t="s">
        <v>13</v>
      </c>
      <c r="H253" s="7" t="s">
        <v>12</v>
      </c>
      <c r="I253" s="7" t="s">
        <v>75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8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68</v>
      </c>
      <c r="AF253" s="7">
        <v>0</v>
      </c>
      <c r="AG253" s="8">
        <v>6800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10">
        <v>6800</v>
      </c>
      <c r="AV253" s="15">
        <f t="shared" si="16"/>
        <v>6800</v>
      </c>
      <c r="AW253" s="16">
        <f t="shared" si="17"/>
        <v>4760</v>
      </c>
    </row>
    <row r="254" spans="1:49" ht="19.2" x14ac:dyDescent="0.4">
      <c r="A254" s="5" t="s">
        <v>200</v>
      </c>
      <c r="B254" s="5" t="s">
        <v>392</v>
      </c>
      <c r="C254" s="5">
        <v>444215</v>
      </c>
      <c r="D254" s="6"/>
      <c r="E254" s="5" t="s">
        <v>16</v>
      </c>
      <c r="F254" s="5" t="s">
        <v>352</v>
      </c>
      <c r="G254" s="5" t="s">
        <v>227</v>
      </c>
      <c r="H254" s="7" t="s">
        <v>122</v>
      </c>
      <c r="I254" s="7" t="s">
        <v>393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1</v>
      </c>
      <c r="AF254" s="7">
        <v>0</v>
      </c>
      <c r="AG254" s="7">
        <v>200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2</v>
      </c>
      <c r="AS254" s="8">
        <v>6400</v>
      </c>
      <c r="AT254" s="7">
        <v>200</v>
      </c>
      <c r="AU254" s="10">
        <v>6800</v>
      </c>
      <c r="AV254" s="15">
        <f t="shared" si="16"/>
        <v>6800</v>
      </c>
      <c r="AW254" s="16">
        <f t="shared" si="17"/>
        <v>4760</v>
      </c>
    </row>
    <row r="255" spans="1:49" ht="19.2" x14ac:dyDescent="0.4">
      <c r="A255" s="5" t="s">
        <v>200</v>
      </c>
      <c r="B255" s="5" t="s">
        <v>394</v>
      </c>
      <c r="C255" s="5">
        <v>447222</v>
      </c>
      <c r="D255" s="6"/>
      <c r="E255" s="5" t="s">
        <v>16</v>
      </c>
      <c r="F255" s="5" t="s">
        <v>290</v>
      </c>
      <c r="G255" s="5" t="s">
        <v>227</v>
      </c>
      <c r="H255" s="7" t="s">
        <v>11</v>
      </c>
      <c r="I255" s="7" t="s">
        <v>395</v>
      </c>
      <c r="J255" s="7">
        <v>0</v>
      </c>
      <c r="K255" s="7">
        <v>20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67</v>
      </c>
      <c r="AF255" s="8">
        <v>6200</v>
      </c>
      <c r="AG255" s="7">
        <v>500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10">
        <v>6700</v>
      </c>
      <c r="AV255" s="15">
        <f t="shared" si="16"/>
        <v>6700</v>
      </c>
      <c r="AW255" s="16">
        <f t="shared" si="17"/>
        <v>4690</v>
      </c>
    </row>
    <row r="256" spans="1:49" ht="19.2" x14ac:dyDescent="0.4">
      <c r="A256" s="5" t="s">
        <v>200</v>
      </c>
      <c r="B256" s="5" t="s">
        <v>459</v>
      </c>
      <c r="C256" s="5">
        <v>418305</v>
      </c>
      <c r="D256" s="6"/>
      <c r="E256" s="5" t="s">
        <v>16</v>
      </c>
      <c r="F256" s="5" t="s">
        <v>329</v>
      </c>
      <c r="G256" s="5" t="s">
        <v>227</v>
      </c>
      <c r="H256" s="7" t="s">
        <v>122</v>
      </c>
      <c r="I256" s="7" t="s">
        <v>460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2</v>
      </c>
      <c r="AF256" s="8">
        <v>6600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10">
        <v>6600</v>
      </c>
      <c r="AV256" s="15">
        <f t="shared" si="16"/>
        <v>6600</v>
      </c>
      <c r="AW256" s="16">
        <f t="shared" si="17"/>
        <v>4620</v>
      </c>
    </row>
    <row r="257" spans="1:49" ht="19.2" x14ac:dyDescent="0.4">
      <c r="A257" s="5" t="s">
        <v>200</v>
      </c>
      <c r="B257" s="5" t="s">
        <v>461</v>
      </c>
      <c r="C257" s="5">
        <v>426265</v>
      </c>
      <c r="D257" s="6"/>
      <c r="E257" s="5" t="s">
        <v>16</v>
      </c>
      <c r="F257" s="5" t="s">
        <v>379</v>
      </c>
      <c r="G257" s="5" t="s">
        <v>227</v>
      </c>
      <c r="H257" s="7" t="s">
        <v>122</v>
      </c>
      <c r="I257" s="7" t="s">
        <v>462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2</v>
      </c>
      <c r="AS257" s="8">
        <v>3200</v>
      </c>
      <c r="AT257" s="8">
        <v>3200</v>
      </c>
      <c r="AU257" s="10">
        <v>6400</v>
      </c>
      <c r="AV257" s="15">
        <f t="shared" si="16"/>
        <v>6400</v>
      </c>
      <c r="AW257" s="16">
        <f t="shared" si="17"/>
        <v>4480</v>
      </c>
    </row>
    <row r="258" spans="1:49" ht="19.2" x14ac:dyDescent="0.4">
      <c r="A258" s="5" t="s">
        <v>200</v>
      </c>
      <c r="B258" s="5" t="s">
        <v>26</v>
      </c>
      <c r="C258" s="5">
        <v>371774</v>
      </c>
      <c r="D258" s="6"/>
      <c r="E258" s="5" t="s">
        <v>16</v>
      </c>
      <c r="F258" s="5" t="s">
        <v>27</v>
      </c>
      <c r="G258" s="5" t="s">
        <v>13</v>
      </c>
      <c r="H258" s="7" t="s">
        <v>8</v>
      </c>
      <c r="I258" s="7" t="s">
        <v>28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61</v>
      </c>
      <c r="AF258" s="8">
        <v>6100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10">
        <v>6100</v>
      </c>
      <c r="AV258" s="15">
        <f t="shared" si="16"/>
        <v>6100</v>
      </c>
      <c r="AW258" s="16">
        <f t="shared" si="17"/>
        <v>4270</v>
      </c>
    </row>
    <row r="259" spans="1:49" ht="19.2" x14ac:dyDescent="0.4">
      <c r="A259" s="5" t="s">
        <v>200</v>
      </c>
      <c r="B259" s="5" t="s">
        <v>281</v>
      </c>
      <c r="C259" s="5">
        <v>417258</v>
      </c>
      <c r="D259" s="6"/>
      <c r="E259" s="5" t="s">
        <v>16</v>
      </c>
      <c r="F259" s="5" t="s">
        <v>282</v>
      </c>
      <c r="G259" s="5" t="s">
        <v>227</v>
      </c>
      <c r="H259" s="7" t="s">
        <v>11</v>
      </c>
      <c r="I259" s="7" t="s">
        <v>283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61</v>
      </c>
      <c r="AF259" s="8">
        <v>6100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10">
        <v>6100</v>
      </c>
      <c r="AV259" s="15">
        <f t="shared" si="16"/>
        <v>6100</v>
      </c>
      <c r="AW259" s="16">
        <f t="shared" si="17"/>
        <v>4270</v>
      </c>
    </row>
    <row r="260" spans="1:49" ht="19.2" x14ac:dyDescent="0.4">
      <c r="A260" s="5" t="s">
        <v>200</v>
      </c>
      <c r="B260" s="5" t="s">
        <v>463</v>
      </c>
      <c r="C260" s="5">
        <v>399402</v>
      </c>
      <c r="D260" s="6"/>
      <c r="E260" s="5" t="s">
        <v>16</v>
      </c>
      <c r="F260" s="5" t="s">
        <v>238</v>
      </c>
      <c r="G260" s="5" t="s">
        <v>227</v>
      </c>
      <c r="H260" s="7" t="s">
        <v>122</v>
      </c>
      <c r="I260" s="7" t="s">
        <v>464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2</v>
      </c>
      <c r="AF260" s="8">
        <v>6000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10">
        <v>6000</v>
      </c>
      <c r="AV260" s="15">
        <f t="shared" si="16"/>
        <v>6000</v>
      </c>
      <c r="AW260" s="16">
        <f t="shared" si="17"/>
        <v>4200</v>
      </c>
    </row>
    <row r="261" spans="1:49" ht="19.2" x14ac:dyDescent="0.4">
      <c r="A261" s="5" t="s">
        <v>200</v>
      </c>
      <c r="B261" s="5" t="s">
        <v>465</v>
      </c>
      <c r="C261" s="5">
        <v>426251</v>
      </c>
      <c r="D261" s="6"/>
      <c r="E261" s="5" t="s">
        <v>16</v>
      </c>
      <c r="F261" s="5" t="s">
        <v>352</v>
      </c>
      <c r="G261" s="5" t="s">
        <v>227</v>
      </c>
      <c r="H261" s="7" t="s">
        <v>122</v>
      </c>
      <c r="I261" s="7" t="s">
        <v>466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2</v>
      </c>
      <c r="AS261" s="8">
        <v>5800</v>
      </c>
      <c r="AT261" s="7">
        <v>200</v>
      </c>
      <c r="AU261" s="10">
        <v>6000</v>
      </c>
      <c r="AV261" s="15">
        <f t="shared" ref="AV261:AV324" si="18">AU261-AN261</f>
        <v>6000</v>
      </c>
      <c r="AW261" s="16">
        <f t="shared" ref="AW261:AW324" si="19">AV261*70%</f>
        <v>4200</v>
      </c>
    </row>
    <row r="262" spans="1:49" ht="19.2" x14ac:dyDescent="0.4">
      <c r="A262" s="5" t="s">
        <v>200</v>
      </c>
      <c r="B262" s="5" t="s">
        <v>362</v>
      </c>
      <c r="C262" s="5">
        <v>328894</v>
      </c>
      <c r="D262" s="6"/>
      <c r="E262" s="5" t="s">
        <v>16</v>
      </c>
      <c r="F262" s="5" t="s">
        <v>321</v>
      </c>
      <c r="G262" s="5" t="s">
        <v>227</v>
      </c>
      <c r="H262" s="7" t="s">
        <v>11</v>
      </c>
      <c r="I262" s="7" t="s">
        <v>363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3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60</v>
      </c>
      <c r="AF262" s="8">
        <v>3300</v>
      </c>
      <c r="AG262" s="8">
        <v>2700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10">
        <v>6000</v>
      </c>
      <c r="AV262" s="15">
        <f t="shared" si="18"/>
        <v>6000</v>
      </c>
      <c r="AW262" s="16">
        <f t="shared" si="19"/>
        <v>4200</v>
      </c>
    </row>
    <row r="263" spans="1:49" ht="19.2" x14ac:dyDescent="0.4">
      <c r="A263" s="5" t="s">
        <v>200</v>
      </c>
      <c r="B263" s="5" t="s">
        <v>335</v>
      </c>
      <c r="C263" s="5">
        <v>408191</v>
      </c>
      <c r="D263" s="6"/>
      <c r="E263" s="5" t="s">
        <v>16</v>
      </c>
      <c r="F263" s="5" t="s">
        <v>267</v>
      </c>
      <c r="G263" s="5" t="s">
        <v>227</v>
      </c>
      <c r="H263" s="7" t="s">
        <v>11</v>
      </c>
      <c r="I263" s="7" t="s">
        <v>35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56</v>
      </c>
      <c r="AF263" s="8">
        <v>1600</v>
      </c>
      <c r="AG263" s="8">
        <v>4000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2</v>
      </c>
      <c r="AS263" s="7">
        <v>200</v>
      </c>
      <c r="AT263" s="7">
        <v>0</v>
      </c>
      <c r="AU263" s="10">
        <v>5800</v>
      </c>
      <c r="AV263" s="15">
        <f t="shared" si="18"/>
        <v>5800</v>
      </c>
      <c r="AW263" s="16">
        <f t="shared" si="19"/>
        <v>4059.9999999999995</v>
      </c>
    </row>
    <row r="264" spans="1:49" ht="19.2" x14ac:dyDescent="0.4">
      <c r="A264" s="5" t="s">
        <v>200</v>
      </c>
      <c r="B264" s="5" t="s">
        <v>269</v>
      </c>
      <c r="C264" s="5">
        <v>328404</v>
      </c>
      <c r="D264" s="6"/>
      <c r="E264" s="5" t="s">
        <v>16</v>
      </c>
      <c r="F264" s="5" t="s">
        <v>248</v>
      </c>
      <c r="G264" s="5" t="s">
        <v>227</v>
      </c>
      <c r="H264" s="7" t="s">
        <v>11</v>
      </c>
      <c r="I264" s="7" t="s">
        <v>270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55</v>
      </c>
      <c r="AF264" s="8">
        <v>2200</v>
      </c>
      <c r="AG264" s="8">
        <v>3300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3</v>
      </c>
      <c r="AS264" s="7">
        <v>300</v>
      </c>
      <c r="AT264" s="7">
        <v>0</v>
      </c>
      <c r="AU264" s="10">
        <v>5800</v>
      </c>
      <c r="AV264" s="15">
        <f t="shared" si="18"/>
        <v>5800</v>
      </c>
      <c r="AW264" s="16">
        <f t="shared" si="19"/>
        <v>4059.9999999999995</v>
      </c>
    </row>
    <row r="265" spans="1:49" ht="19.2" x14ac:dyDescent="0.4">
      <c r="A265" s="5" t="s">
        <v>200</v>
      </c>
      <c r="B265" s="5" t="s">
        <v>355</v>
      </c>
      <c r="C265" s="5">
        <v>341374</v>
      </c>
      <c r="D265" s="6"/>
      <c r="E265" s="5" t="s">
        <v>16</v>
      </c>
      <c r="F265" s="5" t="s">
        <v>267</v>
      </c>
      <c r="G265" s="5" t="s">
        <v>227</v>
      </c>
      <c r="H265" s="7" t="s">
        <v>11</v>
      </c>
      <c r="I265" s="7" t="s">
        <v>356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4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51</v>
      </c>
      <c r="AF265" s="8">
        <v>5100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10">
        <v>5100</v>
      </c>
      <c r="AV265" s="15">
        <f t="shared" si="18"/>
        <v>5100</v>
      </c>
      <c r="AW265" s="16">
        <f t="shared" si="19"/>
        <v>3570</v>
      </c>
    </row>
    <row r="266" spans="1:49" ht="28.8" x14ac:dyDescent="0.4">
      <c r="A266" s="5" t="s">
        <v>200</v>
      </c>
      <c r="B266" s="5" t="s">
        <v>467</v>
      </c>
      <c r="C266" s="5">
        <v>397403</v>
      </c>
      <c r="D266" s="6"/>
      <c r="E266" s="5" t="s">
        <v>16</v>
      </c>
      <c r="F266" s="5" t="s">
        <v>345</v>
      </c>
      <c r="G266" s="5" t="s">
        <v>227</v>
      </c>
      <c r="H266" s="7" t="s">
        <v>122</v>
      </c>
      <c r="I266" s="7" t="s">
        <v>468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2</v>
      </c>
      <c r="AF266" s="8">
        <v>2500</v>
      </c>
      <c r="AG266" s="8">
        <v>2500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10">
        <v>5000</v>
      </c>
      <c r="AV266" s="15">
        <f t="shared" si="18"/>
        <v>5000</v>
      </c>
      <c r="AW266" s="16">
        <f t="shared" si="19"/>
        <v>3500</v>
      </c>
    </row>
    <row r="267" spans="1:49" ht="28.8" x14ac:dyDescent="0.4">
      <c r="A267" s="5" t="s">
        <v>200</v>
      </c>
      <c r="B267" s="5" t="s">
        <v>469</v>
      </c>
      <c r="C267" s="5">
        <v>397415</v>
      </c>
      <c r="D267" s="6"/>
      <c r="E267" s="5" t="s">
        <v>16</v>
      </c>
      <c r="F267" s="5" t="s">
        <v>345</v>
      </c>
      <c r="G267" s="5" t="s">
        <v>227</v>
      </c>
      <c r="H267" s="7" t="s">
        <v>122</v>
      </c>
      <c r="I267" s="7" t="s">
        <v>470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2</v>
      </c>
      <c r="AF267" s="8">
        <v>2500</v>
      </c>
      <c r="AG267" s="8">
        <v>2500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10">
        <v>5000</v>
      </c>
      <c r="AV267" s="15">
        <f t="shared" si="18"/>
        <v>5000</v>
      </c>
      <c r="AW267" s="16">
        <f t="shared" si="19"/>
        <v>3500</v>
      </c>
    </row>
    <row r="268" spans="1:49" ht="19.2" x14ac:dyDescent="0.4">
      <c r="A268" s="5" t="s">
        <v>200</v>
      </c>
      <c r="B268" s="5" t="s">
        <v>275</v>
      </c>
      <c r="C268" s="5">
        <v>337887</v>
      </c>
      <c r="D268" s="6"/>
      <c r="E268" s="5" t="s">
        <v>16</v>
      </c>
      <c r="F268" s="5" t="s">
        <v>251</v>
      </c>
      <c r="G268" s="5" t="s">
        <v>227</v>
      </c>
      <c r="H268" s="7" t="s">
        <v>11</v>
      </c>
      <c r="I268" s="7" t="s">
        <v>276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44</v>
      </c>
      <c r="AF268" s="8">
        <v>4300</v>
      </c>
      <c r="AG268" s="7">
        <v>100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6</v>
      </c>
      <c r="AS268" s="7">
        <v>600</v>
      </c>
      <c r="AT268" s="7">
        <v>0</v>
      </c>
      <c r="AU268" s="10">
        <v>5000</v>
      </c>
      <c r="AV268" s="15">
        <f t="shared" si="18"/>
        <v>5000</v>
      </c>
      <c r="AW268" s="16">
        <f t="shared" si="19"/>
        <v>3500</v>
      </c>
    </row>
    <row r="269" spans="1:49" ht="19.2" x14ac:dyDescent="0.4">
      <c r="A269" s="5" t="s">
        <v>200</v>
      </c>
      <c r="B269" s="5" t="s">
        <v>311</v>
      </c>
      <c r="C269" s="5">
        <v>377088</v>
      </c>
      <c r="D269" s="6"/>
      <c r="E269" s="5" t="s">
        <v>16</v>
      </c>
      <c r="F269" s="5" t="s">
        <v>312</v>
      </c>
      <c r="G269" s="5" t="s">
        <v>227</v>
      </c>
      <c r="H269" s="7" t="s">
        <v>11</v>
      </c>
      <c r="I269" s="7" t="s">
        <v>313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39</v>
      </c>
      <c r="AF269" s="8">
        <v>3900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11</v>
      </c>
      <c r="AS269" s="8">
        <v>1100</v>
      </c>
      <c r="AT269" s="7">
        <v>0</v>
      </c>
      <c r="AU269" s="10">
        <v>5000</v>
      </c>
      <c r="AV269" s="15">
        <f t="shared" si="18"/>
        <v>5000</v>
      </c>
      <c r="AW269" s="16">
        <f t="shared" si="19"/>
        <v>3500</v>
      </c>
    </row>
    <row r="270" spans="1:49" ht="19.2" x14ac:dyDescent="0.4">
      <c r="A270" s="5" t="s">
        <v>200</v>
      </c>
      <c r="B270" s="5" t="s">
        <v>318</v>
      </c>
      <c r="C270" s="5">
        <v>363413</v>
      </c>
      <c r="D270" s="6"/>
      <c r="E270" s="5" t="s">
        <v>16</v>
      </c>
      <c r="F270" s="5" t="s">
        <v>243</v>
      </c>
      <c r="G270" s="5" t="s">
        <v>227</v>
      </c>
      <c r="H270" s="7" t="s">
        <v>11</v>
      </c>
      <c r="I270" s="7" t="s">
        <v>319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1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48</v>
      </c>
      <c r="AF270" s="8">
        <v>4400</v>
      </c>
      <c r="AG270" s="7">
        <v>400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10">
        <v>4800</v>
      </c>
      <c r="AV270" s="15">
        <f t="shared" si="18"/>
        <v>4800</v>
      </c>
      <c r="AW270" s="16">
        <f t="shared" si="19"/>
        <v>3360</v>
      </c>
    </row>
    <row r="271" spans="1:49" ht="28.8" x14ac:dyDescent="0.4">
      <c r="A271" s="5" t="s">
        <v>200</v>
      </c>
      <c r="B271" s="5" t="s">
        <v>471</v>
      </c>
      <c r="C271" s="5">
        <v>420814</v>
      </c>
      <c r="D271" s="6"/>
      <c r="E271" s="5" t="s">
        <v>16</v>
      </c>
      <c r="F271" s="5" t="s">
        <v>262</v>
      </c>
      <c r="G271" s="5" t="s">
        <v>227</v>
      </c>
      <c r="H271" s="7" t="s">
        <v>122</v>
      </c>
      <c r="I271" s="7" t="s">
        <v>371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1</v>
      </c>
      <c r="AF271" s="8">
        <v>4600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10">
        <v>4600</v>
      </c>
      <c r="AV271" s="15">
        <f t="shared" si="18"/>
        <v>4600</v>
      </c>
      <c r="AW271" s="16">
        <f t="shared" si="19"/>
        <v>3220</v>
      </c>
    </row>
    <row r="272" spans="1:49" ht="19.2" x14ac:dyDescent="0.4">
      <c r="A272" s="5" t="s">
        <v>200</v>
      </c>
      <c r="B272" s="5" t="s">
        <v>330</v>
      </c>
      <c r="C272" s="5">
        <v>445862</v>
      </c>
      <c r="D272" s="6"/>
      <c r="E272" s="5" t="s">
        <v>16</v>
      </c>
      <c r="F272" s="5" t="s">
        <v>226</v>
      </c>
      <c r="G272" s="5" t="s">
        <v>227</v>
      </c>
      <c r="H272" s="7" t="s">
        <v>11</v>
      </c>
      <c r="I272" s="7" t="s">
        <v>293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2</v>
      </c>
      <c r="AF272" s="8">
        <v>4400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10">
        <v>4400</v>
      </c>
      <c r="AV272" s="15">
        <f t="shared" si="18"/>
        <v>4400</v>
      </c>
      <c r="AW272" s="16">
        <f t="shared" si="19"/>
        <v>3080</v>
      </c>
    </row>
    <row r="273" spans="1:49" ht="19.2" x14ac:dyDescent="0.4">
      <c r="A273" s="5" t="s">
        <v>200</v>
      </c>
      <c r="B273" s="5" t="s">
        <v>472</v>
      </c>
      <c r="C273" s="5">
        <v>397392</v>
      </c>
      <c r="D273" s="6"/>
      <c r="E273" s="5" t="s">
        <v>16</v>
      </c>
      <c r="F273" s="5" t="s">
        <v>267</v>
      </c>
      <c r="G273" s="5" t="s">
        <v>227</v>
      </c>
      <c r="H273" s="7" t="s">
        <v>122</v>
      </c>
      <c r="I273" s="7" t="s">
        <v>473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2</v>
      </c>
      <c r="AF273" s="8">
        <v>2000</v>
      </c>
      <c r="AG273" s="8">
        <v>2400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10">
        <v>4400</v>
      </c>
      <c r="AV273" s="15">
        <f t="shared" si="18"/>
        <v>4400</v>
      </c>
      <c r="AW273" s="16">
        <f t="shared" si="19"/>
        <v>3080</v>
      </c>
    </row>
    <row r="274" spans="1:49" ht="19.2" x14ac:dyDescent="0.4">
      <c r="A274" s="5" t="s">
        <v>200</v>
      </c>
      <c r="B274" s="5" t="s">
        <v>309</v>
      </c>
      <c r="C274" s="5">
        <v>400251</v>
      </c>
      <c r="D274" s="6"/>
      <c r="E274" s="5" t="s">
        <v>16</v>
      </c>
      <c r="F274" s="5" t="s">
        <v>238</v>
      </c>
      <c r="G274" s="5" t="s">
        <v>227</v>
      </c>
      <c r="H274" s="7" t="s">
        <v>11</v>
      </c>
      <c r="I274" s="7" t="s">
        <v>310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1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33</v>
      </c>
      <c r="AF274" s="7">
        <v>500</v>
      </c>
      <c r="AG274" s="8">
        <v>2800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10</v>
      </c>
      <c r="AS274" s="8">
        <v>1000</v>
      </c>
      <c r="AT274" s="7">
        <v>0</v>
      </c>
      <c r="AU274" s="10">
        <v>4300</v>
      </c>
      <c r="AV274" s="15">
        <f t="shared" si="18"/>
        <v>4300</v>
      </c>
      <c r="AW274" s="16">
        <f t="shared" si="19"/>
        <v>3010</v>
      </c>
    </row>
    <row r="275" spans="1:49" ht="28.8" x14ac:dyDescent="0.4">
      <c r="A275" s="5" t="s">
        <v>200</v>
      </c>
      <c r="B275" s="5" t="s">
        <v>474</v>
      </c>
      <c r="C275" s="5">
        <v>397401</v>
      </c>
      <c r="D275" s="6"/>
      <c r="E275" s="5" t="s">
        <v>16</v>
      </c>
      <c r="F275" s="5" t="s">
        <v>345</v>
      </c>
      <c r="G275" s="5" t="s">
        <v>227</v>
      </c>
      <c r="H275" s="7" t="s">
        <v>122</v>
      </c>
      <c r="I275" s="7" t="s">
        <v>468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2</v>
      </c>
      <c r="AF275" s="8">
        <v>2100</v>
      </c>
      <c r="AG275" s="8">
        <v>2100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10">
        <v>4200</v>
      </c>
      <c r="AV275" s="15">
        <f t="shared" si="18"/>
        <v>4200</v>
      </c>
      <c r="AW275" s="16">
        <f t="shared" si="19"/>
        <v>2940</v>
      </c>
    </row>
    <row r="276" spans="1:49" ht="19.2" x14ac:dyDescent="0.4">
      <c r="A276" s="5" t="s">
        <v>200</v>
      </c>
      <c r="B276" s="5" t="s">
        <v>145</v>
      </c>
      <c r="C276" s="5">
        <v>434847</v>
      </c>
      <c r="D276" s="6"/>
      <c r="E276" s="5" t="s">
        <v>16</v>
      </c>
      <c r="F276" s="5" t="s">
        <v>146</v>
      </c>
      <c r="G276" s="5" t="s">
        <v>13</v>
      </c>
      <c r="H276" s="7" t="s">
        <v>8</v>
      </c>
      <c r="I276" s="7" t="s">
        <v>176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1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42</v>
      </c>
      <c r="AF276" s="8">
        <v>4200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10">
        <v>4200</v>
      </c>
      <c r="AV276" s="15">
        <f t="shared" si="18"/>
        <v>4200</v>
      </c>
      <c r="AW276" s="16">
        <f t="shared" si="19"/>
        <v>2940</v>
      </c>
    </row>
    <row r="277" spans="1:49" ht="19.2" x14ac:dyDescent="0.4">
      <c r="A277" s="5" t="s">
        <v>200</v>
      </c>
      <c r="B277" s="5" t="s">
        <v>189</v>
      </c>
      <c r="C277" s="5">
        <v>458561</v>
      </c>
      <c r="D277" s="6"/>
      <c r="E277" s="5" t="s">
        <v>16</v>
      </c>
      <c r="F277" s="5" t="s">
        <v>17</v>
      </c>
      <c r="G277" s="5" t="s">
        <v>13</v>
      </c>
      <c r="H277" s="7" t="s">
        <v>8</v>
      </c>
      <c r="I277" s="7" t="s">
        <v>190</v>
      </c>
      <c r="J277" s="7">
        <v>6</v>
      </c>
      <c r="K277" s="7">
        <v>0</v>
      </c>
      <c r="L277" s="7">
        <v>600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17</v>
      </c>
      <c r="AF277" s="8">
        <v>1400</v>
      </c>
      <c r="AG277" s="7">
        <v>300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19</v>
      </c>
      <c r="AS277" s="8">
        <v>1800</v>
      </c>
      <c r="AT277" s="7">
        <v>100</v>
      </c>
      <c r="AU277" s="10">
        <v>4200</v>
      </c>
      <c r="AV277" s="15">
        <f t="shared" si="18"/>
        <v>4200</v>
      </c>
      <c r="AW277" s="16">
        <f t="shared" si="19"/>
        <v>2940</v>
      </c>
    </row>
    <row r="278" spans="1:49" ht="19.2" x14ac:dyDescent="0.4">
      <c r="A278" s="5" t="s">
        <v>200</v>
      </c>
      <c r="B278" s="5" t="s">
        <v>475</v>
      </c>
      <c r="C278" s="5">
        <v>388551</v>
      </c>
      <c r="D278" s="6"/>
      <c r="E278" s="5" t="s">
        <v>16</v>
      </c>
      <c r="F278" s="5" t="s">
        <v>251</v>
      </c>
      <c r="G278" s="5" t="s">
        <v>227</v>
      </c>
      <c r="H278" s="7" t="s">
        <v>122</v>
      </c>
      <c r="I278" s="7" t="s">
        <v>476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1</v>
      </c>
      <c r="AF278" s="8">
        <v>4000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10">
        <v>4000</v>
      </c>
      <c r="AV278" s="15">
        <f t="shared" si="18"/>
        <v>4000</v>
      </c>
      <c r="AW278" s="16">
        <f t="shared" si="19"/>
        <v>2800</v>
      </c>
    </row>
    <row r="279" spans="1:49" ht="19.2" x14ac:dyDescent="0.4">
      <c r="A279" s="5" t="s">
        <v>200</v>
      </c>
      <c r="B279" s="5" t="s">
        <v>418</v>
      </c>
      <c r="C279" s="5">
        <v>383716</v>
      </c>
      <c r="D279" s="6"/>
      <c r="E279" s="5" t="s">
        <v>16</v>
      </c>
      <c r="F279" s="5" t="s">
        <v>290</v>
      </c>
      <c r="G279" s="5" t="s">
        <v>227</v>
      </c>
      <c r="H279" s="7" t="s">
        <v>122</v>
      </c>
      <c r="I279" s="7" t="s">
        <v>405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4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3</v>
      </c>
      <c r="AF279" s="7">
        <v>300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37</v>
      </c>
      <c r="AS279" s="8">
        <v>3500</v>
      </c>
      <c r="AT279" s="7">
        <v>200</v>
      </c>
      <c r="AU279" s="10">
        <v>4000</v>
      </c>
      <c r="AV279" s="15">
        <f t="shared" si="18"/>
        <v>4000</v>
      </c>
      <c r="AW279" s="16">
        <f t="shared" si="19"/>
        <v>2800</v>
      </c>
    </row>
    <row r="280" spans="1:49" ht="19.2" x14ac:dyDescent="0.4">
      <c r="A280" s="5" t="s">
        <v>200</v>
      </c>
      <c r="B280" s="5" t="s">
        <v>49</v>
      </c>
      <c r="C280" s="5">
        <v>379813</v>
      </c>
      <c r="D280" s="6"/>
      <c r="E280" s="5" t="s">
        <v>16</v>
      </c>
      <c r="F280" s="5" t="s">
        <v>17</v>
      </c>
      <c r="G280" s="5" t="s">
        <v>13</v>
      </c>
      <c r="H280" s="7" t="s">
        <v>8</v>
      </c>
      <c r="I280" s="7" t="s">
        <v>50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37</v>
      </c>
      <c r="AF280" s="7">
        <v>0</v>
      </c>
      <c r="AG280" s="8">
        <v>3700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10">
        <v>3700</v>
      </c>
      <c r="AV280" s="15">
        <f t="shared" si="18"/>
        <v>3700</v>
      </c>
      <c r="AW280" s="16">
        <f t="shared" si="19"/>
        <v>2590</v>
      </c>
    </row>
    <row r="281" spans="1:49" ht="19.2" x14ac:dyDescent="0.4">
      <c r="A281" s="5" t="s">
        <v>200</v>
      </c>
      <c r="B281" s="5" t="s">
        <v>303</v>
      </c>
      <c r="C281" s="5">
        <v>395192</v>
      </c>
      <c r="D281" s="6"/>
      <c r="E281" s="5" t="s">
        <v>16</v>
      </c>
      <c r="F281" s="5" t="s">
        <v>267</v>
      </c>
      <c r="G281" s="5" t="s">
        <v>227</v>
      </c>
      <c r="H281" s="7" t="s">
        <v>11</v>
      </c>
      <c r="I281" s="7" t="s">
        <v>304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37</v>
      </c>
      <c r="AF281" s="8">
        <v>1600</v>
      </c>
      <c r="AG281" s="8">
        <v>2100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10">
        <v>3700</v>
      </c>
      <c r="AV281" s="15">
        <f t="shared" si="18"/>
        <v>3700</v>
      </c>
      <c r="AW281" s="16">
        <f t="shared" si="19"/>
        <v>2590</v>
      </c>
    </row>
    <row r="282" spans="1:49" ht="19.2" x14ac:dyDescent="0.4">
      <c r="A282" s="5" t="s">
        <v>200</v>
      </c>
      <c r="B282" s="5" t="s">
        <v>316</v>
      </c>
      <c r="C282" s="5">
        <v>376361</v>
      </c>
      <c r="D282" s="6"/>
      <c r="E282" s="5" t="s">
        <v>16</v>
      </c>
      <c r="F282" s="5" t="s">
        <v>226</v>
      </c>
      <c r="G282" s="5" t="s">
        <v>227</v>
      </c>
      <c r="H282" s="7" t="s">
        <v>11</v>
      </c>
      <c r="I282" s="7" t="s">
        <v>317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3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36</v>
      </c>
      <c r="AF282" s="8">
        <v>3300</v>
      </c>
      <c r="AG282" s="7">
        <v>300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10">
        <v>3600</v>
      </c>
      <c r="AV282" s="15">
        <f t="shared" si="18"/>
        <v>3600</v>
      </c>
      <c r="AW282" s="16">
        <f t="shared" si="19"/>
        <v>2520</v>
      </c>
    </row>
    <row r="283" spans="1:49" ht="19.2" x14ac:dyDescent="0.4">
      <c r="A283" s="5" t="s">
        <v>200</v>
      </c>
      <c r="B283" s="5" t="s">
        <v>426</v>
      </c>
      <c r="C283" s="5">
        <v>380275</v>
      </c>
      <c r="D283" s="6"/>
      <c r="E283" s="5" t="s">
        <v>16</v>
      </c>
      <c r="F283" s="5" t="s">
        <v>238</v>
      </c>
      <c r="G283" s="5" t="s">
        <v>227</v>
      </c>
      <c r="H283" s="7" t="s">
        <v>122</v>
      </c>
      <c r="I283" s="7" t="s">
        <v>427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36</v>
      </c>
      <c r="AF283" s="8">
        <v>3600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10">
        <v>3600</v>
      </c>
      <c r="AV283" s="15">
        <f t="shared" si="18"/>
        <v>3600</v>
      </c>
      <c r="AW283" s="16">
        <f t="shared" si="19"/>
        <v>2520</v>
      </c>
    </row>
    <row r="284" spans="1:49" ht="19.2" x14ac:dyDescent="0.4">
      <c r="A284" s="5" t="s">
        <v>200</v>
      </c>
      <c r="B284" s="5" t="s">
        <v>477</v>
      </c>
      <c r="C284" s="5">
        <v>315183</v>
      </c>
      <c r="D284" s="6"/>
      <c r="E284" s="5" t="s">
        <v>16</v>
      </c>
      <c r="F284" s="5" t="s">
        <v>365</v>
      </c>
      <c r="G284" s="5" t="s">
        <v>227</v>
      </c>
      <c r="H284" s="7" t="s">
        <v>122</v>
      </c>
      <c r="I284" s="7" t="s">
        <v>478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1</v>
      </c>
      <c r="AF284" s="7">
        <v>0</v>
      </c>
      <c r="AG284" s="8">
        <v>3500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10">
        <v>3500</v>
      </c>
      <c r="AV284" s="15">
        <f t="shared" si="18"/>
        <v>3500</v>
      </c>
      <c r="AW284" s="16">
        <f t="shared" si="19"/>
        <v>2450</v>
      </c>
    </row>
    <row r="285" spans="1:49" ht="19.2" x14ac:dyDescent="0.4">
      <c r="A285" s="5" t="s">
        <v>200</v>
      </c>
      <c r="B285" s="5" t="s">
        <v>479</v>
      </c>
      <c r="C285" s="5">
        <v>414678</v>
      </c>
      <c r="D285" s="6"/>
      <c r="E285" s="5" t="s">
        <v>16</v>
      </c>
      <c r="F285" s="5" t="s">
        <v>295</v>
      </c>
      <c r="G285" s="5" t="s">
        <v>227</v>
      </c>
      <c r="H285" s="7" t="s">
        <v>122</v>
      </c>
      <c r="I285" s="7" t="s">
        <v>296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1</v>
      </c>
      <c r="AF285" s="8">
        <v>3500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10">
        <v>3500</v>
      </c>
      <c r="AV285" s="15">
        <f t="shared" si="18"/>
        <v>3500</v>
      </c>
      <c r="AW285" s="16">
        <f t="shared" si="19"/>
        <v>2450</v>
      </c>
    </row>
    <row r="286" spans="1:49" ht="19.2" x14ac:dyDescent="0.4">
      <c r="A286" s="5" t="s">
        <v>200</v>
      </c>
      <c r="B286" s="5" t="s">
        <v>413</v>
      </c>
      <c r="C286" s="5">
        <v>392578</v>
      </c>
      <c r="D286" s="6"/>
      <c r="E286" s="5" t="s">
        <v>16</v>
      </c>
      <c r="F286" s="5" t="s">
        <v>290</v>
      </c>
      <c r="G286" s="5" t="s">
        <v>227</v>
      </c>
      <c r="H286" s="7" t="s">
        <v>122</v>
      </c>
      <c r="I286" s="7" t="s">
        <v>414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34</v>
      </c>
      <c r="AF286" s="8">
        <v>1400</v>
      </c>
      <c r="AG286" s="8">
        <v>2000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10">
        <v>3400</v>
      </c>
      <c r="AV286" s="15">
        <f t="shared" si="18"/>
        <v>3400</v>
      </c>
      <c r="AW286" s="16">
        <f t="shared" si="19"/>
        <v>2380</v>
      </c>
    </row>
    <row r="287" spans="1:49" ht="19.2" x14ac:dyDescent="0.4">
      <c r="A287" s="5" t="s">
        <v>200</v>
      </c>
      <c r="B287" s="5" t="s">
        <v>82</v>
      </c>
      <c r="C287" s="5">
        <v>425289</v>
      </c>
      <c r="D287" s="6"/>
      <c r="E287" s="5" t="s">
        <v>16</v>
      </c>
      <c r="F287" s="5" t="s">
        <v>80</v>
      </c>
      <c r="G287" s="5" t="s">
        <v>13</v>
      </c>
      <c r="H287" s="7" t="s">
        <v>8</v>
      </c>
      <c r="I287" s="7" t="s">
        <v>83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33</v>
      </c>
      <c r="AF287" s="8">
        <v>3300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10">
        <v>3300</v>
      </c>
      <c r="AV287" s="15">
        <f t="shared" si="18"/>
        <v>3300</v>
      </c>
      <c r="AW287" s="16">
        <f t="shared" si="19"/>
        <v>2310</v>
      </c>
    </row>
    <row r="288" spans="1:49" ht="19.2" x14ac:dyDescent="0.4">
      <c r="A288" s="5" t="s">
        <v>200</v>
      </c>
      <c r="B288" s="5" t="s">
        <v>197</v>
      </c>
      <c r="C288" s="5">
        <v>458566</v>
      </c>
      <c r="D288" s="6"/>
      <c r="E288" s="5" t="s">
        <v>16</v>
      </c>
      <c r="F288" s="5" t="s">
        <v>17</v>
      </c>
      <c r="G288" s="5" t="s">
        <v>13</v>
      </c>
      <c r="H288" s="7" t="s">
        <v>8</v>
      </c>
      <c r="I288" s="7" t="s">
        <v>190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1</v>
      </c>
      <c r="AF288" s="7">
        <v>400</v>
      </c>
      <c r="AG288" s="8">
        <v>2800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10">
        <v>3200</v>
      </c>
      <c r="AV288" s="15">
        <f t="shared" si="18"/>
        <v>3200</v>
      </c>
      <c r="AW288" s="16">
        <f t="shared" si="19"/>
        <v>2240</v>
      </c>
    </row>
    <row r="289" spans="1:49" ht="19.2" x14ac:dyDescent="0.4">
      <c r="A289" s="5" t="s">
        <v>200</v>
      </c>
      <c r="B289" s="5" t="s">
        <v>480</v>
      </c>
      <c r="C289" s="5">
        <v>428118</v>
      </c>
      <c r="D289" s="6"/>
      <c r="E289" s="5" t="s">
        <v>16</v>
      </c>
      <c r="F289" s="5" t="s">
        <v>226</v>
      </c>
      <c r="G289" s="5" t="s">
        <v>227</v>
      </c>
      <c r="H289" s="7" t="s">
        <v>11</v>
      </c>
      <c r="I289" s="7" t="s">
        <v>112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1</v>
      </c>
      <c r="AF289" s="8">
        <v>3200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10">
        <v>3200</v>
      </c>
      <c r="AV289" s="15">
        <f t="shared" si="18"/>
        <v>3200</v>
      </c>
      <c r="AW289" s="16">
        <f t="shared" si="19"/>
        <v>2240</v>
      </c>
    </row>
    <row r="290" spans="1:49" ht="19.2" x14ac:dyDescent="0.4">
      <c r="A290" s="5" t="s">
        <v>200</v>
      </c>
      <c r="B290" s="5" t="s">
        <v>481</v>
      </c>
      <c r="C290" s="5">
        <v>425648</v>
      </c>
      <c r="D290" s="6"/>
      <c r="E290" s="5" t="s">
        <v>16</v>
      </c>
      <c r="F290" s="5" t="s">
        <v>301</v>
      </c>
      <c r="G290" s="5" t="s">
        <v>227</v>
      </c>
      <c r="H290" s="7" t="s">
        <v>122</v>
      </c>
      <c r="I290" s="7" t="s">
        <v>302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1</v>
      </c>
      <c r="AF290" s="8">
        <v>3200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10">
        <v>3200</v>
      </c>
      <c r="AV290" s="15">
        <f t="shared" si="18"/>
        <v>3200</v>
      </c>
      <c r="AW290" s="16">
        <f t="shared" si="19"/>
        <v>2240</v>
      </c>
    </row>
    <row r="291" spans="1:49" ht="19.2" x14ac:dyDescent="0.4">
      <c r="A291" s="5" t="s">
        <v>200</v>
      </c>
      <c r="B291" s="5" t="s">
        <v>273</v>
      </c>
      <c r="C291" s="5">
        <v>463951</v>
      </c>
      <c r="D291" s="6"/>
      <c r="E291" s="5" t="s">
        <v>16</v>
      </c>
      <c r="F291" s="5" t="s">
        <v>109</v>
      </c>
      <c r="G291" s="5" t="s">
        <v>13</v>
      </c>
      <c r="H291" s="7" t="s">
        <v>8</v>
      </c>
      <c r="I291" s="7" t="s">
        <v>274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1</v>
      </c>
      <c r="AF291" s="8">
        <v>3200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10">
        <v>3200</v>
      </c>
      <c r="AV291" s="15">
        <f t="shared" si="18"/>
        <v>3200</v>
      </c>
      <c r="AW291" s="16">
        <f t="shared" si="19"/>
        <v>2240</v>
      </c>
    </row>
    <row r="292" spans="1:49" ht="19.2" x14ac:dyDescent="0.4">
      <c r="A292" s="5" t="s">
        <v>200</v>
      </c>
      <c r="B292" s="5" t="s">
        <v>139</v>
      </c>
      <c r="C292" s="5">
        <v>440303</v>
      </c>
      <c r="D292" s="6"/>
      <c r="E292" s="5" t="s">
        <v>16</v>
      </c>
      <c r="F292" s="5" t="s">
        <v>140</v>
      </c>
      <c r="G292" s="5" t="s">
        <v>13</v>
      </c>
      <c r="H292" s="7" t="s">
        <v>8</v>
      </c>
      <c r="I292" s="7" t="s">
        <v>167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31</v>
      </c>
      <c r="AF292" s="7">
        <v>0</v>
      </c>
      <c r="AG292" s="8">
        <v>3100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10">
        <v>3100</v>
      </c>
      <c r="AV292" s="15">
        <f t="shared" si="18"/>
        <v>3100</v>
      </c>
      <c r="AW292" s="16">
        <f t="shared" si="19"/>
        <v>2170</v>
      </c>
    </row>
    <row r="293" spans="1:49" ht="19.2" x14ac:dyDescent="0.4">
      <c r="A293" s="5" t="s">
        <v>200</v>
      </c>
      <c r="B293" s="5" t="s">
        <v>214</v>
      </c>
      <c r="C293" s="5">
        <v>463944</v>
      </c>
      <c r="D293" s="6"/>
      <c r="E293" s="5" t="s">
        <v>16</v>
      </c>
      <c r="F293" s="5" t="s">
        <v>215</v>
      </c>
      <c r="G293" s="5" t="s">
        <v>13</v>
      </c>
      <c r="H293" s="7" t="s">
        <v>12</v>
      </c>
      <c r="I293" s="7" t="s">
        <v>216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1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2</v>
      </c>
      <c r="AF293" s="7">
        <v>200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29</v>
      </c>
      <c r="AS293" s="8">
        <v>2900</v>
      </c>
      <c r="AT293" s="7">
        <v>0</v>
      </c>
      <c r="AU293" s="10">
        <v>3100</v>
      </c>
      <c r="AV293" s="15">
        <f t="shared" si="18"/>
        <v>3100</v>
      </c>
      <c r="AW293" s="16">
        <f t="shared" si="19"/>
        <v>2170</v>
      </c>
    </row>
    <row r="294" spans="1:49" ht="19.2" x14ac:dyDescent="0.4">
      <c r="A294" s="5" t="s">
        <v>200</v>
      </c>
      <c r="B294" s="5" t="s">
        <v>325</v>
      </c>
      <c r="C294" s="5">
        <v>404148</v>
      </c>
      <c r="D294" s="6"/>
      <c r="E294" s="5" t="s">
        <v>16</v>
      </c>
      <c r="F294" s="5" t="s">
        <v>326</v>
      </c>
      <c r="G294" s="5" t="s">
        <v>227</v>
      </c>
      <c r="H294" s="7" t="s">
        <v>11</v>
      </c>
      <c r="I294" s="7" t="s">
        <v>327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2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29</v>
      </c>
      <c r="AF294" s="8">
        <v>2900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10">
        <v>2900</v>
      </c>
      <c r="AV294" s="15">
        <f t="shared" si="18"/>
        <v>2900</v>
      </c>
      <c r="AW294" s="16">
        <f t="shared" si="19"/>
        <v>2029.9999999999998</v>
      </c>
    </row>
    <row r="295" spans="1:49" ht="19.2" x14ac:dyDescent="0.4">
      <c r="A295" s="5" t="s">
        <v>200</v>
      </c>
      <c r="B295" s="5" t="s">
        <v>277</v>
      </c>
      <c r="C295" s="5">
        <v>359006</v>
      </c>
      <c r="D295" s="6"/>
      <c r="E295" s="5" t="s">
        <v>16</v>
      </c>
      <c r="F295" s="5" t="s">
        <v>267</v>
      </c>
      <c r="G295" s="5" t="s">
        <v>227</v>
      </c>
      <c r="H295" s="7" t="s">
        <v>11</v>
      </c>
      <c r="I295" s="7" t="s">
        <v>278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29</v>
      </c>
      <c r="AF295" s="8">
        <v>1400</v>
      </c>
      <c r="AG295" s="8">
        <v>1500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10">
        <v>2900</v>
      </c>
      <c r="AV295" s="15">
        <f t="shared" si="18"/>
        <v>2900</v>
      </c>
      <c r="AW295" s="16">
        <f t="shared" si="19"/>
        <v>2029.9999999999998</v>
      </c>
    </row>
    <row r="296" spans="1:49" ht="19.2" x14ac:dyDescent="0.4">
      <c r="A296" s="5" t="s">
        <v>200</v>
      </c>
      <c r="B296" s="5" t="s">
        <v>482</v>
      </c>
      <c r="C296" s="5">
        <v>387975</v>
      </c>
      <c r="D296" s="6"/>
      <c r="E296" s="5" t="s">
        <v>16</v>
      </c>
      <c r="F296" s="5" t="s">
        <v>257</v>
      </c>
      <c r="G296" s="5" t="s">
        <v>227</v>
      </c>
      <c r="H296" s="7" t="s">
        <v>122</v>
      </c>
      <c r="I296" s="7" t="s">
        <v>272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1</v>
      </c>
      <c r="AF296" s="8">
        <v>2800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10">
        <v>2800</v>
      </c>
      <c r="AV296" s="15">
        <f t="shared" si="18"/>
        <v>2800</v>
      </c>
      <c r="AW296" s="16">
        <f t="shared" si="19"/>
        <v>1959.9999999999998</v>
      </c>
    </row>
    <row r="297" spans="1:49" ht="19.2" x14ac:dyDescent="0.4">
      <c r="A297" s="5" t="s">
        <v>200</v>
      </c>
      <c r="B297" s="5" t="s">
        <v>483</v>
      </c>
      <c r="C297" s="5">
        <v>392659</v>
      </c>
      <c r="D297" s="6"/>
      <c r="E297" s="5" t="s">
        <v>16</v>
      </c>
      <c r="F297" s="5" t="s">
        <v>231</v>
      </c>
      <c r="G297" s="5" t="s">
        <v>227</v>
      </c>
      <c r="H297" s="7" t="s">
        <v>122</v>
      </c>
      <c r="I297" s="7" t="s">
        <v>339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5</v>
      </c>
      <c r="AF297" s="8">
        <v>1500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3</v>
      </c>
      <c r="AS297" s="7">
        <v>900</v>
      </c>
      <c r="AT297" s="7">
        <v>0</v>
      </c>
      <c r="AU297" s="10">
        <v>2400</v>
      </c>
      <c r="AV297" s="15">
        <f t="shared" si="18"/>
        <v>2400</v>
      </c>
      <c r="AW297" s="16">
        <f t="shared" si="19"/>
        <v>1680</v>
      </c>
    </row>
    <row r="298" spans="1:49" ht="19.2" x14ac:dyDescent="0.4">
      <c r="A298" s="5" t="s">
        <v>200</v>
      </c>
      <c r="B298" s="5" t="s">
        <v>421</v>
      </c>
      <c r="C298" s="5">
        <v>407003</v>
      </c>
      <c r="D298" s="6"/>
      <c r="E298" s="5" t="s">
        <v>16</v>
      </c>
      <c r="F298" s="5" t="s">
        <v>404</v>
      </c>
      <c r="G298" s="5" t="s">
        <v>227</v>
      </c>
      <c r="H298" s="7" t="s">
        <v>122</v>
      </c>
      <c r="I298" s="7" t="s">
        <v>422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18</v>
      </c>
      <c r="AF298" s="8">
        <v>1100</v>
      </c>
      <c r="AG298" s="7">
        <v>700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5</v>
      </c>
      <c r="AS298" s="7">
        <v>0</v>
      </c>
      <c r="AT298" s="7">
        <v>500</v>
      </c>
      <c r="AU298" s="10">
        <v>2300</v>
      </c>
      <c r="AV298" s="15">
        <f t="shared" si="18"/>
        <v>2300</v>
      </c>
      <c r="AW298" s="16">
        <f t="shared" si="19"/>
        <v>1610</v>
      </c>
    </row>
    <row r="299" spans="1:49" ht="19.2" x14ac:dyDescent="0.4">
      <c r="A299" s="5" t="s">
        <v>200</v>
      </c>
      <c r="B299" s="5" t="s">
        <v>484</v>
      </c>
      <c r="C299" s="5">
        <v>462657</v>
      </c>
      <c r="D299" s="6"/>
      <c r="E299" s="5" t="s">
        <v>16</v>
      </c>
      <c r="F299" s="5" t="s">
        <v>290</v>
      </c>
      <c r="G299" s="5" t="s">
        <v>227</v>
      </c>
      <c r="H299" s="7" t="s">
        <v>122</v>
      </c>
      <c r="I299" s="7" t="s">
        <v>204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1</v>
      </c>
      <c r="AF299" s="8">
        <v>1000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1</v>
      </c>
      <c r="AS299" s="8">
        <v>1000</v>
      </c>
      <c r="AT299" s="7">
        <v>0</v>
      </c>
      <c r="AU299" s="10">
        <v>2000</v>
      </c>
      <c r="AV299" s="15">
        <f t="shared" si="18"/>
        <v>2000</v>
      </c>
      <c r="AW299" s="16">
        <f t="shared" si="19"/>
        <v>1400</v>
      </c>
    </row>
    <row r="300" spans="1:49" ht="19.2" x14ac:dyDescent="0.4">
      <c r="A300" s="5" t="s">
        <v>200</v>
      </c>
      <c r="B300" s="5" t="s">
        <v>485</v>
      </c>
      <c r="C300" s="5">
        <v>446882</v>
      </c>
      <c r="D300" s="6"/>
      <c r="E300" s="5" t="s">
        <v>16</v>
      </c>
      <c r="F300" s="5" t="s">
        <v>290</v>
      </c>
      <c r="G300" s="5" t="s">
        <v>227</v>
      </c>
      <c r="H300" s="7" t="s">
        <v>122</v>
      </c>
      <c r="I300" s="7" t="s">
        <v>291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2</v>
      </c>
      <c r="AF300" s="8">
        <v>2000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10">
        <v>2000</v>
      </c>
      <c r="AV300" s="15">
        <f t="shared" si="18"/>
        <v>2000</v>
      </c>
      <c r="AW300" s="16">
        <f t="shared" si="19"/>
        <v>1400</v>
      </c>
    </row>
    <row r="301" spans="1:49" ht="19.2" x14ac:dyDescent="0.4">
      <c r="A301" s="5" t="s">
        <v>200</v>
      </c>
      <c r="B301" s="5" t="s">
        <v>130</v>
      </c>
      <c r="C301" s="5">
        <v>157002</v>
      </c>
      <c r="D301" s="6" t="s">
        <v>131</v>
      </c>
      <c r="E301" s="5" t="s">
        <v>16</v>
      </c>
      <c r="F301" s="5" t="s">
        <v>17</v>
      </c>
      <c r="G301" s="5" t="s">
        <v>13</v>
      </c>
      <c r="H301" s="7" t="s">
        <v>8</v>
      </c>
      <c r="I301" s="7" t="s">
        <v>132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19</v>
      </c>
      <c r="AF301" s="8">
        <v>1900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10">
        <v>1900</v>
      </c>
      <c r="AV301" s="15">
        <f t="shared" si="18"/>
        <v>1900</v>
      </c>
      <c r="AW301" s="16">
        <f t="shared" si="19"/>
        <v>1330</v>
      </c>
    </row>
    <row r="302" spans="1:49" ht="28.8" x14ac:dyDescent="0.4">
      <c r="A302" s="5" t="s">
        <v>200</v>
      </c>
      <c r="B302" s="5" t="s">
        <v>261</v>
      </c>
      <c r="C302" s="5">
        <v>386704</v>
      </c>
      <c r="D302" s="6"/>
      <c r="E302" s="5" t="s">
        <v>16</v>
      </c>
      <c r="F302" s="5" t="s">
        <v>262</v>
      </c>
      <c r="G302" s="5" t="s">
        <v>227</v>
      </c>
      <c r="H302" s="7" t="s">
        <v>11</v>
      </c>
      <c r="I302" s="7" t="s">
        <v>263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5</v>
      </c>
      <c r="AF302" s="7">
        <v>0</v>
      </c>
      <c r="AG302" s="7">
        <v>500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14</v>
      </c>
      <c r="AS302" s="8">
        <v>1400</v>
      </c>
      <c r="AT302" s="7">
        <v>0</v>
      </c>
      <c r="AU302" s="10">
        <v>1900</v>
      </c>
      <c r="AV302" s="15">
        <f t="shared" si="18"/>
        <v>1900</v>
      </c>
      <c r="AW302" s="16">
        <f t="shared" si="19"/>
        <v>1330</v>
      </c>
    </row>
    <row r="303" spans="1:49" ht="19.2" x14ac:dyDescent="0.4">
      <c r="A303" s="5" t="s">
        <v>200</v>
      </c>
      <c r="B303" s="5" t="s">
        <v>328</v>
      </c>
      <c r="C303" s="5">
        <v>390809</v>
      </c>
      <c r="D303" s="6"/>
      <c r="E303" s="5" t="s">
        <v>16</v>
      </c>
      <c r="F303" s="5" t="s">
        <v>329</v>
      </c>
      <c r="G303" s="5" t="s">
        <v>227</v>
      </c>
      <c r="H303" s="7" t="s">
        <v>11</v>
      </c>
      <c r="I303" s="7" t="s">
        <v>249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15</v>
      </c>
      <c r="AF303" s="8">
        <v>1500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10">
        <v>1500</v>
      </c>
      <c r="AV303" s="15">
        <f t="shared" si="18"/>
        <v>1500</v>
      </c>
      <c r="AW303" s="16">
        <f t="shared" si="19"/>
        <v>1050</v>
      </c>
    </row>
    <row r="304" spans="1:49" ht="19.2" x14ac:dyDescent="0.4">
      <c r="A304" s="5" t="s">
        <v>200</v>
      </c>
      <c r="B304" s="5" t="s">
        <v>486</v>
      </c>
      <c r="C304" s="5">
        <v>381693</v>
      </c>
      <c r="D304" s="6"/>
      <c r="E304" s="5" t="s">
        <v>16</v>
      </c>
      <c r="F304" s="5" t="s">
        <v>251</v>
      </c>
      <c r="G304" s="5" t="s">
        <v>227</v>
      </c>
      <c r="H304" s="7" t="s">
        <v>122</v>
      </c>
      <c r="I304" s="7" t="s">
        <v>252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3</v>
      </c>
      <c r="AF304" s="8">
        <v>1200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10">
        <v>1200</v>
      </c>
      <c r="AV304" s="15">
        <f t="shared" si="18"/>
        <v>1200</v>
      </c>
      <c r="AW304" s="16">
        <f t="shared" si="19"/>
        <v>840</v>
      </c>
    </row>
    <row r="305" spans="1:49" ht="19.2" x14ac:dyDescent="0.4">
      <c r="A305" s="5" t="s">
        <v>200</v>
      </c>
      <c r="B305" s="5" t="s">
        <v>487</v>
      </c>
      <c r="C305" s="5">
        <v>383236</v>
      </c>
      <c r="D305" s="6"/>
      <c r="E305" s="5" t="s">
        <v>16</v>
      </c>
      <c r="F305" s="5" t="s">
        <v>267</v>
      </c>
      <c r="G305" s="5" t="s">
        <v>227</v>
      </c>
      <c r="H305" s="7" t="s">
        <v>122</v>
      </c>
      <c r="I305" s="7" t="s">
        <v>268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2</v>
      </c>
      <c r="AF305" s="7">
        <v>400</v>
      </c>
      <c r="AG305" s="7">
        <v>400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1</v>
      </c>
      <c r="AS305" s="7">
        <v>400</v>
      </c>
      <c r="AT305" s="7">
        <v>0</v>
      </c>
      <c r="AU305" s="10">
        <v>1200</v>
      </c>
      <c r="AV305" s="15">
        <f t="shared" si="18"/>
        <v>1200</v>
      </c>
      <c r="AW305" s="16">
        <f t="shared" si="19"/>
        <v>840</v>
      </c>
    </row>
    <row r="306" spans="1:49" ht="19.2" x14ac:dyDescent="0.4">
      <c r="A306" s="5" t="s">
        <v>200</v>
      </c>
      <c r="B306" s="5" t="s">
        <v>300</v>
      </c>
      <c r="C306" s="5">
        <v>399878</v>
      </c>
      <c r="D306" s="6"/>
      <c r="E306" s="5" t="s">
        <v>16</v>
      </c>
      <c r="F306" s="5" t="s">
        <v>301</v>
      </c>
      <c r="G306" s="5" t="s">
        <v>227</v>
      </c>
      <c r="H306" s="7" t="s">
        <v>11</v>
      </c>
      <c r="I306" s="7" t="s">
        <v>302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11</v>
      </c>
      <c r="AF306" s="8">
        <v>1100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10">
        <v>1100</v>
      </c>
      <c r="AV306" s="15">
        <f t="shared" si="18"/>
        <v>1100</v>
      </c>
      <c r="AW306" s="16">
        <f t="shared" si="19"/>
        <v>770</v>
      </c>
    </row>
    <row r="307" spans="1:49" ht="19.2" x14ac:dyDescent="0.4">
      <c r="A307" s="5" t="s">
        <v>200</v>
      </c>
      <c r="B307" s="5" t="s">
        <v>488</v>
      </c>
      <c r="C307" s="5">
        <v>416211</v>
      </c>
      <c r="D307" s="6"/>
      <c r="E307" s="5" t="s">
        <v>16</v>
      </c>
      <c r="F307" s="5" t="s">
        <v>290</v>
      </c>
      <c r="G307" s="5" t="s">
        <v>227</v>
      </c>
      <c r="H307" s="7" t="s">
        <v>122</v>
      </c>
      <c r="I307" s="7" t="s">
        <v>414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1</v>
      </c>
      <c r="AF307" s="8">
        <v>1000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10">
        <v>1000</v>
      </c>
      <c r="AV307" s="15">
        <f t="shared" si="18"/>
        <v>1000</v>
      </c>
      <c r="AW307" s="16">
        <f t="shared" si="19"/>
        <v>700</v>
      </c>
    </row>
    <row r="308" spans="1:49" ht="19.2" x14ac:dyDescent="0.4">
      <c r="A308" s="5" t="s">
        <v>200</v>
      </c>
      <c r="B308" s="5" t="s">
        <v>368</v>
      </c>
      <c r="C308" s="5">
        <v>355320</v>
      </c>
      <c r="D308" s="6"/>
      <c r="E308" s="5" t="s">
        <v>16</v>
      </c>
      <c r="F308" s="5" t="s">
        <v>369</v>
      </c>
      <c r="G308" s="5" t="s">
        <v>227</v>
      </c>
      <c r="H308" s="7" t="s">
        <v>11</v>
      </c>
      <c r="I308" s="7" t="s">
        <v>324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1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10</v>
      </c>
      <c r="AF308" s="7">
        <v>0</v>
      </c>
      <c r="AG308" s="8">
        <v>1000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10">
        <v>1000</v>
      </c>
      <c r="AV308" s="15">
        <f t="shared" si="18"/>
        <v>1000</v>
      </c>
      <c r="AW308" s="16">
        <f t="shared" si="19"/>
        <v>700</v>
      </c>
    </row>
    <row r="309" spans="1:49" ht="19.2" x14ac:dyDescent="0.4">
      <c r="A309" s="5" t="s">
        <v>200</v>
      </c>
      <c r="B309" s="5" t="s">
        <v>489</v>
      </c>
      <c r="C309" s="5">
        <v>416196</v>
      </c>
      <c r="D309" s="6"/>
      <c r="E309" s="5" t="s">
        <v>16</v>
      </c>
      <c r="F309" s="5" t="s">
        <v>231</v>
      </c>
      <c r="G309" s="5" t="s">
        <v>227</v>
      </c>
      <c r="H309" s="7" t="s">
        <v>122</v>
      </c>
      <c r="I309" s="7" t="s">
        <v>246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1</v>
      </c>
      <c r="AS309" s="8">
        <v>1000</v>
      </c>
      <c r="AT309" s="7">
        <v>0</v>
      </c>
      <c r="AU309" s="10">
        <v>1000</v>
      </c>
      <c r="AV309" s="15">
        <f t="shared" si="18"/>
        <v>1000</v>
      </c>
      <c r="AW309" s="16">
        <f t="shared" si="19"/>
        <v>700</v>
      </c>
    </row>
    <row r="310" spans="1:49" ht="19.2" x14ac:dyDescent="0.4">
      <c r="A310" s="5" t="s">
        <v>200</v>
      </c>
      <c r="B310" s="5" t="s">
        <v>490</v>
      </c>
      <c r="C310" s="5">
        <v>419224</v>
      </c>
      <c r="D310" s="6"/>
      <c r="E310" s="5" t="s">
        <v>16</v>
      </c>
      <c r="F310" s="5" t="s">
        <v>290</v>
      </c>
      <c r="G310" s="5" t="s">
        <v>227</v>
      </c>
      <c r="H310" s="7" t="s">
        <v>122</v>
      </c>
      <c r="I310" s="7" t="s">
        <v>385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1</v>
      </c>
      <c r="AF310" s="8">
        <v>1000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10">
        <v>1000</v>
      </c>
      <c r="AV310" s="15">
        <f t="shared" si="18"/>
        <v>1000</v>
      </c>
      <c r="AW310" s="16">
        <f t="shared" si="19"/>
        <v>700</v>
      </c>
    </row>
    <row r="311" spans="1:49" ht="19.2" x14ac:dyDescent="0.4">
      <c r="A311" s="5" t="s">
        <v>200</v>
      </c>
      <c r="B311" s="5" t="s">
        <v>432</v>
      </c>
      <c r="C311" s="5">
        <v>431789</v>
      </c>
      <c r="D311" s="6"/>
      <c r="E311" s="5" t="s">
        <v>16</v>
      </c>
      <c r="F311" s="5" t="s">
        <v>267</v>
      </c>
      <c r="G311" s="5" t="s">
        <v>227</v>
      </c>
      <c r="H311" s="7" t="s">
        <v>122</v>
      </c>
      <c r="I311" s="7" t="s">
        <v>377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1</v>
      </c>
      <c r="AF311" s="7">
        <v>300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2</v>
      </c>
      <c r="AS311" s="7">
        <v>600</v>
      </c>
      <c r="AT311" s="7">
        <v>0</v>
      </c>
      <c r="AU311" s="11">
        <v>900</v>
      </c>
      <c r="AV311" s="15">
        <f t="shared" si="18"/>
        <v>900</v>
      </c>
      <c r="AW311" s="16">
        <f t="shared" si="19"/>
        <v>630</v>
      </c>
    </row>
    <row r="312" spans="1:49" ht="19.2" x14ac:dyDescent="0.4">
      <c r="A312" s="5" t="s">
        <v>200</v>
      </c>
      <c r="B312" s="5" t="s">
        <v>347</v>
      </c>
      <c r="C312" s="5">
        <v>427091</v>
      </c>
      <c r="D312" s="6"/>
      <c r="E312" s="5" t="s">
        <v>16</v>
      </c>
      <c r="F312" s="5" t="s">
        <v>238</v>
      </c>
      <c r="G312" s="5" t="s">
        <v>227</v>
      </c>
      <c r="H312" s="7" t="s">
        <v>11</v>
      </c>
      <c r="I312" s="7" t="s">
        <v>348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9</v>
      </c>
      <c r="AF312" s="7">
        <v>0</v>
      </c>
      <c r="AG312" s="7">
        <v>900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11">
        <v>900</v>
      </c>
      <c r="AV312" s="15">
        <f t="shared" si="18"/>
        <v>900</v>
      </c>
      <c r="AW312" s="16">
        <f t="shared" si="19"/>
        <v>630</v>
      </c>
    </row>
    <row r="313" spans="1:49" ht="19.2" x14ac:dyDescent="0.4">
      <c r="A313" s="5" t="s">
        <v>200</v>
      </c>
      <c r="B313" s="5" t="s">
        <v>491</v>
      </c>
      <c r="C313" s="5">
        <v>428120</v>
      </c>
      <c r="D313" s="6"/>
      <c r="E313" s="5" t="s">
        <v>16</v>
      </c>
      <c r="F313" s="5" t="s">
        <v>226</v>
      </c>
      <c r="G313" s="5" t="s">
        <v>227</v>
      </c>
      <c r="H313" s="7" t="s">
        <v>11</v>
      </c>
      <c r="I313" s="7" t="s">
        <v>112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1</v>
      </c>
      <c r="AF313" s="7">
        <v>800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11">
        <v>800</v>
      </c>
      <c r="AV313" s="15">
        <f t="shared" si="18"/>
        <v>800</v>
      </c>
      <c r="AW313" s="16">
        <f t="shared" si="19"/>
        <v>560</v>
      </c>
    </row>
    <row r="314" spans="1:49" ht="28.8" x14ac:dyDescent="0.4">
      <c r="A314" s="5" t="s">
        <v>200</v>
      </c>
      <c r="B314" s="5" t="s">
        <v>492</v>
      </c>
      <c r="C314" s="5">
        <v>397418</v>
      </c>
      <c r="D314" s="6"/>
      <c r="E314" s="5" t="s">
        <v>16</v>
      </c>
      <c r="F314" s="5" t="s">
        <v>345</v>
      </c>
      <c r="G314" s="5" t="s">
        <v>227</v>
      </c>
      <c r="H314" s="7" t="s">
        <v>122</v>
      </c>
      <c r="I314" s="7" t="s">
        <v>470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1</v>
      </c>
      <c r="AF314" s="7">
        <v>800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11">
        <v>800</v>
      </c>
      <c r="AV314" s="15">
        <f t="shared" si="18"/>
        <v>800</v>
      </c>
      <c r="AW314" s="16">
        <f t="shared" si="19"/>
        <v>560</v>
      </c>
    </row>
    <row r="315" spans="1:49" ht="19.2" x14ac:dyDescent="0.4">
      <c r="A315" s="5" t="s">
        <v>200</v>
      </c>
      <c r="B315" s="5" t="s">
        <v>493</v>
      </c>
      <c r="C315" s="5">
        <v>428409</v>
      </c>
      <c r="D315" s="6"/>
      <c r="E315" s="5" t="s">
        <v>16</v>
      </c>
      <c r="F315" s="5" t="s">
        <v>238</v>
      </c>
      <c r="G315" s="5" t="s">
        <v>227</v>
      </c>
      <c r="H315" s="7" t="s">
        <v>122</v>
      </c>
      <c r="I315" s="7" t="s">
        <v>360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2</v>
      </c>
      <c r="AF315" s="7">
        <v>800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11">
        <v>800</v>
      </c>
      <c r="AV315" s="15">
        <f t="shared" si="18"/>
        <v>800</v>
      </c>
      <c r="AW315" s="16">
        <f t="shared" si="19"/>
        <v>560</v>
      </c>
    </row>
    <row r="316" spans="1:49" ht="19.2" x14ac:dyDescent="0.4">
      <c r="A316" s="5" t="s">
        <v>200</v>
      </c>
      <c r="B316" s="5" t="s">
        <v>307</v>
      </c>
      <c r="C316" s="5">
        <v>305522</v>
      </c>
      <c r="D316" s="6"/>
      <c r="E316" s="5" t="s">
        <v>16</v>
      </c>
      <c r="F316" s="5" t="s">
        <v>238</v>
      </c>
      <c r="G316" s="5" t="s">
        <v>227</v>
      </c>
      <c r="H316" s="7" t="s">
        <v>11</v>
      </c>
      <c r="I316" s="7" t="s">
        <v>308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8</v>
      </c>
      <c r="AF316" s="7">
        <v>800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11">
        <v>800</v>
      </c>
      <c r="AV316" s="15">
        <f t="shared" si="18"/>
        <v>800</v>
      </c>
      <c r="AW316" s="16">
        <f t="shared" si="19"/>
        <v>560</v>
      </c>
    </row>
    <row r="317" spans="1:49" ht="28.8" x14ac:dyDescent="0.4">
      <c r="A317" s="5" t="s">
        <v>200</v>
      </c>
      <c r="B317" s="5" t="s">
        <v>344</v>
      </c>
      <c r="C317" s="5">
        <v>332138</v>
      </c>
      <c r="D317" s="6"/>
      <c r="E317" s="5" t="s">
        <v>16</v>
      </c>
      <c r="F317" s="5" t="s">
        <v>345</v>
      </c>
      <c r="G317" s="5" t="s">
        <v>227</v>
      </c>
      <c r="H317" s="7" t="s">
        <v>12</v>
      </c>
      <c r="I317" s="7" t="s">
        <v>341</v>
      </c>
      <c r="J317" s="7">
        <v>7</v>
      </c>
      <c r="K317" s="7">
        <v>0</v>
      </c>
      <c r="L317" s="7">
        <v>700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11">
        <v>700</v>
      </c>
      <c r="AV317" s="15">
        <f t="shared" si="18"/>
        <v>700</v>
      </c>
      <c r="AW317" s="16">
        <f t="shared" si="19"/>
        <v>489.99999999999994</v>
      </c>
    </row>
    <row r="318" spans="1:49" ht="19.2" x14ac:dyDescent="0.4">
      <c r="A318" s="5" t="s">
        <v>200</v>
      </c>
      <c r="B318" s="5" t="s">
        <v>207</v>
      </c>
      <c r="C318" s="5">
        <v>463946</v>
      </c>
      <c r="D318" s="6"/>
      <c r="E318" s="5" t="s">
        <v>16</v>
      </c>
      <c r="F318" s="5" t="s">
        <v>208</v>
      </c>
      <c r="G318" s="5" t="s">
        <v>13</v>
      </c>
      <c r="H318" s="7" t="s">
        <v>8</v>
      </c>
      <c r="I318" s="7" t="s">
        <v>209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7</v>
      </c>
      <c r="AF318" s="7">
        <v>700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11">
        <v>700</v>
      </c>
      <c r="AV318" s="15">
        <f t="shared" si="18"/>
        <v>700</v>
      </c>
      <c r="AW318" s="16">
        <f t="shared" si="19"/>
        <v>489.99999999999994</v>
      </c>
    </row>
    <row r="319" spans="1:49" ht="19.2" x14ac:dyDescent="0.4">
      <c r="A319" s="5" t="s">
        <v>200</v>
      </c>
      <c r="B319" s="5" t="s">
        <v>340</v>
      </c>
      <c r="C319" s="5">
        <v>356295</v>
      </c>
      <c r="D319" s="6"/>
      <c r="E319" s="5" t="s">
        <v>16</v>
      </c>
      <c r="F319" s="5" t="s">
        <v>238</v>
      </c>
      <c r="G319" s="5" t="s">
        <v>227</v>
      </c>
      <c r="H319" s="7" t="s">
        <v>11</v>
      </c>
      <c r="I319" s="7" t="s">
        <v>341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7</v>
      </c>
      <c r="AF319" s="7">
        <v>700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11">
        <v>700</v>
      </c>
      <c r="AV319" s="15">
        <f t="shared" si="18"/>
        <v>700</v>
      </c>
      <c r="AW319" s="16">
        <f t="shared" si="19"/>
        <v>489.99999999999994</v>
      </c>
    </row>
    <row r="320" spans="1:49" ht="19.2" x14ac:dyDescent="0.4">
      <c r="A320" s="5" t="s">
        <v>200</v>
      </c>
      <c r="B320" s="5" t="s">
        <v>494</v>
      </c>
      <c r="C320" s="5">
        <v>431805</v>
      </c>
      <c r="D320" s="6"/>
      <c r="E320" s="5" t="s">
        <v>16</v>
      </c>
      <c r="F320" s="5" t="s">
        <v>267</v>
      </c>
      <c r="G320" s="5" t="s">
        <v>227</v>
      </c>
      <c r="H320" s="7" t="s">
        <v>122</v>
      </c>
      <c r="I320" s="7" t="s">
        <v>438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2</v>
      </c>
      <c r="AS320" s="7">
        <v>400</v>
      </c>
      <c r="AT320" s="7">
        <v>200</v>
      </c>
      <c r="AU320" s="11">
        <v>600</v>
      </c>
      <c r="AV320" s="15">
        <f t="shared" si="18"/>
        <v>600</v>
      </c>
      <c r="AW320" s="16">
        <f t="shared" si="19"/>
        <v>420</v>
      </c>
    </row>
    <row r="321" spans="1:49" ht="28.8" x14ac:dyDescent="0.4">
      <c r="A321" s="5" t="s">
        <v>200</v>
      </c>
      <c r="B321" s="5" t="s">
        <v>372</v>
      </c>
      <c r="C321" s="5">
        <v>391008</v>
      </c>
      <c r="D321" s="6"/>
      <c r="E321" s="5" t="s">
        <v>16</v>
      </c>
      <c r="F321" s="5" t="s">
        <v>262</v>
      </c>
      <c r="G321" s="5" t="s">
        <v>227</v>
      </c>
      <c r="H321" s="7" t="s">
        <v>11</v>
      </c>
      <c r="I321" s="7" t="s">
        <v>373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3</v>
      </c>
      <c r="AF321" s="7">
        <v>300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3</v>
      </c>
      <c r="AS321" s="7">
        <v>300</v>
      </c>
      <c r="AT321" s="7">
        <v>0</v>
      </c>
      <c r="AU321" s="11">
        <v>600</v>
      </c>
      <c r="AV321" s="15">
        <f t="shared" si="18"/>
        <v>600</v>
      </c>
      <c r="AW321" s="16">
        <f t="shared" si="19"/>
        <v>420</v>
      </c>
    </row>
    <row r="322" spans="1:49" ht="19.2" x14ac:dyDescent="0.4">
      <c r="A322" s="5" t="s">
        <v>200</v>
      </c>
      <c r="B322" s="5" t="s">
        <v>428</v>
      </c>
      <c r="C322" s="5">
        <v>381070</v>
      </c>
      <c r="D322" s="6"/>
      <c r="E322" s="5" t="s">
        <v>16</v>
      </c>
      <c r="F322" s="5" t="s">
        <v>429</v>
      </c>
      <c r="G322" s="5" t="s">
        <v>227</v>
      </c>
      <c r="H322" s="7" t="s">
        <v>11</v>
      </c>
      <c r="I322" s="7" t="s">
        <v>430</v>
      </c>
      <c r="J322" s="7">
        <v>0</v>
      </c>
      <c r="K322" s="7">
        <v>3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6</v>
      </c>
      <c r="AF322" s="7">
        <v>600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11">
        <v>600</v>
      </c>
      <c r="AV322" s="15">
        <f t="shared" si="18"/>
        <v>600</v>
      </c>
      <c r="AW322" s="16">
        <f t="shared" si="19"/>
        <v>420</v>
      </c>
    </row>
    <row r="323" spans="1:49" ht="19.2" x14ac:dyDescent="0.4">
      <c r="A323" s="5" t="s">
        <v>200</v>
      </c>
      <c r="B323" s="5" t="s">
        <v>495</v>
      </c>
      <c r="C323" s="5">
        <v>399401</v>
      </c>
      <c r="D323" s="6"/>
      <c r="E323" s="5" t="s">
        <v>16</v>
      </c>
      <c r="F323" s="5" t="s">
        <v>238</v>
      </c>
      <c r="G323" s="5" t="s">
        <v>227</v>
      </c>
      <c r="H323" s="7" t="s">
        <v>122</v>
      </c>
      <c r="I323" s="7" t="s">
        <v>464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2</v>
      </c>
      <c r="AF323" s="7">
        <v>600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11">
        <v>600</v>
      </c>
      <c r="AV323" s="15">
        <f t="shared" si="18"/>
        <v>600</v>
      </c>
      <c r="AW323" s="16">
        <f t="shared" si="19"/>
        <v>420</v>
      </c>
    </row>
    <row r="324" spans="1:49" ht="19.2" x14ac:dyDescent="0.4">
      <c r="A324" s="5" t="s">
        <v>200</v>
      </c>
      <c r="B324" s="5" t="s">
        <v>496</v>
      </c>
      <c r="C324" s="5">
        <v>418306</v>
      </c>
      <c r="D324" s="6"/>
      <c r="E324" s="5" t="s">
        <v>16</v>
      </c>
      <c r="F324" s="5" t="s">
        <v>329</v>
      </c>
      <c r="G324" s="5" t="s">
        <v>227</v>
      </c>
      <c r="H324" s="7" t="s">
        <v>122</v>
      </c>
      <c r="I324" s="7" t="s">
        <v>460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1</v>
      </c>
      <c r="AF324" s="7">
        <v>600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11">
        <v>600</v>
      </c>
      <c r="AV324" s="15">
        <f t="shared" si="18"/>
        <v>600</v>
      </c>
      <c r="AW324" s="16">
        <f t="shared" si="19"/>
        <v>420</v>
      </c>
    </row>
    <row r="325" spans="1:49" ht="19.2" x14ac:dyDescent="0.4">
      <c r="A325" s="5" t="s">
        <v>200</v>
      </c>
      <c r="B325" s="5" t="s">
        <v>497</v>
      </c>
      <c r="C325" s="5">
        <v>350655</v>
      </c>
      <c r="D325" s="6"/>
      <c r="E325" s="5" t="s">
        <v>16</v>
      </c>
      <c r="F325" s="5" t="s">
        <v>290</v>
      </c>
      <c r="G325" s="5" t="s">
        <v>227</v>
      </c>
      <c r="H325" s="7" t="s">
        <v>11</v>
      </c>
      <c r="I325" s="7" t="s">
        <v>498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5</v>
      </c>
      <c r="AF325" s="7">
        <v>500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11">
        <v>500</v>
      </c>
      <c r="AV325" s="15">
        <f t="shared" ref="AV325:AV339" si="20">AU325-AN325</f>
        <v>500</v>
      </c>
      <c r="AW325" s="16">
        <f t="shared" ref="AW325:AW339" si="21">AV325*70%</f>
        <v>350</v>
      </c>
    </row>
    <row r="326" spans="1:49" ht="19.2" x14ac:dyDescent="0.4">
      <c r="A326" s="5" t="s">
        <v>200</v>
      </c>
      <c r="B326" s="5" t="s">
        <v>142</v>
      </c>
      <c r="C326" s="5">
        <v>434853</v>
      </c>
      <c r="D326" s="6"/>
      <c r="E326" s="5" t="s">
        <v>16</v>
      </c>
      <c r="F326" s="5" t="s">
        <v>143</v>
      </c>
      <c r="G326" s="5" t="s">
        <v>13</v>
      </c>
      <c r="H326" s="7" t="s">
        <v>8</v>
      </c>
      <c r="I326" s="7" t="s">
        <v>198</v>
      </c>
      <c r="J326" s="7">
        <v>4</v>
      </c>
      <c r="K326" s="7">
        <v>0</v>
      </c>
      <c r="L326" s="7">
        <v>400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1</v>
      </c>
      <c r="AF326" s="7">
        <v>0</v>
      </c>
      <c r="AG326" s="7">
        <v>100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11">
        <v>500</v>
      </c>
      <c r="AV326" s="15">
        <f t="shared" si="20"/>
        <v>500</v>
      </c>
      <c r="AW326" s="16">
        <f t="shared" si="21"/>
        <v>350</v>
      </c>
    </row>
    <row r="327" spans="1:49" ht="19.2" x14ac:dyDescent="0.4">
      <c r="A327" s="5" t="s">
        <v>200</v>
      </c>
      <c r="B327" s="5" t="s">
        <v>419</v>
      </c>
      <c r="C327" s="5">
        <v>382325</v>
      </c>
      <c r="D327" s="6"/>
      <c r="E327" s="5" t="s">
        <v>16</v>
      </c>
      <c r="F327" s="5" t="s">
        <v>248</v>
      </c>
      <c r="G327" s="5" t="s">
        <v>227</v>
      </c>
      <c r="H327" s="7" t="s">
        <v>11</v>
      </c>
      <c r="I327" s="7" t="s">
        <v>420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4</v>
      </c>
      <c r="AF327" s="7">
        <v>400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11">
        <v>400</v>
      </c>
      <c r="AV327" s="15">
        <f t="shared" si="20"/>
        <v>400</v>
      </c>
      <c r="AW327" s="16">
        <f t="shared" si="21"/>
        <v>280</v>
      </c>
    </row>
    <row r="328" spans="1:49" ht="19.2" x14ac:dyDescent="0.4">
      <c r="A328" s="5" t="s">
        <v>200</v>
      </c>
      <c r="B328" s="5" t="s">
        <v>36</v>
      </c>
      <c r="C328" s="5">
        <v>387942</v>
      </c>
      <c r="D328" s="6"/>
      <c r="E328" s="5" t="s">
        <v>16</v>
      </c>
      <c r="F328" s="5" t="s">
        <v>37</v>
      </c>
      <c r="G328" s="5" t="s">
        <v>13</v>
      </c>
      <c r="H328" s="7" t="s">
        <v>8</v>
      </c>
      <c r="I328" s="7" t="s">
        <v>38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1</v>
      </c>
      <c r="AF328" s="7">
        <v>100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3</v>
      </c>
      <c r="AS328" s="7">
        <v>300</v>
      </c>
      <c r="AT328" s="7">
        <v>0</v>
      </c>
      <c r="AU328" s="11">
        <v>400</v>
      </c>
      <c r="AV328" s="15">
        <f t="shared" si="20"/>
        <v>400</v>
      </c>
      <c r="AW328" s="16">
        <f t="shared" si="21"/>
        <v>280</v>
      </c>
    </row>
    <row r="329" spans="1:49" ht="19.2" x14ac:dyDescent="0.4">
      <c r="A329" s="5" t="s">
        <v>200</v>
      </c>
      <c r="B329" s="5" t="s">
        <v>384</v>
      </c>
      <c r="C329" s="5">
        <v>407159</v>
      </c>
      <c r="D329" s="6"/>
      <c r="E329" s="5" t="s">
        <v>16</v>
      </c>
      <c r="F329" s="5" t="s">
        <v>290</v>
      </c>
      <c r="G329" s="5" t="s">
        <v>227</v>
      </c>
      <c r="H329" s="7" t="s">
        <v>11</v>
      </c>
      <c r="I329" s="7" t="s">
        <v>385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3</v>
      </c>
      <c r="AF329" s="7">
        <v>300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1</v>
      </c>
      <c r="AS329" s="7">
        <v>100</v>
      </c>
      <c r="AT329" s="7">
        <v>0</v>
      </c>
      <c r="AU329" s="11">
        <v>400</v>
      </c>
      <c r="AV329" s="15">
        <f t="shared" si="20"/>
        <v>400</v>
      </c>
      <c r="AW329" s="16">
        <f t="shared" si="21"/>
        <v>280</v>
      </c>
    </row>
    <row r="330" spans="1:49" ht="19.2" x14ac:dyDescent="0.4">
      <c r="A330" s="5" t="s">
        <v>200</v>
      </c>
      <c r="B330" s="5" t="s">
        <v>314</v>
      </c>
      <c r="C330" s="5">
        <v>370192</v>
      </c>
      <c r="D330" s="6"/>
      <c r="E330" s="5" t="s">
        <v>16</v>
      </c>
      <c r="F330" s="5" t="s">
        <v>251</v>
      </c>
      <c r="G330" s="5" t="s">
        <v>227</v>
      </c>
      <c r="H330" s="7" t="s">
        <v>11</v>
      </c>
      <c r="I330" s="7" t="s">
        <v>315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3</v>
      </c>
      <c r="AF330" s="7">
        <v>300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11">
        <v>300</v>
      </c>
      <c r="AV330" s="15">
        <f t="shared" si="20"/>
        <v>300</v>
      </c>
      <c r="AW330" s="16">
        <f t="shared" si="21"/>
        <v>210</v>
      </c>
    </row>
    <row r="331" spans="1:49" ht="19.2" x14ac:dyDescent="0.4">
      <c r="A331" s="5" t="s">
        <v>200</v>
      </c>
      <c r="B331" s="5" t="s">
        <v>499</v>
      </c>
      <c r="C331" s="5">
        <v>444218</v>
      </c>
      <c r="D331" s="6"/>
      <c r="E331" s="5" t="s">
        <v>16</v>
      </c>
      <c r="F331" s="5" t="s">
        <v>267</v>
      </c>
      <c r="G331" s="5" t="s">
        <v>227</v>
      </c>
      <c r="H331" s="7" t="s">
        <v>122</v>
      </c>
      <c r="I331" s="7" t="s">
        <v>442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1</v>
      </c>
      <c r="AF331" s="7">
        <v>300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11">
        <v>300</v>
      </c>
      <c r="AV331" s="15">
        <f t="shared" si="20"/>
        <v>300</v>
      </c>
      <c r="AW331" s="16">
        <f t="shared" si="21"/>
        <v>210</v>
      </c>
    </row>
    <row r="332" spans="1:49" ht="19.2" x14ac:dyDescent="0.4">
      <c r="A332" s="5" t="s">
        <v>200</v>
      </c>
      <c r="B332" s="5" t="s">
        <v>108</v>
      </c>
      <c r="C332" s="5">
        <v>425414</v>
      </c>
      <c r="D332" s="6"/>
      <c r="E332" s="5" t="s">
        <v>16</v>
      </c>
      <c r="F332" s="5" t="s">
        <v>109</v>
      </c>
      <c r="G332" s="5" t="s">
        <v>13</v>
      </c>
      <c r="H332" s="7" t="s">
        <v>8</v>
      </c>
      <c r="I332" s="7" t="s">
        <v>134</v>
      </c>
      <c r="J332" s="7">
        <v>3</v>
      </c>
      <c r="K332" s="7">
        <v>0</v>
      </c>
      <c r="L332" s="7">
        <v>300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11">
        <v>300</v>
      </c>
      <c r="AV332" s="15">
        <f t="shared" si="20"/>
        <v>300</v>
      </c>
      <c r="AW332" s="16">
        <f t="shared" si="21"/>
        <v>210</v>
      </c>
    </row>
    <row r="333" spans="1:49" ht="19.2" x14ac:dyDescent="0.4">
      <c r="A333" s="5" t="s">
        <v>200</v>
      </c>
      <c r="B333" s="5" t="s">
        <v>500</v>
      </c>
      <c r="C333" s="5">
        <v>426275</v>
      </c>
      <c r="D333" s="6"/>
      <c r="E333" s="5" t="s">
        <v>16</v>
      </c>
      <c r="F333" s="5" t="s">
        <v>243</v>
      </c>
      <c r="G333" s="5" t="s">
        <v>227</v>
      </c>
      <c r="H333" s="7" t="s">
        <v>11</v>
      </c>
      <c r="I333" s="7" t="s">
        <v>348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1</v>
      </c>
      <c r="AF333" s="7">
        <v>300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11">
        <v>300</v>
      </c>
      <c r="AV333" s="15">
        <f t="shared" si="20"/>
        <v>300</v>
      </c>
      <c r="AW333" s="16">
        <f t="shared" si="21"/>
        <v>210</v>
      </c>
    </row>
    <row r="334" spans="1:49" ht="19.2" x14ac:dyDescent="0.4">
      <c r="A334" s="5" t="s">
        <v>200</v>
      </c>
      <c r="B334" s="5" t="s">
        <v>386</v>
      </c>
      <c r="C334" s="5">
        <v>366144</v>
      </c>
      <c r="D334" s="6"/>
      <c r="E334" s="5" t="s">
        <v>16</v>
      </c>
      <c r="F334" s="5" t="s">
        <v>387</v>
      </c>
      <c r="G334" s="5" t="s">
        <v>227</v>
      </c>
      <c r="H334" s="7" t="s">
        <v>11</v>
      </c>
      <c r="I334" s="7" t="s">
        <v>388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2</v>
      </c>
      <c r="AF334" s="7">
        <v>100</v>
      </c>
      <c r="AG334" s="7">
        <v>100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1</v>
      </c>
      <c r="AS334" s="7">
        <v>0</v>
      </c>
      <c r="AT334" s="7">
        <v>100</v>
      </c>
      <c r="AU334" s="11">
        <v>300</v>
      </c>
      <c r="AV334" s="15">
        <f t="shared" si="20"/>
        <v>300</v>
      </c>
      <c r="AW334" s="16">
        <f t="shared" si="21"/>
        <v>210</v>
      </c>
    </row>
    <row r="335" spans="1:49" ht="19.2" x14ac:dyDescent="0.4">
      <c r="A335" s="5" t="s">
        <v>200</v>
      </c>
      <c r="B335" s="5" t="s">
        <v>141</v>
      </c>
      <c r="C335" s="5">
        <v>434877</v>
      </c>
      <c r="D335" s="6"/>
      <c r="E335" s="5" t="s">
        <v>16</v>
      </c>
      <c r="F335" s="5" t="s">
        <v>133</v>
      </c>
      <c r="G335" s="5" t="s">
        <v>13</v>
      </c>
      <c r="H335" s="7" t="s">
        <v>8</v>
      </c>
      <c r="I335" s="7" t="s">
        <v>151</v>
      </c>
      <c r="J335" s="7">
        <v>3</v>
      </c>
      <c r="K335" s="7">
        <v>0</v>
      </c>
      <c r="L335" s="7">
        <v>300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11">
        <v>300</v>
      </c>
      <c r="AV335" s="15">
        <f t="shared" si="20"/>
        <v>300</v>
      </c>
      <c r="AW335" s="16">
        <f t="shared" si="21"/>
        <v>210</v>
      </c>
    </row>
    <row r="336" spans="1:49" ht="19.2" x14ac:dyDescent="0.4">
      <c r="A336" s="5" t="s">
        <v>200</v>
      </c>
      <c r="B336" s="5" t="s">
        <v>271</v>
      </c>
      <c r="C336" s="5">
        <v>367994</v>
      </c>
      <c r="D336" s="6"/>
      <c r="E336" s="5" t="s">
        <v>16</v>
      </c>
      <c r="F336" s="5" t="s">
        <v>248</v>
      </c>
      <c r="G336" s="5" t="s">
        <v>227</v>
      </c>
      <c r="H336" s="7" t="s">
        <v>11</v>
      </c>
      <c r="I336" s="7" t="s">
        <v>272</v>
      </c>
      <c r="J336" s="7">
        <v>0</v>
      </c>
      <c r="K336" s="7">
        <v>1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3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2</v>
      </c>
      <c r="AF336" s="7">
        <v>200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11">
        <v>200</v>
      </c>
      <c r="AV336" s="15">
        <f t="shared" si="20"/>
        <v>200</v>
      </c>
      <c r="AW336" s="16">
        <f t="shared" si="21"/>
        <v>140</v>
      </c>
    </row>
    <row r="337" spans="1:49" ht="19.2" x14ac:dyDescent="0.4">
      <c r="A337" s="5" t="s">
        <v>200</v>
      </c>
      <c r="B337" s="5" t="s">
        <v>64</v>
      </c>
      <c r="C337" s="5">
        <v>278898</v>
      </c>
      <c r="D337" s="6"/>
      <c r="E337" s="5" t="s">
        <v>16</v>
      </c>
      <c r="F337" s="5" t="s">
        <v>65</v>
      </c>
      <c r="G337" s="5" t="s">
        <v>13</v>
      </c>
      <c r="H337" s="7" t="s">
        <v>8</v>
      </c>
      <c r="I337" s="7" t="s">
        <v>66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2</v>
      </c>
      <c r="AF337" s="7">
        <v>0</v>
      </c>
      <c r="AG337" s="7">
        <v>200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11">
        <v>200</v>
      </c>
      <c r="AV337" s="15">
        <f t="shared" si="20"/>
        <v>200</v>
      </c>
      <c r="AW337" s="16">
        <f t="shared" si="21"/>
        <v>140</v>
      </c>
    </row>
    <row r="338" spans="1:49" ht="19.2" x14ac:dyDescent="0.4">
      <c r="A338" s="5" t="s">
        <v>200</v>
      </c>
      <c r="B338" s="5" t="s">
        <v>323</v>
      </c>
      <c r="C338" s="5">
        <v>385169</v>
      </c>
      <c r="D338" s="6"/>
      <c r="E338" s="5" t="s">
        <v>16</v>
      </c>
      <c r="F338" s="5" t="s">
        <v>321</v>
      </c>
      <c r="G338" s="5" t="s">
        <v>227</v>
      </c>
      <c r="H338" s="7" t="s">
        <v>11</v>
      </c>
      <c r="I338" s="7" t="s">
        <v>324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1</v>
      </c>
      <c r="AF338" s="7">
        <v>0</v>
      </c>
      <c r="AG338" s="7">
        <v>100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11">
        <v>100</v>
      </c>
      <c r="AV338" s="15">
        <f t="shared" si="20"/>
        <v>100</v>
      </c>
      <c r="AW338" s="16">
        <f t="shared" si="21"/>
        <v>70</v>
      </c>
    </row>
    <row r="339" spans="1:49" ht="19.2" x14ac:dyDescent="0.4">
      <c r="A339" s="5" t="s">
        <v>200</v>
      </c>
      <c r="B339" s="5" t="s">
        <v>250</v>
      </c>
      <c r="C339" s="5">
        <v>359912</v>
      </c>
      <c r="D339" s="6"/>
      <c r="E339" s="5" t="s">
        <v>16</v>
      </c>
      <c r="F339" s="5" t="s">
        <v>251</v>
      </c>
      <c r="G339" s="5" t="s">
        <v>227</v>
      </c>
      <c r="H339" s="7" t="s">
        <v>11</v>
      </c>
      <c r="I339" s="7" t="s">
        <v>252</v>
      </c>
      <c r="J339" s="7">
        <v>0</v>
      </c>
      <c r="K339" s="7">
        <v>1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5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11">
        <v>0</v>
      </c>
      <c r="AV339" s="15">
        <f t="shared" ref="AV339:AV402" si="22">AU339-AN339</f>
        <v>0</v>
      </c>
      <c r="AW339" s="16">
        <f t="shared" ref="AW339:AW402" si="23">AV339*70%</f>
        <v>0</v>
      </c>
    </row>
    <row r="340" spans="1:49" ht="19.2" x14ac:dyDescent="0.4">
      <c r="A340" s="5" t="s">
        <v>201</v>
      </c>
      <c r="B340" s="5" t="s">
        <v>221</v>
      </c>
      <c r="C340" s="5">
        <v>465248</v>
      </c>
      <c r="D340" s="6"/>
      <c r="E340" s="5" t="s">
        <v>16</v>
      </c>
      <c r="F340" s="5" t="s">
        <v>222</v>
      </c>
      <c r="G340" s="5" t="s">
        <v>223</v>
      </c>
      <c r="H340" s="7" t="s">
        <v>12</v>
      </c>
      <c r="I340" s="7" t="s">
        <v>224</v>
      </c>
      <c r="J340" s="8">
        <v>1920</v>
      </c>
      <c r="K340" s="8">
        <v>14264</v>
      </c>
      <c r="L340" s="8">
        <v>192000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8">
        <v>26979</v>
      </c>
      <c r="AF340" s="8">
        <v>2452700</v>
      </c>
      <c r="AG340" s="8">
        <v>245200</v>
      </c>
      <c r="AH340" s="7">
        <v>0</v>
      </c>
      <c r="AI340" s="7">
        <v>0</v>
      </c>
      <c r="AJ340" s="7">
        <v>0</v>
      </c>
      <c r="AK340" s="8">
        <v>24825</v>
      </c>
      <c r="AL340" s="8">
        <v>2138614</v>
      </c>
      <c r="AM340" s="8">
        <v>706000</v>
      </c>
      <c r="AN340" s="9">
        <v>641584.19999999995</v>
      </c>
      <c r="AO340" s="7">
        <v>0</v>
      </c>
      <c r="AP340" s="7">
        <v>0</v>
      </c>
      <c r="AQ340" s="7">
        <v>0</v>
      </c>
      <c r="AR340" s="8">
        <v>7793</v>
      </c>
      <c r="AS340" s="8">
        <v>756500</v>
      </c>
      <c r="AT340" s="8">
        <v>22800</v>
      </c>
      <c r="AU340" s="10">
        <v>6513814</v>
      </c>
      <c r="AV340" s="15">
        <f t="shared" si="22"/>
        <v>5872229.7999999998</v>
      </c>
      <c r="AW340" s="16">
        <f t="shared" si="23"/>
        <v>4110560.8599999994</v>
      </c>
    </row>
    <row r="341" spans="1:49" ht="19.2" x14ac:dyDescent="0.4">
      <c r="A341" s="5" t="s">
        <v>201</v>
      </c>
      <c r="B341" s="5" t="s">
        <v>225</v>
      </c>
      <c r="C341" s="5">
        <v>412919</v>
      </c>
      <c r="D341" s="6"/>
      <c r="E341" s="5" t="s">
        <v>16</v>
      </c>
      <c r="F341" s="5" t="s">
        <v>226</v>
      </c>
      <c r="G341" s="5" t="s">
        <v>227</v>
      </c>
      <c r="H341" s="7" t="s">
        <v>11</v>
      </c>
      <c r="I341" s="7" t="s">
        <v>228</v>
      </c>
      <c r="J341" s="7">
        <v>0</v>
      </c>
      <c r="K341" s="8">
        <v>18585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508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8">
        <v>5117</v>
      </c>
      <c r="AF341" s="8">
        <v>456500</v>
      </c>
      <c r="AG341" s="8">
        <v>55200</v>
      </c>
      <c r="AH341" s="7">
        <v>0</v>
      </c>
      <c r="AI341" s="7">
        <v>0</v>
      </c>
      <c r="AJ341" s="7">
        <v>0</v>
      </c>
      <c r="AK341" s="8">
        <v>9313</v>
      </c>
      <c r="AL341" s="8">
        <v>767221</v>
      </c>
      <c r="AM341" s="8">
        <v>291300</v>
      </c>
      <c r="AN341" s="9">
        <v>230166.3</v>
      </c>
      <c r="AO341" s="7">
        <v>0</v>
      </c>
      <c r="AP341" s="7">
        <v>0</v>
      </c>
      <c r="AQ341" s="7">
        <v>0</v>
      </c>
      <c r="AR341" s="8">
        <v>1534</v>
      </c>
      <c r="AS341" s="8">
        <v>148500</v>
      </c>
      <c r="AT341" s="8">
        <v>4900</v>
      </c>
      <c r="AU341" s="10">
        <v>1723621</v>
      </c>
      <c r="AV341" s="15">
        <f t="shared" si="22"/>
        <v>1493454.7</v>
      </c>
      <c r="AW341" s="16">
        <f t="shared" si="23"/>
        <v>1045418.2899999999</v>
      </c>
    </row>
    <row r="342" spans="1:49" ht="19.2" x14ac:dyDescent="0.4">
      <c r="A342" s="5" t="s">
        <v>201</v>
      </c>
      <c r="B342" s="5" t="s">
        <v>181</v>
      </c>
      <c r="C342" s="5">
        <v>454534</v>
      </c>
      <c r="D342" s="6"/>
      <c r="E342" s="5" t="s">
        <v>16</v>
      </c>
      <c r="F342" s="5" t="s">
        <v>179</v>
      </c>
      <c r="G342" s="5" t="s">
        <v>13</v>
      </c>
      <c r="H342" s="7" t="s">
        <v>8</v>
      </c>
      <c r="I342" s="7" t="s">
        <v>229</v>
      </c>
      <c r="J342" s="7">
        <v>0</v>
      </c>
      <c r="K342" s="8">
        <v>8937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125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8">
        <v>3059</v>
      </c>
      <c r="AF342" s="8">
        <v>288500</v>
      </c>
      <c r="AG342" s="8">
        <v>17400</v>
      </c>
      <c r="AH342" s="7">
        <v>0</v>
      </c>
      <c r="AI342" s="7">
        <v>0</v>
      </c>
      <c r="AJ342" s="7">
        <v>0</v>
      </c>
      <c r="AK342" s="8">
        <v>2542</v>
      </c>
      <c r="AL342" s="8">
        <v>222225</v>
      </c>
      <c r="AM342" s="8">
        <v>68500</v>
      </c>
      <c r="AN342" s="9">
        <v>66667.5</v>
      </c>
      <c r="AO342" s="7">
        <v>0</v>
      </c>
      <c r="AP342" s="7">
        <v>0</v>
      </c>
      <c r="AQ342" s="7">
        <v>0</v>
      </c>
      <c r="AR342" s="8">
        <v>1742</v>
      </c>
      <c r="AS342" s="8">
        <v>170300</v>
      </c>
      <c r="AT342" s="8">
        <v>3900</v>
      </c>
      <c r="AU342" s="10">
        <v>770825</v>
      </c>
      <c r="AV342" s="15">
        <f t="shared" si="22"/>
        <v>704157.5</v>
      </c>
      <c r="AW342" s="16">
        <f t="shared" si="23"/>
        <v>492910.24999999994</v>
      </c>
    </row>
    <row r="343" spans="1:49" ht="19.2" x14ac:dyDescent="0.4">
      <c r="A343" s="5" t="s">
        <v>201</v>
      </c>
      <c r="B343" s="5" t="s">
        <v>155</v>
      </c>
      <c r="C343" s="5">
        <v>178856</v>
      </c>
      <c r="D343" s="6"/>
      <c r="E343" s="5" t="s">
        <v>16</v>
      </c>
      <c r="F343" s="5" t="s">
        <v>17</v>
      </c>
      <c r="G343" s="5" t="s">
        <v>13</v>
      </c>
      <c r="H343" s="7" t="s">
        <v>12</v>
      </c>
      <c r="I343" s="7" t="s">
        <v>156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8">
        <v>1231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8">
        <v>2340</v>
      </c>
      <c r="AF343" s="8">
        <v>185800</v>
      </c>
      <c r="AG343" s="8">
        <v>48200</v>
      </c>
      <c r="AH343" s="7">
        <v>0</v>
      </c>
      <c r="AI343" s="7">
        <v>0</v>
      </c>
      <c r="AJ343" s="7">
        <v>0</v>
      </c>
      <c r="AK343" s="8">
        <v>2961</v>
      </c>
      <c r="AL343" s="8">
        <v>277188</v>
      </c>
      <c r="AM343" s="8">
        <v>66300</v>
      </c>
      <c r="AN343" s="9">
        <v>83156.399999999994</v>
      </c>
      <c r="AO343" s="7">
        <v>0</v>
      </c>
      <c r="AP343" s="7">
        <v>0</v>
      </c>
      <c r="AQ343" s="7">
        <v>0</v>
      </c>
      <c r="AR343" s="7">
        <v>878</v>
      </c>
      <c r="AS343" s="8">
        <v>84400</v>
      </c>
      <c r="AT343" s="8">
        <v>3400</v>
      </c>
      <c r="AU343" s="10">
        <v>665288</v>
      </c>
      <c r="AV343" s="15">
        <f t="shared" si="22"/>
        <v>582131.6</v>
      </c>
      <c r="AW343" s="16">
        <f t="shared" si="23"/>
        <v>407492.11999999994</v>
      </c>
    </row>
    <row r="344" spans="1:49" ht="19.2" x14ac:dyDescent="0.4">
      <c r="A344" s="5" t="s">
        <v>201</v>
      </c>
      <c r="B344" s="5" t="s">
        <v>15</v>
      </c>
      <c r="C344" s="5">
        <v>369220</v>
      </c>
      <c r="D344" s="6"/>
      <c r="E344" s="5" t="s">
        <v>16</v>
      </c>
      <c r="F344" s="5" t="s">
        <v>17</v>
      </c>
      <c r="G344" s="5" t="s">
        <v>13</v>
      </c>
      <c r="H344" s="7" t="s">
        <v>8</v>
      </c>
      <c r="I344" s="7" t="s">
        <v>101</v>
      </c>
      <c r="J344" s="7">
        <v>0</v>
      </c>
      <c r="K344" s="7">
        <v>37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313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8">
        <v>2105</v>
      </c>
      <c r="AF344" s="8">
        <v>204100</v>
      </c>
      <c r="AG344" s="8">
        <v>6400</v>
      </c>
      <c r="AH344" s="7">
        <v>0</v>
      </c>
      <c r="AI344" s="7">
        <v>0</v>
      </c>
      <c r="AJ344" s="7">
        <v>0</v>
      </c>
      <c r="AK344" s="8">
        <v>1686</v>
      </c>
      <c r="AL344" s="8">
        <v>143364</v>
      </c>
      <c r="AM344" s="8">
        <v>48900</v>
      </c>
      <c r="AN344" s="9">
        <v>43009.2</v>
      </c>
      <c r="AO344" s="7">
        <v>0</v>
      </c>
      <c r="AP344" s="7">
        <v>0</v>
      </c>
      <c r="AQ344" s="7">
        <v>0</v>
      </c>
      <c r="AR344" s="8">
        <v>2414</v>
      </c>
      <c r="AS344" s="8">
        <v>238000</v>
      </c>
      <c r="AT344" s="8">
        <v>3400</v>
      </c>
      <c r="AU344" s="10">
        <v>644164</v>
      </c>
      <c r="AV344" s="15">
        <f t="shared" si="22"/>
        <v>601154.80000000005</v>
      </c>
      <c r="AW344" s="16">
        <f t="shared" si="23"/>
        <v>420808.36</v>
      </c>
    </row>
    <row r="345" spans="1:49" ht="19.2" x14ac:dyDescent="0.4">
      <c r="A345" s="5" t="s">
        <v>201</v>
      </c>
      <c r="B345" s="5" t="s">
        <v>25</v>
      </c>
      <c r="C345" s="5">
        <v>414278</v>
      </c>
      <c r="D345" s="6"/>
      <c r="E345" s="5" t="s">
        <v>16</v>
      </c>
      <c r="F345" s="5" t="s">
        <v>9</v>
      </c>
      <c r="G345" s="5" t="s">
        <v>13</v>
      </c>
      <c r="H345" s="7" t="s">
        <v>11</v>
      </c>
      <c r="I345" s="7" t="s">
        <v>76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99</v>
      </c>
      <c r="AF345" s="8">
        <v>312200</v>
      </c>
      <c r="AG345" s="8">
        <v>4600</v>
      </c>
      <c r="AH345" s="7">
        <v>0</v>
      </c>
      <c r="AI345" s="7">
        <v>0</v>
      </c>
      <c r="AJ345" s="7">
        <v>0</v>
      </c>
      <c r="AK345" s="7">
        <v>76</v>
      </c>
      <c r="AL345" s="8">
        <v>289252</v>
      </c>
      <c r="AM345" s="7">
        <v>0</v>
      </c>
      <c r="AN345" s="9">
        <v>86775.6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10">
        <v>606052</v>
      </c>
      <c r="AV345" s="15">
        <f t="shared" si="22"/>
        <v>519276.4</v>
      </c>
      <c r="AW345" s="16">
        <f t="shared" si="23"/>
        <v>363493.48</v>
      </c>
    </row>
    <row r="346" spans="1:49" ht="19.2" x14ac:dyDescent="0.4">
      <c r="A346" s="5" t="s">
        <v>201</v>
      </c>
      <c r="B346" s="5" t="s">
        <v>157</v>
      </c>
      <c r="C346" s="5">
        <v>324335</v>
      </c>
      <c r="D346" s="6"/>
      <c r="E346" s="5" t="s">
        <v>16</v>
      </c>
      <c r="F346" s="5" t="s">
        <v>17</v>
      </c>
      <c r="G346" s="5" t="s">
        <v>13</v>
      </c>
      <c r="H346" s="7" t="s">
        <v>12</v>
      </c>
      <c r="I346" s="7" t="s">
        <v>158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37</v>
      </c>
      <c r="AF346" s="8">
        <v>115200</v>
      </c>
      <c r="AG346" s="8">
        <v>3200</v>
      </c>
      <c r="AH346" s="7">
        <v>0</v>
      </c>
      <c r="AI346" s="7">
        <v>0</v>
      </c>
      <c r="AJ346" s="7">
        <v>0</v>
      </c>
      <c r="AK346" s="7">
        <v>61</v>
      </c>
      <c r="AL346" s="8">
        <v>224520</v>
      </c>
      <c r="AM346" s="7">
        <v>500</v>
      </c>
      <c r="AN346" s="9">
        <v>67356</v>
      </c>
      <c r="AO346" s="7">
        <v>0</v>
      </c>
      <c r="AP346" s="7">
        <v>0</v>
      </c>
      <c r="AQ346" s="7">
        <v>0</v>
      </c>
      <c r="AR346" s="7">
        <v>40</v>
      </c>
      <c r="AS346" s="8">
        <v>121800</v>
      </c>
      <c r="AT346" s="8">
        <v>4200</v>
      </c>
      <c r="AU346" s="10">
        <v>469420</v>
      </c>
      <c r="AV346" s="15">
        <f t="shared" si="22"/>
        <v>402064</v>
      </c>
      <c r="AW346" s="16">
        <f t="shared" si="23"/>
        <v>281444.8</v>
      </c>
    </row>
    <row r="347" spans="1:49" ht="19.2" x14ac:dyDescent="0.4">
      <c r="A347" s="5" t="s">
        <v>201</v>
      </c>
      <c r="B347" s="5" t="s">
        <v>148</v>
      </c>
      <c r="C347" s="5">
        <v>442274</v>
      </c>
      <c r="D347" s="6"/>
      <c r="E347" s="5" t="s">
        <v>16</v>
      </c>
      <c r="F347" s="5" t="s">
        <v>147</v>
      </c>
      <c r="G347" s="5" t="s">
        <v>13</v>
      </c>
      <c r="H347" s="7" t="s">
        <v>8</v>
      </c>
      <c r="I347" s="7" t="s">
        <v>202</v>
      </c>
      <c r="J347" s="7">
        <v>1</v>
      </c>
      <c r="K347" s="8">
        <v>1670</v>
      </c>
      <c r="L347" s="7">
        <v>100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643</v>
      </c>
      <c r="AF347" s="8">
        <v>57600</v>
      </c>
      <c r="AG347" s="8">
        <v>6700</v>
      </c>
      <c r="AH347" s="7">
        <v>0</v>
      </c>
      <c r="AI347" s="7">
        <v>0</v>
      </c>
      <c r="AJ347" s="7">
        <v>0</v>
      </c>
      <c r="AK347" s="8">
        <v>1651</v>
      </c>
      <c r="AL347" s="8">
        <v>168025</v>
      </c>
      <c r="AM347" s="8">
        <v>26100</v>
      </c>
      <c r="AN347" s="9">
        <v>50407.5</v>
      </c>
      <c r="AO347" s="7">
        <v>0</v>
      </c>
      <c r="AP347" s="7">
        <v>0</v>
      </c>
      <c r="AQ347" s="7">
        <v>0</v>
      </c>
      <c r="AR347" s="7">
        <v>222</v>
      </c>
      <c r="AS347" s="8">
        <v>21600</v>
      </c>
      <c r="AT347" s="7">
        <v>600</v>
      </c>
      <c r="AU347" s="10">
        <v>280725</v>
      </c>
      <c r="AV347" s="15">
        <f t="shared" si="22"/>
        <v>230317.5</v>
      </c>
      <c r="AW347" s="16">
        <f t="shared" si="23"/>
        <v>161222.25</v>
      </c>
    </row>
    <row r="348" spans="1:49" ht="19.2" x14ac:dyDescent="0.4">
      <c r="A348" s="5" t="s">
        <v>201</v>
      </c>
      <c r="B348" s="5" t="s">
        <v>46</v>
      </c>
      <c r="C348" s="5">
        <v>386960</v>
      </c>
      <c r="D348" s="6"/>
      <c r="E348" s="5" t="s">
        <v>16</v>
      </c>
      <c r="F348" s="5" t="s">
        <v>47</v>
      </c>
      <c r="G348" s="5" t="s">
        <v>13</v>
      </c>
      <c r="H348" s="7" t="s">
        <v>8</v>
      </c>
      <c r="I348" s="7" t="s">
        <v>48</v>
      </c>
      <c r="J348" s="7">
        <v>0</v>
      </c>
      <c r="K348" s="7">
        <v>5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90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823</v>
      </c>
      <c r="AF348" s="8">
        <v>74100</v>
      </c>
      <c r="AG348" s="8">
        <v>8200</v>
      </c>
      <c r="AH348" s="7">
        <v>0</v>
      </c>
      <c r="AI348" s="7">
        <v>0</v>
      </c>
      <c r="AJ348" s="7">
        <v>0</v>
      </c>
      <c r="AK348" s="7">
        <v>952</v>
      </c>
      <c r="AL348" s="8">
        <v>98175</v>
      </c>
      <c r="AM348" s="8">
        <v>13900</v>
      </c>
      <c r="AN348" s="9">
        <v>29452.5</v>
      </c>
      <c r="AO348" s="7">
        <v>0</v>
      </c>
      <c r="AP348" s="7">
        <v>0</v>
      </c>
      <c r="AQ348" s="7">
        <v>0</v>
      </c>
      <c r="AR348" s="7">
        <v>753</v>
      </c>
      <c r="AS348" s="8">
        <v>74500</v>
      </c>
      <c r="AT348" s="7">
        <v>800</v>
      </c>
      <c r="AU348" s="10">
        <v>269675</v>
      </c>
      <c r="AV348" s="15">
        <f t="shared" si="22"/>
        <v>240222.5</v>
      </c>
      <c r="AW348" s="16">
        <f t="shared" si="23"/>
        <v>168155.75</v>
      </c>
    </row>
    <row r="349" spans="1:49" ht="19.2" x14ac:dyDescent="0.4">
      <c r="A349" s="5" t="s">
        <v>201</v>
      </c>
      <c r="B349" s="5" t="s">
        <v>21</v>
      </c>
      <c r="C349" s="5">
        <v>321812</v>
      </c>
      <c r="D349" s="6"/>
      <c r="E349" s="5" t="s">
        <v>16</v>
      </c>
      <c r="F349" s="5" t="s">
        <v>17</v>
      </c>
      <c r="G349" s="5" t="s">
        <v>13</v>
      </c>
      <c r="H349" s="7" t="s">
        <v>8</v>
      </c>
      <c r="I349" s="7" t="s">
        <v>22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68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319</v>
      </c>
      <c r="AF349" s="8">
        <v>26700</v>
      </c>
      <c r="AG349" s="8">
        <v>5200</v>
      </c>
      <c r="AH349" s="7">
        <v>0</v>
      </c>
      <c r="AI349" s="7">
        <v>0</v>
      </c>
      <c r="AJ349" s="7">
        <v>0</v>
      </c>
      <c r="AK349" s="8">
        <v>1098</v>
      </c>
      <c r="AL349" s="8">
        <v>112736</v>
      </c>
      <c r="AM349" s="8">
        <v>15700</v>
      </c>
      <c r="AN349" s="9">
        <v>33820.800000000003</v>
      </c>
      <c r="AO349" s="7">
        <v>0</v>
      </c>
      <c r="AP349" s="7">
        <v>0</v>
      </c>
      <c r="AQ349" s="7">
        <v>0</v>
      </c>
      <c r="AR349" s="7">
        <v>617</v>
      </c>
      <c r="AS349" s="8">
        <v>60100</v>
      </c>
      <c r="AT349" s="8">
        <v>1600</v>
      </c>
      <c r="AU349" s="10">
        <v>222036</v>
      </c>
      <c r="AV349" s="15">
        <f t="shared" si="22"/>
        <v>188215.2</v>
      </c>
      <c r="AW349" s="16">
        <f t="shared" si="23"/>
        <v>131750.64000000001</v>
      </c>
    </row>
    <row r="350" spans="1:49" ht="19.2" x14ac:dyDescent="0.4">
      <c r="A350" s="5" t="s">
        <v>201</v>
      </c>
      <c r="B350" s="5" t="s">
        <v>230</v>
      </c>
      <c r="C350" s="5">
        <v>369720</v>
      </c>
      <c r="D350" s="6"/>
      <c r="E350" s="5" t="s">
        <v>16</v>
      </c>
      <c r="F350" s="5" t="s">
        <v>231</v>
      </c>
      <c r="G350" s="5" t="s">
        <v>227</v>
      </c>
      <c r="H350" s="7" t="s">
        <v>11</v>
      </c>
      <c r="I350" s="7" t="s">
        <v>232</v>
      </c>
      <c r="J350" s="7">
        <v>0</v>
      </c>
      <c r="K350" s="7">
        <v>19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86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613</v>
      </c>
      <c r="AF350" s="8">
        <v>57300</v>
      </c>
      <c r="AG350" s="8">
        <v>4000</v>
      </c>
      <c r="AH350" s="7">
        <v>0</v>
      </c>
      <c r="AI350" s="7">
        <v>0</v>
      </c>
      <c r="AJ350" s="7">
        <v>0</v>
      </c>
      <c r="AK350" s="7">
        <v>802</v>
      </c>
      <c r="AL350" s="8">
        <v>55516</v>
      </c>
      <c r="AM350" s="8">
        <v>34500</v>
      </c>
      <c r="AN350" s="9">
        <v>16654.8</v>
      </c>
      <c r="AO350" s="7">
        <v>0</v>
      </c>
      <c r="AP350" s="7">
        <v>0</v>
      </c>
      <c r="AQ350" s="7">
        <v>0</v>
      </c>
      <c r="AR350" s="7">
        <v>323</v>
      </c>
      <c r="AS350" s="8">
        <v>32300</v>
      </c>
      <c r="AT350" s="7">
        <v>0</v>
      </c>
      <c r="AU350" s="10">
        <v>183616</v>
      </c>
      <c r="AV350" s="15">
        <f t="shared" si="22"/>
        <v>166961.20000000001</v>
      </c>
      <c r="AW350" s="16">
        <f t="shared" si="23"/>
        <v>116872.84</v>
      </c>
    </row>
    <row r="351" spans="1:49" ht="19.2" x14ac:dyDescent="0.4">
      <c r="A351" s="5" t="s">
        <v>201</v>
      </c>
      <c r="B351" s="5" t="s">
        <v>234</v>
      </c>
      <c r="C351" s="5">
        <v>464776</v>
      </c>
      <c r="D351" s="6"/>
      <c r="E351" s="5" t="s">
        <v>16</v>
      </c>
      <c r="F351" s="5" t="s">
        <v>235</v>
      </c>
      <c r="G351" s="5" t="s">
        <v>223</v>
      </c>
      <c r="H351" s="7" t="s">
        <v>12</v>
      </c>
      <c r="I351" s="7" t="s">
        <v>236</v>
      </c>
      <c r="J351" s="7">
        <v>0</v>
      </c>
      <c r="K351" s="7">
        <v>236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695</v>
      </c>
      <c r="AF351" s="8">
        <v>68400</v>
      </c>
      <c r="AG351" s="8">
        <v>1100</v>
      </c>
      <c r="AH351" s="7">
        <v>0</v>
      </c>
      <c r="AI351" s="7">
        <v>0</v>
      </c>
      <c r="AJ351" s="7">
        <v>0</v>
      </c>
      <c r="AK351" s="7">
        <v>630</v>
      </c>
      <c r="AL351" s="8">
        <v>47868</v>
      </c>
      <c r="AM351" s="8">
        <v>23100</v>
      </c>
      <c r="AN351" s="9">
        <v>14360.4</v>
      </c>
      <c r="AO351" s="7">
        <v>0</v>
      </c>
      <c r="AP351" s="7">
        <v>0</v>
      </c>
      <c r="AQ351" s="7">
        <v>0</v>
      </c>
      <c r="AR351" s="7">
        <v>155</v>
      </c>
      <c r="AS351" s="8">
        <v>15200</v>
      </c>
      <c r="AT351" s="7">
        <v>300</v>
      </c>
      <c r="AU351" s="10">
        <v>155968</v>
      </c>
      <c r="AV351" s="15">
        <f t="shared" si="22"/>
        <v>141607.6</v>
      </c>
      <c r="AW351" s="16">
        <f t="shared" si="23"/>
        <v>99125.319999999992</v>
      </c>
    </row>
    <row r="352" spans="1:49" ht="19.2" x14ac:dyDescent="0.4">
      <c r="A352" s="5" t="s">
        <v>201</v>
      </c>
      <c r="B352" s="5" t="s">
        <v>152</v>
      </c>
      <c r="C352" s="5">
        <v>445688</v>
      </c>
      <c r="D352" s="6"/>
      <c r="E352" s="5" t="s">
        <v>16</v>
      </c>
      <c r="F352" s="5" t="s">
        <v>153</v>
      </c>
      <c r="G352" s="5" t="s">
        <v>13</v>
      </c>
      <c r="H352" s="7" t="s">
        <v>8</v>
      </c>
      <c r="I352" s="7" t="s">
        <v>233</v>
      </c>
      <c r="J352" s="7">
        <v>0</v>
      </c>
      <c r="K352" s="8">
        <v>1108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609</v>
      </c>
      <c r="AF352" s="8">
        <v>59800</v>
      </c>
      <c r="AG352" s="8">
        <v>1100</v>
      </c>
      <c r="AH352" s="7">
        <v>0</v>
      </c>
      <c r="AI352" s="7">
        <v>0</v>
      </c>
      <c r="AJ352" s="7">
        <v>0</v>
      </c>
      <c r="AK352" s="7">
        <v>649</v>
      </c>
      <c r="AL352" s="8">
        <v>55940</v>
      </c>
      <c r="AM352" s="8">
        <v>17900</v>
      </c>
      <c r="AN352" s="9">
        <v>16782</v>
      </c>
      <c r="AO352" s="7">
        <v>0</v>
      </c>
      <c r="AP352" s="7">
        <v>0</v>
      </c>
      <c r="AQ352" s="7">
        <v>0</v>
      </c>
      <c r="AR352" s="7">
        <v>108</v>
      </c>
      <c r="AS352" s="8">
        <v>10400</v>
      </c>
      <c r="AT352" s="7">
        <v>400</v>
      </c>
      <c r="AU352" s="10">
        <v>145540</v>
      </c>
      <c r="AV352" s="15">
        <f t="shared" si="22"/>
        <v>128758</v>
      </c>
      <c r="AW352" s="16">
        <f t="shared" si="23"/>
        <v>90130.599999999991</v>
      </c>
    </row>
    <row r="353" spans="1:49" ht="19.2" x14ac:dyDescent="0.4">
      <c r="A353" s="5" t="s">
        <v>201</v>
      </c>
      <c r="B353" s="5" t="s">
        <v>105</v>
      </c>
      <c r="C353" s="5">
        <v>429621</v>
      </c>
      <c r="D353" s="6"/>
      <c r="E353" s="5" t="s">
        <v>16</v>
      </c>
      <c r="F353" s="5" t="s">
        <v>106</v>
      </c>
      <c r="G353" s="5" t="s">
        <v>13</v>
      </c>
      <c r="H353" s="7" t="s">
        <v>11</v>
      </c>
      <c r="I353" s="7" t="s">
        <v>107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17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856</v>
      </c>
      <c r="AF353" s="8">
        <v>85100</v>
      </c>
      <c r="AG353" s="7">
        <v>500</v>
      </c>
      <c r="AH353" s="7">
        <v>0</v>
      </c>
      <c r="AI353" s="7">
        <v>0</v>
      </c>
      <c r="AJ353" s="7">
        <v>0</v>
      </c>
      <c r="AK353" s="7">
        <v>203</v>
      </c>
      <c r="AL353" s="8">
        <v>20765</v>
      </c>
      <c r="AM353" s="8">
        <v>3000</v>
      </c>
      <c r="AN353" s="9">
        <v>6229.5</v>
      </c>
      <c r="AO353" s="7">
        <v>0</v>
      </c>
      <c r="AP353" s="7">
        <v>0</v>
      </c>
      <c r="AQ353" s="7">
        <v>0</v>
      </c>
      <c r="AR353" s="7">
        <v>327</v>
      </c>
      <c r="AS353" s="8">
        <v>32100</v>
      </c>
      <c r="AT353" s="7">
        <v>600</v>
      </c>
      <c r="AU353" s="10">
        <v>142065</v>
      </c>
      <c r="AV353" s="15">
        <f t="shared" si="22"/>
        <v>135835.5</v>
      </c>
      <c r="AW353" s="16">
        <f t="shared" si="23"/>
        <v>95084.849999999991</v>
      </c>
    </row>
    <row r="354" spans="1:49" ht="19.2" x14ac:dyDescent="0.4">
      <c r="A354" s="5" t="s">
        <v>201</v>
      </c>
      <c r="B354" s="5" t="s">
        <v>237</v>
      </c>
      <c r="C354" s="5">
        <v>457807</v>
      </c>
      <c r="D354" s="6"/>
      <c r="E354" s="5" t="s">
        <v>16</v>
      </c>
      <c r="F354" s="5" t="s">
        <v>238</v>
      </c>
      <c r="G354" s="5" t="s">
        <v>227</v>
      </c>
      <c r="H354" s="7" t="s">
        <v>11</v>
      </c>
      <c r="I354" s="7" t="s">
        <v>239</v>
      </c>
      <c r="J354" s="7">
        <v>75</v>
      </c>
      <c r="K354" s="8">
        <v>1882</v>
      </c>
      <c r="L354" s="8">
        <v>7500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42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304</v>
      </c>
      <c r="AF354" s="8">
        <v>26700</v>
      </c>
      <c r="AG354" s="8">
        <v>3700</v>
      </c>
      <c r="AH354" s="7">
        <v>0</v>
      </c>
      <c r="AI354" s="7">
        <v>0</v>
      </c>
      <c r="AJ354" s="7">
        <v>0</v>
      </c>
      <c r="AK354" s="7">
        <v>605</v>
      </c>
      <c r="AL354" s="8">
        <v>52002</v>
      </c>
      <c r="AM354" s="8">
        <v>17500</v>
      </c>
      <c r="AN354" s="9">
        <v>15600.6</v>
      </c>
      <c r="AO354" s="7">
        <v>0</v>
      </c>
      <c r="AP354" s="7">
        <v>0</v>
      </c>
      <c r="AQ354" s="7">
        <v>0</v>
      </c>
      <c r="AR354" s="7">
        <v>309</v>
      </c>
      <c r="AS354" s="8">
        <v>30400</v>
      </c>
      <c r="AT354" s="7">
        <v>500</v>
      </c>
      <c r="AU354" s="10">
        <v>138302</v>
      </c>
      <c r="AV354" s="15">
        <f t="shared" si="22"/>
        <v>122701.4</v>
      </c>
      <c r="AW354" s="16">
        <f t="shared" si="23"/>
        <v>85890.98</v>
      </c>
    </row>
    <row r="355" spans="1:49" ht="19.2" x14ac:dyDescent="0.4">
      <c r="A355" s="5" t="s">
        <v>201</v>
      </c>
      <c r="B355" s="5" t="s">
        <v>168</v>
      </c>
      <c r="C355" s="5">
        <v>449889</v>
      </c>
      <c r="D355" s="6"/>
      <c r="E355" s="5" t="s">
        <v>16</v>
      </c>
      <c r="F355" s="5" t="s">
        <v>154</v>
      </c>
      <c r="G355" s="5" t="s">
        <v>13</v>
      </c>
      <c r="H355" s="7" t="s">
        <v>8</v>
      </c>
      <c r="I355" s="7" t="s">
        <v>224</v>
      </c>
      <c r="J355" s="7">
        <v>0</v>
      </c>
      <c r="K355" s="8">
        <v>1979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56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760</v>
      </c>
      <c r="AF355" s="8">
        <v>71300</v>
      </c>
      <c r="AG355" s="8">
        <v>4700</v>
      </c>
      <c r="AH355" s="7">
        <v>0</v>
      </c>
      <c r="AI355" s="7">
        <v>0</v>
      </c>
      <c r="AJ355" s="7">
        <v>0</v>
      </c>
      <c r="AK355" s="7">
        <v>251</v>
      </c>
      <c r="AL355" s="8">
        <v>19320</v>
      </c>
      <c r="AM355" s="8">
        <v>9000</v>
      </c>
      <c r="AN355" s="9">
        <v>5796</v>
      </c>
      <c r="AO355" s="7">
        <v>0</v>
      </c>
      <c r="AP355" s="7">
        <v>0</v>
      </c>
      <c r="AQ355" s="7">
        <v>0</v>
      </c>
      <c r="AR355" s="7">
        <v>213</v>
      </c>
      <c r="AS355" s="8">
        <v>21300</v>
      </c>
      <c r="AT355" s="7">
        <v>0</v>
      </c>
      <c r="AU355" s="10">
        <v>125620</v>
      </c>
      <c r="AV355" s="15">
        <f t="shared" si="22"/>
        <v>119824</v>
      </c>
      <c r="AW355" s="16">
        <f t="shared" si="23"/>
        <v>83876.799999999988</v>
      </c>
    </row>
    <row r="356" spans="1:49" ht="19.2" x14ac:dyDescent="0.4">
      <c r="A356" s="5" t="s">
        <v>201</v>
      </c>
      <c r="B356" s="5" t="s">
        <v>23</v>
      </c>
      <c r="C356" s="5">
        <v>370935</v>
      </c>
      <c r="D356" s="6"/>
      <c r="E356" s="5" t="s">
        <v>16</v>
      </c>
      <c r="F356" s="5" t="s">
        <v>17</v>
      </c>
      <c r="G356" s="5" t="s">
        <v>13</v>
      </c>
      <c r="H356" s="7" t="s">
        <v>8</v>
      </c>
      <c r="I356" s="7" t="s">
        <v>24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26</v>
      </c>
      <c r="AL356" s="8">
        <v>92160</v>
      </c>
      <c r="AM356" s="8">
        <v>6400</v>
      </c>
      <c r="AN356" s="9">
        <v>27648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10">
        <v>98560</v>
      </c>
      <c r="AV356" s="15">
        <f t="shared" si="22"/>
        <v>70912</v>
      </c>
      <c r="AW356" s="16">
        <f t="shared" si="23"/>
        <v>49638.399999999994</v>
      </c>
    </row>
    <row r="357" spans="1:49" ht="28.8" x14ac:dyDescent="0.4">
      <c r="A357" s="5" t="s">
        <v>201</v>
      </c>
      <c r="B357" s="5" t="s">
        <v>136</v>
      </c>
      <c r="C357" s="5">
        <v>219203</v>
      </c>
      <c r="D357" s="6"/>
      <c r="E357" s="5" t="s">
        <v>16</v>
      </c>
      <c r="F357" s="5" t="s">
        <v>137</v>
      </c>
      <c r="G357" s="5" t="s">
        <v>13</v>
      </c>
      <c r="H357" s="7" t="s">
        <v>8</v>
      </c>
      <c r="I357" s="7" t="s">
        <v>138</v>
      </c>
      <c r="J357" s="7">
        <v>16</v>
      </c>
      <c r="K357" s="7">
        <v>16</v>
      </c>
      <c r="L357" s="8">
        <v>1600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201</v>
      </c>
      <c r="AC357" s="8">
        <v>20100</v>
      </c>
      <c r="AD357" s="7">
        <v>0</v>
      </c>
      <c r="AE357" s="7">
        <v>36</v>
      </c>
      <c r="AF357" s="8">
        <v>10800</v>
      </c>
      <c r="AG357" s="7">
        <v>0</v>
      </c>
      <c r="AH357" s="7">
        <v>331</v>
      </c>
      <c r="AI357" s="8">
        <v>27133</v>
      </c>
      <c r="AJ357" s="8">
        <v>10600</v>
      </c>
      <c r="AK357" s="7">
        <v>0</v>
      </c>
      <c r="AL357" s="7">
        <v>0</v>
      </c>
      <c r="AM357" s="7">
        <v>0</v>
      </c>
      <c r="AN357" s="9">
        <v>8139.9</v>
      </c>
      <c r="AO357" s="7">
        <v>107</v>
      </c>
      <c r="AP357" s="8">
        <v>10700</v>
      </c>
      <c r="AQ357" s="7">
        <v>0</v>
      </c>
      <c r="AR357" s="7">
        <v>23</v>
      </c>
      <c r="AS357" s="8">
        <v>6900</v>
      </c>
      <c r="AT357" s="7">
        <v>0</v>
      </c>
      <c r="AU357" s="10">
        <v>87833</v>
      </c>
      <c r="AV357" s="15">
        <f t="shared" si="22"/>
        <v>79693.100000000006</v>
      </c>
      <c r="AW357" s="16">
        <f t="shared" si="23"/>
        <v>55785.17</v>
      </c>
    </row>
    <row r="358" spans="1:49" ht="19.2" x14ac:dyDescent="0.4">
      <c r="A358" s="5" t="s">
        <v>201</v>
      </c>
      <c r="B358" s="5" t="s">
        <v>79</v>
      </c>
      <c r="C358" s="5">
        <v>395179</v>
      </c>
      <c r="D358" s="6"/>
      <c r="E358" s="5" t="s">
        <v>16</v>
      </c>
      <c r="F358" s="5" t="s">
        <v>80</v>
      </c>
      <c r="G358" s="5" t="s">
        <v>13</v>
      </c>
      <c r="H358" s="7" t="s">
        <v>8</v>
      </c>
      <c r="I358" s="7" t="s">
        <v>81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11</v>
      </c>
      <c r="AF358" s="8">
        <v>32900</v>
      </c>
      <c r="AG358" s="7">
        <v>0</v>
      </c>
      <c r="AH358" s="7">
        <v>0</v>
      </c>
      <c r="AI358" s="7">
        <v>0</v>
      </c>
      <c r="AJ358" s="7">
        <v>0</v>
      </c>
      <c r="AK358" s="7">
        <v>13</v>
      </c>
      <c r="AL358" s="8">
        <v>48840</v>
      </c>
      <c r="AM358" s="7">
        <v>0</v>
      </c>
      <c r="AN358" s="9">
        <v>14652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10">
        <v>81740</v>
      </c>
      <c r="AV358" s="15">
        <f t="shared" si="22"/>
        <v>67088</v>
      </c>
      <c r="AW358" s="16">
        <f t="shared" si="23"/>
        <v>46961.599999999999</v>
      </c>
    </row>
    <row r="359" spans="1:49" ht="19.2" x14ac:dyDescent="0.4">
      <c r="A359" s="5" t="s">
        <v>201</v>
      </c>
      <c r="B359" s="5" t="s">
        <v>247</v>
      </c>
      <c r="C359" s="5">
        <v>395270</v>
      </c>
      <c r="D359" s="6"/>
      <c r="E359" s="5" t="s">
        <v>16</v>
      </c>
      <c r="F359" s="5" t="s">
        <v>248</v>
      </c>
      <c r="G359" s="5" t="s">
        <v>227</v>
      </c>
      <c r="H359" s="7" t="s">
        <v>11</v>
      </c>
      <c r="I359" s="7" t="s">
        <v>249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34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268</v>
      </c>
      <c r="AF359" s="8">
        <v>22000</v>
      </c>
      <c r="AG359" s="8">
        <v>4800</v>
      </c>
      <c r="AH359" s="7">
        <v>0</v>
      </c>
      <c r="AI359" s="7">
        <v>0</v>
      </c>
      <c r="AJ359" s="7">
        <v>0</v>
      </c>
      <c r="AK359" s="7">
        <v>338</v>
      </c>
      <c r="AL359" s="8">
        <v>39480</v>
      </c>
      <c r="AM359" s="7">
        <v>900</v>
      </c>
      <c r="AN359" s="9">
        <v>11844</v>
      </c>
      <c r="AO359" s="7">
        <v>0</v>
      </c>
      <c r="AP359" s="7">
        <v>0</v>
      </c>
      <c r="AQ359" s="7">
        <v>0</v>
      </c>
      <c r="AR359" s="7">
        <v>71</v>
      </c>
      <c r="AS359" s="8">
        <v>6900</v>
      </c>
      <c r="AT359" s="7">
        <v>200</v>
      </c>
      <c r="AU359" s="10">
        <v>74280</v>
      </c>
      <c r="AV359" s="15">
        <f t="shared" si="22"/>
        <v>62436</v>
      </c>
      <c r="AW359" s="16">
        <f t="shared" si="23"/>
        <v>43705.2</v>
      </c>
    </row>
    <row r="360" spans="1:49" ht="19.2" x14ac:dyDescent="0.4">
      <c r="A360" s="5" t="s">
        <v>201</v>
      </c>
      <c r="B360" s="5" t="s">
        <v>203</v>
      </c>
      <c r="C360" s="5">
        <v>462353</v>
      </c>
      <c r="D360" s="6"/>
      <c r="E360" s="5" t="s">
        <v>16</v>
      </c>
      <c r="F360" s="5" t="s">
        <v>179</v>
      </c>
      <c r="G360" s="5" t="s">
        <v>13</v>
      </c>
      <c r="H360" s="7" t="s">
        <v>8</v>
      </c>
      <c r="I360" s="7" t="s">
        <v>204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26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266</v>
      </c>
      <c r="AF360" s="8">
        <v>25100</v>
      </c>
      <c r="AG360" s="8">
        <v>1500</v>
      </c>
      <c r="AH360" s="7">
        <v>0</v>
      </c>
      <c r="AI360" s="7">
        <v>0</v>
      </c>
      <c r="AJ360" s="7">
        <v>0</v>
      </c>
      <c r="AK360" s="7">
        <v>294</v>
      </c>
      <c r="AL360" s="8">
        <v>35160</v>
      </c>
      <c r="AM360" s="7">
        <v>100</v>
      </c>
      <c r="AN360" s="9">
        <v>10548</v>
      </c>
      <c r="AO360" s="7">
        <v>0</v>
      </c>
      <c r="AP360" s="7">
        <v>0</v>
      </c>
      <c r="AQ360" s="7">
        <v>0</v>
      </c>
      <c r="AR360" s="7">
        <v>109</v>
      </c>
      <c r="AS360" s="8">
        <v>10900</v>
      </c>
      <c r="AT360" s="7">
        <v>0</v>
      </c>
      <c r="AU360" s="10">
        <v>72760</v>
      </c>
      <c r="AV360" s="15">
        <f t="shared" si="22"/>
        <v>62212</v>
      </c>
      <c r="AW360" s="16">
        <f t="shared" si="23"/>
        <v>43548.399999999994</v>
      </c>
    </row>
    <row r="361" spans="1:49" ht="19.2" x14ac:dyDescent="0.4">
      <c r="A361" s="5" t="s">
        <v>201</v>
      </c>
      <c r="B361" s="5" t="s">
        <v>41</v>
      </c>
      <c r="C361" s="5">
        <v>364724</v>
      </c>
      <c r="D361" s="6"/>
      <c r="E361" s="5" t="s">
        <v>16</v>
      </c>
      <c r="F361" s="5" t="s">
        <v>42</v>
      </c>
      <c r="G361" s="5" t="s">
        <v>13</v>
      </c>
      <c r="H361" s="7" t="s">
        <v>8</v>
      </c>
      <c r="I361" s="7" t="s">
        <v>43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14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377</v>
      </c>
      <c r="AF361" s="8">
        <v>37700</v>
      </c>
      <c r="AG361" s="7">
        <v>0</v>
      </c>
      <c r="AH361" s="7">
        <v>0</v>
      </c>
      <c r="AI361" s="7">
        <v>0</v>
      </c>
      <c r="AJ361" s="7">
        <v>0</v>
      </c>
      <c r="AK361" s="7">
        <v>181</v>
      </c>
      <c r="AL361" s="8">
        <v>2160</v>
      </c>
      <c r="AM361" s="8">
        <v>16300</v>
      </c>
      <c r="AN361" s="7">
        <v>648</v>
      </c>
      <c r="AO361" s="7">
        <v>0</v>
      </c>
      <c r="AP361" s="7">
        <v>0</v>
      </c>
      <c r="AQ361" s="7">
        <v>0</v>
      </c>
      <c r="AR361" s="7">
        <v>40</v>
      </c>
      <c r="AS361" s="8">
        <v>3800</v>
      </c>
      <c r="AT361" s="7">
        <v>200</v>
      </c>
      <c r="AU361" s="10">
        <v>60160</v>
      </c>
      <c r="AV361" s="15">
        <f t="shared" si="22"/>
        <v>59512</v>
      </c>
      <c r="AW361" s="16">
        <f t="shared" si="23"/>
        <v>41658.399999999994</v>
      </c>
    </row>
    <row r="362" spans="1:49" ht="19.2" x14ac:dyDescent="0.4">
      <c r="A362" s="5" t="s">
        <v>201</v>
      </c>
      <c r="B362" s="5" t="s">
        <v>36</v>
      </c>
      <c r="C362" s="5">
        <v>387942</v>
      </c>
      <c r="D362" s="6"/>
      <c r="E362" s="5" t="s">
        <v>16</v>
      </c>
      <c r="F362" s="5" t="s">
        <v>37</v>
      </c>
      <c r="G362" s="5" t="s">
        <v>13</v>
      </c>
      <c r="H362" s="7" t="s">
        <v>8</v>
      </c>
      <c r="I362" s="7" t="s">
        <v>38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92</v>
      </c>
      <c r="AF362" s="8">
        <v>9000</v>
      </c>
      <c r="AG362" s="7">
        <v>200</v>
      </c>
      <c r="AH362" s="7">
        <v>0</v>
      </c>
      <c r="AI362" s="7">
        <v>0</v>
      </c>
      <c r="AJ362" s="7">
        <v>0</v>
      </c>
      <c r="AK362" s="7">
        <v>426</v>
      </c>
      <c r="AL362" s="8">
        <v>47280</v>
      </c>
      <c r="AM362" s="8">
        <v>3200</v>
      </c>
      <c r="AN362" s="9">
        <v>14184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10">
        <v>59680</v>
      </c>
      <c r="AV362" s="15">
        <f t="shared" si="22"/>
        <v>45496</v>
      </c>
      <c r="AW362" s="16">
        <f t="shared" si="23"/>
        <v>31847.199999999997</v>
      </c>
    </row>
    <row r="363" spans="1:49" ht="19.2" x14ac:dyDescent="0.4">
      <c r="A363" s="5" t="s">
        <v>201</v>
      </c>
      <c r="B363" s="5" t="s">
        <v>29</v>
      </c>
      <c r="C363" s="5">
        <v>245889</v>
      </c>
      <c r="D363" s="6"/>
      <c r="E363" s="5" t="s">
        <v>16</v>
      </c>
      <c r="F363" s="5" t="s">
        <v>17</v>
      </c>
      <c r="G363" s="5" t="s">
        <v>13</v>
      </c>
      <c r="H363" s="7" t="s">
        <v>8</v>
      </c>
      <c r="I363" s="7" t="s">
        <v>30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1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17</v>
      </c>
      <c r="AF363" s="8">
        <v>1700</v>
      </c>
      <c r="AG363" s="7">
        <v>0</v>
      </c>
      <c r="AH363" s="7">
        <v>0</v>
      </c>
      <c r="AI363" s="7">
        <v>0</v>
      </c>
      <c r="AJ363" s="7">
        <v>0</v>
      </c>
      <c r="AK363" s="7">
        <v>230</v>
      </c>
      <c r="AL363" s="8">
        <v>17160</v>
      </c>
      <c r="AM363" s="8">
        <v>8700</v>
      </c>
      <c r="AN363" s="9">
        <v>5148</v>
      </c>
      <c r="AO363" s="7">
        <v>0</v>
      </c>
      <c r="AP363" s="7">
        <v>0</v>
      </c>
      <c r="AQ363" s="7">
        <v>0</v>
      </c>
      <c r="AR363" s="7">
        <v>228</v>
      </c>
      <c r="AS363" s="8">
        <v>22400</v>
      </c>
      <c r="AT363" s="7">
        <v>400</v>
      </c>
      <c r="AU363" s="10">
        <v>50360</v>
      </c>
      <c r="AV363" s="15">
        <f t="shared" si="22"/>
        <v>45212</v>
      </c>
      <c r="AW363" s="16">
        <f t="shared" si="23"/>
        <v>31648.399999999998</v>
      </c>
    </row>
    <row r="364" spans="1:49" ht="19.2" x14ac:dyDescent="0.4">
      <c r="A364" s="5" t="s">
        <v>201</v>
      </c>
      <c r="B364" s="5" t="s">
        <v>240</v>
      </c>
      <c r="C364" s="5">
        <v>459997</v>
      </c>
      <c r="D364" s="6"/>
      <c r="E364" s="5" t="s">
        <v>16</v>
      </c>
      <c r="F364" s="5" t="s">
        <v>241</v>
      </c>
      <c r="G364" s="5" t="s">
        <v>13</v>
      </c>
      <c r="H364" s="7" t="s">
        <v>8</v>
      </c>
      <c r="I364" s="7" t="s">
        <v>224</v>
      </c>
      <c r="J364" s="7">
        <v>26</v>
      </c>
      <c r="K364" s="7">
        <v>0</v>
      </c>
      <c r="L364" s="8">
        <v>2600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111</v>
      </c>
      <c r="AF364" s="8">
        <v>10600</v>
      </c>
      <c r="AG364" s="7">
        <v>500</v>
      </c>
      <c r="AH364" s="7">
        <v>0</v>
      </c>
      <c r="AI364" s="7">
        <v>0</v>
      </c>
      <c r="AJ364" s="7">
        <v>0</v>
      </c>
      <c r="AK364" s="7">
        <v>154</v>
      </c>
      <c r="AL364" s="8">
        <v>12960</v>
      </c>
      <c r="AM364" s="8">
        <v>4600</v>
      </c>
      <c r="AN364" s="9">
        <v>3888</v>
      </c>
      <c r="AO364" s="7">
        <v>0</v>
      </c>
      <c r="AP364" s="7">
        <v>0</v>
      </c>
      <c r="AQ364" s="7">
        <v>0</v>
      </c>
      <c r="AR364" s="7">
        <v>96</v>
      </c>
      <c r="AS364" s="8">
        <v>9400</v>
      </c>
      <c r="AT364" s="7">
        <v>200</v>
      </c>
      <c r="AU364" s="10">
        <v>40860</v>
      </c>
      <c r="AV364" s="15">
        <f t="shared" si="22"/>
        <v>36972</v>
      </c>
      <c r="AW364" s="16">
        <f t="shared" si="23"/>
        <v>25880.399999999998</v>
      </c>
    </row>
    <row r="365" spans="1:49" ht="19.2" x14ac:dyDescent="0.4">
      <c r="A365" s="5" t="s">
        <v>201</v>
      </c>
      <c r="B365" s="5" t="s">
        <v>18</v>
      </c>
      <c r="C365" s="5">
        <v>387417</v>
      </c>
      <c r="D365" s="6"/>
      <c r="E365" s="5" t="s">
        <v>16</v>
      </c>
      <c r="F365" s="5" t="s">
        <v>19</v>
      </c>
      <c r="G365" s="5" t="s">
        <v>13</v>
      </c>
      <c r="H365" s="7" t="s">
        <v>8</v>
      </c>
      <c r="I365" s="7" t="s">
        <v>20</v>
      </c>
      <c r="J365" s="7">
        <v>0</v>
      </c>
      <c r="K365" s="7">
        <v>3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137</v>
      </c>
      <c r="AF365" s="8">
        <v>9100</v>
      </c>
      <c r="AG365" s="8">
        <v>4600</v>
      </c>
      <c r="AH365" s="7">
        <v>0</v>
      </c>
      <c r="AI365" s="7">
        <v>0</v>
      </c>
      <c r="AJ365" s="7">
        <v>0</v>
      </c>
      <c r="AK365" s="7">
        <v>165</v>
      </c>
      <c r="AL365" s="8">
        <v>13920</v>
      </c>
      <c r="AM365" s="8">
        <v>4900</v>
      </c>
      <c r="AN365" s="9">
        <v>4176</v>
      </c>
      <c r="AO365" s="7">
        <v>0</v>
      </c>
      <c r="AP365" s="7">
        <v>0</v>
      </c>
      <c r="AQ365" s="7">
        <v>0</v>
      </c>
      <c r="AR365" s="7">
        <v>80</v>
      </c>
      <c r="AS365" s="8">
        <v>8000</v>
      </c>
      <c r="AT365" s="7">
        <v>0</v>
      </c>
      <c r="AU365" s="10">
        <v>40520</v>
      </c>
      <c r="AV365" s="15">
        <f t="shared" si="22"/>
        <v>36344</v>
      </c>
      <c r="AW365" s="16">
        <f t="shared" si="23"/>
        <v>25440.799999999999</v>
      </c>
    </row>
    <row r="366" spans="1:49" ht="19.2" x14ac:dyDescent="0.4">
      <c r="A366" s="5" t="s">
        <v>201</v>
      </c>
      <c r="B366" s="5" t="s">
        <v>266</v>
      </c>
      <c r="C366" s="5">
        <v>383229</v>
      </c>
      <c r="D366" s="6"/>
      <c r="E366" s="5" t="s">
        <v>16</v>
      </c>
      <c r="F366" s="5" t="s">
        <v>267</v>
      </c>
      <c r="G366" s="5" t="s">
        <v>227</v>
      </c>
      <c r="H366" s="7" t="s">
        <v>11</v>
      </c>
      <c r="I366" s="7" t="s">
        <v>268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6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129</v>
      </c>
      <c r="AF366" s="8">
        <v>12800</v>
      </c>
      <c r="AG366" s="7">
        <v>100</v>
      </c>
      <c r="AH366" s="7">
        <v>0</v>
      </c>
      <c r="AI366" s="7">
        <v>0</v>
      </c>
      <c r="AJ366" s="7">
        <v>0</v>
      </c>
      <c r="AK366" s="7">
        <v>181</v>
      </c>
      <c r="AL366" s="8">
        <v>13080</v>
      </c>
      <c r="AM366" s="8">
        <v>7200</v>
      </c>
      <c r="AN366" s="9">
        <v>3924</v>
      </c>
      <c r="AO366" s="7">
        <v>0</v>
      </c>
      <c r="AP366" s="7">
        <v>0</v>
      </c>
      <c r="AQ366" s="7">
        <v>0</v>
      </c>
      <c r="AR366" s="7">
        <v>59</v>
      </c>
      <c r="AS366" s="8">
        <v>5900</v>
      </c>
      <c r="AT366" s="7">
        <v>0</v>
      </c>
      <c r="AU366" s="10">
        <v>39080</v>
      </c>
      <c r="AV366" s="15">
        <f t="shared" si="22"/>
        <v>35156</v>
      </c>
      <c r="AW366" s="16">
        <f t="shared" si="23"/>
        <v>24609.199999999997</v>
      </c>
    </row>
    <row r="367" spans="1:49" ht="19.2" x14ac:dyDescent="0.4">
      <c r="A367" s="5" t="s">
        <v>201</v>
      </c>
      <c r="B367" s="5" t="s">
        <v>242</v>
      </c>
      <c r="C367" s="5">
        <v>359539</v>
      </c>
      <c r="D367" s="6"/>
      <c r="E367" s="5" t="s">
        <v>16</v>
      </c>
      <c r="F367" s="5" t="s">
        <v>243</v>
      </c>
      <c r="G367" s="5" t="s">
        <v>227</v>
      </c>
      <c r="H367" s="7" t="s">
        <v>11</v>
      </c>
      <c r="I367" s="7" t="s">
        <v>244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11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126</v>
      </c>
      <c r="AF367" s="8">
        <v>12600</v>
      </c>
      <c r="AG367" s="7">
        <v>0</v>
      </c>
      <c r="AH367" s="7">
        <v>0</v>
      </c>
      <c r="AI367" s="7">
        <v>0</v>
      </c>
      <c r="AJ367" s="7">
        <v>0</v>
      </c>
      <c r="AK367" s="7">
        <v>221</v>
      </c>
      <c r="AL367" s="8">
        <v>25440</v>
      </c>
      <c r="AM367" s="7">
        <v>900</v>
      </c>
      <c r="AN367" s="9">
        <v>7632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10">
        <v>38940</v>
      </c>
      <c r="AV367" s="15">
        <f t="shared" si="22"/>
        <v>31308</v>
      </c>
      <c r="AW367" s="16">
        <f t="shared" si="23"/>
        <v>21915.599999999999</v>
      </c>
    </row>
    <row r="368" spans="1:49" ht="28.8" x14ac:dyDescent="0.4">
      <c r="A368" s="5" t="s">
        <v>201</v>
      </c>
      <c r="B368" s="5" t="s">
        <v>279</v>
      </c>
      <c r="C368" s="5">
        <v>454879</v>
      </c>
      <c r="D368" s="6"/>
      <c r="E368" s="5" t="s">
        <v>16</v>
      </c>
      <c r="F368" s="5" t="s">
        <v>254</v>
      </c>
      <c r="G368" s="5" t="s">
        <v>227</v>
      </c>
      <c r="H368" s="7" t="s">
        <v>122</v>
      </c>
      <c r="I368" s="7" t="s">
        <v>280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5</v>
      </c>
      <c r="AF368" s="8">
        <v>18000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4</v>
      </c>
      <c r="AS368" s="8">
        <v>13700</v>
      </c>
      <c r="AT368" s="7">
        <v>700</v>
      </c>
      <c r="AU368" s="10">
        <v>32400</v>
      </c>
      <c r="AV368" s="15">
        <f t="shared" si="22"/>
        <v>32400</v>
      </c>
      <c r="AW368" s="16">
        <f t="shared" si="23"/>
        <v>22680</v>
      </c>
    </row>
    <row r="369" spans="1:49" ht="19.2" x14ac:dyDescent="0.4">
      <c r="A369" s="5" t="s">
        <v>201</v>
      </c>
      <c r="B369" s="5" t="s">
        <v>31</v>
      </c>
      <c r="C369" s="5">
        <v>325640</v>
      </c>
      <c r="D369" s="6"/>
      <c r="E369" s="5" t="s">
        <v>16</v>
      </c>
      <c r="F369" s="5" t="s">
        <v>32</v>
      </c>
      <c r="G369" s="5" t="s">
        <v>13</v>
      </c>
      <c r="H369" s="7" t="s">
        <v>8</v>
      </c>
      <c r="I369" s="7" t="s">
        <v>33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3</v>
      </c>
      <c r="T369" s="7">
        <v>19</v>
      </c>
      <c r="U369" s="7">
        <v>0</v>
      </c>
      <c r="V369" s="7">
        <v>0</v>
      </c>
      <c r="W369" s="7">
        <v>0</v>
      </c>
      <c r="X369" s="7">
        <v>0</v>
      </c>
      <c r="Y369" s="7">
        <v>300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287</v>
      </c>
      <c r="AF369" s="8">
        <v>28700</v>
      </c>
      <c r="AG369" s="7">
        <v>0</v>
      </c>
      <c r="AH369" s="7">
        <v>0</v>
      </c>
      <c r="AI369" s="7">
        <v>0</v>
      </c>
      <c r="AJ369" s="7">
        <v>0</v>
      </c>
      <c r="AK369" s="7">
        <v>9</v>
      </c>
      <c r="AL369" s="7">
        <v>0</v>
      </c>
      <c r="AM369" s="7">
        <v>900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10">
        <v>29900</v>
      </c>
      <c r="AV369" s="15">
        <f t="shared" si="22"/>
        <v>29900</v>
      </c>
      <c r="AW369" s="16">
        <f t="shared" si="23"/>
        <v>20930</v>
      </c>
    </row>
    <row r="370" spans="1:49" ht="19.2" x14ac:dyDescent="0.4">
      <c r="A370" s="5" t="s">
        <v>201</v>
      </c>
      <c r="B370" s="5" t="s">
        <v>245</v>
      </c>
      <c r="C370" s="5">
        <v>394079</v>
      </c>
      <c r="D370" s="6"/>
      <c r="E370" s="5" t="s">
        <v>16</v>
      </c>
      <c r="F370" s="5" t="s">
        <v>231</v>
      </c>
      <c r="G370" s="5" t="s">
        <v>227</v>
      </c>
      <c r="H370" s="7" t="s">
        <v>11</v>
      </c>
      <c r="I370" s="7" t="s">
        <v>246</v>
      </c>
      <c r="J370" s="7">
        <v>0</v>
      </c>
      <c r="K370" s="7">
        <v>3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20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43</v>
      </c>
      <c r="AF370" s="8">
        <v>4300</v>
      </c>
      <c r="AG370" s="7">
        <v>0</v>
      </c>
      <c r="AH370" s="7">
        <v>0</v>
      </c>
      <c r="AI370" s="7">
        <v>0</v>
      </c>
      <c r="AJ370" s="7">
        <v>0</v>
      </c>
      <c r="AK370" s="7">
        <v>82</v>
      </c>
      <c r="AL370" s="8">
        <v>8994</v>
      </c>
      <c r="AM370" s="7">
        <v>800</v>
      </c>
      <c r="AN370" s="9">
        <v>2698.2</v>
      </c>
      <c r="AO370" s="7">
        <v>0</v>
      </c>
      <c r="AP370" s="7">
        <v>0</v>
      </c>
      <c r="AQ370" s="7">
        <v>0</v>
      </c>
      <c r="AR370" s="7">
        <v>156</v>
      </c>
      <c r="AS370" s="8">
        <v>13400</v>
      </c>
      <c r="AT370" s="8">
        <v>2200</v>
      </c>
      <c r="AU370" s="10">
        <v>29694</v>
      </c>
      <c r="AV370" s="15">
        <f t="shared" si="22"/>
        <v>26995.8</v>
      </c>
      <c r="AW370" s="16">
        <f t="shared" si="23"/>
        <v>18897.059999999998</v>
      </c>
    </row>
    <row r="371" spans="1:49" ht="19.2" x14ac:dyDescent="0.4">
      <c r="A371" s="5" t="s">
        <v>201</v>
      </c>
      <c r="B371" s="5" t="s">
        <v>63</v>
      </c>
      <c r="C371" s="5">
        <v>410142</v>
      </c>
      <c r="D371" s="6"/>
      <c r="E371" s="5" t="s">
        <v>16</v>
      </c>
      <c r="F371" s="5" t="s">
        <v>47</v>
      </c>
      <c r="G371" s="5" t="s">
        <v>13</v>
      </c>
      <c r="H371" s="7" t="s">
        <v>8</v>
      </c>
      <c r="I371" s="7" t="s">
        <v>14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9</v>
      </c>
      <c r="AF371" s="8">
        <v>28800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0</v>
      </c>
      <c r="AU371" s="10">
        <v>28800</v>
      </c>
      <c r="AV371" s="15">
        <f t="shared" si="22"/>
        <v>28800</v>
      </c>
      <c r="AW371" s="16">
        <f t="shared" si="23"/>
        <v>20160</v>
      </c>
    </row>
    <row r="372" spans="1:49" ht="19.2" x14ac:dyDescent="0.4">
      <c r="A372" s="5" t="s">
        <v>201</v>
      </c>
      <c r="B372" s="5" t="s">
        <v>271</v>
      </c>
      <c r="C372" s="5">
        <v>367994</v>
      </c>
      <c r="D372" s="6"/>
      <c r="E372" s="5" t="s">
        <v>16</v>
      </c>
      <c r="F372" s="5" t="s">
        <v>248</v>
      </c>
      <c r="G372" s="5" t="s">
        <v>227</v>
      </c>
      <c r="H372" s="7" t="s">
        <v>11</v>
      </c>
      <c r="I372" s="7" t="s">
        <v>272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10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64</v>
      </c>
      <c r="AF372" s="8">
        <v>6400</v>
      </c>
      <c r="AG372" s="7">
        <v>0</v>
      </c>
      <c r="AH372" s="7">
        <v>0</v>
      </c>
      <c r="AI372" s="7">
        <v>0</v>
      </c>
      <c r="AJ372" s="7">
        <v>0</v>
      </c>
      <c r="AK372" s="7">
        <v>141</v>
      </c>
      <c r="AL372" s="8">
        <v>14400</v>
      </c>
      <c r="AM372" s="8">
        <v>2100</v>
      </c>
      <c r="AN372" s="9">
        <v>4320</v>
      </c>
      <c r="AO372" s="7">
        <v>0</v>
      </c>
      <c r="AP372" s="7">
        <v>0</v>
      </c>
      <c r="AQ372" s="7">
        <v>0</v>
      </c>
      <c r="AR372" s="7">
        <v>55</v>
      </c>
      <c r="AS372" s="8">
        <v>5500</v>
      </c>
      <c r="AT372" s="7">
        <v>0</v>
      </c>
      <c r="AU372" s="10">
        <v>28400</v>
      </c>
      <c r="AV372" s="15">
        <f t="shared" si="22"/>
        <v>24080</v>
      </c>
      <c r="AW372" s="16">
        <f t="shared" si="23"/>
        <v>16856</v>
      </c>
    </row>
    <row r="373" spans="1:49" ht="19.2" x14ac:dyDescent="0.4">
      <c r="A373" s="5" t="s">
        <v>201</v>
      </c>
      <c r="B373" s="5" t="s">
        <v>207</v>
      </c>
      <c r="C373" s="5">
        <v>463946</v>
      </c>
      <c r="D373" s="6"/>
      <c r="E373" s="5" t="s">
        <v>16</v>
      </c>
      <c r="F373" s="5" t="s">
        <v>208</v>
      </c>
      <c r="G373" s="5" t="s">
        <v>13</v>
      </c>
      <c r="H373" s="7" t="s">
        <v>8</v>
      </c>
      <c r="I373" s="7" t="s">
        <v>209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13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250</v>
      </c>
      <c r="AF373" s="8">
        <v>25000</v>
      </c>
      <c r="AG373" s="7">
        <v>0</v>
      </c>
      <c r="AH373" s="7">
        <v>0</v>
      </c>
      <c r="AI373" s="7">
        <v>0</v>
      </c>
      <c r="AJ373" s="7">
        <v>0</v>
      </c>
      <c r="AK373" s="7">
        <v>2</v>
      </c>
      <c r="AL373" s="7">
        <v>0</v>
      </c>
      <c r="AM373" s="7">
        <v>200</v>
      </c>
      <c r="AN373" s="7">
        <v>0</v>
      </c>
      <c r="AO373" s="7">
        <v>0</v>
      </c>
      <c r="AP373" s="7">
        <v>0</v>
      </c>
      <c r="AQ373" s="7">
        <v>0</v>
      </c>
      <c r="AR373" s="7">
        <v>17</v>
      </c>
      <c r="AS373" s="8">
        <v>1700</v>
      </c>
      <c r="AT373" s="7">
        <v>0</v>
      </c>
      <c r="AU373" s="10">
        <v>26900</v>
      </c>
      <c r="AV373" s="15">
        <f t="shared" si="22"/>
        <v>26900</v>
      </c>
      <c r="AW373" s="16">
        <f t="shared" si="23"/>
        <v>18830</v>
      </c>
    </row>
    <row r="374" spans="1:49" ht="19.2" x14ac:dyDescent="0.4">
      <c r="A374" s="5" t="s">
        <v>201</v>
      </c>
      <c r="B374" s="5" t="s">
        <v>174</v>
      </c>
      <c r="C374" s="5">
        <v>392777</v>
      </c>
      <c r="D374" s="6"/>
      <c r="E374" s="5" t="s">
        <v>16</v>
      </c>
      <c r="F374" s="5" t="s">
        <v>42</v>
      </c>
      <c r="G374" s="5" t="s">
        <v>13</v>
      </c>
      <c r="H374" s="7" t="s">
        <v>8</v>
      </c>
      <c r="I374" s="7" t="s">
        <v>175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5</v>
      </c>
      <c r="AF374" s="8">
        <v>13500</v>
      </c>
      <c r="AG374" s="7">
        <v>0</v>
      </c>
      <c r="AH374" s="7">
        <v>0</v>
      </c>
      <c r="AI374" s="7">
        <v>0</v>
      </c>
      <c r="AJ374" s="7">
        <v>0</v>
      </c>
      <c r="AK374" s="7">
        <v>2</v>
      </c>
      <c r="AL374" s="8">
        <v>6840</v>
      </c>
      <c r="AM374" s="7">
        <v>0</v>
      </c>
      <c r="AN374" s="9">
        <v>2052</v>
      </c>
      <c r="AO374" s="7">
        <v>0</v>
      </c>
      <c r="AP374" s="7">
        <v>0</v>
      </c>
      <c r="AQ374" s="7">
        <v>0</v>
      </c>
      <c r="AR374" s="7">
        <v>2</v>
      </c>
      <c r="AS374" s="8">
        <v>6200</v>
      </c>
      <c r="AT374" s="7">
        <v>200</v>
      </c>
      <c r="AU374" s="10">
        <v>26740</v>
      </c>
      <c r="AV374" s="15">
        <f t="shared" si="22"/>
        <v>24688</v>
      </c>
      <c r="AW374" s="16">
        <f t="shared" si="23"/>
        <v>17281.599999999999</v>
      </c>
    </row>
    <row r="375" spans="1:49" ht="19.2" x14ac:dyDescent="0.4">
      <c r="A375" s="5" t="s">
        <v>201</v>
      </c>
      <c r="B375" s="5" t="s">
        <v>161</v>
      </c>
      <c r="C375" s="5">
        <v>211158</v>
      </c>
      <c r="D375" s="6"/>
      <c r="E375" s="5" t="s">
        <v>16</v>
      </c>
      <c r="F375" s="5" t="s">
        <v>17</v>
      </c>
      <c r="G375" s="5" t="s">
        <v>13</v>
      </c>
      <c r="H375" s="7" t="s">
        <v>8</v>
      </c>
      <c r="I375" s="7" t="s">
        <v>162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264</v>
      </c>
      <c r="AF375" s="8">
        <v>26400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10">
        <v>26400</v>
      </c>
      <c r="AV375" s="15">
        <f t="shared" si="22"/>
        <v>26400</v>
      </c>
      <c r="AW375" s="16">
        <f t="shared" si="23"/>
        <v>18480</v>
      </c>
    </row>
    <row r="376" spans="1:49" ht="19.2" x14ac:dyDescent="0.4">
      <c r="A376" s="5" t="s">
        <v>201</v>
      </c>
      <c r="B376" s="5" t="s">
        <v>197</v>
      </c>
      <c r="C376" s="5">
        <v>458566</v>
      </c>
      <c r="D376" s="6"/>
      <c r="E376" s="5" t="s">
        <v>16</v>
      </c>
      <c r="F376" s="5" t="s">
        <v>17</v>
      </c>
      <c r="G376" s="5" t="s">
        <v>13</v>
      </c>
      <c r="H376" s="7" t="s">
        <v>8</v>
      </c>
      <c r="I376" s="7" t="s">
        <v>190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6</v>
      </c>
      <c r="AL376" s="8">
        <v>23040</v>
      </c>
      <c r="AM376" s="7">
        <v>0</v>
      </c>
      <c r="AN376" s="9">
        <v>6912</v>
      </c>
      <c r="AO376" s="7">
        <v>0</v>
      </c>
      <c r="AP376" s="7">
        <v>0</v>
      </c>
      <c r="AQ376" s="7">
        <v>0</v>
      </c>
      <c r="AR376" s="7">
        <v>1</v>
      </c>
      <c r="AS376" s="8">
        <v>3200</v>
      </c>
      <c r="AT376" s="7">
        <v>0</v>
      </c>
      <c r="AU376" s="10">
        <v>26240</v>
      </c>
      <c r="AV376" s="15">
        <f t="shared" si="22"/>
        <v>19328</v>
      </c>
      <c r="AW376" s="16">
        <f t="shared" si="23"/>
        <v>13529.599999999999</v>
      </c>
    </row>
    <row r="377" spans="1:49" ht="19.2" x14ac:dyDescent="0.4">
      <c r="A377" s="5" t="s">
        <v>201</v>
      </c>
      <c r="B377" s="5" t="s">
        <v>264</v>
      </c>
      <c r="C377" s="5">
        <v>415710</v>
      </c>
      <c r="D377" s="6"/>
      <c r="E377" s="5" t="s">
        <v>16</v>
      </c>
      <c r="F377" s="5" t="s">
        <v>231</v>
      </c>
      <c r="G377" s="5" t="s">
        <v>227</v>
      </c>
      <c r="H377" s="7" t="s">
        <v>11</v>
      </c>
      <c r="I377" s="7" t="s">
        <v>265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8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93</v>
      </c>
      <c r="AF377" s="8">
        <v>9300</v>
      </c>
      <c r="AG377" s="7">
        <v>0</v>
      </c>
      <c r="AH377" s="7">
        <v>0</v>
      </c>
      <c r="AI377" s="7">
        <v>0</v>
      </c>
      <c r="AJ377" s="7">
        <v>0</v>
      </c>
      <c r="AK377" s="7">
        <v>104</v>
      </c>
      <c r="AL377" s="8">
        <v>11280</v>
      </c>
      <c r="AM377" s="8">
        <v>1000</v>
      </c>
      <c r="AN377" s="9">
        <v>3384</v>
      </c>
      <c r="AO377" s="7">
        <v>0</v>
      </c>
      <c r="AP377" s="7">
        <v>0</v>
      </c>
      <c r="AQ377" s="7">
        <v>0</v>
      </c>
      <c r="AR377" s="7">
        <v>23</v>
      </c>
      <c r="AS377" s="8">
        <v>2100</v>
      </c>
      <c r="AT377" s="7">
        <v>200</v>
      </c>
      <c r="AU377" s="10">
        <v>23880</v>
      </c>
      <c r="AV377" s="15">
        <f t="shared" si="22"/>
        <v>20496</v>
      </c>
      <c r="AW377" s="16">
        <f t="shared" si="23"/>
        <v>14347.199999999999</v>
      </c>
    </row>
    <row r="378" spans="1:49" ht="19.2" x14ac:dyDescent="0.4">
      <c r="A378" s="5" t="s">
        <v>201</v>
      </c>
      <c r="B378" s="5" t="s">
        <v>169</v>
      </c>
      <c r="C378" s="5">
        <v>423328</v>
      </c>
      <c r="D378" s="6"/>
      <c r="E378" s="5" t="s">
        <v>16</v>
      </c>
      <c r="F378" s="5" t="s">
        <v>17</v>
      </c>
      <c r="G378" s="5" t="s">
        <v>13</v>
      </c>
      <c r="H378" s="7" t="s">
        <v>8</v>
      </c>
      <c r="I378" s="7" t="s">
        <v>170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15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111</v>
      </c>
      <c r="AF378" s="8">
        <v>11100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110</v>
      </c>
      <c r="AS378" s="8">
        <v>10300</v>
      </c>
      <c r="AT378" s="7">
        <v>700</v>
      </c>
      <c r="AU378" s="10">
        <v>22100</v>
      </c>
      <c r="AV378" s="15">
        <f t="shared" si="22"/>
        <v>22100</v>
      </c>
      <c r="AW378" s="16">
        <f t="shared" si="23"/>
        <v>15469.999999999998</v>
      </c>
    </row>
    <row r="379" spans="1:49" ht="19.2" x14ac:dyDescent="0.4">
      <c r="A379" s="5" t="s">
        <v>201</v>
      </c>
      <c r="B379" s="5" t="s">
        <v>110</v>
      </c>
      <c r="C379" s="5">
        <v>429496</v>
      </c>
      <c r="D379" s="6"/>
      <c r="E379" s="5" t="s">
        <v>16</v>
      </c>
      <c r="F379" s="5" t="s">
        <v>111</v>
      </c>
      <c r="G379" s="5" t="s">
        <v>13</v>
      </c>
      <c r="H379" s="7" t="s">
        <v>8</v>
      </c>
      <c r="I379" s="7" t="s">
        <v>112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179</v>
      </c>
      <c r="AF379" s="8">
        <v>17800</v>
      </c>
      <c r="AG379" s="7">
        <v>100</v>
      </c>
      <c r="AH379" s="7">
        <v>0</v>
      </c>
      <c r="AI379" s="7">
        <v>0</v>
      </c>
      <c r="AJ379" s="7">
        <v>0</v>
      </c>
      <c r="AK379" s="7">
        <v>40</v>
      </c>
      <c r="AL379" s="7">
        <v>120</v>
      </c>
      <c r="AM379" s="8">
        <v>3900</v>
      </c>
      <c r="AN379" s="7">
        <v>36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0</v>
      </c>
      <c r="AU379" s="10">
        <v>21920</v>
      </c>
      <c r="AV379" s="15">
        <f t="shared" si="22"/>
        <v>21884</v>
      </c>
      <c r="AW379" s="16">
        <f t="shared" si="23"/>
        <v>15318.8</v>
      </c>
    </row>
    <row r="380" spans="1:49" ht="19.2" x14ac:dyDescent="0.4">
      <c r="A380" s="5" t="s">
        <v>201</v>
      </c>
      <c r="B380" s="5" t="s">
        <v>26</v>
      </c>
      <c r="C380" s="5">
        <v>371774</v>
      </c>
      <c r="D380" s="6"/>
      <c r="E380" s="5" t="s">
        <v>16</v>
      </c>
      <c r="F380" s="5" t="s">
        <v>27</v>
      </c>
      <c r="G380" s="5" t="s">
        <v>13</v>
      </c>
      <c r="H380" s="7" t="s">
        <v>8</v>
      </c>
      <c r="I380" s="7" t="s">
        <v>28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4</v>
      </c>
      <c r="AF380" s="7">
        <v>0</v>
      </c>
      <c r="AG380" s="7">
        <v>400</v>
      </c>
      <c r="AH380" s="7">
        <v>0</v>
      </c>
      <c r="AI380" s="7">
        <v>0</v>
      </c>
      <c r="AJ380" s="7">
        <v>0</v>
      </c>
      <c r="AK380" s="7">
        <v>52</v>
      </c>
      <c r="AL380" s="8">
        <v>4440</v>
      </c>
      <c r="AM380" s="8">
        <v>1500</v>
      </c>
      <c r="AN380" s="9">
        <v>1332</v>
      </c>
      <c r="AO380" s="7">
        <v>0</v>
      </c>
      <c r="AP380" s="7">
        <v>0</v>
      </c>
      <c r="AQ380" s="7">
        <v>0</v>
      </c>
      <c r="AR380" s="7">
        <v>136</v>
      </c>
      <c r="AS380" s="8">
        <v>13400</v>
      </c>
      <c r="AT380" s="7">
        <v>200</v>
      </c>
      <c r="AU380" s="10">
        <v>19940</v>
      </c>
      <c r="AV380" s="15">
        <f t="shared" si="22"/>
        <v>18608</v>
      </c>
      <c r="AW380" s="16">
        <f t="shared" si="23"/>
        <v>13025.599999999999</v>
      </c>
    </row>
    <row r="381" spans="1:49" ht="19.2" x14ac:dyDescent="0.4">
      <c r="A381" s="5" t="s">
        <v>201</v>
      </c>
      <c r="B381" s="5" t="s">
        <v>205</v>
      </c>
      <c r="C381" s="5">
        <v>462361</v>
      </c>
      <c r="D381" s="6"/>
      <c r="E381" s="5" t="s">
        <v>16</v>
      </c>
      <c r="F381" s="5" t="s">
        <v>179</v>
      </c>
      <c r="G381" s="5" t="s">
        <v>13</v>
      </c>
      <c r="H381" s="7" t="s">
        <v>8</v>
      </c>
      <c r="I381" s="7" t="s">
        <v>206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5</v>
      </c>
      <c r="AL381" s="8">
        <v>19200</v>
      </c>
      <c r="AM381" s="7">
        <v>0</v>
      </c>
      <c r="AN381" s="9">
        <v>5760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10">
        <v>19200</v>
      </c>
      <c r="AV381" s="15">
        <f t="shared" si="22"/>
        <v>13440</v>
      </c>
      <c r="AW381" s="16">
        <f t="shared" si="23"/>
        <v>9408</v>
      </c>
    </row>
    <row r="382" spans="1:49" ht="28.8" x14ac:dyDescent="0.4">
      <c r="A382" s="5" t="s">
        <v>201</v>
      </c>
      <c r="B382" s="5" t="s">
        <v>261</v>
      </c>
      <c r="C382" s="5">
        <v>386704</v>
      </c>
      <c r="D382" s="6"/>
      <c r="E382" s="5" t="s">
        <v>16</v>
      </c>
      <c r="F382" s="5" t="s">
        <v>262</v>
      </c>
      <c r="G382" s="5" t="s">
        <v>227</v>
      </c>
      <c r="H382" s="7" t="s">
        <v>11</v>
      </c>
      <c r="I382" s="7" t="s">
        <v>263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33</v>
      </c>
      <c r="AF382" s="8">
        <v>3300</v>
      </c>
      <c r="AG382" s="7">
        <v>0</v>
      </c>
      <c r="AH382" s="7">
        <v>0</v>
      </c>
      <c r="AI382" s="7">
        <v>0</v>
      </c>
      <c r="AJ382" s="7">
        <v>0</v>
      </c>
      <c r="AK382" s="7">
        <v>121</v>
      </c>
      <c r="AL382" s="8">
        <v>14520</v>
      </c>
      <c r="AM382" s="7">
        <v>0</v>
      </c>
      <c r="AN382" s="9">
        <v>4356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10">
        <v>17820</v>
      </c>
      <c r="AV382" s="15">
        <f t="shared" si="22"/>
        <v>13464</v>
      </c>
      <c r="AW382" s="16">
        <f t="shared" si="23"/>
        <v>9424.7999999999993</v>
      </c>
    </row>
    <row r="383" spans="1:49" ht="19.2" x14ac:dyDescent="0.4">
      <c r="A383" s="5" t="s">
        <v>201</v>
      </c>
      <c r="B383" s="5" t="s">
        <v>126</v>
      </c>
      <c r="C383" s="5">
        <v>433508</v>
      </c>
      <c r="D383" s="6"/>
      <c r="E383" s="5" t="s">
        <v>16</v>
      </c>
      <c r="F383" s="5" t="s">
        <v>120</v>
      </c>
      <c r="G383" s="5" t="s">
        <v>13</v>
      </c>
      <c r="H383" s="7" t="s">
        <v>8</v>
      </c>
      <c r="I383" s="7" t="s">
        <v>150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8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9</v>
      </c>
      <c r="AF383" s="7">
        <v>900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167</v>
      </c>
      <c r="AS383" s="8">
        <v>16700</v>
      </c>
      <c r="AT383" s="7">
        <v>0</v>
      </c>
      <c r="AU383" s="10">
        <v>17600</v>
      </c>
      <c r="AV383" s="15">
        <f t="shared" si="22"/>
        <v>17600</v>
      </c>
      <c r="AW383" s="16">
        <f t="shared" si="23"/>
        <v>12320</v>
      </c>
    </row>
    <row r="384" spans="1:49" ht="19.2" x14ac:dyDescent="0.4">
      <c r="A384" s="5" t="s">
        <v>201</v>
      </c>
      <c r="B384" s="5" t="s">
        <v>300</v>
      </c>
      <c r="C384" s="5">
        <v>399878</v>
      </c>
      <c r="D384" s="6"/>
      <c r="E384" s="5" t="s">
        <v>16</v>
      </c>
      <c r="F384" s="5" t="s">
        <v>301</v>
      </c>
      <c r="G384" s="5" t="s">
        <v>227</v>
      </c>
      <c r="H384" s="7" t="s">
        <v>11</v>
      </c>
      <c r="I384" s="7" t="s">
        <v>302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38</v>
      </c>
      <c r="AF384" s="8">
        <v>2200</v>
      </c>
      <c r="AG384" s="8">
        <v>1600</v>
      </c>
      <c r="AH384" s="7">
        <v>0</v>
      </c>
      <c r="AI384" s="7">
        <v>0</v>
      </c>
      <c r="AJ384" s="7">
        <v>0</v>
      </c>
      <c r="AK384" s="7">
        <v>114</v>
      </c>
      <c r="AL384" s="8">
        <v>13680</v>
      </c>
      <c r="AM384" s="7">
        <v>0</v>
      </c>
      <c r="AN384" s="9">
        <v>4104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10">
        <v>17480</v>
      </c>
      <c r="AV384" s="15">
        <f t="shared" si="22"/>
        <v>13376</v>
      </c>
      <c r="AW384" s="16">
        <f t="shared" si="23"/>
        <v>9363.1999999999989</v>
      </c>
    </row>
    <row r="385" spans="1:49" ht="19.2" x14ac:dyDescent="0.4">
      <c r="A385" s="5" t="s">
        <v>201</v>
      </c>
      <c r="B385" s="5" t="s">
        <v>54</v>
      </c>
      <c r="C385" s="5">
        <v>422032</v>
      </c>
      <c r="D385" s="6"/>
      <c r="E385" s="5" t="s">
        <v>16</v>
      </c>
      <c r="F385" s="5" t="s">
        <v>55</v>
      </c>
      <c r="G385" s="5" t="s">
        <v>13</v>
      </c>
      <c r="H385" s="7" t="s">
        <v>12</v>
      </c>
      <c r="I385" s="7" t="s">
        <v>56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11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167</v>
      </c>
      <c r="AF385" s="8">
        <v>16700</v>
      </c>
      <c r="AG385" s="7">
        <v>0</v>
      </c>
      <c r="AH385" s="7">
        <v>0</v>
      </c>
      <c r="AI385" s="7">
        <v>0</v>
      </c>
      <c r="AJ385" s="7">
        <v>0</v>
      </c>
      <c r="AK385" s="7">
        <v>1</v>
      </c>
      <c r="AL385" s="7">
        <v>117</v>
      </c>
      <c r="AM385" s="7">
        <v>0</v>
      </c>
      <c r="AN385" s="7">
        <v>35.1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10">
        <v>16817</v>
      </c>
      <c r="AV385" s="15">
        <f t="shared" si="22"/>
        <v>16781.900000000001</v>
      </c>
      <c r="AW385" s="16">
        <f t="shared" si="23"/>
        <v>11747.33</v>
      </c>
    </row>
    <row r="386" spans="1:49" ht="19.2" x14ac:dyDescent="0.4">
      <c r="A386" s="5" t="s">
        <v>201</v>
      </c>
      <c r="B386" s="5" t="s">
        <v>180</v>
      </c>
      <c r="C386" s="5">
        <v>428379</v>
      </c>
      <c r="D386" s="6"/>
      <c r="E386" s="5" t="s">
        <v>16</v>
      </c>
      <c r="F386" s="5" t="s">
        <v>71</v>
      </c>
      <c r="G386" s="5" t="s">
        <v>13</v>
      </c>
      <c r="H386" s="7" t="s">
        <v>11</v>
      </c>
      <c r="I386" s="7" t="s">
        <v>103</v>
      </c>
      <c r="J386" s="7">
        <v>0</v>
      </c>
      <c r="K386" s="7">
        <v>27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1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54</v>
      </c>
      <c r="AF386" s="8">
        <v>5400</v>
      </c>
      <c r="AG386" s="7">
        <v>0</v>
      </c>
      <c r="AH386" s="7">
        <v>0</v>
      </c>
      <c r="AI386" s="7">
        <v>0</v>
      </c>
      <c r="AJ386" s="7">
        <v>0</v>
      </c>
      <c r="AK386" s="7">
        <v>80</v>
      </c>
      <c r="AL386" s="8">
        <v>7200</v>
      </c>
      <c r="AM386" s="8">
        <v>2000</v>
      </c>
      <c r="AN386" s="9">
        <v>2160</v>
      </c>
      <c r="AO386" s="7">
        <v>0</v>
      </c>
      <c r="AP386" s="7">
        <v>0</v>
      </c>
      <c r="AQ386" s="7">
        <v>0</v>
      </c>
      <c r="AR386" s="7">
        <v>21</v>
      </c>
      <c r="AS386" s="8">
        <v>2100</v>
      </c>
      <c r="AT386" s="7">
        <v>0</v>
      </c>
      <c r="AU386" s="10">
        <v>16700</v>
      </c>
      <c r="AV386" s="15">
        <f t="shared" si="22"/>
        <v>14540</v>
      </c>
      <c r="AW386" s="16">
        <f t="shared" si="23"/>
        <v>10178</v>
      </c>
    </row>
    <row r="387" spans="1:49" ht="19.2" x14ac:dyDescent="0.4">
      <c r="A387" s="5" t="s">
        <v>201</v>
      </c>
      <c r="B387" s="5" t="s">
        <v>286</v>
      </c>
      <c r="C387" s="5">
        <v>423577</v>
      </c>
      <c r="D387" s="6"/>
      <c r="E387" s="5" t="s">
        <v>16</v>
      </c>
      <c r="F387" s="5" t="s">
        <v>287</v>
      </c>
      <c r="G387" s="5" t="s">
        <v>227</v>
      </c>
      <c r="H387" s="7" t="s">
        <v>11</v>
      </c>
      <c r="I387" s="7" t="s">
        <v>288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6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111</v>
      </c>
      <c r="AF387" s="8">
        <v>11100</v>
      </c>
      <c r="AG387" s="7">
        <v>0</v>
      </c>
      <c r="AH387" s="7">
        <v>0</v>
      </c>
      <c r="AI387" s="7">
        <v>0</v>
      </c>
      <c r="AJ387" s="7">
        <v>0</v>
      </c>
      <c r="AK387" s="7">
        <v>46</v>
      </c>
      <c r="AL387" s="8">
        <v>5520</v>
      </c>
      <c r="AM387" s="7">
        <v>0</v>
      </c>
      <c r="AN387" s="9">
        <v>1656</v>
      </c>
      <c r="AO387" s="7">
        <v>0</v>
      </c>
      <c r="AP387" s="7">
        <v>0</v>
      </c>
      <c r="AQ387" s="7">
        <v>0</v>
      </c>
      <c r="AR387" s="7">
        <v>0</v>
      </c>
      <c r="AS387" s="7">
        <v>0</v>
      </c>
      <c r="AT387" s="7">
        <v>0</v>
      </c>
      <c r="AU387" s="10">
        <v>16620</v>
      </c>
      <c r="AV387" s="15">
        <f t="shared" si="22"/>
        <v>14964</v>
      </c>
      <c r="AW387" s="16">
        <f t="shared" si="23"/>
        <v>10474.799999999999</v>
      </c>
    </row>
    <row r="388" spans="1:49" ht="19.2" x14ac:dyDescent="0.4">
      <c r="A388" s="5" t="s">
        <v>201</v>
      </c>
      <c r="B388" s="5" t="s">
        <v>141</v>
      </c>
      <c r="C388" s="5">
        <v>434877</v>
      </c>
      <c r="D388" s="6"/>
      <c r="E388" s="5" t="s">
        <v>16</v>
      </c>
      <c r="F388" s="5" t="s">
        <v>133</v>
      </c>
      <c r="G388" s="5" t="s">
        <v>13</v>
      </c>
      <c r="H388" s="7" t="s">
        <v>8</v>
      </c>
      <c r="I388" s="7" t="s">
        <v>151</v>
      </c>
      <c r="J388" s="7">
        <v>1</v>
      </c>
      <c r="K388" s="7">
        <v>0</v>
      </c>
      <c r="L388" s="7">
        <v>100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9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122</v>
      </c>
      <c r="AF388" s="8">
        <v>12200</v>
      </c>
      <c r="AG388" s="7">
        <v>0</v>
      </c>
      <c r="AH388" s="7">
        <v>0</v>
      </c>
      <c r="AI388" s="7">
        <v>0</v>
      </c>
      <c r="AJ388" s="7">
        <v>0</v>
      </c>
      <c r="AK388" s="7">
        <v>16</v>
      </c>
      <c r="AL388" s="8">
        <v>1920</v>
      </c>
      <c r="AM388" s="7">
        <v>0</v>
      </c>
      <c r="AN388" s="7">
        <v>576</v>
      </c>
      <c r="AO388" s="7">
        <v>0</v>
      </c>
      <c r="AP388" s="7">
        <v>0</v>
      </c>
      <c r="AQ388" s="7">
        <v>0</v>
      </c>
      <c r="AR388" s="7">
        <v>19</v>
      </c>
      <c r="AS388" s="8">
        <v>1900</v>
      </c>
      <c r="AT388" s="7">
        <v>0</v>
      </c>
      <c r="AU388" s="10">
        <v>16120</v>
      </c>
      <c r="AV388" s="15">
        <f t="shared" si="22"/>
        <v>15544</v>
      </c>
      <c r="AW388" s="16">
        <f t="shared" si="23"/>
        <v>10880.8</v>
      </c>
    </row>
    <row r="389" spans="1:49" ht="19.2" x14ac:dyDescent="0.4">
      <c r="A389" s="5" t="s">
        <v>201</v>
      </c>
      <c r="B389" s="5" t="s">
        <v>67</v>
      </c>
      <c r="C389" s="5">
        <v>406872</v>
      </c>
      <c r="D389" s="6"/>
      <c r="E389" s="5" t="s">
        <v>16</v>
      </c>
      <c r="F389" s="5" t="s">
        <v>68</v>
      </c>
      <c r="G389" s="5" t="s">
        <v>13</v>
      </c>
      <c r="H389" s="7" t="s">
        <v>12</v>
      </c>
      <c r="I389" s="7" t="s">
        <v>69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1</v>
      </c>
      <c r="AF389" s="7">
        <v>0</v>
      </c>
      <c r="AG389" s="7">
        <v>100</v>
      </c>
      <c r="AH389" s="7">
        <v>0</v>
      </c>
      <c r="AI389" s="7">
        <v>0</v>
      </c>
      <c r="AJ389" s="7">
        <v>0</v>
      </c>
      <c r="AK389" s="7">
        <v>116</v>
      </c>
      <c r="AL389" s="8">
        <v>15995</v>
      </c>
      <c r="AM389" s="7">
        <v>0</v>
      </c>
      <c r="AN389" s="9">
        <v>4798.5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10">
        <v>16095</v>
      </c>
      <c r="AV389" s="15">
        <f t="shared" si="22"/>
        <v>11296.5</v>
      </c>
      <c r="AW389" s="16">
        <f t="shared" si="23"/>
        <v>7907.5499999999993</v>
      </c>
    </row>
    <row r="390" spans="1:49" ht="19.2" x14ac:dyDescent="0.4">
      <c r="A390" s="5" t="s">
        <v>201</v>
      </c>
      <c r="B390" s="5" t="s">
        <v>171</v>
      </c>
      <c r="C390" s="5">
        <v>134596</v>
      </c>
      <c r="D390" s="6" t="s">
        <v>172</v>
      </c>
      <c r="E390" s="5" t="s">
        <v>16</v>
      </c>
      <c r="F390" s="5" t="s">
        <v>17</v>
      </c>
      <c r="G390" s="5" t="s">
        <v>13</v>
      </c>
      <c r="H390" s="7" t="s">
        <v>8</v>
      </c>
      <c r="I390" s="7" t="s">
        <v>173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5</v>
      </c>
      <c r="AF390" s="8">
        <v>16000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10">
        <v>16000</v>
      </c>
      <c r="AV390" s="15">
        <f t="shared" si="22"/>
        <v>16000</v>
      </c>
      <c r="AW390" s="16">
        <f t="shared" si="23"/>
        <v>11200</v>
      </c>
    </row>
    <row r="391" spans="1:49" ht="19.2" x14ac:dyDescent="0.4">
      <c r="A391" s="5" t="s">
        <v>201</v>
      </c>
      <c r="B391" s="5" t="s">
        <v>269</v>
      </c>
      <c r="C391" s="5">
        <v>328404</v>
      </c>
      <c r="D391" s="6"/>
      <c r="E391" s="5" t="s">
        <v>16</v>
      </c>
      <c r="F391" s="5" t="s">
        <v>248</v>
      </c>
      <c r="G391" s="5" t="s">
        <v>227</v>
      </c>
      <c r="H391" s="7" t="s">
        <v>11</v>
      </c>
      <c r="I391" s="7" t="s">
        <v>270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3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70</v>
      </c>
      <c r="AF391" s="8">
        <v>7000</v>
      </c>
      <c r="AG391" s="7">
        <v>0</v>
      </c>
      <c r="AH391" s="7">
        <v>0</v>
      </c>
      <c r="AI391" s="7">
        <v>0</v>
      </c>
      <c r="AJ391" s="7">
        <v>0</v>
      </c>
      <c r="AK391" s="7">
        <v>25</v>
      </c>
      <c r="AL391" s="8">
        <v>2760</v>
      </c>
      <c r="AM391" s="7">
        <v>200</v>
      </c>
      <c r="AN391" s="7">
        <v>828</v>
      </c>
      <c r="AO391" s="7">
        <v>0</v>
      </c>
      <c r="AP391" s="7">
        <v>0</v>
      </c>
      <c r="AQ391" s="7">
        <v>0</v>
      </c>
      <c r="AR391" s="7">
        <v>56</v>
      </c>
      <c r="AS391" s="8">
        <v>5600</v>
      </c>
      <c r="AT391" s="7">
        <v>0</v>
      </c>
      <c r="AU391" s="10">
        <v>15560</v>
      </c>
      <c r="AV391" s="15">
        <f t="shared" si="22"/>
        <v>14732</v>
      </c>
      <c r="AW391" s="16">
        <f t="shared" si="23"/>
        <v>10312.4</v>
      </c>
    </row>
    <row r="392" spans="1:49" ht="19.2" x14ac:dyDescent="0.4">
      <c r="A392" s="5" t="s">
        <v>201</v>
      </c>
      <c r="B392" s="5" t="s">
        <v>281</v>
      </c>
      <c r="C392" s="5">
        <v>417258</v>
      </c>
      <c r="D392" s="6"/>
      <c r="E392" s="5" t="s">
        <v>16</v>
      </c>
      <c r="F392" s="5" t="s">
        <v>282</v>
      </c>
      <c r="G392" s="5" t="s">
        <v>227</v>
      </c>
      <c r="H392" s="7" t="s">
        <v>11</v>
      </c>
      <c r="I392" s="7" t="s">
        <v>283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8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3</v>
      </c>
      <c r="AF392" s="7">
        <v>0</v>
      </c>
      <c r="AG392" s="7">
        <v>300</v>
      </c>
      <c r="AH392" s="7">
        <v>0</v>
      </c>
      <c r="AI392" s="7">
        <v>0</v>
      </c>
      <c r="AJ392" s="7">
        <v>0</v>
      </c>
      <c r="AK392" s="7">
        <v>75</v>
      </c>
      <c r="AL392" s="8">
        <v>6840</v>
      </c>
      <c r="AM392" s="8">
        <v>1800</v>
      </c>
      <c r="AN392" s="9">
        <v>2052</v>
      </c>
      <c r="AO392" s="7">
        <v>0</v>
      </c>
      <c r="AP392" s="7">
        <v>0</v>
      </c>
      <c r="AQ392" s="7">
        <v>0</v>
      </c>
      <c r="AR392" s="7">
        <v>63</v>
      </c>
      <c r="AS392" s="8">
        <v>6100</v>
      </c>
      <c r="AT392" s="7">
        <v>200</v>
      </c>
      <c r="AU392" s="10">
        <v>15240</v>
      </c>
      <c r="AV392" s="15">
        <f t="shared" si="22"/>
        <v>13188</v>
      </c>
      <c r="AW392" s="16">
        <f t="shared" si="23"/>
        <v>9231.5999999999985</v>
      </c>
    </row>
    <row r="393" spans="1:49" ht="19.2" x14ac:dyDescent="0.4">
      <c r="A393" s="5" t="s">
        <v>201</v>
      </c>
      <c r="B393" s="5" t="s">
        <v>303</v>
      </c>
      <c r="C393" s="5">
        <v>395192</v>
      </c>
      <c r="D393" s="6"/>
      <c r="E393" s="5" t="s">
        <v>16</v>
      </c>
      <c r="F393" s="5" t="s">
        <v>267</v>
      </c>
      <c r="G393" s="5" t="s">
        <v>227</v>
      </c>
      <c r="H393" s="7" t="s">
        <v>11</v>
      </c>
      <c r="I393" s="7" t="s">
        <v>304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13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117</v>
      </c>
      <c r="AF393" s="8">
        <v>11600</v>
      </c>
      <c r="AG393" s="7">
        <v>100</v>
      </c>
      <c r="AH393" s="7">
        <v>0</v>
      </c>
      <c r="AI393" s="7">
        <v>0</v>
      </c>
      <c r="AJ393" s="7">
        <v>0</v>
      </c>
      <c r="AK393" s="7">
        <v>35</v>
      </c>
      <c r="AL393" s="7">
        <v>120</v>
      </c>
      <c r="AM393" s="8">
        <v>3400</v>
      </c>
      <c r="AN393" s="7">
        <v>36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10">
        <v>15220</v>
      </c>
      <c r="AV393" s="15">
        <f t="shared" si="22"/>
        <v>15184</v>
      </c>
      <c r="AW393" s="16">
        <f t="shared" si="23"/>
        <v>10628.8</v>
      </c>
    </row>
    <row r="394" spans="1:49" ht="19.2" x14ac:dyDescent="0.4">
      <c r="A394" s="5" t="s">
        <v>201</v>
      </c>
      <c r="B394" s="5" t="s">
        <v>311</v>
      </c>
      <c r="C394" s="5">
        <v>377088</v>
      </c>
      <c r="D394" s="6"/>
      <c r="E394" s="5" t="s">
        <v>16</v>
      </c>
      <c r="F394" s="5" t="s">
        <v>312</v>
      </c>
      <c r="G394" s="5" t="s">
        <v>227</v>
      </c>
      <c r="H394" s="7" t="s">
        <v>11</v>
      </c>
      <c r="I394" s="7" t="s">
        <v>313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10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8</v>
      </c>
      <c r="AF394" s="7">
        <v>800</v>
      </c>
      <c r="AG394" s="7">
        <v>0</v>
      </c>
      <c r="AH394" s="7">
        <v>0</v>
      </c>
      <c r="AI394" s="7">
        <v>0</v>
      </c>
      <c r="AJ394" s="7">
        <v>0</v>
      </c>
      <c r="AK394" s="7">
        <v>96</v>
      </c>
      <c r="AL394" s="8">
        <v>10962</v>
      </c>
      <c r="AM394" s="7">
        <v>400</v>
      </c>
      <c r="AN394" s="9">
        <v>3288.6</v>
      </c>
      <c r="AO394" s="7">
        <v>0</v>
      </c>
      <c r="AP394" s="7">
        <v>0</v>
      </c>
      <c r="AQ394" s="7">
        <v>0</v>
      </c>
      <c r="AR394" s="7">
        <v>25</v>
      </c>
      <c r="AS394" s="8">
        <v>2500</v>
      </c>
      <c r="AT394" s="7">
        <v>0</v>
      </c>
      <c r="AU394" s="10">
        <v>14662</v>
      </c>
      <c r="AV394" s="15">
        <f t="shared" si="22"/>
        <v>11373.4</v>
      </c>
      <c r="AW394" s="16">
        <f t="shared" si="23"/>
        <v>7961.3799999999992</v>
      </c>
    </row>
    <row r="395" spans="1:49" ht="19.2" x14ac:dyDescent="0.4">
      <c r="A395" s="5" t="s">
        <v>201</v>
      </c>
      <c r="B395" s="5" t="s">
        <v>277</v>
      </c>
      <c r="C395" s="5">
        <v>359006</v>
      </c>
      <c r="D395" s="6"/>
      <c r="E395" s="5" t="s">
        <v>16</v>
      </c>
      <c r="F395" s="5" t="s">
        <v>267</v>
      </c>
      <c r="G395" s="5" t="s">
        <v>227</v>
      </c>
      <c r="H395" s="7" t="s">
        <v>11</v>
      </c>
      <c r="I395" s="7" t="s">
        <v>278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3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50</v>
      </c>
      <c r="AF395" s="8">
        <v>4700</v>
      </c>
      <c r="AG395" s="7">
        <v>300</v>
      </c>
      <c r="AH395" s="7">
        <v>0</v>
      </c>
      <c r="AI395" s="7">
        <v>0</v>
      </c>
      <c r="AJ395" s="7">
        <v>0</v>
      </c>
      <c r="AK395" s="7">
        <v>75</v>
      </c>
      <c r="AL395" s="8">
        <v>9000</v>
      </c>
      <c r="AM395" s="7">
        <v>0</v>
      </c>
      <c r="AN395" s="9">
        <v>2700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10">
        <v>14000</v>
      </c>
      <c r="AV395" s="15">
        <f t="shared" si="22"/>
        <v>11300</v>
      </c>
      <c r="AW395" s="16">
        <f t="shared" si="23"/>
        <v>7909.9999999999991</v>
      </c>
    </row>
    <row r="396" spans="1:49" ht="19.2" x14ac:dyDescent="0.4">
      <c r="A396" s="5" t="s">
        <v>201</v>
      </c>
      <c r="B396" s="5" t="s">
        <v>307</v>
      </c>
      <c r="C396" s="5">
        <v>305522</v>
      </c>
      <c r="D396" s="6"/>
      <c r="E396" s="5" t="s">
        <v>16</v>
      </c>
      <c r="F396" s="5" t="s">
        <v>238</v>
      </c>
      <c r="G396" s="5" t="s">
        <v>227</v>
      </c>
      <c r="H396" s="7" t="s">
        <v>11</v>
      </c>
      <c r="I396" s="7" t="s">
        <v>308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37</v>
      </c>
      <c r="AF396" s="8">
        <v>2800</v>
      </c>
      <c r="AG396" s="7">
        <v>900</v>
      </c>
      <c r="AH396" s="7">
        <v>0</v>
      </c>
      <c r="AI396" s="7">
        <v>0</v>
      </c>
      <c r="AJ396" s="7">
        <v>0</v>
      </c>
      <c r="AK396" s="7">
        <v>90</v>
      </c>
      <c r="AL396" s="8">
        <v>6360</v>
      </c>
      <c r="AM396" s="8">
        <v>3700</v>
      </c>
      <c r="AN396" s="9">
        <v>1908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10">
        <v>13760</v>
      </c>
      <c r="AV396" s="15">
        <f t="shared" si="22"/>
        <v>11852</v>
      </c>
      <c r="AW396" s="16">
        <f t="shared" si="23"/>
        <v>8296.4</v>
      </c>
    </row>
    <row r="397" spans="1:49" ht="19.2" x14ac:dyDescent="0.4">
      <c r="A397" s="5" t="s">
        <v>201</v>
      </c>
      <c r="B397" s="5" t="s">
        <v>194</v>
      </c>
      <c r="C397" s="5">
        <v>441958</v>
      </c>
      <c r="D397" s="6"/>
      <c r="E397" s="5" t="s">
        <v>16</v>
      </c>
      <c r="F397" s="5" t="s">
        <v>106</v>
      </c>
      <c r="G397" s="5" t="s">
        <v>13</v>
      </c>
      <c r="H397" s="7" t="s">
        <v>11</v>
      </c>
      <c r="I397" s="7" t="s">
        <v>188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5</v>
      </c>
      <c r="AS397" s="8">
        <v>12000</v>
      </c>
      <c r="AT397" s="7">
        <v>0</v>
      </c>
      <c r="AU397" s="10">
        <v>12000</v>
      </c>
      <c r="AV397" s="15">
        <f t="shared" si="22"/>
        <v>12000</v>
      </c>
      <c r="AW397" s="16">
        <f t="shared" si="23"/>
        <v>8400</v>
      </c>
    </row>
    <row r="398" spans="1:49" ht="28.8" x14ac:dyDescent="0.4">
      <c r="A398" s="5" t="s">
        <v>201</v>
      </c>
      <c r="B398" s="5" t="s">
        <v>253</v>
      </c>
      <c r="C398" s="5">
        <v>393598</v>
      </c>
      <c r="D398" s="6"/>
      <c r="E398" s="5" t="s">
        <v>16</v>
      </c>
      <c r="F398" s="5" t="s">
        <v>254</v>
      </c>
      <c r="G398" s="5" t="s">
        <v>227</v>
      </c>
      <c r="H398" s="7" t="s">
        <v>11</v>
      </c>
      <c r="I398" s="7" t="s">
        <v>255</v>
      </c>
      <c r="J398" s="7">
        <v>0</v>
      </c>
      <c r="K398" s="7">
        <v>57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5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63</v>
      </c>
      <c r="AF398" s="8">
        <v>5500</v>
      </c>
      <c r="AG398" s="7">
        <v>800</v>
      </c>
      <c r="AH398" s="7">
        <v>0</v>
      </c>
      <c r="AI398" s="7">
        <v>0</v>
      </c>
      <c r="AJ398" s="7">
        <v>0</v>
      </c>
      <c r="AK398" s="7">
        <v>49</v>
      </c>
      <c r="AL398" s="8">
        <v>3600</v>
      </c>
      <c r="AM398" s="8">
        <v>1900</v>
      </c>
      <c r="AN398" s="9">
        <v>1080</v>
      </c>
      <c r="AO398" s="7">
        <v>0</v>
      </c>
      <c r="AP398" s="7">
        <v>0</v>
      </c>
      <c r="AQ398" s="7">
        <v>0</v>
      </c>
      <c r="AR398" s="7">
        <v>2</v>
      </c>
      <c r="AS398" s="7">
        <v>100</v>
      </c>
      <c r="AT398" s="7">
        <v>100</v>
      </c>
      <c r="AU398" s="10">
        <v>12000</v>
      </c>
      <c r="AV398" s="15">
        <f t="shared" si="22"/>
        <v>10920</v>
      </c>
      <c r="AW398" s="16">
        <f t="shared" si="23"/>
        <v>7643.9999999999991</v>
      </c>
    </row>
    <row r="399" spans="1:49" ht="19.2" x14ac:dyDescent="0.4">
      <c r="A399" s="5" t="s">
        <v>201</v>
      </c>
      <c r="B399" s="5" t="s">
        <v>196</v>
      </c>
      <c r="C399" s="5">
        <v>458568</v>
      </c>
      <c r="D399" s="6"/>
      <c r="E399" s="5" t="s">
        <v>16</v>
      </c>
      <c r="F399" s="5" t="s">
        <v>17</v>
      </c>
      <c r="G399" s="5" t="s">
        <v>13</v>
      </c>
      <c r="H399" s="7" t="s">
        <v>8</v>
      </c>
      <c r="I399" s="7" t="s">
        <v>190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2</v>
      </c>
      <c r="AL399" s="8">
        <v>7680</v>
      </c>
      <c r="AM399" s="7">
        <v>0</v>
      </c>
      <c r="AN399" s="9">
        <v>2304</v>
      </c>
      <c r="AO399" s="7">
        <v>0</v>
      </c>
      <c r="AP399" s="7">
        <v>0</v>
      </c>
      <c r="AQ399" s="7">
        <v>0</v>
      </c>
      <c r="AR399" s="7">
        <v>1</v>
      </c>
      <c r="AS399" s="8">
        <v>3200</v>
      </c>
      <c r="AT399" s="7">
        <v>0</v>
      </c>
      <c r="AU399" s="10">
        <v>10880</v>
      </c>
      <c r="AV399" s="15">
        <f t="shared" si="22"/>
        <v>8576</v>
      </c>
      <c r="AW399" s="16">
        <f t="shared" si="23"/>
        <v>6003.2</v>
      </c>
    </row>
    <row r="400" spans="1:49" ht="19.2" x14ac:dyDescent="0.4">
      <c r="A400" s="5" t="s">
        <v>201</v>
      </c>
      <c r="B400" s="5" t="s">
        <v>84</v>
      </c>
      <c r="C400" s="5">
        <v>413284</v>
      </c>
      <c r="D400" s="6"/>
      <c r="E400" s="5" t="s">
        <v>16</v>
      </c>
      <c r="F400" s="5" t="s">
        <v>74</v>
      </c>
      <c r="G400" s="5" t="s">
        <v>13</v>
      </c>
      <c r="H400" s="7" t="s">
        <v>8</v>
      </c>
      <c r="I400" s="7" t="s">
        <v>85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1</v>
      </c>
      <c r="AF400" s="7">
        <v>0</v>
      </c>
      <c r="AG400" s="7">
        <v>400</v>
      </c>
      <c r="AH400" s="7">
        <v>0</v>
      </c>
      <c r="AI400" s="7">
        <v>0</v>
      </c>
      <c r="AJ400" s="7">
        <v>0</v>
      </c>
      <c r="AK400" s="7">
        <v>3</v>
      </c>
      <c r="AL400" s="7">
        <v>0</v>
      </c>
      <c r="AM400" s="8">
        <v>10100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10">
        <v>10500</v>
      </c>
      <c r="AV400" s="15">
        <f t="shared" si="22"/>
        <v>10500</v>
      </c>
      <c r="AW400" s="16">
        <f t="shared" si="23"/>
        <v>7349.9999999999991</v>
      </c>
    </row>
    <row r="401" spans="1:49" ht="19.2" x14ac:dyDescent="0.4">
      <c r="A401" s="5" t="s">
        <v>201</v>
      </c>
      <c r="B401" s="5" t="s">
        <v>212</v>
      </c>
      <c r="C401" s="5">
        <v>463949</v>
      </c>
      <c r="D401" s="6"/>
      <c r="E401" s="5" t="s">
        <v>16</v>
      </c>
      <c r="F401" s="5" t="s">
        <v>213</v>
      </c>
      <c r="G401" s="5" t="s">
        <v>13</v>
      </c>
      <c r="H401" s="7" t="s">
        <v>8</v>
      </c>
      <c r="I401" s="7" t="s">
        <v>209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15</v>
      </c>
      <c r="AF401" s="8">
        <v>1500</v>
      </c>
      <c r="AG401" s="7">
        <v>0</v>
      </c>
      <c r="AH401" s="7">
        <v>0</v>
      </c>
      <c r="AI401" s="7">
        <v>0</v>
      </c>
      <c r="AJ401" s="7">
        <v>0</v>
      </c>
      <c r="AK401" s="7">
        <v>27</v>
      </c>
      <c r="AL401" s="8">
        <v>3240</v>
      </c>
      <c r="AM401" s="7">
        <v>0</v>
      </c>
      <c r="AN401" s="7">
        <v>972</v>
      </c>
      <c r="AO401" s="7">
        <v>0</v>
      </c>
      <c r="AP401" s="7">
        <v>0</v>
      </c>
      <c r="AQ401" s="7">
        <v>0</v>
      </c>
      <c r="AR401" s="7">
        <v>54</v>
      </c>
      <c r="AS401" s="8">
        <v>5400</v>
      </c>
      <c r="AT401" s="7">
        <v>0</v>
      </c>
      <c r="AU401" s="10">
        <v>10140</v>
      </c>
      <c r="AV401" s="15">
        <f t="shared" si="22"/>
        <v>9168</v>
      </c>
      <c r="AW401" s="16">
        <f t="shared" si="23"/>
        <v>6417.5999999999995</v>
      </c>
    </row>
    <row r="402" spans="1:49" ht="19.2" x14ac:dyDescent="0.4">
      <c r="A402" s="5" t="s">
        <v>201</v>
      </c>
      <c r="B402" s="5" t="s">
        <v>124</v>
      </c>
      <c r="C402" s="5">
        <v>434558</v>
      </c>
      <c r="D402" s="6"/>
      <c r="E402" s="5" t="s">
        <v>16</v>
      </c>
      <c r="F402" s="5" t="s">
        <v>125</v>
      </c>
      <c r="G402" s="5" t="s">
        <v>13</v>
      </c>
      <c r="H402" s="7" t="s">
        <v>8</v>
      </c>
      <c r="I402" s="7" t="s">
        <v>159</v>
      </c>
      <c r="J402" s="7">
        <v>0</v>
      </c>
      <c r="K402" s="7">
        <v>46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3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13</v>
      </c>
      <c r="AL402" s="8">
        <v>1560</v>
      </c>
      <c r="AM402" s="7">
        <v>0</v>
      </c>
      <c r="AN402" s="7">
        <v>468</v>
      </c>
      <c r="AO402" s="7">
        <v>0</v>
      </c>
      <c r="AP402" s="7">
        <v>0</v>
      </c>
      <c r="AQ402" s="7">
        <v>0</v>
      </c>
      <c r="AR402" s="7">
        <v>81</v>
      </c>
      <c r="AS402" s="8">
        <v>8100</v>
      </c>
      <c r="AT402" s="7">
        <v>0</v>
      </c>
      <c r="AU402" s="10">
        <v>9660</v>
      </c>
      <c r="AV402" s="15">
        <f t="shared" si="22"/>
        <v>9192</v>
      </c>
      <c r="AW402" s="16">
        <f t="shared" si="23"/>
        <v>6434.4</v>
      </c>
    </row>
    <row r="403" spans="1:49" ht="19.2" x14ac:dyDescent="0.4">
      <c r="A403" s="5" t="s">
        <v>201</v>
      </c>
      <c r="B403" s="5" t="s">
        <v>256</v>
      </c>
      <c r="C403" s="5">
        <v>350894</v>
      </c>
      <c r="D403" s="6"/>
      <c r="E403" s="5" t="s">
        <v>16</v>
      </c>
      <c r="F403" s="5" t="s">
        <v>257</v>
      </c>
      <c r="G403" s="5" t="s">
        <v>227</v>
      </c>
      <c r="H403" s="7" t="s">
        <v>11</v>
      </c>
      <c r="I403" s="7" t="s">
        <v>258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2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39</v>
      </c>
      <c r="AF403" s="7">
        <v>200</v>
      </c>
      <c r="AG403" s="8">
        <v>3700</v>
      </c>
      <c r="AH403" s="7">
        <v>0</v>
      </c>
      <c r="AI403" s="7">
        <v>0</v>
      </c>
      <c r="AJ403" s="7">
        <v>0</v>
      </c>
      <c r="AK403" s="7">
        <v>55</v>
      </c>
      <c r="AL403" s="8">
        <v>1080</v>
      </c>
      <c r="AM403" s="8">
        <v>4600</v>
      </c>
      <c r="AN403" s="7">
        <v>324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10">
        <v>9580</v>
      </c>
      <c r="AV403" s="15">
        <f t="shared" ref="AV403:AV464" si="24">AU403-AN403</f>
        <v>9256</v>
      </c>
      <c r="AW403" s="16">
        <f t="shared" ref="AW403:AW464" si="25">AV403*70%</f>
        <v>6479.2</v>
      </c>
    </row>
    <row r="404" spans="1:49" ht="19.2" x14ac:dyDescent="0.4">
      <c r="A404" s="5" t="s">
        <v>201</v>
      </c>
      <c r="B404" s="5" t="s">
        <v>108</v>
      </c>
      <c r="C404" s="5">
        <v>425414</v>
      </c>
      <c r="D404" s="6"/>
      <c r="E404" s="5" t="s">
        <v>16</v>
      </c>
      <c r="F404" s="5" t="s">
        <v>109</v>
      </c>
      <c r="G404" s="5" t="s">
        <v>13</v>
      </c>
      <c r="H404" s="7" t="s">
        <v>8</v>
      </c>
      <c r="I404" s="7" t="s">
        <v>134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79</v>
      </c>
      <c r="AL404" s="8">
        <v>9480</v>
      </c>
      <c r="AM404" s="7">
        <v>0</v>
      </c>
      <c r="AN404" s="9">
        <v>2844</v>
      </c>
      <c r="AO404" s="7">
        <v>0</v>
      </c>
      <c r="AP404" s="7">
        <v>0</v>
      </c>
      <c r="AQ404" s="7">
        <v>0</v>
      </c>
      <c r="AR404" s="7">
        <v>1</v>
      </c>
      <c r="AS404" s="7">
        <v>100</v>
      </c>
      <c r="AT404" s="7">
        <v>0</v>
      </c>
      <c r="AU404" s="10">
        <v>9580</v>
      </c>
      <c r="AV404" s="15">
        <f t="shared" si="24"/>
        <v>6736</v>
      </c>
      <c r="AW404" s="16">
        <f t="shared" si="25"/>
        <v>4715.2</v>
      </c>
    </row>
    <row r="405" spans="1:49" ht="19.2" x14ac:dyDescent="0.4">
      <c r="A405" s="5" t="s">
        <v>201</v>
      </c>
      <c r="B405" s="5" t="s">
        <v>328</v>
      </c>
      <c r="C405" s="5">
        <v>390809</v>
      </c>
      <c r="D405" s="6"/>
      <c r="E405" s="5" t="s">
        <v>16</v>
      </c>
      <c r="F405" s="5" t="s">
        <v>329</v>
      </c>
      <c r="G405" s="5" t="s">
        <v>227</v>
      </c>
      <c r="H405" s="7" t="s">
        <v>11</v>
      </c>
      <c r="I405" s="7" t="s">
        <v>249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10</v>
      </c>
      <c r="AF405" s="8">
        <v>1000</v>
      </c>
      <c r="AG405" s="7">
        <v>0</v>
      </c>
      <c r="AH405" s="7">
        <v>0</v>
      </c>
      <c r="AI405" s="7">
        <v>0</v>
      </c>
      <c r="AJ405" s="7">
        <v>0</v>
      </c>
      <c r="AK405" s="7">
        <v>65</v>
      </c>
      <c r="AL405" s="8">
        <v>7800</v>
      </c>
      <c r="AM405" s="7">
        <v>0</v>
      </c>
      <c r="AN405" s="9">
        <v>2340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10">
        <v>8800</v>
      </c>
      <c r="AV405" s="15">
        <f t="shared" si="24"/>
        <v>6460</v>
      </c>
      <c r="AW405" s="16">
        <f t="shared" si="25"/>
        <v>4522</v>
      </c>
    </row>
    <row r="406" spans="1:49" ht="19.2" x14ac:dyDescent="0.4">
      <c r="A406" s="5" t="s">
        <v>201</v>
      </c>
      <c r="B406" s="5" t="s">
        <v>284</v>
      </c>
      <c r="C406" s="5">
        <v>402649</v>
      </c>
      <c r="D406" s="6"/>
      <c r="E406" s="5" t="s">
        <v>16</v>
      </c>
      <c r="F406" s="5" t="s">
        <v>238</v>
      </c>
      <c r="G406" s="5" t="s">
        <v>227</v>
      </c>
      <c r="H406" s="7" t="s">
        <v>11</v>
      </c>
      <c r="I406" s="7" t="s">
        <v>285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6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58</v>
      </c>
      <c r="AF406" s="8">
        <v>5800</v>
      </c>
      <c r="AG406" s="7">
        <v>0</v>
      </c>
      <c r="AH406" s="7">
        <v>0</v>
      </c>
      <c r="AI406" s="7">
        <v>0</v>
      </c>
      <c r="AJ406" s="7">
        <v>0</v>
      </c>
      <c r="AK406" s="7">
        <v>17</v>
      </c>
      <c r="AL406" s="8">
        <v>2040</v>
      </c>
      <c r="AM406" s="7">
        <v>0</v>
      </c>
      <c r="AN406" s="7">
        <v>612</v>
      </c>
      <c r="AO406" s="7">
        <v>0</v>
      </c>
      <c r="AP406" s="7">
        <v>0</v>
      </c>
      <c r="AQ406" s="7">
        <v>0</v>
      </c>
      <c r="AR406" s="7">
        <v>2</v>
      </c>
      <c r="AS406" s="7">
        <v>200</v>
      </c>
      <c r="AT406" s="7">
        <v>0</v>
      </c>
      <c r="AU406" s="10">
        <v>8040</v>
      </c>
      <c r="AV406" s="15">
        <f t="shared" si="24"/>
        <v>7428</v>
      </c>
      <c r="AW406" s="16">
        <f t="shared" si="25"/>
        <v>5199.5999999999995</v>
      </c>
    </row>
    <row r="407" spans="1:49" ht="19.2" x14ac:dyDescent="0.4">
      <c r="A407" s="5" t="s">
        <v>201</v>
      </c>
      <c r="B407" s="5" t="s">
        <v>309</v>
      </c>
      <c r="C407" s="5">
        <v>400251</v>
      </c>
      <c r="D407" s="6"/>
      <c r="E407" s="5" t="s">
        <v>16</v>
      </c>
      <c r="F407" s="5" t="s">
        <v>238</v>
      </c>
      <c r="G407" s="5" t="s">
        <v>227</v>
      </c>
      <c r="H407" s="7" t="s">
        <v>11</v>
      </c>
      <c r="I407" s="7" t="s">
        <v>310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5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2</v>
      </c>
      <c r="AF407" s="7">
        <v>200</v>
      </c>
      <c r="AG407" s="7">
        <v>0</v>
      </c>
      <c r="AH407" s="7">
        <v>0</v>
      </c>
      <c r="AI407" s="7">
        <v>0</v>
      </c>
      <c r="AJ407" s="7">
        <v>0</v>
      </c>
      <c r="AK407" s="7">
        <v>74</v>
      </c>
      <c r="AL407" s="7">
        <v>720</v>
      </c>
      <c r="AM407" s="8">
        <v>6800</v>
      </c>
      <c r="AN407" s="7">
        <v>216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10">
        <v>7720</v>
      </c>
      <c r="AV407" s="15">
        <f t="shared" si="24"/>
        <v>7504</v>
      </c>
      <c r="AW407" s="16">
        <f t="shared" si="25"/>
        <v>5252.7999999999993</v>
      </c>
    </row>
    <row r="408" spans="1:49" ht="19.2" x14ac:dyDescent="0.4">
      <c r="A408" s="5" t="s">
        <v>201</v>
      </c>
      <c r="B408" s="5" t="s">
        <v>127</v>
      </c>
      <c r="C408" s="5">
        <v>351033</v>
      </c>
      <c r="D408" s="6" t="s">
        <v>128</v>
      </c>
      <c r="E408" s="5" t="s">
        <v>16</v>
      </c>
      <c r="F408" s="5" t="s">
        <v>17</v>
      </c>
      <c r="G408" s="5" t="s">
        <v>13</v>
      </c>
      <c r="H408" s="7" t="s">
        <v>8</v>
      </c>
      <c r="I408" s="7" t="s">
        <v>129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24</v>
      </c>
      <c r="AF408" s="7">
        <v>0</v>
      </c>
      <c r="AG408" s="8">
        <v>2400</v>
      </c>
      <c r="AH408" s="7">
        <v>0</v>
      </c>
      <c r="AI408" s="7">
        <v>0</v>
      </c>
      <c r="AJ408" s="7">
        <v>0</v>
      </c>
      <c r="AK408" s="7">
        <v>18</v>
      </c>
      <c r="AL408" s="8">
        <v>2160</v>
      </c>
      <c r="AM408" s="7">
        <v>0</v>
      </c>
      <c r="AN408" s="7">
        <v>648</v>
      </c>
      <c r="AO408" s="7">
        <v>0</v>
      </c>
      <c r="AP408" s="7">
        <v>0</v>
      </c>
      <c r="AQ408" s="7">
        <v>0</v>
      </c>
      <c r="AR408" s="7">
        <v>30</v>
      </c>
      <c r="AS408" s="8">
        <v>3000</v>
      </c>
      <c r="AT408" s="7">
        <v>0</v>
      </c>
      <c r="AU408" s="10">
        <v>7560</v>
      </c>
      <c r="AV408" s="15">
        <f t="shared" si="24"/>
        <v>6912</v>
      </c>
      <c r="AW408" s="16">
        <f t="shared" si="25"/>
        <v>4838.3999999999996</v>
      </c>
    </row>
    <row r="409" spans="1:49" ht="19.2" x14ac:dyDescent="0.4">
      <c r="A409" s="5" t="s">
        <v>201</v>
      </c>
      <c r="B409" s="5" t="s">
        <v>355</v>
      </c>
      <c r="C409" s="5">
        <v>341374</v>
      </c>
      <c r="D409" s="6"/>
      <c r="E409" s="5" t="s">
        <v>16</v>
      </c>
      <c r="F409" s="5" t="s">
        <v>267</v>
      </c>
      <c r="G409" s="5" t="s">
        <v>227</v>
      </c>
      <c r="H409" s="7" t="s">
        <v>11</v>
      </c>
      <c r="I409" s="7" t="s">
        <v>356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6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57</v>
      </c>
      <c r="AF409" s="8">
        <v>5600</v>
      </c>
      <c r="AG409" s="7">
        <v>100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18</v>
      </c>
      <c r="AS409" s="8">
        <v>1800</v>
      </c>
      <c r="AT409" s="7">
        <v>0</v>
      </c>
      <c r="AU409" s="10">
        <v>7500</v>
      </c>
      <c r="AV409" s="15">
        <f t="shared" si="24"/>
        <v>7500</v>
      </c>
      <c r="AW409" s="16">
        <f t="shared" si="25"/>
        <v>5250</v>
      </c>
    </row>
    <row r="410" spans="1:49" ht="19.2" x14ac:dyDescent="0.4">
      <c r="A410" s="5" t="s">
        <v>201</v>
      </c>
      <c r="B410" s="5" t="s">
        <v>73</v>
      </c>
      <c r="C410" s="5">
        <v>297776</v>
      </c>
      <c r="D410" s="6"/>
      <c r="E410" s="5" t="s">
        <v>16</v>
      </c>
      <c r="F410" s="5" t="s">
        <v>74</v>
      </c>
      <c r="G410" s="5" t="s">
        <v>13</v>
      </c>
      <c r="H410" s="7" t="s">
        <v>12</v>
      </c>
      <c r="I410" s="7" t="s">
        <v>75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75</v>
      </c>
      <c r="AL410" s="7">
        <v>0</v>
      </c>
      <c r="AM410" s="8">
        <v>7500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10">
        <v>7500</v>
      </c>
      <c r="AV410" s="15">
        <f t="shared" si="24"/>
        <v>7500</v>
      </c>
      <c r="AW410" s="16">
        <f t="shared" si="25"/>
        <v>5250</v>
      </c>
    </row>
    <row r="411" spans="1:49" ht="19.2" x14ac:dyDescent="0.4">
      <c r="A411" s="5" t="s">
        <v>201</v>
      </c>
      <c r="B411" s="5" t="s">
        <v>275</v>
      </c>
      <c r="C411" s="5">
        <v>337887</v>
      </c>
      <c r="D411" s="6"/>
      <c r="E411" s="5" t="s">
        <v>16</v>
      </c>
      <c r="F411" s="5" t="s">
        <v>251</v>
      </c>
      <c r="G411" s="5" t="s">
        <v>227</v>
      </c>
      <c r="H411" s="7" t="s">
        <v>11</v>
      </c>
      <c r="I411" s="7" t="s">
        <v>276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14</v>
      </c>
      <c r="AF411" s="7">
        <v>600</v>
      </c>
      <c r="AG411" s="7">
        <v>800</v>
      </c>
      <c r="AH411" s="7">
        <v>0</v>
      </c>
      <c r="AI411" s="7">
        <v>0</v>
      </c>
      <c r="AJ411" s="7">
        <v>0</v>
      </c>
      <c r="AK411" s="7">
        <v>28</v>
      </c>
      <c r="AL411" s="8">
        <v>3120</v>
      </c>
      <c r="AM411" s="7">
        <v>200</v>
      </c>
      <c r="AN411" s="7">
        <v>936</v>
      </c>
      <c r="AO411" s="7">
        <v>0</v>
      </c>
      <c r="AP411" s="7">
        <v>0</v>
      </c>
      <c r="AQ411" s="7">
        <v>0</v>
      </c>
      <c r="AR411" s="7">
        <v>26</v>
      </c>
      <c r="AS411" s="8">
        <v>2600</v>
      </c>
      <c r="AT411" s="7">
        <v>0</v>
      </c>
      <c r="AU411" s="10">
        <v>7320</v>
      </c>
      <c r="AV411" s="15">
        <f t="shared" si="24"/>
        <v>6384</v>
      </c>
      <c r="AW411" s="16">
        <f t="shared" si="25"/>
        <v>4468.7999999999993</v>
      </c>
    </row>
    <row r="412" spans="1:49" ht="19.2" x14ac:dyDescent="0.4">
      <c r="A412" s="5" t="s">
        <v>201</v>
      </c>
      <c r="B412" s="5" t="s">
        <v>289</v>
      </c>
      <c r="C412" s="5">
        <v>431330</v>
      </c>
      <c r="D412" s="6"/>
      <c r="E412" s="5" t="s">
        <v>16</v>
      </c>
      <c r="F412" s="5" t="s">
        <v>290</v>
      </c>
      <c r="G412" s="5" t="s">
        <v>227</v>
      </c>
      <c r="H412" s="7" t="s">
        <v>11</v>
      </c>
      <c r="I412" s="7" t="s">
        <v>291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62</v>
      </c>
      <c r="AF412" s="8">
        <v>6200</v>
      </c>
      <c r="AG412" s="7">
        <v>0</v>
      </c>
      <c r="AH412" s="7">
        <v>0</v>
      </c>
      <c r="AI412" s="7">
        <v>0</v>
      </c>
      <c r="AJ412" s="7">
        <v>0</v>
      </c>
      <c r="AK412" s="7">
        <v>8</v>
      </c>
      <c r="AL412" s="7">
        <v>960</v>
      </c>
      <c r="AM412" s="7">
        <v>0</v>
      </c>
      <c r="AN412" s="7">
        <v>288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10">
        <v>7160</v>
      </c>
      <c r="AV412" s="15">
        <f t="shared" si="24"/>
        <v>6872</v>
      </c>
      <c r="AW412" s="16">
        <f t="shared" si="25"/>
        <v>4810.3999999999996</v>
      </c>
    </row>
    <row r="413" spans="1:49" ht="19.2" x14ac:dyDescent="0.4">
      <c r="A413" s="5" t="s">
        <v>201</v>
      </c>
      <c r="B413" s="5" t="s">
        <v>336</v>
      </c>
      <c r="C413" s="5">
        <v>378409</v>
      </c>
      <c r="D413" s="6"/>
      <c r="E413" s="5" t="s">
        <v>16</v>
      </c>
      <c r="F413" s="5" t="s">
        <v>226</v>
      </c>
      <c r="G413" s="5" t="s">
        <v>227</v>
      </c>
      <c r="H413" s="7" t="s">
        <v>11</v>
      </c>
      <c r="I413" s="7" t="s">
        <v>337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40</v>
      </c>
      <c r="AL413" s="7">
        <v>0</v>
      </c>
      <c r="AM413" s="8">
        <v>4000</v>
      </c>
      <c r="AN413" s="7">
        <v>0</v>
      </c>
      <c r="AO413" s="7">
        <v>0</v>
      </c>
      <c r="AP413" s="7">
        <v>0</v>
      </c>
      <c r="AQ413" s="7">
        <v>0</v>
      </c>
      <c r="AR413" s="7">
        <v>29</v>
      </c>
      <c r="AS413" s="8">
        <v>2900</v>
      </c>
      <c r="AT413" s="7">
        <v>0</v>
      </c>
      <c r="AU413" s="10">
        <v>6900</v>
      </c>
      <c r="AV413" s="15">
        <f t="shared" si="24"/>
        <v>6900</v>
      </c>
      <c r="AW413" s="16">
        <f t="shared" si="25"/>
        <v>4830</v>
      </c>
    </row>
    <row r="414" spans="1:49" ht="19.2" x14ac:dyDescent="0.4">
      <c r="A414" s="5" t="s">
        <v>201</v>
      </c>
      <c r="B414" s="5" t="s">
        <v>250</v>
      </c>
      <c r="C414" s="5">
        <v>359912</v>
      </c>
      <c r="D414" s="6"/>
      <c r="E414" s="5" t="s">
        <v>16</v>
      </c>
      <c r="F414" s="5" t="s">
        <v>251</v>
      </c>
      <c r="G414" s="5" t="s">
        <v>227</v>
      </c>
      <c r="H414" s="7" t="s">
        <v>11</v>
      </c>
      <c r="I414" s="7" t="s">
        <v>252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34</v>
      </c>
      <c r="AF414" s="8">
        <v>3300</v>
      </c>
      <c r="AG414" s="7">
        <v>100</v>
      </c>
      <c r="AH414" s="7">
        <v>0</v>
      </c>
      <c r="AI414" s="7">
        <v>0</v>
      </c>
      <c r="AJ414" s="7">
        <v>0</v>
      </c>
      <c r="AK414" s="7">
        <v>16</v>
      </c>
      <c r="AL414" s="8">
        <v>1920</v>
      </c>
      <c r="AM414" s="7">
        <v>0</v>
      </c>
      <c r="AN414" s="7">
        <v>576</v>
      </c>
      <c r="AO414" s="7">
        <v>0</v>
      </c>
      <c r="AP414" s="7">
        <v>0</v>
      </c>
      <c r="AQ414" s="7">
        <v>0</v>
      </c>
      <c r="AR414" s="7">
        <v>13</v>
      </c>
      <c r="AS414" s="8">
        <v>1300</v>
      </c>
      <c r="AT414" s="7">
        <v>0</v>
      </c>
      <c r="AU414" s="10">
        <v>6620</v>
      </c>
      <c r="AV414" s="15">
        <f t="shared" si="24"/>
        <v>6044</v>
      </c>
      <c r="AW414" s="16">
        <f t="shared" si="25"/>
        <v>4230.8</v>
      </c>
    </row>
    <row r="415" spans="1:49" ht="19.2" x14ac:dyDescent="0.4">
      <c r="A415" s="5" t="s">
        <v>201</v>
      </c>
      <c r="B415" s="5" t="s">
        <v>368</v>
      </c>
      <c r="C415" s="5">
        <v>355320</v>
      </c>
      <c r="D415" s="6"/>
      <c r="E415" s="5" t="s">
        <v>16</v>
      </c>
      <c r="F415" s="5" t="s">
        <v>369</v>
      </c>
      <c r="G415" s="5" t="s">
        <v>227</v>
      </c>
      <c r="H415" s="7" t="s">
        <v>11</v>
      </c>
      <c r="I415" s="7" t="s">
        <v>324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62</v>
      </c>
      <c r="AF415" s="8">
        <v>4700</v>
      </c>
      <c r="AG415" s="8">
        <v>1500</v>
      </c>
      <c r="AH415" s="7">
        <v>0</v>
      </c>
      <c r="AI415" s="7">
        <v>0</v>
      </c>
      <c r="AJ415" s="7">
        <v>0</v>
      </c>
      <c r="AK415" s="7">
        <v>4</v>
      </c>
      <c r="AL415" s="7">
        <v>0</v>
      </c>
      <c r="AM415" s="7">
        <v>400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10">
        <v>6600</v>
      </c>
      <c r="AV415" s="15">
        <f t="shared" si="24"/>
        <v>6600</v>
      </c>
      <c r="AW415" s="16">
        <f t="shared" si="25"/>
        <v>4620</v>
      </c>
    </row>
    <row r="416" spans="1:49" ht="19.2" x14ac:dyDescent="0.4">
      <c r="A416" s="5" t="s">
        <v>201</v>
      </c>
      <c r="B416" s="5" t="s">
        <v>330</v>
      </c>
      <c r="C416" s="5">
        <v>445862</v>
      </c>
      <c r="D416" s="6"/>
      <c r="E416" s="5" t="s">
        <v>16</v>
      </c>
      <c r="F416" s="5" t="s">
        <v>226</v>
      </c>
      <c r="G416" s="5" t="s">
        <v>227</v>
      </c>
      <c r="H416" s="7" t="s">
        <v>11</v>
      </c>
      <c r="I416" s="7" t="s">
        <v>293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7">
        <v>0</v>
      </c>
      <c r="AP416" s="7">
        <v>0</v>
      </c>
      <c r="AQ416" s="7">
        <v>0</v>
      </c>
      <c r="AR416" s="7">
        <v>3</v>
      </c>
      <c r="AS416" s="8">
        <v>6600</v>
      </c>
      <c r="AT416" s="7">
        <v>0</v>
      </c>
      <c r="AU416" s="10">
        <v>6600</v>
      </c>
      <c r="AV416" s="15">
        <f t="shared" si="24"/>
        <v>6600</v>
      </c>
      <c r="AW416" s="16">
        <f t="shared" si="25"/>
        <v>4620</v>
      </c>
    </row>
    <row r="417" spans="1:49" ht="19.2" x14ac:dyDescent="0.4">
      <c r="A417" s="5" t="s">
        <v>201</v>
      </c>
      <c r="B417" s="5" t="s">
        <v>210</v>
      </c>
      <c r="C417" s="5">
        <v>463950</v>
      </c>
      <c r="D417" s="6"/>
      <c r="E417" s="5" t="s">
        <v>16</v>
      </c>
      <c r="F417" s="5" t="s">
        <v>211</v>
      </c>
      <c r="G417" s="5" t="s">
        <v>13</v>
      </c>
      <c r="H417" s="7" t="s">
        <v>8</v>
      </c>
      <c r="I417" s="7" t="s">
        <v>209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2</v>
      </c>
      <c r="AF417" s="8">
        <v>6400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10">
        <v>6400</v>
      </c>
      <c r="AV417" s="15">
        <f t="shared" si="24"/>
        <v>6400</v>
      </c>
      <c r="AW417" s="16">
        <f t="shared" si="25"/>
        <v>4480</v>
      </c>
    </row>
    <row r="418" spans="1:49" ht="19.2" x14ac:dyDescent="0.4">
      <c r="A418" s="5" t="s">
        <v>201</v>
      </c>
      <c r="B418" s="5" t="s">
        <v>501</v>
      </c>
      <c r="C418" s="5">
        <v>336995</v>
      </c>
      <c r="D418" s="6"/>
      <c r="E418" s="5" t="s">
        <v>16</v>
      </c>
      <c r="F418" s="5" t="s">
        <v>295</v>
      </c>
      <c r="G418" s="5" t="s">
        <v>227</v>
      </c>
      <c r="H418" s="7" t="s">
        <v>11</v>
      </c>
      <c r="I418" s="7" t="s">
        <v>502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6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64</v>
      </c>
      <c r="AF418" s="8">
        <v>6400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7">
        <v>0</v>
      </c>
      <c r="AR418" s="7">
        <v>0</v>
      </c>
      <c r="AS418" s="7">
        <v>0</v>
      </c>
      <c r="AT418" s="7">
        <v>0</v>
      </c>
      <c r="AU418" s="10">
        <v>6400</v>
      </c>
      <c r="AV418" s="15">
        <f t="shared" si="24"/>
        <v>6400</v>
      </c>
      <c r="AW418" s="16">
        <f t="shared" si="25"/>
        <v>4480</v>
      </c>
    </row>
    <row r="419" spans="1:49" ht="19.2" x14ac:dyDescent="0.4">
      <c r="A419" s="5" t="s">
        <v>201</v>
      </c>
      <c r="B419" s="5" t="s">
        <v>374</v>
      </c>
      <c r="C419" s="5">
        <v>458432</v>
      </c>
      <c r="D419" s="6"/>
      <c r="E419" s="5" t="s">
        <v>16</v>
      </c>
      <c r="F419" s="5" t="s">
        <v>267</v>
      </c>
      <c r="G419" s="5" t="s">
        <v>227</v>
      </c>
      <c r="H419" s="7" t="s">
        <v>122</v>
      </c>
      <c r="I419" s="7" t="s">
        <v>375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1</v>
      </c>
      <c r="AF419" s="8">
        <v>3000</v>
      </c>
      <c r="AG419" s="7">
        <v>0</v>
      </c>
      <c r="AH419" s="7">
        <v>0</v>
      </c>
      <c r="AI419" s="7">
        <v>0</v>
      </c>
      <c r="AJ419" s="7">
        <v>0</v>
      </c>
      <c r="AK419" s="7">
        <v>1</v>
      </c>
      <c r="AL419" s="7">
        <v>0</v>
      </c>
      <c r="AM419" s="8">
        <v>3000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10">
        <v>6000</v>
      </c>
      <c r="AV419" s="15">
        <f t="shared" si="24"/>
        <v>6000</v>
      </c>
      <c r="AW419" s="16">
        <f t="shared" si="25"/>
        <v>4200</v>
      </c>
    </row>
    <row r="420" spans="1:49" ht="19.2" x14ac:dyDescent="0.4">
      <c r="A420" s="5" t="s">
        <v>201</v>
      </c>
      <c r="B420" s="5" t="s">
        <v>411</v>
      </c>
      <c r="C420" s="5">
        <v>452403</v>
      </c>
      <c r="D420" s="6"/>
      <c r="E420" s="5" t="s">
        <v>16</v>
      </c>
      <c r="F420" s="5" t="s">
        <v>397</v>
      </c>
      <c r="G420" s="5" t="s">
        <v>227</v>
      </c>
      <c r="H420" s="7" t="s">
        <v>11</v>
      </c>
      <c r="I420" s="7" t="s">
        <v>412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2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53</v>
      </c>
      <c r="AL420" s="8">
        <v>3861</v>
      </c>
      <c r="AM420" s="8">
        <v>2000</v>
      </c>
      <c r="AN420" s="9">
        <v>1158.3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10">
        <v>5861</v>
      </c>
      <c r="AV420" s="15">
        <f t="shared" si="24"/>
        <v>4702.7</v>
      </c>
      <c r="AW420" s="16">
        <f t="shared" si="25"/>
        <v>3291.89</v>
      </c>
    </row>
    <row r="421" spans="1:49" ht="19.2" x14ac:dyDescent="0.4">
      <c r="A421" s="5" t="s">
        <v>201</v>
      </c>
      <c r="B421" s="5" t="s">
        <v>359</v>
      </c>
      <c r="C421" s="5">
        <v>415992</v>
      </c>
      <c r="D421" s="6"/>
      <c r="E421" s="5" t="s">
        <v>16</v>
      </c>
      <c r="F421" s="5" t="s">
        <v>238</v>
      </c>
      <c r="G421" s="5" t="s">
        <v>227</v>
      </c>
      <c r="H421" s="7" t="s">
        <v>11</v>
      </c>
      <c r="I421" s="7" t="s">
        <v>360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3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7">
        <v>0</v>
      </c>
      <c r="AR421" s="7">
        <v>49</v>
      </c>
      <c r="AS421" s="8">
        <v>4900</v>
      </c>
      <c r="AT421" s="7">
        <v>0</v>
      </c>
      <c r="AU421" s="10">
        <v>4900</v>
      </c>
      <c r="AV421" s="15">
        <f t="shared" si="24"/>
        <v>4900</v>
      </c>
      <c r="AW421" s="16">
        <f t="shared" si="25"/>
        <v>3430</v>
      </c>
    </row>
    <row r="422" spans="1:49" ht="19.2" x14ac:dyDescent="0.4">
      <c r="A422" s="5" t="s">
        <v>201</v>
      </c>
      <c r="B422" s="5" t="s">
        <v>349</v>
      </c>
      <c r="C422" s="5">
        <v>358202</v>
      </c>
      <c r="D422" s="6"/>
      <c r="E422" s="5" t="s">
        <v>16</v>
      </c>
      <c r="F422" s="5" t="s">
        <v>290</v>
      </c>
      <c r="G422" s="5" t="s">
        <v>227</v>
      </c>
      <c r="H422" s="7" t="s">
        <v>11</v>
      </c>
      <c r="I422" s="7" t="s">
        <v>350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41</v>
      </c>
      <c r="AL422" s="8">
        <v>4680</v>
      </c>
      <c r="AM422" s="7">
        <v>200</v>
      </c>
      <c r="AN422" s="9">
        <v>1404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0</v>
      </c>
      <c r="AU422" s="10">
        <v>4880</v>
      </c>
      <c r="AV422" s="15">
        <f t="shared" si="24"/>
        <v>3476</v>
      </c>
      <c r="AW422" s="16">
        <f t="shared" si="25"/>
        <v>2433.1999999999998</v>
      </c>
    </row>
    <row r="423" spans="1:49" ht="19.2" x14ac:dyDescent="0.4">
      <c r="A423" s="5" t="s">
        <v>201</v>
      </c>
      <c r="B423" s="5" t="s">
        <v>346</v>
      </c>
      <c r="C423" s="5">
        <v>415993</v>
      </c>
      <c r="D423" s="6"/>
      <c r="E423" s="5" t="s">
        <v>16</v>
      </c>
      <c r="F423" s="5" t="s">
        <v>218</v>
      </c>
      <c r="G423" s="5" t="s">
        <v>13</v>
      </c>
      <c r="H423" s="7" t="s">
        <v>8</v>
      </c>
      <c r="I423" s="7" t="s">
        <v>246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2</v>
      </c>
      <c r="AP423" s="8">
        <v>4800</v>
      </c>
      <c r="AQ423" s="7">
        <v>0</v>
      </c>
      <c r="AR423" s="7">
        <v>0</v>
      </c>
      <c r="AS423" s="7">
        <v>0</v>
      </c>
      <c r="AT423" s="7">
        <v>0</v>
      </c>
      <c r="AU423" s="10">
        <v>4800</v>
      </c>
      <c r="AV423" s="15">
        <f t="shared" si="24"/>
        <v>4800</v>
      </c>
      <c r="AW423" s="16">
        <f t="shared" si="25"/>
        <v>3360</v>
      </c>
    </row>
    <row r="424" spans="1:49" ht="19.2" x14ac:dyDescent="0.4">
      <c r="A424" s="5" t="s">
        <v>201</v>
      </c>
      <c r="B424" s="5" t="s">
        <v>51</v>
      </c>
      <c r="C424" s="5">
        <v>406849</v>
      </c>
      <c r="D424" s="6"/>
      <c r="E424" s="5" t="s">
        <v>16</v>
      </c>
      <c r="F424" s="5" t="s">
        <v>52</v>
      </c>
      <c r="G424" s="5" t="s">
        <v>13</v>
      </c>
      <c r="H424" s="7" t="s">
        <v>8</v>
      </c>
      <c r="I424" s="7" t="s">
        <v>53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3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39</v>
      </c>
      <c r="AF424" s="8">
        <v>3900</v>
      </c>
      <c r="AG424" s="7">
        <v>0</v>
      </c>
      <c r="AH424" s="7">
        <v>0</v>
      </c>
      <c r="AI424" s="7">
        <v>0</v>
      </c>
      <c r="AJ424" s="7">
        <v>0</v>
      </c>
      <c r="AK424" s="7">
        <v>8</v>
      </c>
      <c r="AL424" s="7">
        <v>0</v>
      </c>
      <c r="AM424" s="7">
        <v>800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10">
        <v>4700</v>
      </c>
      <c r="AV424" s="15">
        <f t="shared" si="24"/>
        <v>4700</v>
      </c>
      <c r="AW424" s="16">
        <f t="shared" si="25"/>
        <v>3290</v>
      </c>
    </row>
    <row r="425" spans="1:49" ht="19.2" x14ac:dyDescent="0.4">
      <c r="A425" s="5" t="s">
        <v>201</v>
      </c>
      <c r="B425" s="5" t="s">
        <v>259</v>
      </c>
      <c r="C425" s="5">
        <v>394830</v>
      </c>
      <c r="D425" s="6"/>
      <c r="E425" s="5" t="s">
        <v>16</v>
      </c>
      <c r="F425" s="5" t="s">
        <v>238</v>
      </c>
      <c r="G425" s="5" t="s">
        <v>227</v>
      </c>
      <c r="H425" s="7" t="s">
        <v>11</v>
      </c>
      <c r="I425" s="7" t="s">
        <v>260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1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9</v>
      </c>
      <c r="AF425" s="7">
        <v>900</v>
      </c>
      <c r="AG425" s="7">
        <v>0</v>
      </c>
      <c r="AH425" s="7">
        <v>0</v>
      </c>
      <c r="AI425" s="7">
        <v>0</v>
      </c>
      <c r="AJ425" s="7">
        <v>0</v>
      </c>
      <c r="AK425" s="7">
        <v>23</v>
      </c>
      <c r="AL425" s="8">
        <v>2760</v>
      </c>
      <c r="AM425" s="7">
        <v>0</v>
      </c>
      <c r="AN425" s="7">
        <v>828</v>
      </c>
      <c r="AO425" s="7">
        <v>0</v>
      </c>
      <c r="AP425" s="7">
        <v>0</v>
      </c>
      <c r="AQ425" s="7">
        <v>0</v>
      </c>
      <c r="AR425" s="7">
        <v>9</v>
      </c>
      <c r="AS425" s="7">
        <v>900</v>
      </c>
      <c r="AT425" s="7">
        <v>0</v>
      </c>
      <c r="AU425" s="10">
        <v>4560</v>
      </c>
      <c r="AV425" s="15">
        <f t="shared" si="24"/>
        <v>3732</v>
      </c>
      <c r="AW425" s="16">
        <f t="shared" si="25"/>
        <v>2612.3999999999996</v>
      </c>
    </row>
    <row r="426" spans="1:49" ht="19.2" x14ac:dyDescent="0.4">
      <c r="A426" s="5" t="s">
        <v>201</v>
      </c>
      <c r="B426" s="5" t="s">
        <v>77</v>
      </c>
      <c r="C426" s="5">
        <v>419744</v>
      </c>
      <c r="D426" s="6"/>
      <c r="E426" s="5" t="s">
        <v>16</v>
      </c>
      <c r="F426" s="5" t="s">
        <v>78</v>
      </c>
      <c r="G426" s="5" t="s">
        <v>13</v>
      </c>
      <c r="H426" s="7" t="s">
        <v>8</v>
      </c>
      <c r="I426" s="7" t="s">
        <v>160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39</v>
      </c>
      <c r="AL426" s="8">
        <v>3600</v>
      </c>
      <c r="AM426" s="7">
        <v>900</v>
      </c>
      <c r="AN426" s="9">
        <v>1080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10">
        <v>4500</v>
      </c>
      <c r="AV426" s="15">
        <f t="shared" si="24"/>
        <v>3420</v>
      </c>
      <c r="AW426" s="16">
        <f t="shared" si="25"/>
        <v>2394</v>
      </c>
    </row>
    <row r="427" spans="1:49" ht="19.2" x14ac:dyDescent="0.4">
      <c r="A427" s="5" t="s">
        <v>201</v>
      </c>
      <c r="B427" s="5" t="s">
        <v>294</v>
      </c>
      <c r="C427" s="5">
        <v>399034</v>
      </c>
      <c r="D427" s="6"/>
      <c r="E427" s="5" t="s">
        <v>16</v>
      </c>
      <c r="F427" s="5" t="s">
        <v>295</v>
      </c>
      <c r="G427" s="5" t="s">
        <v>227</v>
      </c>
      <c r="H427" s="7" t="s">
        <v>11</v>
      </c>
      <c r="I427" s="7" t="s">
        <v>296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37</v>
      </c>
      <c r="AL427" s="8">
        <v>4440</v>
      </c>
      <c r="AM427" s="7">
        <v>0</v>
      </c>
      <c r="AN427" s="9">
        <v>1332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10">
        <v>4440</v>
      </c>
      <c r="AV427" s="15">
        <f t="shared" si="24"/>
        <v>3108</v>
      </c>
      <c r="AW427" s="16">
        <f t="shared" si="25"/>
        <v>2175.6</v>
      </c>
    </row>
    <row r="428" spans="1:49" ht="19.2" x14ac:dyDescent="0.4">
      <c r="A428" s="5" t="s">
        <v>201</v>
      </c>
      <c r="B428" s="5" t="s">
        <v>57</v>
      </c>
      <c r="C428" s="5">
        <v>316658</v>
      </c>
      <c r="D428" s="6"/>
      <c r="E428" s="5" t="s">
        <v>16</v>
      </c>
      <c r="F428" s="5" t="s">
        <v>19</v>
      </c>
      <c r="G428" s="5" t="s">
        <v>13</v>
      </c>
      <c r="H428" s="7" t="s">
        <v>8</v>
      </c>
      <c r="I428" s="7" t="s">
        <v>58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40</v>
      </c>
      <c r="AF428" s="7">
        <v>200</v>
      </c>
      <c r="AG428" s="8">
        <v>3800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10">
        <v>4000</v>
      </c>
      <c r="AV428" s="15">
        <f t="shared" si="24"/>
        <v>4000</v>
      </c>
      <c r="AW428" s="16">
        <f t="shared" si="25"/>
        <v>2800</v>
      </c>
    </row>
    <row r="429" spans="1:49" ht="19.2" x14ac:dyDescent="0.4">
      <c r="A429" s="5" t="s">
        <v>201</v>
      </c>
      <c r="B429" s="5" t="s">
        <v>449</v>
      </c>
      <c r="C429" s="5">
        <v>462656</v>
      </c>
      <c r="D429" s="6"/>
      <c r="E429" s="5" t="s">
        <v>16</v>
      </c>
      <c r="F429" s="5" t="s">
        <v>290</v>
      </c>
      <c r="G429" s="5" t="s">
        <v>227</v>
      </c>
      <c r="H429" s="7" t="s">
        <v>122</v>
      </c>
      <c r="I429" s="7" t="s">
        <v>204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1</v>
      </c>
      <c r="AS429" s="8">
        <v>3800</v>
      </c>
      <c r="AT429" s="7">
        <v>0</v>
      </c>
      <c r="AU429" s="10">
        <v>3800</v>
      </c>
      <c r="AV429" s="15">
        <f t="shared" si="24"/>
        <v>3800</v>
      </c>
      <c r="AW429" s="16">
        <f t="shared" si="25"/>
        <v>2660</v>
      </c>
    </row>
    <row r="430" spans="1:49" ht="19.2" x14ac:dyDescent="0.4">
      <c r="A430" s="5" t="s">
        <v>201</v>
      </c>
      <c r="B430" s="5" t="s">
        <v>450</v>
      </c>
      <c r="C430" s="5">
        <v>428126</v>
      </c>
      <c r="D430" s="6"/>
      <c r="E430" s="5" t="s">
        <v>16</v>
      </c>
      <c r="F430" s="5" t="s">
        <v>226</v>
      </c>
      <c r="G430" s="5" t="s">
        <v>227</v>
      </c>
      <c r="H430" s="7" t="s">
        <v>122</v>
      </c>
      <c r="I430" s="7" t="s">
        <v>451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1</v>
      </c>
      <c r="AF430" s="8">
        <v>3500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10">
        <v>3500</v>
      </c>
      <c r="AV430" s="15">
        <f t="shared" si="24"/>
        <v>3500</v>
      </c>
      <c r="AW430" s="16">
        <f t="shared" si="25"/>
        <v>2450</v>
      </c>
    </row>
    <row r="431" spans="1:49" ht="19.2" x14ac:dyDescent="0.4">
      <c r="A431" s="5" t="s">
        <v>201</v>
      </c>
      <c r="B431" s="5" t="s">
        <v>439</v>
      </c>
      <c r="C431" s="5">
        <v>446880</v>
      </c>
      <c r="D431" s="6"/>
      <c r="E431" s="5" t="s">
        <v>16</v>
      </c>
      <c r="F431" s="5" t="s">
        <v>290</v>
      </c>
      <c r="G431" s="5" t="s">
        <v>227</v>
      </c>
      <c r="H431" s="7" t="s">
        <v>122</v>
      </c>
      <c r="I431" s="7" t="s">
        <v>291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1</v>
      </c>
      <c r="AF431" s="8">
        <v>3500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10">
        <v>3500</v>
      </c>
      <c r="AV431" s="15">
        <f t="shared" si="24"/>
        <v>3500</v>
      </c>
      <c r="AW431" s="16">
        <f t="shared" si="25"/>
        <v>2450</v>
      </c>
    </row>
    <row r="432" spans="1:49" ht="19.2" x14ac:dyDescent="0.4">
      <c r="A432" s="5" t="s">
        <v>201</v>
      </c>
      <c r="B432" s="5" t="s">
        <v>458</v>
      </c>
      <c r="C432" s="5">
        <v>416208</v>
      </c>
      <c r="D432" s="6"/>
      <c r="E432" s="5" t="s">
        <v>16</v>
      </c>
      <c r="F432" s="5" t="s">
        <v>290</v>
      </c>
      <c r="G432" s="5" t="s">
        <v>227</v>
      </c>
      <c r="H432" s="7" t="s">
        <v>122</v>
      </c>
      <c r="I432" s="7" t="s">
        <v>414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1</v>
      </c>
      <c r="AF432" s="8">
        <v>3500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10">
        <v>3500</v>
      </c>
      <c r="AV432" s="15">
        <f t="shared" si="24"/>
        <v>3500</v>
      </c>
      <c r="AW432" s="16">
        <f t="shared" si="25"/>
        <v>2450</v>
      </c>
    </row>
    <row r="433" spans="1:49" ht="19.2" x14ac:dyDescent="0.4">
      <c r="A433" s="5" t="s">
        <v>201</v>
      </c>
      <c r="B433" s="5" t="s">
        <v>503</v>
      </c>
      <c r="C433" s="5">
        <v>332935</v>
      </c>
      <c r="D433" s="6"/>
      <c r="E433" s="5" t="s">
        <v>16</v>
      </c>
      <c r="F433" s="5" t="s">
        <v>290</v>
      </c>
      <c r="G433" s="5" t="s">
        <v>227</v>
      </c>
      <c r="H433" s="7" t="s">
        <v>11</v>
      </c>
      <c r="I433" s="7" t="s">
        <v>504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34</v>
      </c>
      <c r="AF433" s="8">
        <v>3400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10">
        <v>3400</v>
      </c>
      <c r="AV433" s="15">
        <f t="shared" si="24"/>
        <v>3400</v>
      </c>
      <c r="AW433" s="16">
        <f t="shared" si="25"/>
        <v>2380</v>
      </c>
    </row>
    <row r="434" spans="1:49" ht="19.2" x14ac:dyDescent="0.4">
      <c r="A434" s="5" t="s">
        <v>201</v>
      </c>
      <c r="B434" s="5" t="s">
        <v>318</v>
      </c>
      <c r="C434" s="5">
        <v>363413</v>
      </c>
      <c r="D434" s="6"/>
      <c r="E434" s="5" t="s">
        <v>16</v>
      </c>
      <c r="F434" s="5" t="s">
        <v>243</v>
      </c>
      <c r="G434" s="5" t="s">
        <v>227</v>
      </c>
      <c r="H434" s="7" t="s">
        <v>11</v>
      </c>
      <c r="I434" s="7" t="s">
        <v>319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27</v>
      </c>
      <c r="AL434" s="8">
        <v>3240</v>
      </c>
      <c r="AM434" s="7">
        <v>0</v>
      </c>
      <c r="AN434" s="7">
        <v>972</v>
      </c>
      <c r="AO434" s="7">
        <v>0</v>
      </c>
      <c r="AP434" s="7">
        <v>0</v>
      </c>
      <c r="AQ434" s="7">
        <v>0</v>
      </c>
      <c r="AR434" s="7">
        <v>0</v>
      </c>
      <c r="AS434" s="7">
        <v>0</v>
      </c>
      <c r="AT434" s="7">
        <v>0</v>
      </c>
      <c r="AU434" s="10">
        <v>3240</v>
      </c>
      <c r="AV434" s="15">
        <f t="shared" si="24"/>
        <v>2268</v>
      </c>
      <c r="AW434" s="16">
        <f t="shared" si="25"/>
        <v>1587.6</v>
      </c>
    </row>
    <row r="435" spans="1:49" ht="19.2" x14ac:dyDescent="0.4">
      <c r="A435" s="5" t="s">
        <v>201</v>
      </c>
      <c r="B435" s="5" t="s">
        <v>419</v>
      </c>
      <c r="C435" s="5">
        <v>382325</v>
      </c>
      <c r="D435" s="6"/>
      <c r="E435" s="5" t="s">
        <v>16</v>
      </c>
      <c r="F435" s="5" t="s">
        <v>248</v>
      </c>
      <c r="G435" s="5" t="s">
        <v>227</v>
      </c>
      <c r="H435" s="7" t="s">
        <v>11</v>
      </c>
      <c r="I435" s="7" t="s">
        <v>420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3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32</v>
      </c>
      <c r="AS435" s="8">
        <v>3200</v>
      </c>
      <c r="AT435" s="7">
        <v>0</v>
      </c>
      <c r="AU435" s="10">
        <v>3200</v>
      </c>
      <c r="AV435" s="15">
        <f t="shared" si="24"/>
        <v>3200</v>
      </c>
      <c r="AW435" s="16">
        <f t="shared" si="25"/>
        <v>2240</v>
      </c>
    </row>
    <row r="436" spans="1:49" ht="19.2" x14ac:dyDescent="0.4">
      <c r="A436" s="5" t="s">
        <v>201</v>
      </c>
      <c r="B436" s="5" t="s">
        <v>453</v>
      </c>
      <c r="C436" s="5">
        <v>377683</v>
      </c>
      <c r="D436" s="6"/>
      <c r="E436" s="5" t="s">
        <v>16</v>
      </c>
      <c r="F436" s="5" t="s">
        <v>248</v>
      </c>
      <c r="G436" s="5" t="s">
        <v>227</v>
      </c>
      <c r="H436" s="7" t="s">
        <v>122</v>
      </c>
      <c r="I436" s="7" t="s">
        <v>454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1</v>
      </c>
      <c r="AF436" s="8">
        <v>3000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10">
        <v>3000</v>
      </c>
      <c r="AV436" s="15">
        <f t="shared" si="24"/>
        <v>3000</v>
      </c>
      <c r="AW436" s="16">
        <f t="shared" si="25"/>
        <v>2100</v>
      </c>
    </row>
    <row r="437" spans="1:49" ht="19.2" x14ac:dyDescent="0.4">
      <c r="A437" s="5" t="s">
        <v>201</v>
      </c>
      <c r="B437" s="5" t="s">
        <v>305</v>
      </c>
      <c r="C437" s="5">
        <v>382446</v>
      </c>
      <c r="D437" s="6"/>
      <c r="E437" s="5" t="s">
        <v>16</v>
      </c>
      <c r="F437" s="5" t="s">
        <v>231</v>
      </c>
      <c r="G437" s="5" t="s">
        <v>227</v>
      </c>
      <c r="H437" s="7" t="s">
        <v>11</v>
      </c>
      <c r="I437" s="7" t="s">
        <v>306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2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7</v>
      </c>
      <c r="AF437" s="7">
        <v>700</v>
      </c>
      <c r="AG437" s="7">
        <v>0</v>
      </c>
      <c r="AH437" s="7">
        <v>0</v>
      </c>
      <c r="AI437" s="7">
        <v>0</v>
      </c>
      <c r="AJ437" s="7">
        <v>0</v>
      </c>
      <c r="AK437" s="7">
        <v>18</v>
      </c>
      <c r="AL437" s="8">
        <v>2268</v>
      </c>
      <c r="AM437" s="7">
        <v>0</v>
      </c>
      <c r="AN437" s="7">
        <v>680.4</v>
      </c>
      <c r="AO437" s="7">
        <v>0</v>
      </c>
      <c r="AP437" s="7">
        <v>0</v>
      </c>
      <c r="AQ437" s="7">
        <v>0</v>
      </c>
      <c r="AR437" s="7">
        <v>0</v>
      </c>
      <c r="AS437" s="7">
        <v>0</v>
      </c>
      <c r="AT437" s="7">
        <v>0</v>
      </c>
      <c r="AU437" s="10">
        <v>2968</v>
      </c>
      <c r="AV437" s="15">
        <f t="shared" si="24"/>
        <v>2287.6</v>
      </c>
      <c r="AW437" s="16">
        <f t="shared" si="25"/>
        <v>1601.32</v>
      </c>
    </row>
    <row r="438" spans="1:49" ht="19.2" x14ac:dyDescent="0.4">
      <c r="A438" s="5" t="s">
        <v>201</v>
      </c>
      <c r="B438" s="5" t="s">
        <v>320</v>
      </c>
      <c r="C438" s="5">
        <v>353788</v>
      </c>
      <c r="D438" s="6"/>
      <c r="E438" s="5" t="s">
        <v>16</v>
      </c>
      <c r="F438" s="5" t="s">
        <v>321</v>
      </c>
      <c r="G438" s="5" t="s">
        <v>227</v>
      </c>
      <c r="H438" s="7" t="s">
        <v>11</v>
      </c>
      <c r="I438" s="7" t="s">
        <v>322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1</v>
      </c>
      <c r="AF438" s="7">
        <v>100</v>
      </c>
      <c r="AG438" s="7">
        <v>0</v>
      </c>
      <c r="AH438" s="7">
        <v>0</v>
      </c>
      <c r="AI438" s="7">
        <v>0</v>
      </c>
      <c r="AJ438" s="7">
        <v>0</v>
      </c>
      <c r="AK438" s="7">
        <v>21</v>
      </c>
      <c r="AL438" s="7">
        <v>0</v>
      </c>
      <c r="AM438" s="8">
        <v>2100</v>
      </c>
      <c r="AN438" s="7">
        <v>0</v>
      </c>
      <c r="AO438" s="7">
        <v>0</v>
      </c>
      <c r="AP438" s="7">
        <v>0</v>
      </c>
      <c r="AQ438" s="7">
        <v>0</v>
      </c>
      <c r="AR438" s="7">
        <v>7</v>
      </c>
      <c r="AS438" s="7">
        <v>700</v>
      </c>
      <c r="AT438" s="7">
        <v>0</v>
      </c>
      <c r="AU438" s="10">
        <v>2900</v>
      </c>
      <c r="AV438" s="15">
        <f t="shared" si="24"/>
        <v>2900</v>
      </c>
      <c r="AW438" s="16">
        <f t="shared" si="25"/>
        <v>2029.9999999999998</v>
      </c>
    </row>
    <row r="439" spans="1:49" ht="19.2" x14ac:dyDescent="0.4">
      <c r="A439" s="5" t="s">
        <v>201</v>
      </c>
      <c r="B439" s="5" t="s">
        <v>437</v>
      </c>
      <c r="C439" s="5">
        <v>431802</v>
      </c>
      <c r="D439" s="6"/>
      <c r="E439" s="5" t="s">
        <v>16</v>
      </c>
      <c r="F439" s="5" t="s">
        <v>267</v>
      </c>
      <c r="G439" s="5" t="s">
        <v>227</v>
      </c>
      <c r="H439" s="7" t="s">
        <v>122</v>
      </c>
      <c r="I439" s="7" t="s">
        <v>438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1</v>
      </c>
      <c r="AL439" s="8">
        <v>2880</v>
      </c>
      <c r="AM439" s="7">
        <v>0</v>
      </c>
      <c r="AN439" s="7">
        <v>864</v>
      </c>
      <c r="AO439" s="7">
        <v>0</v>
      </c>
      <c r="AP439" s="7">
        <v>0</v>
      </c>
      <c r="AQ439" s="7">
        <v>0</v>
      </c>
      <c r="AR439" s="7">
        <v>0</v>
      </c>
      <c r="AS439" s="7">
        <v>0</v>
      </c>
      <c r="AT439" s="7">
        <v>0</v>
      </c>
      <c r="AU439" s="10">
        <v>2880</v>
      </c>
      <c r="AV439" s="15">
        <f t="shared" si="24"/>
        <v>2016</v>
      </c>
      <c r="AW439" s="16">
        <f t="shared" si="25"/>
        <v>1411.1999999999998</v>
      </c>
    </row>
    <row r="440" spans="1:49" ht="19.2" x14ac:dyDescent="0.4">
      <c r="A440" s="5" t="s">
        <v>201</v>
      </c>
      <c r="B440" s="5" t="s">
        <v>421</v>
      </c>
      <c r="C440" s="5">
        <v>407003</v>
      </c>
      <c r="D440" s="6"/>
      <c r="E440" s="5" t="s">
        <v>16</v>
      </c>
      <c r="F440" s="5" t="s">
        <v>404</v>
      </c>
      <c r="G440" s="5" t="s">
        <v>227</v>
      </c>
      <c r="H440" s="7" t="s">
        <v>122</v>
      </c>
      <c r="I440" s="7" t="s">
        <v>422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3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28</v>
      </c>
      <c r="AF440" s="8">
        <v>2800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10">
        <v>2800</v>
      </c>
      <c r="AV440" s="15">
        <f t="shared" si="24"/>
        <v>2800</v>
      </c>
      <c r="AW440" s="16">
        <f t="shared" si="25"/>
        <v>1959.9999999999998</v>
      </c>
    </row>
    <row r="441" spans="1:49" ht="19.2" x14ac:dyDescent="0.4">
      <c r="A441" s="5" t="s">
        <v>201</v>
      </c>
      <c r="B441" s="5" t="s">
        <v>44</v>
      </c>
      <c r="C441" s="5">
        <v>290890</v>
      </c>
      <c r="D441" s="6"/>
      <c r="E441" s="5" t="s">
        <v>16</v>
      </c>
      <c r="F441" s="5" t="s">
        <v>17</v>
      </c>
      <c r="G441" s="5" t="s">
        <v>13</v>
      </c>
      <c r="H441" s="7" t="s">
        <v>8</v>
      </c>
      <c r="I441" s="7" t="s">
        <v>45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7">
        <v>3</v>
      </c>
      <c r="AP441" s="8">
        <v>2700</v>
      </c>
      <c r="AQ441" s="7">
        <v>0</v>
      </c>
      <c r="AR441" s="7">
        <v>0</v>
      </c>
      <c r="AS441" s="7">
        <v>0</v>
      </c>
      <c r="AT441" s="7">
        <v>0</v>
      </c>
      <c r="AU441" s="10">
        <v>2700</v>
      </c>
      <c r="AV441" s="15">
        <f t="shared" si="24"/>
        <v>2700</v>
      </c>
      <c r="AW441" s="16">
        <f t="shared" si="25"/>
        <v>1889.9999999999998</v>
      </c>
    </row>
    <row r="442" spans="1:49" ht="19.2" x14ac:dyDescent="0.4">
      <c r="A442" s="5" t="s">
        <v>201</v>
      </c>
      <c r="B442" s="5" t="s">
        <v>145</v>
      </c>
      <c r="C442" s="5">
        <v>434847</v>
      </c>
      <c r="D442" s="6"/>
      <c r="E442" s="5" t="s">
        <v>16</v>
      </c>
      <c r="F442" s="5" t="s">
        <v>146</v>
      </c>
      <c r="G442" s="5" t="s">
        <v>13</v>
      </c>
      <c r="H442" s="7" t="s">
        <v>8</v>
      </c>
      <c r="I442" s="7" t="s">
        <v>176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18</v>
      </c>
      <c r="AF442" s="8">
        <v>1800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10">
        <v>1800</v>
      </c>
      <c r="AV442" s="15">
        <f t="shared" si="24"/>
        <v>1800</v>
      </c>
      <c r="AW442" s="16">
        <f t="shared" si="25"/>
        <v>1260</v>
      </c>
    </row>
    <row r="443" spans="1:49" ht="19.2" x14ac:dyDescent="0.4">
      <c r="A443" s="5" t="s">
        <v>201</v>
      </c>
      <c r="B443" s="5" t="s">
        <v>323</v>
      </c>
      <c r="C443" s="5">
        <v>385169</v>
      </c>
      <c r="D443" s="6"/>
      <c r="E443" s="5" t="s">
        <v>16</v>
      </c>
      <c r="F443" s="5" t="s">
        <v>321</v>
      </c>
      <c r="G443" s="5" t="s">
        <v>227</v>
      </c>
      <c r="H443" s="7" t="s">
        <v>11</v>
      </c>
      <c r="I443" s="7" t="s">
        <v>324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1</v>
      </c>
      <c r="AF443" s="7">
        <v>100</v>
      </c>
      <c r="AG443" s="7">
        <v>0</v>
      </c>
      <c r="AH443" s="7">
        <v>0</v>
      </c>
      <c r="AI443" s="7">
        <v>0</v>
      </c>
      <c r="AJ443" s="7">
        <v>0</v>
      </c>
      <c r="AK443" s="7">
        <v>14</v>
      </c>
      <c r="AL443" s="7">
        <v>0</v>
      </c>
      <c r="AM443" s="8">
        <v>1400</v>
      </c>
      <c r="AN443" s="7">
        <v>0</v>
      </c>
      <c r="AO443" s="7">
        <v>0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10">
        <v>1500</v>
      </c>
      <c r="AV443" s="15">
        <f t="shared" si="24"/>
        <v>1500</v>
      </c>
      <c r="AW443" s="16">
        <f t="shared" si="25"/>
        <v>1050</v>
      </c>
    </row>
    <row r="444" spans="1:49" ht="19.2" x14ac:dyDescent="0.4">
      <c r="A444" s="5" t="s">
        <v>201</v>
      </c>
      <c r="B444" s="5" t="s">
        <v>217</v>
      </c>
      <c r="C444" s="5">
        <v>388508</v>
      </c>
      <c r="D444" s="6"/>
      <c r="E444" s="5" t="s">
        <v>16</v>
      </c>
      <c r="F444" s="5" t="s">
        <v>218</v>
      </c>
      <c r="G444" s="5" t="s">
        <v>13</v>
      </c>
      <c r="H444" s="7" t="s">
        <v>8</v>
      </c>
      <c r="I444" s="7" t="s">
        <v>219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8</v>
      </c>
      <c r="AF444" s="7">
        <v>800</v>
      </c>
      <c r="AG444" s="7">
        <v>0</v>
      </c>
      <c r="AH444" s="7">
        <v>0</v>
      </c>
      <c r="AI444" s="7">
        <v>0</v>
      </c>
      <c r="AJ444" s="7">
        <v>0</v>
      </c>
      <c r="AK444" s="7">
        <v>4</v>
      </c>
      <c r="AL444" s="7">
        <v>480</v>
      </c>
      <c r="AM444" s="7">
        <v>0</v>
      </c>
      <c r="AN444" s="7">
        <v>144</v>
      </c>
      <c r="AO444" s="7">
        <v>0</v>
      </c>
      <c r="AP444" s="7">
        <v>0</v>
      </c>
      <c r="AQ444" s="7">
        <v>0</v>
      </c>
      <c r="AR444" s="7">
        <v>0</v>
      </c>
      <c r="AS444" s="7">
        <v>0</v>
      </c>
      <c r="AT444" s="7">
        <v>0</v>
      </c>
      <c r="AU444" s="10">
        <v>1280</v>
      </c>
      <c r="AV444" s="15">
        <f t="shared" si="24"/>
        <v>1136</v>
      </c>
      <c r="AW444" s="16">
        <f t="shared" si="25"/>
        <v>795.19999999999993</v>
      </c>
    </row>
    <row r="445" spans="1:49" ht="19.2" x14ac:dyDescent="0.4">
      <c r="A445" s="5" t="s">
        <v>201</v>
      </c>
      <c r="B445" s="5" t="s">
        <v>316</v>
      </c>
      <c r="C445" s="5">
        <v>376361</v>
      </c>
      <c r="D445" s="6"/>
      <c r="E445" s="5" t="s">
        <v>16</v>
      </c>
      <c r="F445" s="5" t="s">
        <v>226</v>
      </c>
      <c r="G445" s="5" t="s">
        <v>227</v>
      </c>
      <c r="H445" s="7" t="s">
        <v>11</v>
      </c>
      <c r="I445" s="7" t="s">
        <v>317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8</v>
      </c>
      <c r="AF445" s="7">
        <v>800</v>
      </c>
      <c r="AG445" s="7">
        <v>0</v>
      </c>
      <c r="AH445" s="7">
        <v>0</v>
      </c>
      <c r="AI445" s="7">
        <v>0</v>
      </c>
      <c r="AJ445" s="7">
        <v>0</v>
      </c>
      <c r="AK445" s="7">
        <v>4</v>
      </c>
      <c r="AL445" s="7">
        <v>480</v>
      </c>
      <c r="AM445" s="7">
        <v>0</v>
      </c>
      <c r="AN445" s="7">
        <v>144</v>
      </c>
      <c r="AO445" s="7">
        <v>0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10">
        <v>1280</v>
      </c>
      <c r="AV445" s="15">
        <f t="shared" si="24"/>
        <v>1136</v>
      </c>
      <c r="AW445" s="16">
        <f t="shared" si="25"/>
        <v>795.19999999999993</v>
      </c>
    </row>
    <row r="446" spans="1:49" ht="19.2" x14ac:dyDescent="0.4">
      <c r="A446" s="5" t="s">
        <v>201</v>
      </c>
      <c r="B446" s="5" t="s">
        <v>415</v>
      </c>
      <c r="C446" s="5">
        <v>336316</v>
      </c>
      <c r="D446" s="6"/>
      <c r="E446" s="5" t="s">
        <v>16</v>
      </c>
      <c r="F446" s="5" t="s">
        <v>416</v>
      </c>
      <c r="G446" s="5" t="s">
        <v>227</v>
      </c>
      <c r="H446" s="7" t="s">
        <v>11</v>
      </c>
      <c r="I446" s="7" t="s">
        <v>417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1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9</v>
      </c>
      <c r="AF446" s="7">
        <v>900</v>
      </c>
      <c r="AG446" s="7">
        <v>0</v>
      </c>
      <c r="AH446" s="7">
        <v>0</v>
      </c>
      <c r="AI446" s="7">
        <v>0</v>
      </c>
      <c r="AJ446" s="7">
        <v>0</v>
      </c>
      <c r="AK446" s="7">
        <v>1</v>
      </c>
      <c r="AL446" s="7">
        <v>0</v>
      </c>
      <c r="AM446" s="7">
        <v>100</v>
      </c>
      <c r="AN446" s="7">
        <v>0</v>
      </c>
      <c r="AO446" s="7">
        <v>0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10">
        <v>1000</v>
      </c>
      <c r="AV446" s="15">
        <f t="shared" si="24"/>
        <v>1000</v>
      </c>
      <c r="AW446" s="16">
        <f t="shared" si="25"/>
        <v>700</v>
      </c>
    </row>
    <row r="447" spans="1:49" ht="19.2" x14ac:dyDescent="0.4">
      <c r="A447" s="5" t="s">
        <v>201</v>
      </c>
      <c r="B447" s="5" t="s">
        <v>117</v>
      </c>
      <c r="C447" s="5">
        <v>429538</v>
      </c>
      <c r="D447" s="6"/>
      <c r="E447" s="5" t="s">
        <v>16</v>
      </c>
      <c r="F447" s="5" t="s">
        <v>111</v>
      </c>
      <c r="G447" s="5" t="s">
        <v>13</v>
      </c>
      <c r="H447" s="7" t="s">
        <v>8</v>
      </c>
      <c r="I447" s="7" t="s">
        <v>116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1</v>
      </c>
      <c r="AF447" s="8">
        <v>1000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10">
        <v>1000</v>
      </c>
      <c r="AV447" s="15">
        <f t="shared" si="24"/>
        <v>1000</v>
      </c>
      <c r="AW447" s="16">
        <f t="shared" si="25"/>
        <v>700</v>
      </c>
    </row>
    <row r="448" spans="1:49" ht="19.2" x14ac:dyDescent="0.4">
      <c r="A448" s="5" t="s">
        <v>201</v>
      </c>
      <c r="B448" s="5" t="s">
        <v>347</v>
      </c>
      <c r="C448" s="5">
        <v>427091</v>
      </c>
      <c r="D448" s="6"/>
      <c r="E448" s="5" t="s">
        <v>16</v>
      </c>
      <c r="F448" s="5" t="s">
        <v>238</v>
      </c>
      <c r="G448" s="5" t="s">
        <v>227</v>
      </c>
      <c r="H448" s="7" t="s">
        <v>11</v>
      </c>
      <c r="I448" s="7" t="s">
        <v>348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9</v>
      </c>
      <c r="AF448" s="7">
        <v>900</v>
      </c>
      <c r="AG448" s="7">
        <v>0</v>
      </c>
      <c r="AH448" s="7">
        <v>0</v>
      </c>
      <c r="AI448" s="7">
        <v>0</v>
      </c>
      <c r="AJ448" s="7">
        <v>0</v>
      </c>
      <c r="AK448" s="7">
        <v>0</v>
      </c>
      <c r="AL448" s="7">
        <v>0</v>
      </c>
      <c r="AM448" s="7">
        <v>0</v>
      </c>
      <c r="AN448" s="7">
        <v>0</v>
      </c>
      <c r="AO448" s="7">
        <v>0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11">
        <v>900</v>
      </c>
      <c r="AV448" s="15">
        <f t="shared" si="24"/>
        <v>900</v>
      </c>
      <c r="AW448" s="16">
        <f t="shared" si="25"/>
        <v>630</v>
      </c>
    </row>
    <row r="449" spans="1:49" ht="19.2" x14ac:dyDescent="0.4">
      <c r="A449" s="5" t="s">
        <v>201</v>
      </c>
      <c r="B449" s="5" t="s">
        <v>104</v>
      </c>
      <c r="C449" s="5">
        <v>428319</v>
      </c>
      <c r="D449" s="6"/>
      <c r="E449" s="5" t="s">
        <v>16</v>
      </c>
      <c r="F449" s="5" t="s">
        <v>80</v>
      </c>
      <c r="G449" s="5" t="s">
        <v>13</v>
      </c>
      <c r="H449" s="7" t="s">
        <v>8</v>
      </c>
      <c r="I449" s="7" t="s">
        <v>103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8</v>
      </c>
      <c r="AF449" s="7">
        <v>0</v>
      </c>
      <c r="AG449" s="7">
        <v>800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11">
        <v>800</v>
      </c>
      <c r="AV449" s="15">
        <f t="shared" si="24"/>
        <v>800</v>
      </c>
      <c r="AW449" s="16">
        <f t="shared" si="25"/>
        <v>560</v>
      </c>
    </row>
    <row r="450" spans="1:49" ht="19.2" x14ac:dyDescent="0.4">
      <c r="A450" s="5" t="s">
        <v>201</v>
      </c>
      <c r="B450" s="5" t="s">
        <v>335</v>
      </c>
      <c r="C450" s="5">
        <v>408191</v>
      </c>
      <c r="D450" s="6"/>
      <c r="E450" s="5" t="s">
        <v>16</v>
      </c>
      <c r="F450" s="5" t="s">
        <v>267</v>
      </c>
      <c r="G450" s="5" t="s">
        <v>227</v>
      </c>
      <c r="H450" s="7" t="s">
        <v>11</v>
      </c>
      <c r="I450" s="7" t="s">
        <v>35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5</v>
      </c>
      <c r="AF450" s="7">
        <v>500</v>
      </c>
      <c r="AG450" s="7">
        <v>0</v>
      </c>
      <c r="AH450" s="7">
        <v>0</v>
      </c>
      <c r="AI450" s="7">
        <v>0</v>
      </c>
      <c r="AJ450" s="7">
        <v>0</v>
      </c>
      <c r="AK450" s="7">
        <v>2</v>
      </c>
      <c r="AL450" s="7">
        <v>0</v>
      </c>
      <c r="AM450" s="7">
        <v>200</v>
      </c>
      <c r="AN450" s="7">
        <v>0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11">
        <v>700</v>
      </c>
      <c r="AV450" s="15">
        <f t="shared" si="24"/>
        <v>700</v>
      </c>
      <c r="AW450" s="16">
        <f t="shared" si="25"/>
        <v>489.99999999999994</v>
      </c>
    </row>
    <row r="451" spans="1:49" ht="19.2" x14ac:dyDescent="0.4">
      <c r="A451" s="5" t="s">
        <v>201</v>
      </c>
      <c r="B451" s="5" t="s">
        <v>177</v>
      </c>
      <c r="C451" s="5">
        <v>450457</v>
      </c>
      <c r="D451" s="6"/>
      <c r="E451" s="5" t="s">
        <v>16</v>
      </c>
      <c r="F451" s="5" t="s">
        <v>178</v>
      </c>
      <c r="G451" s="5" t="s">
        <v>13</v>
      </c>
      <c r="H451" s="7" t="s">
        <v>8</v>
      </c>
      <c r="I451" s="7" t="s">
        <v>354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5</v>
      </c>
      <c r="AL451" s="7">
        <v>0</v>
      </c>
      <c r="AM451" s="7">
        <v>500</v>
      </c>
      <c r="AN451" s="7">
        <v>0</v>
      </c>
      <c r="AO451" s="7">
        <v>0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11">
        <v>500</v>
      </c>
      <c r="AV451" s="15">
        <f t="shared" si="24"/>
        <v>500</v>
      </c>
      <c r="AW451" s="16">
        <f t="shared" si="25"/>
        <v>350</v>
      </c>
    </row>
    <row r="452" spans="1:49" ht="19.2" x14ac:dyDescent="0.4">
      <c r="A452" s="5" t="s">
        <v>201</v>
      </c>
      <c r="B452" s="5" t="s">
        <v>362</v>
      </c>
      <c r="C452" s="5">
        <v>328894</v>
      </c>
      <c r="D452" s="6"/>
      <c r="E452" s="5" t="s">
        <v>16</v>
      </c>
      <c r="F452" s="5" t="s">
        <v>321</v>
      </c>
      <c r="G452" s="5" t="s">
        <v>227</v>
      </c>
      <c r="H452" s="7" t="s">
        <v>11</v>
      </c>
      <c r="I452" s="7" t="s">
        <v>363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2</v>
      </c>
      <c r="AF452" s="7">
        <v>200</v>
      </c>
      <c r="AG452" s="7">
        <v>0</v>
      </c>
      <c r="AH452" s="7">
        <v>0</v>
      </c>
      <c r="AI452" s="7">
        <v>0</v>
      </c>
      <c r="AJ452" s="7">
        <v>0</v>
      </c>
      <c r="AK452" s="7">
        <v>2</v>
      </c>
      <c r="AL452" s="7">
        <v>240</v>
      </c>
      <c r="AM452" s="7">
        <v>0</v>
      </c>
      <c r="AN452" s="7">
        <v>72</v>
      </c>
      <c r="AO452" s="7">
        <v>0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11">
        <v>440</v>
      </c>
      <c r="AV452" s="15">
        <f t="shared" si="24"/>
        <v>368</v>
      </c>
      <c r="AW452" s="16">
        <f t="shared" si="25"/>
        <v>257.59999999999997</v>
      </c>
    </row>
    <row r="453" spans="1:49" ht="19.2" x14ac:dyDescent="0.4">
      <c r="A453" s="5" t="s">
        <v>201</v>
      </c>
      <c r="B453" s="5" t="s">
        <v>314</v>
      </c>
      <c r="C453" s="5">
        <v>370192</v>
      </c>
      <c r="D453" s="6"/>
      <c r="E453" s="5" t="s">
        <v>16</v>
      </c>
      <c r="F453" s="5" t="s">
        <v>251</v>
      </c>
      <c r="G453" s="5" t="s">
        <v>227</v>
      </c>
      <c r="H453" s="7" t="s">
        <v>11</v>
      </c>
      <c r="I453" s="7" t="s">
        <v>315</v>
      </c>
      <c r="J453" s="7">
        <v>0</v>
      </c>
      <c r="K453" s="7">
        <v>1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4</v>
      </c>
      <c r="AF453" s="7">
        <v>400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11">
        <v>400</v>
      </c>
      <c r="AV453" s="15">
        <f t="shared" si="24"/>
        <v>400</v>
      </c>
      <c r="AW453" s="16">
        <f t="shared" si="25"/>
        <v>280</v>
      </c>
    </row>
    <row r="454" spans="1:49" ht="19.2" x14ac:dyDescent="0.4">
      <c r="A454" s="5" t="s">
        <v>201</v>
      </c>
      <c r="B454" s="5" t="s">
        <v>418</v>
      </c>
      <c r="C454" s="5">
        <v>383716</v>
      </c>
      <c r="D454" s="6"/>
      <c r="E454" s="5" t="s">
        <v>16</v>
      </c>
      <c r="F454" s="5" t="s">
        <v>290</v>
      </c>
      <c r="G454" s="5" t="s">
        <v>227</v>
      </c>
      <c r="H454" s="7" t="s">
        <v>122</v>
      </c>
      <c r="I454" s="7" t="s">
        <v>405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3</v>
      </c>
      <c r="AL454" s="7">
        <v>360</v>
      </c>
      <c r="AM454" s="7">
        <v>0</v>
      </c>
      <c r="AN454" s="7">
        <v>108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11">
        <v>360</v>
      </c>
      <c r="AV454" s="15">
        <f t="shared" si="24"/>
        <v>252</v>
      </c>
      <c r="AW454" s="16">
        <f t="shared" si="25"/>
        <v>176.39999999999998</v>
      </c>
    </row>
    <row r="455" spans="1:49" ht="19.2" x14ac:dyDescent="0.4">
      <c r="A455" s="5" t="s">
        <v>201</v>
      </c>
      <c r="B455" s="5" t="s">
        <v>428</v>
      </c>
      <c r="C455" s="5">
        <v>381070</v>
      </c>
      <c r="D455" s="6"/>
      <c r="E455" s="5" t="s">
        <v>16</v>
      </c>
      <c r="F455" s="5" t="s">
        <v>429</v>
      </c>
      <c r="G455" s="5" t="s">
        <v>227</v>
      </c>
      <c r="H455" s="7" t="s">
        <v>11</v>
      </c>
      <c r="I455" s="7" t="s">
        <v>430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3</v>
      </c>
      <c r="AL455" s="7">
        <v>0</v>
      </c>
      <c r="AM455" s="7">
        <v>300</v>
      </c>
      <c r="AN455" s="7">
        <v>0</v>
      </c>
      <c r="AO455" s="7">
        <v>0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11">
        <v>300</v>
      </c>
      <c r="AV455" s="15">
        <f t="shared" si="24"/>
        <v>300</v>
      </c>
      <c r="AW455" s="16">
        <f t="shared" si="25"/>
        <v>210</v>
      </c>
    </row>
    <row r="456" spans="1:49" ht="19.2" x14ac:dyDescent="0.4">
      <c r="A456" s="5" t="s">
        <v>201</v>
      </c>
      <c r="B456" s="5" t="s">
        <v>113</v>
      </c>
      <c r="C456" s="5">
        <v>424589</v>
      </c>
      <c r="D456" s="6"/>
      <c r="E456" s="5" t="s">
        <v>16</v>
      </c>
      <c r="F456" s="5" t="s">
        <v>114</v>
      </c>
      <c r="G456" s="5" t="s">
        <v>13</v>
      </c>
      <c r="H456" s="7" t="s">
        <v>11</v>
      </c>
      <c r="I456" s="7" t="s">
        <v>102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3</v>
      </c>
      <c r="AL456" s="7">
        <v>0</v>
      </c>
      <c r="AM456" s="7">
        <v>300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11">
        <v>300</v>
      </c>
      <c r="AV456" s="15">
        <f t="shared" si="24"/>
        <v>300</v>
      </c>
      <c r="AW456" s="16">
        <f t="shared" si="25"/>
        <v>210</v>
      </c>
    </row>
    <row r="457" spans="1:49" ht="19.2" x14ac:dyDescent="0.4">
      <c r="A457" s="5" t="s">
        <v>201</v>
      </c>
      <c r="B457" s="5" t="s">
        <v>386</v>
      </c>
      <c r="C457" s="5">
        <v>366144</v>
      </c>
      <c r="D457" s="6"/>
      <c r="E457" s="5" t="s">
        <v>16</v>
      </c>
      <c r="F457" s="5" t="s">
        <v>387</v>
      </c>
      <c r="G457" s="5" t="s">
        <v>227</v>
      </c>
      <c r="H457" s="7" t="s">
        <v>11</v>
      </c>
      <c r="I457" s="7" t="s">
        <v>388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1</v>
      </c>
      <c r="AF457" s="7">
        <v>100</v>
      </c>
      <c r="AG457" s="7">
        <v>0</v>
      </c>
      <c r="AH457" s="7">
        <v>0</v>
      </c>
      <c r="AI457" s="7">
        <v>0</v>
      </c>
      <c r="AJ457" s="7">
        <v>0</v>
      </c>
      <c r="AK457" s="7">
        <v>1</v>
      </c>
      <c r="AL457" s="7">
        <v>0</v>
      </c>
      <c r="AM457" s="7">
        <v>100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11">
        <v>200</v>
      </c>
      <c r="AV457" s="15">
        <f t="shared" si="24"/>
        <v>200</v>
      </c>
      <c r="AW457" s="16">
        <f t="shared" si="25"/>
        <v>140</v>
      </c>
    </row>
    <row r="458" spans="1:49" ht="19.2" x14ac:dyDescent="0.4">
      <c r="A458" s="5" t="s">
        <v>201</v>
      </c>
      <c r="B458" s="5" t="s">
        <v>497</v>
      </c>
      <c r="C458" s="5">
        <v>350655</v>
      </c>
      <c r="D458" s="6"/>
      <c r="E458" s="5" t="s">
        <v>16</v>
      </c>
      <c r="F458" s="5" t="s">
        <v>290</v>
      </c>
      <c r="G458" s="5" t="s">
        <v>227</v>
      </c>
      <c r="H458" s="7" t="s">
        <v>11</v>
      </c>
      <c r="I458" s="7" t="s">
        <v>498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2</v>
      </c>
      <c r="AF458" s="7">
        <v>200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11">
        <v>200</v>
      </c>
      <c r="AV458" s="15">
        <f t="shared" si="24"/>
        <v>200</v>
      </c>
      <c r="AW458" s="16">
        <f t="shared" si="25"/>
        <v>140</v>
      </c>
    </row>
    <row r="459" spans="1:49" ht="19.2" x14ac:dyDescent="0.4">
      <c r="A459" s="5" t="s">
        <v>201</v>
      </c>
      <c r="B459" s="5" t="s">
        <v>406</v>
      </c>
      <c r="C459" s="5">
        <v>428374</v>
      </c>
      <c r="D459" s="6"/>
      <c r="E459" s="5" t="s">
        <v>16</v>
      </c>
      <c r="F459" s="5" t="s">
        <v>407</v>
      </c>
      <c r="G459" s="5" t="s">
        <v>13</v>
      </c>
      <c r="H459" s="7" t="s">
        <v>8</v>
      </c>
      <c r="I459" s="7" t="s">
        <v>103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2</v>
      </c>
      <c r="AF459" s="7">
        <v>200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11">
        <v>200</v>
      </c>
      <c r="AV459" s="15">
        <f t="shared" si="24"/>
        <v>200</v>
      </c>
      <c r="AW459" s="16">
        <f t="shared" si="25"/>
        <v>140</v>
      </c>
    </row>
    <row r="460" spans="1:49" ht="28.8" x14ac:dyDescent="0.4">
      <c r="A460" s="5" t="s">
        <v>201</v>
      </c>
      <c r="B460" s="5" t="s">
        <v>344</v>
      </c>
      <c r="C460" s="5">
        <v>332138</v>
      </c>
      <c r="D460" s="6"/>
      <c r="E460" s="5" t="s">
        <v>16</v>
      </c>
      <c r="F460" s="5" t="s">
        <v>345</v>
      </c>
      <c r="G460" s="5" t="s">
        <v>227</v>
      </c>
      <c r="H460" s="7" t="s">
        <v>12</v>
      </c>
      <c r="I460" s="7" t="s">
        <v>341</v>
      </c>
      <c r="J460" s="7">
        <v>2</v>
      </c>
      <c r="K460" s="7">
        <v>0</v>
      </c>
      <c r="L460" s="7">
        <v>200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11">
        <v>200</v>
      </c>
      <c r="AV460" s="15">
        <f t="shared" si="24"/>
        <v>200</v>
      </c>
      <c r="AW460" s="16">
        <f t="shared" si="25"/>
        <v>140</v>
      </c>
    </row>
    <row r="461" spans="1:49" ht="19.2" x14ac:dyDescent="0.4">
      <c r="A461" s="5" t="s">
        <v>201</v>
      </c>
      <c r="B461" s="5" t="s">
        <v>70</v>
      </c>
      <c r="C461" s="5">
        <v>389960</v>
      </c>
      <c r="D461" s="6"/>
      <c r="E461" s="5" t="s">
        <v>16</v>
      </c>
      <c r="F461" s="5" t="s">
        <v>71</v>
      </c>
      <c r="G461" s="5" t="s">
        <v>13</v>
      </c>
      <c r="H461" s="7" t="s">
        <v>12</v>
      </c>
      <c r="I461" s="7" t="s">
        <v>72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2</v>
      </c>
      <c r="AF461" s="7">
        <v>0</v>
      </c>
      <c r="AG461" s="7">
        <v>200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11">
        <v>200</v>
      </c>
      <c r="AV461" s="15">
        <f t="shared" si="24"/>
        <v>200</v>
      </c>
      <c r="AW461" s="16">
        <f t="shared" si="25"/>
        <v>140</v>
      </c>
    </row>
    <row r="462" spans="1:49" ht="19.2" x14ac:dyDescent="0.4">
      <c r="A462" s="5" t="s">
        <v>201</v>
      </c>
      <c r="B462" s="5" t="s">
        <v>142</v>
      </c>
      <c r="C462" s="5">
        <v>434853</v>
      </c>
      <c r="D462" s="6"/>
      <c r="E462" s="5" t="s">
        <v>16</v>
      </c>
      <c r="F462" s="5" t="s">
        <v>143</v>
      </c>
      <c r="G462" s="5" t="s">
        <v>13</v>
      </c>
      <c r="H462" s="7" t="s">
        <v>8</v>
      </c>
      <c r="I462" s="7" t="s">
        <v>198</v>
      </c>
      <c r="J462" s="7">
        <v>1</v>
      </c>
      <c r="K462" s="7">
        <v>0</v>
      </c>
      <c r="L462" s="7">
        <v>100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11">
        <v>100</v>
      </c>
      <c r="AV462" s="15">
        <f t="shared" si="24"/>
        <v>100</v>
      </c>
      <c r="AW462" s="16">
        <f t="shared" si="25"/>
        <v>70</v>
      </c>
    </row>
    <row r="463" spans="1:49" ht="19.2" x14ac:dyDescent="0.4">
      <c r="A463" s="5" t="s">
        <v>201</v>
      </c>
      <c r="B463" s="5" t="s">
        <v>39</v>
      </c>
      <c r="C463" s="5">
        <v>388999</v>
      </c>
      <c r="D463" s="6"/>
      <c r="E463" s="5" t="s">
        <v>16</v>
      </c>
      <c r="F463" s="5" t="s">
        <v>19</v>
      </c>
      <c r="G463" s="5" t="s">
        <v>13</v>
      </c>
      <c r="H463" s="7" t="s">
        <v>8</v>
      </c>
      <c r="I463" s="7" t="s">
        <v>40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1</v>
      </c>
      <c r="AL463" s="7">
        <v>0</v>
      </c>
      <c r="AM463" s="7">
        <v>100</v>
      </c>
      <c r="AN463" s="7">
        <v>0</v>
      </c>
      <c r="AO463" s="7">
        <v>0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11">
        <v>100</v>
      </c>
      <c r="AV463" s="15">
        <f t="shared" si="24"/>
        <v>100</v>
      </c>
      <c r="AW463" s="16">
        <f t="shared" si="25"/>
        <v>70</v>
      </c>
    </row>
    <row r="464" spans="1:49" ht="19.2" x14ac:dyDescent="0.4">
      <c r="A464" s="5" t="s">
        <v>201</v>
      </c>
      <c r="B464" s="5" t="s">
        <v>394</v>
      </c>
      <c r="C464" s="5">
        <v>447222</v>
      </c>
      <c r="D464" s="6"/>
      <c r="E464" s="5" t="s">
        <v>16</v>
      </c>
      <c r="F464" s="5" t="s">
        <v>290</v>
      </c>
      <c r="G464" s="5" t="s">
        <v>227</v>
      </c>
      <c r="H464" s="7" t="s">
        <v>11</v>
      </c>
      <c r="I464" s="7" t="s">
        <v>395</v>
      </c>
      <c r="J464" s="7">
        <v>0</v>
      </c>
      <c r="K464" s="7">
        <v>6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11">
        <v>0</v>
      </c>
      <c r="AV464" s="15">
        <f t="shared" si="24"/>
        <v>0</v>
      </c>
      <c r="AW464" s="16">
        <f t="shared" si="25"/>
        <v>0</v>
      </c>
    </row>
    <row r="465" spans="49:49" x14ac:dyDescent="0.4">
      <c r="AW465" s="18">
        <f>SUM(AW2:AW464)</f>
        <v>46784072.090000004</v>
      </c>
    </row>
  </sheetData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2022-05-03T11:11:34Z</dcterms:modified>
</cp:coreProperties>
</file>