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월초청구\네이버시리즈\"/>
    </mc:Choice>
  </mc:AlternateContent>
  <bookViews>
    <workbookView xWindow="0" yWindow="0" windowWidth="23040" windowHeight="8952" tabRatio="692"/>
  </bookViews>
  <sheets>
    <sheet name="합계 (4)" sheetId="105" r:id="rId1"/>
  </sheets>
  <definedNames>
    <definedName name="_xlnm._FilterDatabase" localSheetId="0" hidden="1">'합계 (4)'!$A$1:$AW$56</definedName>
    <definedName name="_xlnm.Extract" localSheetId="0">'합계 (4)'!#REF!</definedName>
  </definedNames>
  <calcPr calcId="152511"/>
</workbook>
</file>

<file path=xl/calcChain.xml><?xml version="1.0" encoding="utf-8"?>
<calcChain xmlns="http://schemas.openxmlformats.org/spreadsheetml/2006/main">
  <c r="AW49" i="105" l="1"/>
  <c r="AU49" i="105" l="1"/>
  <c r="AW46" i="105"/>
  <c r="AW47" i="105"/>
  <c r="AW48" i="105"/>
  <c r="AV46" i="105"/>
  <c r="AV47" i="105"/>
  <c r="AV48" i="105"/>
  <c r="AV43" i="105"/>
  <c r="AW43" i="105" s="1"/>
  <c r="AV44" i="105"/>
  <c r="AW44" i="105" s="1"/>
  <c r="AV45" i="105"/>
  <c r="AW45" i="105" s="1"/>
  <c r="AV2" i="105" l="1"/>
  <c r="AV38" i="105" l="1"/>
  <c r="AW38" i="105" s="1"/>
  <c r="AV39" i="105"/>
  <c r="AW39" i="105" s="1"/>
  <c r="AV40" i="105"/>
  <c r="AW40" i="105" s="1"/>
  <c r="AV41" i="105"/>
  <c r="AW41" i="105" s="1"/>
  <c r="AV42" i="105"/>
  <c r="AW42" i="105" s="1"/>
  <c r="AV36" i="105" l="1"/>
  <c r="AW36" i="105" s="1"/>
  <c r="AV37" i="105"/>
  <c r="AW37" i="105" s="1"/>
  <c r="AV34" i="105" l="1"/>
  <c r="AW34" i="105" s="1"/>
  <c r="AV35" i="105"/>
  <c r="AW35" i="105" s="1"/>
  <c r="AV32" i="105" l="1"/>
  <c r="AW32" i="105" s="1"/>
  <c r="AV33" i="105"/>
  <c r="AW33" i="105" s="1"/>
  <c r="AV29" i="105" l="1"/>
  <c r="AW29" i="105" s="1"/>
  <c r="AV30" i="105"/>
  <c r="AW30" i="105" s="1"/>
  <c r="AV31" i="105"/>
  <c r="AW31" i="105" s="1"/>
  <c r="AV3" i="105" l="1"/>
  <c r="AW3" i="105" s="1"/>
  <c r="AV4" i="105"/>
  <c r="AW4" i="105" s="1"/>
  <c r="AV5" i="105"/>
  <c r="AW5" i="105" s="1"/>
  <c r="AV6" i="105"/>
  <c r="AW6" i="105" s="1"/>
  <c r="AV7" i="105"/>
  <c r="AW7" i="105" s="1"/>
  <c r="AV8" i="105"/>
  <c r="AW8" i="105" s="1"/>
  <c r="AV9" i="105"/>
  <c r="AW9" i="105" s="1"/>
  <c r="AV10" i="105"/>
  <c r="AW10" i="105" s="1"/>
  <c r="AV11" i="105"/>
  <c r="AW11" i="105" s="1"/>
  <c r="AV12" i="105"/>
  <c r="AW12" i="105" s="1"/>
  <c r="AV13" i="105"/>
  <c r="AW13" i="105" s="1"/>
  <c r="AV14" i="105"/>
  <c r="AW14" i="105" s="1"/>
  <c r="AV15" i="105"/>
  <c r="AW15" i="105" s="1"/>
  <c r="AV16" i="105"/>
  <c r="AW16" i="105" s="1"/>
  <c r="AV17" i="105"/>
  <c r="AW17" i="105" s="1"/>
  <c r="AV18" i="105"/>
  <c r="AW18" i="105" s="1"/>
  <c r="AV19" i="105"/>
  <c r="AW19" i="105" s="1"/>
  <c r="AV20" i="105"/>
  <c r="AW20" i="105" s="1"/>
  <c r="AV21" i="105"/>
  <c r="AW21" i="105" s="1"/>
  <c r="AV22" i="105"/>
  <c r="AW22" i="105" s="1"/>
  <c r="AV23" i="105"/>
  <c r="AW23" i="105" s="1"/>
  <c r="AV24" i="105"/>
  <c r="AW24" i="105" s="1"/>
  <c r="AV25" i="105"/>
  <c r="AW25" i="105" s="1"/>
  <c r="AV26" i="105"/>
  <c r="AW26" i="105" s="1"/>
  <c r="AV27" i="105"/>
  <c r="AW27" i="105" s="1"/>
  <c r="AV28" i="105"/>
  <c r="AW28" i="105" s="1"/>
  <c r="AW2" i="105" l="1"/>
</calcChain>
</file>

<file path=xl/sharedStrings.xml><?xml version="1.0" encoding="utf-8"?>
<sst xmlns="http://schemas.openxmlformats.org/spreadsheetml/2006/main" count="378" uniqueCount="76">
  <si>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</si>
  <si>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</si>
  <si>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</si>
  <si>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</si>
  <si>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</si>
  <si>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</si>
  <si>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</si>
  <si>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</si>
  <si>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구분</t>
    <phoneticPr fontId="20" type="noConversion"/>
  </si>
  <si>
    <t>계약연애, 오늘부터 1일</t>
  </si>
  <si>
    <t>원기공장</t>
  </si>
  <si>
    <t>전체이용가</t>
  </si>
  <si>
    <t>2019.03.11</t>
  </si>
  <si>
    <t>15세 이상 이용가능</t>
  </si>
  <si>
    <t>백스테이지 키스신</t>
  </si>
  <si>
    <t>수정과</t>
  </si>
  <si>
    <t>2019.12.07</t>
  </si>
  <si>
    <t>스토리위즈_만화</t>
  </si>
  <si>
    <t>스토리위즈</t>
  </si>
  <si>
    <t>폐하, 옥체 보존하세요!</t>
  </si>
  <si>
    <t>2020.07.13</t>
  </si>
  <si>
    <t>내 남편의 스토커</t>
  </si>
  <si>
    <t>혜원</t>
  </si>
  <si>
    <t>IvyeqianheXyouzhijiaozi</t>
  </si>
  <si>
    <t>연애 2분의 1</t>
  </si>
  <si>
    <t>ZHUPI&amp;YANGXUETU</t>
  </si>
  <si>
    <t>너랑 나랑 하면[BL]</t>
  </si>
  <si>
    <t>이세계 소환은 두 번째라구요</t>
  </si>
  <si>
    <t>Arashiyama</t>
  </si>
  <si>
    <t>2020.12.31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</si>
  <si>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</si>
  <si>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</si>
  <si>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</si>
  <si>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</si>
  <si>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</si>
  <si>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</si>
  <si>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</si>
  <si>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</si>
  <si>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</si>
  <si>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</si>
  <si>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</si>
  <si>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쿠키수수료</t>
    <phoneticPr fontId="20" type="noConversion"/>
  </si>
  <si>
    <t>합계</t>
  </si>
  <si>
    <t>순매출(합계-수수료)</t>
    <phoneticPr fontId="20" type="noConversion"/>
  </si>
  <si>
    <t>sw매출</t>
    <phoneticPr fontId="20" type="noConversion"/>
  </si>
  <si>
    <t>공주전쟁</t>
  </si>
  <si>
    <t>Luojie</t>
  </si>
  <si>
    <t>Lv</t>
  </si>
  <si>
    <t>Ice×FANFAN COMIC</t>
  </si>
  <si>
    <t>건일</t>
  </si>
  <si>
    <t>2021.07.23</t>
  </si>
  <si>
    <t>최애에게 들켜버렸다</t>
  </si>
  <si>
    <t>별빛 아래 우리</t>
  </si>
  <si>
    <t>폭군의 눈물</t>
  </si>
  <si>
    <t>마스코마스코 [독점]</t>
  </si>
  <si>
    <t>남정훈</t>
  </si>
  <si>
    <t>2021.10.25</t>
  </si>
  <si>
    <t>NISANSUI/ZIQUAN</t>
  </si>
  <si>
    <t>2022.02.09</t>
  </si>
  <si>
    <t>2022.03.16</t>
  </si>
  <si>
    <t>시리즈(APP)</t>
  </si>
  <si>
    <t>완전판APP</t>
  </si>
  <si>
    <t>시리즈(IOS)</t>
  </si>
  <si>
    <t>웹툰스토어MW</t>
    <phoneticPr fontId="20" type="noConversion"/>
  </si>
  <si>
    <t>웹툰IOS앱앤드</t>
    <phoneticPr fontId="20" type="noConversion"/>
  </si>
  <si>
    <t>웹툰앱앤드</t>
    <phoneticPr fontId="20" type="noConversion"/>
  </si>
  <si>
    <t>2022.04.28</t>
  </si>
  <si>
    <t>악역이지만, 남주는 꼬시지 않아요</t>
  </si>
  <si>
    <t>kuri</t>
  </si>
  <si>
    <t>2022.04.29</t>
  </si>
  <si>
    <t>가출천사 육성계약</t>
  </si>
  <si>
    <t>Bae.C, 조우</t>
  </si>
  <si>
    <t>12세 이상 이용가능</t>
  </si>
  <si>
    <t>2022.04.27</t>
  </si>
  <si>
    <t>요괴님은 수련중</t>
  </si>
  <si>
    <t>망북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</si>
</sst>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0_ 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8" fillId="0" borderId="0" xfId="0" applyFont="1" applyBorder="1">
      <alignment vertical="center"/>
    </xf>
    <xf numFmtId="0" fontId="18" fillId="0" borderId="0" xfId="0" applyFont="1" applyBorder="1" applyAlignment="1">
      <alignment horizontal="center" vertical="center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176" fontId="18" fillId="0" borderId="0" xfId="0" applyNumberFormat="1" applyFont="1" applyBorder="1">
      <alignment vertical="center"/>
    </xf>
    <xf numFmtId="0" fontId="19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0" fontId="19" fillId="34" borderId="0" xfId="0" applyFont="1" applyFill="1" applyBorder="1">
      <alignment vertical="center"/>
    </xf>
    <xf numFmtId="41" fontId="18" fillId="0" borderId="0" xfId="1" applyFont="1" applyBorder="1">
      <alignment vertical="center"/>
    </xf>
    <xf numFmtId="41" fontId="19" fillId="34" borderId="0" xfId="1" applyFont="1" applyFill="1" applyBorder="1">
      <alignment vertical="center"/>
    </xf>
    <xf numFmtId="0" fontId="21" fillId="0" borderId="0" xfId="0" applyFont="1" applyAlignment="1">
      <alignment vertical="center" wrapText="1"/>
    </xf>
    <xf numFmtId="4" fontId="18" fillId="0" borderId="0" xfId="0" applyNumberFormat="1" applyFont="1" applyBorder="1">
      <alignment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left" vertical="center" wrapText="1"/>
    </xf>
    <xf numFmtId="49" fontId="18" fillId="0" borderId="0" xfId="0" applyNumberFormat="1" applyFont="1" applyFill="1" applyAlignment="1">
      <alignment vertical="center" wrapText="1"/>
    </xf>
    <xf numFmtId="0" fontId="18" fillId="0" borderId="0" xfId="0" applyFont="1" applyFill="1" applyAlignment="1">
      <alignment vertical="center" wrapText="1"/>
    </xf>
    <xf numFmtId="3" fontId="18" fillId="0" borderId="0" xfId="0" applyNumberFormat="1" applyFont="1" applyFill="1" applyAlignment="1">
      <alignment vertical="center" wrapText="1"/>
    </xf>
    <xf numFmtId="4" fontId="18" fillId="0" borderId="0" xfId="0" applyNumberFormat="1" applyFont="1" applyFill="1" applyAlignment="1">
      <alignment vertical="center" wrapText="1"/>
    </xf>
    <xf numFmtId="4" fontId="21" fillId="0" borderId="0" xfId="0" applyNumberFormat="1" applyFont="1" applyFill="1" applyAlignment="1">
      <alignment vertical="center" wrapText="1"/>
    </xf>
    <xf numFmtId="41" fontId="18" fillId="0" borderId="0" xfId="1" applyFont="1" applyFill="1" applyBorder="1">
      <alignment vertical="center"/>
    </xf>
    <xf numFmtId="0" fontId="18" fillId="0" borderId="0" xfId="0" applyFont="1" applyFill="1" applyBorder="1">
      <alignment vertical="center"/>
    </xf>
    <xf numFmtId="0" fontId="21" fillId="0" borderId="0" xfId="0" applyFont="1" applyFill="1" applyAlignment="1">
      <alignment vertical="center" wrapText="1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56"/>
  <sheetViews>
    <sheetView tabSelected="1" zoomScale="75" zoomScaleNormal="75" workbookViewId="0">
      <selection activeCell="H5" sqref="H5"/>
    </sheetView>
  </sheetViews>
  <sheetFormatPr defaultColWidth="8.69921875" defaultRowHeight="9.6" x14ac:dyDescent="0.4"/>
  <cols>
    <col min="1" max="1" width="9.3984375" style="4" customWidth="1"/>
    <col min="2" max="2" width="20" style="3" bestFit="1" customWidth="1"/>
    <col min="3" max="3" width="6.5" style="3" customWidth="1"/>
    <col min="4" max="4" width="7.19921875" style="3" customWidth="1"/>
    <col min="5" max="5" width="10" style="3" customWidth="1"/>
    <col min="6" max="6" width="10.296875" style="3" customWidth="1"/>
    <col min="7" max="7" width="10" style="3" bestFit="1" customWidth="1"/>
    <col min="8" max="8" width="13.59765625" style="3" customWidth="1"/>
    <col min="9" max="9" width="7.3984375" style="3" customWidth="1"/>
    <col min="10" max="10" width="4.296875" style="3" customWidth="1"/>
    <col min="11" max="11" width="4.796875" style="3" customWidth="1"/>
    <col min="12" max="12" width="7.19921875" style="3" customWidth="1"/>
    <col min="13" max="13" width="6.69921875" style="3" customWidth="1"/>
    <col min="14" max="14" width="6" style="3" customWidth="1"/>
    <col min="15" max="16" width="6.296875" style="3" customWidth="1"/>
    <col min="17" max="17" width="5" style="3" customWidth="1"/>
    <col min="18" max="18" width="4.796875" style="3" customWidth="1"/>
    <col min="19" max="19" width="7.19921875" style="3" customWidth="1"/>
    <col min="20" max="20" width="6.69921875" style="3" customWidth="1"/>
    <col min="21" max="21" width="6" style="3" customWidth="1"/>
    <col min="22" max="23" width="6.296875" style="3" customWidth="1"/>
    <col min="24" max="24" width="3.59765625" style="3" customWidth="1"/>
    <col min="25" max="25" width="5" style="3" customWidth="1"/>
    <col min="26" max="27" width="3.59765625" style="3" customWidth="1"/>
    <col min="28" max="28" width="5" style="3" customWidth="1"/>
    <col min="29" max="29" width="4.296875" style="3" customWidth="1"/>
    <col min="30" max="35" width="3.59765625" style="3" customWidth="1"/>
    <col min="36" max="36" width="7.8984375" style="3" customWidth="1"/>
    <col min="37" max="37" width="8.3984375" style="3" customWidth="1"/>
    <col min="38" max="38" width="9.09765625" style="3" customWidth="1"/>
    <col min="39" max="39" width="12.69921875" style="3" customWidth="1"/>
    <col min="40" max="46" width="8.69921875" style="3"/>
    <col min="47" max="47" width="9.19921875" style="3" customWidth="1"/>
    <col min="48" max="48" width="9.296875" style="3" customWidth="1"/>
    <col min="49" max="49" width="8.69921875" style="16"/>
    <col min="50" max="16384" width="8.69921875" style="3"/>
  </cols>
  <sheetData>
    <row r="1" spans="1:49" ht="38.4" x14ac:dyDescent="0.4">
      <c r="A1" s="1" t="s">
        <v>8</v>
      </c>
      <c r="B1" s="1" t="s">
        <v>0</v>
      </c>
      <c r="C1" s="1" t="s">
        <v>1</v>
      </c>
      <c r="D1" s="2" t="s">
        <v>2</v>
      </c>
      <c r="E1" s="1" t="s">
        <v>3</v>
      </c>
      <c r="F1" s="5" t="s">
        <v>4</v>
      </c>
      <c r="G1" s="1" t="s">
        <v>5</v>
      </c>
      <c r="H1" s="2" t="s">
        <v>6</v>
      </c>
      <c r="I1" s="2" t="s">
        <v>7</v>
      </c>
      <c r="J1" s="13" t="s">
        <v>30</v>
      </c>
      <c r="K1" s="13" t="s">
        <v>31</v>
      </c>
      <c r="L1" s="13" t="s">
        <v>32</v>
      </c>
      <c r="M1" s="13" t="s">
        <v>33</v>
      </c>
      <c r="N1" s="13" t="s">
        <v>34</v>
      </c>
      <c r="O1" s="13" t="s">
        <v>35</v>
      </c>
      <c r="P1" s="13" t="s">
        <v>36</v>
      </c>
      <c r="Q1" s="13" t="s">
        <v>37</v>
      </c>
      <c r="R1" s="13" t="s">
        <v>38</v>
      </c>
      <c r="S1" s="13" t="s">
        <v>30</v>
      </c>
      <c r="T1" s="13" t="s">
        <v>31</v>
      </c>
      <c r="U1" s="13" t="s">
        <v>32</v>
      </c>
      <c r="V1" s="13" t="s">
        <v>33</v>
      </c>
      <c r="W1" s="13" t="s">
        <v>34</v>
      </c>
      <c r="X1" s="13" t="s">
        <v>35</v>
      </c>
      <c r="Y1" s="13" t="s">
        <v>36</v>
      </c>
      <c r="Z1" s="13" t="s">
        <v>37</v>
      </c>
      <c r="AA1" s="13" t="s">
        <v>38</v>
      </c>
      <c r="AB1" s="13" t="s">
        <v>30</v>
      </c>
      <c r="AC1" s="13" t="s">
        <v>39</v>
      </c>
      <c r="AD1" s="13" t="s">
        <v>40</v>
      </c>
      <c r="AE1" s="13" t="s">
        <v>30</v>
      </c>
      <c r="AF1" s="13" t="s">
        <v>39</v>
      </c>
      <c r="AG1" s="13" t="s">
        <v>40</v>
      </c>
      <c r="AH1" s="13" t="s">
        <v>30</v>
      </c>
      <c r="AI1" s="13" t="s">
        <v>39</v>
      </c>
      <c r="AJ1" s="13" t="s">
        <v>40</v>
      </c>
      <c r="AK1" s="13" t="s">
        <v>30</v>
      </c>
      <c r="AL1" s="13" t="s">
        <v>39</v>
      </c>
      <c r="AM1" s="13" t="s">
        <v>40</v>
      </c>
      <c r="AN1" s="14" t="s">
        <v>41</v>
      </c>
      <c r="AO1" s="13" t="s">
        <v>30</v>
      </c>
      <c r="AP1" s="13" t="s">
        <v>39</v>
      </c>
      <c r="AQ1" s="13" t="s">
        <v>40</v>
      </c>
      <c r="AR1" s="13" t="s">
        <v>30</v>
      </c>
      <c r="AS1" s="13" t="s">
        <v>39</v>
      </c>
      <c r="AT1" s="13" t="s">
        <v>40</v>
      </c>
      <c r="AU1" s="14" t="s">
        <v>42</v>
      </c>
      <c r="AV1" s="15" t="s">
        <v>43</v>
      </c>
      <c r="AW1" s="17" t="s">
        <v>44</v>
      </c>
    </row>
    <row r="2" spans="1:49" ht="21.6" customHeight="1" x14ac:dyDescent="0.4">
      <c r="A2" s="4" t="s">
        <v>60</v>
      </c>
      <c r="B2" s="6" t="s">
        <v>52</v>
      </c>
      <c r="C2" s="6">
        <v>435954</v>
      </c>
      <c r="D2" s="7"/>
      <c r="E2" s="6" t="s">
        <v>17</v>
      </c>
      <c r="F2" s="6" t="s">
        <v>49</v>
      </c>
      <c r="G2" s="6" t="s">
        <v>18</v>
      </c>
      <c r="H2" s="8" t="s">
        <v>11</v>
      </c>
      <c r="I2" s="8" t="s">
        <v>66</v>
      </c>
      <c r="J2" s="8">
        <v>1</v>
      </c>
      <c r="K2" s="9">
        <v>6104</v>
      </c>
      <c r="L2" s="8">
        <v>200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9">
        <v>2252</v>
      </c>
      <c r="AC2" s="9">
        <v>371500</v>
      </c>
      <c r="AD2" s="9">
        <v>78800</v>
      </c>
      <c r="AE2" s="8">
        <v>138</v>
      </c>
      <c r="AF2" s="9">
        <v>39800</v>
      </c>
      <c r="AG2" s="9">
        <v>15400</v>
      </c>
      <c r="AH2" s="8">
        <v>1</v>
      </c>
      <c r="AI2" s="8">
        <v>0</v>
      </c>
      <c r="AJ2" s="8">
        <v>100</v>
      </c>
      <c r="AK2" s="8">
        <v>0</v>
      </c>
      <c r="AL2" s="8">
        <v>0</v>
      </c>
      <c r="AM2" s="8">
        <v>0</v>
      </c>
      <c r="AN2" s="8">
        <v>0</v>
      </c>
      <c r="AO2" s="8">
        <v>152</v>
      </c>
      <c r="AP2" s="9">
        <v>30200</v>
      </c>
      <c r="AQ2" s="8">
        <v>200</v>
      </c>
      <c r="AR2" s="8">
        <v>0</v>
      </c>
      <c r="AS2" s="8">
        <v>0</v>
      </c>
      <c r="AT2" s="8">
        <v>0</v>
      </c>
      <c r="AU2" s="10">
        <v>536200</v>
      </c>
      <c r="AV2" s="12">
        <f>AU2-AN2</f>
        <v>536200</v>
      </c>
      <c r="AW2" s="16">
        <f>AV2*70%</f>
        <v>375340</v>
      </c>
    </row>
    <row r="3" spans="1:49" ht="21.6" customHeight="1" x14ac:dyDescent="0.4">
      <c r="A3" s="4" t="s">
        <v>60</v>
      </c>
      <c r="B3" s="6" t="s">
        <v>67</v>
      </c>
      <c r="C3" s="6">
        <v>465461</v>
      </c>
      <c r="D3" s="7"/>
      <c r="E3" s="6" t="s">
        <v>17</v>
      </c>
      <c r="F3" s="6" t="s">
        <v>68</v>
      </c>
      <c r="G3" s="6" t="s">
        <v>18</v>
      </c>
      <c r="H3" s="8" t="s">
        <v>11</v>
      </c>
      <c r="I3" s="8" t="s">
        <v>69</v>
      </c>
      <c r="J3" s="8">
        <v>0</v>
      </c>
      <c r="K3" s="9">
        <v>3455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2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9">
        <v>1102</v>
      </c>
      <c r="AC3" s="9">
        <v>174100</v>
      </c>
      <c r="AD3" s="9">
        <v>46300</v>
      </c>
      <c r="AE3" s="8">
        <v>82</v>
      </c>
      <c r="AF3" s="9">
        <v>29400</v>
      </c>
      <c r="AG3" s="9">
        <v>3400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23</v>
      </c>
      <c r="AP3" s="9">
        <v>4400</v>
      </c>
      <c r="AQ3" s="8">
        <v>200</v>
      </c>
      <c r="AR3" s="8">
        <v>0</v>
      </c>
      <c r="AS3" s="8">
        <v>0</v>
      </c>
      <c r="AT3" s="8">
        <v>0</v>
      </c>
      <c r="AU3" s="10">
        <v>257800</v>
      </c>
      <c r="AV3" s="16">
        <f t="shared" ref="AV3:AV28" si="0">AU3-AN3</f>
        <v>257800</v>
      </c>
      <c r="AW3" s="16">
        <f t="shared" ref="AW3:AW28" si="1">AV3*70%</f>
        <v>180460</v>
      </c>
    </row>
    <row r="4" spans="1:49" ht="21.6" customHeight="1" x14ac:dyDescent="0.4">
      <c r="A4" s="4" t="s">
        <v>60</v>
      </c>
      <c r="B4" s="6" t="s">
        <v>70</v>
      </c>
      <c r="C4" s="6">
        <v>465463</v>
      </c>
      <c r="D4" s="7"/>
      <c r="E4" s="6" t="s">
        <v>17</v>
      </c>
      <c r="F4" s="6" t="s">
        <v>71</v>
      </c>
      <c r="G4" s="6" t="s">
        <v>18</v>
      </c>
      <c r="H4" s="8" t="s">
        <v>72</v>
      </c>
      <c r="I4" s="8" t="s">
        <v>73</v>
      </c>
      <c r="J4" s="8">
        <v>0</v>
      </c>
      <c r="K4" s="9">
        <v>1325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2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593</v>
      </c>
      <c r="AC4" s="9">
        <v>99600</v>
      </c>
      <c r="AD4" s="9">
        <v>19000</v>
      </c>
      <c r="AE4" s="8">
        <v>122</v>
      </c>
      <c r="AF4" s="9">
        <v>43400</v>
      </c>
      <c r="AG4" s="9">
        <v>5400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88</v>
      </c>
      <c r="AP4" s="9">
        <v>17400</v>
      </c>
      <c r="AQ4" s="8">
        <v>200</v>
      </c>
      <c r="AR4" s="8">
        <v>0</v>
      </c>
      <c r="AS4" s="8">
        <v>0</v>
      </c>
      <c r="AT4" s="8">
        <v>0</v>
      </c>
      <c r="AU4" s="10">
        <v>185000</v>
      </c>
      <c r="AV4" s="16">
        <f t="shared" si="0"/>
        <v>185000</v>
      </c>
      <c r="AW4" s="16">
        <f t="shared" si="1"/>
        <v>129499.99999999999</v>
      </c>
    </row>
    <row r="5" spans="1:49" ht="21.6" customHeight="1" x14ac:dyDescent="0.4">
      <c r="A5" s="4" t="s">
        <v>60</v>
      </c>
      <c r="B5" s="6" t="s">
        <v>9</v>
      </c>
      <c r="C5" s="6">
        <v>351846</v>
      </c>
      <c r="D5" s="7"/>
      <c r="E5" s="6" t="s">
        <v>17</v>
      </c>
      <c r="F5" s="6" t="s">
        <v>10</v>
      </c>
      <c r="G5" s="6" t="s">
        <v>18</v>
      </c>
      <c r="H5" s="8" t="s">
        <v>11</v>
      </c>
      <c r="I5" s="8" t="s">
        <v>12</v>
      </c>
      <c r="J5" s="8">
        <v>0</v>
      </c>
      <c r="K5" s="8">
        <v>54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9">
        <v>1633</v>
      </c>
      <c r="AC5" s="9">
        <v>133400</v>
      </c>
      <c r="AD5" s="9">
        <v>29900</v>
      </c>
      <c r="AE5" s="8">
        <v>3</v>
      </c>
      <c r="AF5" s="8">
        <v>400</v>
      </c>
      <c r="AG5" s="8">
        <v>200</v>
      </c>
      <c r="AH5" s="8">
        <v>1</v>
      </c>
      <c r="AI5" s="8">
        <v>0</v>
      </c>
      <c r="AJ5" s="8">
        <v>100</v>
      </c>
      <c r="AK5" s="8">
        <v>0</v>
      </c>
      <c r="AL5" s="8">
        <v>0</v>
      </c>
      <c r="AM5" s="8">
        <v>0</v>
      </c>
      <c r="AN5" s="8">
        <v>0</v>
      </c>
      <c r="AO5" s="8">
        <v>154</v>
      </c>
      <c r="AP5" s="9">
        <v>15300</v>
      </c>
      <c r="AQ5" s="8">
        <v>100</v>
      </c>
      <c r="AR5" s="8">
        <v>0</v>
      </c>
      <c r="AS5" s="8">
        <v>0</v>
      </c>
      <c r="AT5" s="8">
        <v>0</v>
      </c>
      <c r="AU5" s="10">
        <v>179400</v>
      </c>
      <c r="AV5" s="16">
        <f t="shared" si="0"/>
        <v>179400</v>
      </c>
      <c r="AW5" s="16">
        <f t="shared" si="1"/>
        <v>125579.99999999999</v>
      </c>
    </row>
    <row r="6" spans="1:49" ht="21.6" customHeight="1" x14ac:dyDescent="0.4">
      <c r="A6" s="4" t="s">
        <v>60</v>
      </c>
      <c r="B6" s="6" t="s">
        <v>53</v>
      </c>
      <c r="C6" s="6">
        <v>434897</v>
      </c>
      <c r="D6" s="7"/>
      <c r="E6" s="6" t="s">
        <v>17</v>
      </c>
      <c r="F6" s="6" t="s">
        <v>48</v>
      </c>
      <c r="G6" s="6" t="s">
        <v>18</v>
      </c>
      <c r="H6" s="8" t="s">
        <v>13</v>
      </c>
      <c r="I6" s="8" t="s">
        <v>59</v>
      </c>
      <c r="J6" s="8">
        <v>9</v>
      </c>
      <c r="K6" s="8">
        <v>421</v>
      </c>
      <c r="L6" s="9">
        <v>1800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601</v>
      </c>
      <c r="AC6" s="9">
        <v>109400</v>
      </c>
      <c r="AD6" s="9">
        <v>10600</v>
      </c>
      <c r="AE6" s="8">
        <v>21</v>
      </c>
      <c r="AF6" s="9">
        <v>8000</v>
      </c>
      <c r="AG6" s="8">
        <v>400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119</v>
      </c>
      <c r="AP6" s="9">
        <v>23200</v>
      </c>
      <c r="AQ6" s="8">
        <v>400</v>
      </c>
      <c r="AR6" s="8">
        <v>2</v>
      </c>
      <c r="AS6" s="8">
        <v>800</v>
      </c>
      <c r="AT6" s="8">
        <v>0</v>
      </c>
      <c r="AU6" s="10">
        <v>154600</v>
      </c>
      <c r="AV6" s="16">
        <f t="shared" si="0"/>
        <v>154600</v>
      </c>
      <c r="AW6" s="16">
        <f t="shared" si="1"/>
        <v>108220</v>
      </c>
    </row>
    <row r="7" spans="1:49" ht="21.6" customHeight="1" x14ac:dyDescent="0.4">
      <c r="A7" s="4" t="s">
        <v>60</v>
      </c>
      <c r="B7" s="6" t="s">
        <v>74</v>
      </c>
      <c r="C7" s="6">
        <v>465658</v>
      </c>
      <c r="D7" s="7"/>
      <c r="E7" s="6" t="s">
        <v>17</v>
      </c>
      <c r="F7" s="6" t="s">
        <v>75</v>
      </c>
      <c r="G7" s="6" t="s">
        <v>18</v>
      </c>
      <c r="H7" s="8" t="s">
        <v>11</v>
      </c>
      <c r="I7" s="8" t="s">
        <v>69</v>
      </c>
      <c r="J7" s="8">
        <v>0</v>
      </c>
      <c r="K7" s="9">
        <v>1135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242</v>
      </c>
      <c r="AC7" s="9">
        <v>39800</v>
      </c>
      <c r="AD7" s="9">
        <v>8600</v>
      </c>
      <c r="AE7" s="8">
        <v>10</v>
      </c>
      <c r="AF7" s="9">
        <v>4000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3</v>
      </c>
      <c r="AS7" s="9">
        <v>1200</v>
      </c>
      <c r="AT7" s="8">
        <v>0</v>
      </c>
      <c r="AU7" s="10">
        <v>53600</v>
      </c>
      <c r="AV7" s="16">
        <f t="shared" si="0"/>
        <v>53600</v>
      </c>
      <c r="AW7" s="16">
        <f t="shared" si="1"/>
        <v>37520</v>
      </c>
    </row>
    <row r="8" spans="1:49" ht="21.6" customHeight="1" x14ac:dyDescent="0.4">
      <c r="A8" s="4" t="s">
        <v>60</v>
      </c>
      <c r="B8" s="6" t="s">
        <v>19</v>
      </c>
      <c r="C8" s="6">
        <v>380491</v>
      </c>
      <c r="D8" s="7"/>
      <c r="E8" s="6" t="s">
        <v>17</v>
      </c>
      <c r="F8" s="6" t="s">
        <v>23</v>
      </c>
      <c r="G8" s="6" t="s">
        <v>18</v>
      </c>
      <c r="H8" s="8" t="s">
        <v>11</v>
      </c>
      <c r="I8" s="8" t="s">
        <v>20</v>
      </c>
      <c r="J8" s="8">
        <v>0</v>
      </c>
      <c r="K8" s="8">
        <v>22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9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255</v>
      </c>
      <c r="AC8" s="9">
        <v>24100</v>
      </c>
      <c r="AD8" s="9">
        <v>1400</v>
      </c>
      <c r="AE8" s="8">
        <v>121</v>
      </c>
      <c r="AF8" s="9">
        <v>22400</v>
      </c>
      <c r="AG8" s="9">
        <v>1800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10">
        <v>49700</v>
      </c>
      <c r="AV8" s="16">
        <f t="shared" si="0"/>
        <v>49700</v>
      </c>
      <c r="AW8" s="16">
        <f t="shared" si="1"/>
        <v>34790</v>
      </c>
    </row>
    <row r="9" spans="1:49" ht="21.6" customHeight="1" x14ac:dyDescent="0.4">
      <c r="A9" s="4" t="s">
        <v>60</v>
      </c>
      <c r="B9" s="6" t="s">
        <v>45</v>
      </c>
      <c r="C9" s="6">
        <v>423525</v>
      </c>
      <c r="D9" s="7"/>
      <c r="E9" s="6" t="s">
        <v>17</v>
      </c>
      <c r="F9" s="6" t="s">
        <v>46</v>
      </c>
      <c r="G9" s="6" t="s">
        <v>18</v>
      </c>
      <c r="H9" s="8" t="s">
        <v>11</v>
      </c>
      <c r="I9" s="8" t="s">
        <v>69</v>
      </c>
      <c r="J9" s="8">
        <v>0</v>
      </c>
      <c r="K9" s="8">
        <v>7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155</v>
      </c>
      <c r="AC9" s="9">
        <v>21200</v>
      </c>
      <c r="AD9" s="9">
        <v>9800</v>
      </c>
      <c r="AE9" s="8">
        <v>17</v>
      </c>
      <c r="AF9" s="9">
        <v>6400</v>
      </c>
      <c r="AG9" s="8">
        <v>200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5</v>
      </c>
      <c r="AP9" s="9">
        <v>1000</v>
      </c>
      <c r="AQ9" s="8">
        <v>0</v>
      </c>
      <c r="AR9" s="8">
        <v>2</v>
      </c>
      <c r="AS9" s="8">
        <v>400</v>
      </c>
      <c r="AT9" s="8">
        <v>200</v>
      </c>
      <c r="AU9" s="10">
        <v>39200</v>
      </c>
      <c r="AV9" s="16">
        <f t="shared" si="0"/>
        <v>39200</v>
      </c>
      <c r="AW9" s="16">
        <f t="shared" si="1"/>
        <v>27440</v>
      </c>
    </row>
    <row r="10" spans="1:49" ht="21.6" customHeight="1" x14ac:dyDescent="0.4">
      <c r="A10" s="4" t="s">
        <v>60</v>
      </c>
      <c r="B10" s="6" t="s">
        <v>21</v>
      </c>
      <c r="C10" s="6">
        <v>403837</v>
      </c>
      <c r="D10" s="7"/>
      <c r="E10" s="6" t="s">
        <v>17</v>
      </c>
      <c r="F10" s="6" t="s">
        <v>22</v>
      </c>
      <c r="G10" s="6" t="s">
        <v>18</v>
      </c>
      <c r="H10" s="8" t="s">
        <v>11</v>
      </c>
      <c r="I10" s="8" t="s">
        <v>20</v>
      </c>
      <c r="J10" s="8">
        <v>0</v>
      </c>
      <c r="K10" s="8">
        <v>8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183</v>
      </c>
      <c r="AC10" s="9">
        <v>31300</v>
      </c>
      <c r="AD10" s="9">
        <v>5300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10">
        <v>36600</v>
      </c>
      <c r="AV10" s="16">
        <f t="shared" si="0"/>
        <v>36600</v>
      </c>
      <c r="AW10" s="16">
        <f t="shared" si="1"/>
        <v>25620</v>
      </c>
    </row>
    <row r="11" spans="1:49" ht="21.6" customHeight="1" x14ac:dyDescent="0.4">
      <c r="A11" s="4" t="s">
        <v>60</v>
      </c>
      <c r="B11" s="6" t="s">
        <v>51</v>
      </c>
      <c r="C11" s="6">
        <v>432749</v>
      </c>
      <c r="D11" s="7"/>
      <c r="E11" s="6" t="s">
        <v>17</v>
      </c>
      <c r="F11" s="6" t="s">
        <v>47</v>
      </c>
      <c r="G11" s="6" t="s">
        <v>18</v>
      </c>
      <c r="H11" s="8" t="s">
        <v>11</v>
      </c>
      <c r="I11" s="8" t="s">
        <v>66</v>
      </c>
      <c r="J11" s="8">
        <v>12</v>
      </c>
      <c r="K11" s="8">
        <v>1</v>
      </c>
      <c r="L11" s="9">
        <v>2400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137</v>
      </c>
      <c r="AC11" s="9">
        <v>9500</v>
      </c>
      <c r="AD11" s="9">
        <v>17800</v>
      </c>
      <c r="AE11" s="8">
        <v>14</v>
      </c>
      <c r="AF11" s="9">
        <v>5600</v>
      </c>
      <c r="AG11" s="8">
        <v>0</v>
      </c>
      <c r="AH11" s="8">
        <v>2</v>
      </c>
      <c r="AI11" s="8">
        <v>0</v>
      </c>
      <c r="AJ11" s="8">
        <v>300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10">
        <v>35600</v>
      </c>
      <c r="AV11" s="16">
        <f t="shared" si="0"/>
        <v>35600</v>
      </c>
      <c r="AW11" s="16">
        <f t="shared" si="1"/>
        <v>24920</v>
      </c>
    </row>
    <row r="12" spans="1:49" ht="21.6" customHeight="1" x14ac:dyDescent="0.4">
      <c r="A12" s="4" t="s">
        <v>60</v>
      </c>
      <c r="B12" s="6" t="s">
        <v>26</v>
      </c>
      <c r="C12" s="6">
        <v>412451</v>
      </c>
      <c r="D12" s="7"/>
      <c r="E12" s="6" t="s">
        <v>17</v>
      </c>
      <c r="F12" s="6" t="s">
        <v>57</v>
      </c>
      <c r="G12" s="6" t="s">
        <v>18</v>
      </c>
      <c r="H12" s="8" t="s">
        <v>13</v>
      </c>
      <c r="I12" s="8" t="s">
        <v>58</v>
      </c>
      <c r="J12" s="8">
        <v>8</v>
      </c>
      <c r="K12" s="8">
        <v>1</v>
      </c>
      <c r="L12" s="9">
        <v>1600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107</v>
      </c>
      <c r="AC12" s="9">
        <v>6100</v>
      </c>
      <c r="AD12" s="9">
        <v>15300</v>
      </c>
      <c r="AE12" s="8">
        <v>3</v>
      </c>
      <c r="AF12" s="8">
        <v>0</v>
      </c>
      <c r="AG12" s="9">
        <v>1200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2</v>
      </c>
      <c r="AS12" s="8">
        <v>800</v>
      </c>
      <c r="AT12" s="8">
        <v>0</v>
      </c>
      <c r="AU12" s="10">
        <v>25000</v>
      </c>
      <c r="AV12" s="16">
        <f t="shared" si="0"/>
        <v>25000</v>
      </c>
      <c r="AW12" s="16">
        <f t="shared" si="1"/>
        <v>17500</v>
      </c>
    </row>
    <row r="13" spans="1:49" ht="21.6" customHeight="1" x14ac:dyDescent="0.4">
      <c r="A13" s="4" t="s">
        <v>60</v>
      </c>
      <c r="B13" s="6" t="s">
        <v>27</v>
      </c>
      <c r="C13" s="6">
        <v>419155</v>
      </c>
      <c r="D13" s="7"/>
      <c r="E13" s="6" t="s">
        <v>17</v>
      </c>
      <c r="F13" s="6" t="s">
        <v>28</v>
      </c>
      <c r="G13" s="6" t="s">
        <v>18</v>
      </c>
      <c r="H13" s="8" t="s">
        <v>11</v>
      </c>
      <c r="I13" s="8" t="s">
        <v>50</v>
      </c>
      <c r="J13" s="8">
        <v>0</v>
      </c>
      <c r="K13" s="8">
        <v>1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42</v>
      </c>
      <c r="AC13" s="9">
        <v>12000</v>
      </c>
      <c r="AD13" s="8">
        <v>600</v>
      </c>
      <c r="AE13" s="8">
        <v>2</v>
      </c>
      <c r="AF13" s="8">
        <v>600</v>
      </c>
      <c r="AG13" s="8">
        <v>400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10">
        <v>13600</v>
      </c>
      <c r="AV13" s="16">
        <f t="shared" si="0"/>
        <v>13600</v>
      </c>
      <c r="AW13" s="16">
        <f t="shared" si="1"/>
        <v>9520</v>
      </c>
    </row>
    <row r="14" spans="1:49" ht="21.6" customHeight="1" x14ac:dyDescent="0.4">
      <c r="A14" s="4" t="s">
        <v>60</v>
      </c>
      <c r="B14" s="6" t="s">
        <v>14</v>
      </c>
      <c r="C14" s="6">
        <v>383201</v>
      </c>
      <c r="D14" s="7"/>
      <c r="E14" s="6" t="s">
        <v>17</v>
      </c>
      <c r="F14" s="6" t="s">
        <v>15</v>
      </c>
      <c r="G14" s="6" t="s">
        <v>18</v>
      </c>
      <c r="H14" s="8" t="s">
        <v>11</v>
      </c>
      <c r="I14" s="8" t="s">
        <v>16</v>
      </c>
      <c r="J14" s="8">
        <v>0</v>
      </c>
      <c r="K14" s="8">
        <v>1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31</v>
      </c>
      <c r="AC14" s="9">
        <v>3400</v>
      </c>
      <c r="AD14" s="9">
        <v>2800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10">
        <v>6200</v>
      </c>
      <c r="AV14" s="16">
        <f t="shared" si="0"/>
        <v>6200</v>
      </c>
      <c r="AW14" s="16">
        <f t="shared" si="1"/>
        <v>4340</v>
      </c>
    </row>
    <row r="15" spans="1:49" ht="21.6" customHeight="1" x14ac:dyDescent="0.4">
      <c r="A15" s="4" t="s">
        <v>60</v>
      </c>
      <c r="B15" s="6" t="s">
        <v>54</v>
      </c>
      <c r="C15" s="6">
        <v>448747</v>
      </c>
      <c r="D15" s="7"/>
      <c r="E15" s="6" t="s">
        <v>17</v>
      </c>
      <c r="F15" s="6" t="s">
        <v>55</v>
      </c>
      <c r="G15" s="6" t="s">
        <v>18</v>
      </c>
      <c r="H15" s="8" t="s">
        <v>11</v>
      </c>
      <c r="I15" s="8" t="s">
        <v>56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4</v>
      </c>
      <c r="AC15" s="8">
        <v>0</v>
      </c>
      <c r="AD15" s="8">
        <v>800</v>
      </c>
      <c r="AE15" s="8">
        <v>1</v>
      </c>
      <c r="AF15" s="8">
        <v>400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10">
        <v>1200</v>
      </c>
      <c r="AV15" s="16">
        <f t="shared" si="0"/>
        <v>1200</v>
      </c>
      <c r="AW15" s="16">
        <f t="shared" si="1"/>
        <v>840</v>
      </c>
    </row>
    <row r="16" spans="1:49" ht="21.6" customHeight="1" x14ac:dyDescent="0.4">
      <c r="A16" s="4" t="s">
        <v>60</v>
      </c>
      <c r="B16" s="6" t="s">
        <v>24</v>
      </c>
      <c r="C16" s="6">
        <v>405596</v>
      </c>
      <c r="D16" s="7"/>
      <c r="E16" s="6" t="s">
        <v>17</v>
      </c>
      <c r="F16" s="6" t="s">
        <v>25</v>
      </c>
      <c r="G16" s="6" t="s">
        <v>18</v>
      </c>
      <c r="H16" s="8" t="s">
        <v>11</v>
      </c>
      <c r="I16" s="8" t="s">
        <v>29</v>
      </c>
      <c r="J16" s="8">
        <v>0</v>
      </c>
      <c r="K16" s="8">
        <v>788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2</v>
      </c>
      <c r="AC16" s="8">
        <v>200</v>
      </c>
      <c r="AD16" s="8">
        <v>0</v>
      </c>
      <c r="AE16" s="8">
        <v>1</v>
      </c>
      <c r="AF16" s="8">
        <v>0</v>
      </c>
      <c r="AG16" s="8">
        <v>200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18">
        <v>400</v>
      </c>
      <c r="AV16" s="16">
        <f t="shared" si="0"/>
        <v>400</v>
      </c>
      <c r="AW16" s="16">
        <f t="shared" si="1"/>
        <v>280</v>
      </c>
    </row>
    <row r="17" spans="1:49" ht="21.6" customHeight="1" x14ac:dyDescent="0.4">
      <c r="A17" s="4" t="s">
        <v>61</v>
      </c>
      <c r="B17" s="6" t="s">
        <v>52</v>
      </c>
      <c r="C17" s="6">
        <v>435954</v>
      </c>
      <c r="D17" s="7"/>
      <c r="E17" s="6" t="s">
        <v>17</v>
      </c>
      <c r="F17" s="6" t="s">
        <v>49</v>
      </c>
      <c r="G17" s="6" t="s">
        <v>18</v>
      </c>
      <c r="H17" s="8" t="s">
        <v>11</v>
      </c>
      <c r="I17" s="8" t="s">
        <v>66</v>
      </c>
      <c r="J17" s="8">
        <v>0</v>
      </c>
      <c r="K17" s="9">
        <v>2031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3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414</v>
      </c>
      <c r="AC17" s="9">
        <v>57900</v>
      </c>
      <c r="AD17" s="9">
        <v>24900</v>
      </c>
      <c r="AE17" s="8">
        <v>49</v>
      </c>
      <c r="AF17" s="9">
        <v>17600</v>
      </c>
      <c r="AG17" s="9">
        <v>2000</v>
      </c>
      <c r="AH17" s="8">
        <v>1</v>
      </c>
      <c r="AI17" s="8">
        <v>0</v>
      </c>
      <c r="AJ17" s="8">
        <v>200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10">
        <v>102600</v>
      </c>
      <c r="AV17" s="16">
        <f t="shared" si="0"/>
        <v>102600</v>
      </c>
      <c r="AW17" s="16">
        <f t="shared" si="1"/>
        <v>71820</v>
      </c>
    </row>
    <row r="18" spans="1:49" ht="21.6" customHeight="1" x14ac:dyDescent="0.4">
      <c r="A18" s="4" t="s">
        <v>61</v>
      </c>
      <c r="B18" s="6" t="s">
        <v>67</v>
      </c>
      <c r="C18" s="6">
        <v>465461</v>
      </c>
      <c r="D18" s="7"/>
      <c r="E18" s="6" t="s">
        <v>17</v>
      </c>
      <c r="F18" s="6" t="s">
        <v>68</v>
      </c>
      <c r="G18" s="6" t="s">
        <v>18</v>
      </c>
      <c r="H18" s="8" t="s">
        <v>11</v>
      </c>
      <c r="I18" s="8" t="s">
        <v>69</v>
      </c>
      <c r="J18" s="8">
        <v>0</v>
      </c>
      <c r="K18" s="8">
        <v>811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202</v>
      </c>
      <c r="AC18" s="9">
        <v>36700</v>
      </c>
      <c r="AD18" s="9">
        <v>3700</v>
      </c>
      <c r="AE18" s="8">
        <v>14</v>
      </c>
      <c r="AF18" s="9">
        <v>5400</v>
      </c>
      <c r="AG18" s="8">
        <v>200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23</v>
      </c>
      <c r="AP18" s="9">
        <v>4600</v>
      </c>
      <c r="AQ18" s="8">
        <v>0</v>
      </c>
      <c r="AR18" s="8">
        <v>0</v>
      </c>
      <c r="AS18" s="8">
        <v>0</v>
      </c>
      <c r="AT18" s="8">
        <v>0</v>
      </c>
      <c r="AU18" s="10">
        <v>50600</v>
      </c>
      <c r="AV18" s="16">
        <f t="shared" si="0"/>
        <v>50600</v>
      </c>
      <c r="AW18" s="16">
        <f t="shared" si="1"/>
        <v>35420</v>
      </c>
    </row>
    <row r="19" spans="1:49" ht="21.6" customHeight="1" x14ac:dyDescent="0.4">
      <c r="A19" s="4" t="s">
        <v>61</v>
      </c>
      <c r="B19" s="6" t="s">
        <v>45</v>
      </c>
      <c r="C19" s="6">
        <v>423525</v>
      </c>
      <c r="D19" s="7"/>
      <c r="E19" s="6" t="s">
        <v>17</v>
      </c>
      <c r="F19" s="6" t="s">
        <v>46</v>
      </c>
      <c r="G19" s="6" t="s">
        <v>18</v>
      </c>
      <c r="H19" s="8" t="s">
        <v>11</v>
      </c>
      <c r="I19" s="8" t="s">
        <v>69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5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29</v>
      </c>
      <c r="AC19" s="9">
        <v>3400</v>
      </c>
      <c r="AD19" s="9">
        <v>2400</v>
      </c>
      <c r="AE19" s="8">
        <v>49</v>
      </c>
      <c r="AF19" s="9">
        <v>19600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8</v>
      </c>
      <c r="AP19" s="9">
        <v>1200</v>
      </c>
      <c r="AQ19" s="8">
        <v>400</v>
      </c>
      <c r="AR19" s="8">
        <v>0</v>
      </c>
      <c r="AS19" s="8">
        <v>0</v>
      </c>
      <c r="AT19" s="8">
        <v>0</v>
      </c>
      <c r="AU19" s="10">
        <v>27000</v>
      </c>
      <c r="AV19" s="16">
        <f t="shared" si="0"/>
        <v>27000</v>
      </c>
      <c r="AW19" s="16">
        <f t="shared" si="1"/>
        <v>18900</v>
      </c>
    </row>
    <row r="20" spans="1:49" ht="21.6" customHeight="1" x14ac:dyDescent="0.4">
      <c r="A20" s="4" t="s">
        <v>61</v>
      </c>
      <c r="B20" s="6" t="s">
        <v>9</v>
      </c>
      <c r="C20" s="6">
        <v>351846</v>
      </c>
      <c r="D20" s="7"/>
      <c r="E20" s="6" t="s">
        <v>17</v>
      </c>
      <c r="F20" s="6" t="s">
        <v>10</v>
      </c>
      <c r="G20" s="6" t="s">
        <v>18</v>
      </c>
      <c r="H20" s="8" t="s">
        <v>11</v>
      </c>
      <c r="I20" s="8" t="s">
        <v>12</v>
      </c>
      <c r="J20" s="8">
        <v>0</v>
      </c>
      <c r="K20" s="8">
        <v>12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237</v>
      </c>
      <c r="AC20" s="9">
        <v>18600</v>
      </c>
      <c r="AD20" s="9">
        <v>5100</v>
      </c>
      <c r="AE20" s="8">
        <v>2</v>
      </c>
      <c r="AF20" s="8">
        <v>400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10">
        <v>24100</v>
      </c>
      <c r="AV20" s="16">
        <f t="shared" si="0"/>
        <v>24100</v>
      </c>
      <c r="AW20" s="16">
        <f t="shared" si="1"/>
        <v>16870</v>
      </c>
    </row>
    <row r="21" spans="1:49" ht="21.6" customHeight="1" x14ac:dyDescent="0.4">
      <c r="A21" s="4" t="s">
        <v>61</v>
      </c>
      <c r="B21" s="6" t="s">
        <v>51</v>
      </c>
      <c r="C21" s="6">
        <v>432749</v>
      </c>
      <c r="D21" s="7"/>
      <c r="E21" s="6" t="s">
        <v>17</v>
      </c>
      <c r="F21" s="6" t="s">
        <v>47</v>
      </c>
      <c r="G21" s="6" t="s">
        <v>18</v>
      </c>
      <c r="H21" s="8" t="s">
        <v>11</v>
      </c>
      <c r="I21" s="8" t="s">
        <v>66</v>
      </c>
      <c r="J21" s="8">
        <v>5</v>
      </c>
      <c r="K21" s="8">
        <v>7</v>
      </c>
      <c r="L21" s="9">
        <v>1000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16</v>
      </c>
      <c r="AC21" s="9">
        <v>1800</v>
      </c>
      <c r="AD21" s="9">
        <v>1400</v>
      </c>
      <c r="AE21" s="8">
        <v>4</v>
      </c>
      <c r="AF21" s="9">
        <v>1600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65</v>
      </c>
      <c r="AP21" s="9">
        <v>12600</v>
      </c>
      <c r="AQ21" s="8">
        <v>400</v>
      </c>
      <c r="AR21" s="8">
        <v>0</v>
      </c>
      <c r="AS21" s="8">
        <v>0</v>
      </c>
      <c r="AT21" s="8">
        <v>0</v>
      </c>
      <c r="AU21" s="10">
        <v>18800</v>
      </c>
      <c r="AV21" s="16">
        <f t="shared" si="0"/>
        <v>18800</v>
      </c>
      <c r="AW21" s="16">
        <f t="shared" si="1"/>
        <v>13160</v>
      </c>
    </row>
    <row r="22" spans="1:49" ht="21.6" customHeight="1" x14ac:dyDescent="0.4">
      <c r="A22" s="4" t="s">
        <v>61</v>
      </c>
      <c r="B22" s="6" t="s">
        <v>53</v>
      </c>
      <c r="C22" s="6">
        <v>434897</v>
      </c>
      <c r="D22" s="7"/>
      <c r="E22" s="6" t="s">
        <v>17</v>
      </c>
      <c r="F22" s="6" t="s">
        <v>48</v>
      </c>
      <c r="G22" s="6" t="s">
        <v>18</v>
      </c>
      <c r="H22" s="8" t="s">
        <v>13</v>
      </c>
      <c r="I22" s="8" t="s">
        <v>59</v>
      </c>
      <c r="J22" s="8">
        <v>1</v>
      </c>
      <c r="K22" s="8">
        <v>237</v>
      </c>
      <c r="L22" s="8">
        <v>200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69</v>
      </c>
      <c r="AC22" s="9">
        <v>11900</v>
      </c>
      <c r="AD22" s="9">
        <v>1900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3</v>
      </c>
      <c r="AS22" s="8">
        <v>300</v>
      </c>
      <c r="AT22" s="8">
        <v>900</v>
      </c>
      <c r="AU22" s="10">
        <v>15200</v>
      </c>
      <c r="AV22" s="16">
        <f t="shared" si="0"/>
        <v>15200</v>
      </c>
      <c r="AW22" s="16">
        <f t="shared" si="1"/>
        <v>10640</v>
      </c>
    </row>
    <row r="23" spans="1:49" ht="21.6" customHeight="1" x14ac:dyDescent="0.4">
      <c r="A23" s="4" t="s">
        <v>61</v>
      </c>
      <c r="B23" s="6" t="s">
        <v>21</v>
      </c>
      <c r="C23" s="6">
        <v>403837</v>
      </c>
      <c r="D23" s="7"/>
      <c r="E23" s="6" t="s">
        <v>17</v>
      </c>
      <c r="F23" s="6" t="s">
        <v>22</v>
      </c>
      <c r="G23" s="6" t="s">
        <v>18</v>
      </c>
      <c r="H23" s="8" t="s">
        <v>11</v>
      </c>
      <c r="I23" s="8" t="s">
        <v>20</v>
      </c>
      <c r="J23" s="8">
        <v>0</v>
      </c>
      <c r="K23" s="8">
        <v>5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34</v>
      </c>
      <c r="AC23" s="9">
        <v>5700</v>
      </c>
      <c r="AD23" s="9">
        <v>1000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41</v>
      </c>
      <c r="AP23" s="9">
        <v>8100</v>
      </c>
      <c r="AQ23" s="8">
        <v>0</v>
      </c>
      <c r="AR23" s="8">
        <v>0</v>
      </c>
      <c r="AS23" s="8">
        <v>0</v>
      </c>
      <c r="AT23" s="8">
        <v>0</v>
      </c>
      <c r="AU23" s="10">
        <v>14800</v>
      </c>
      <c r="AV23" s="16">
        <f t="shared" si="0"/>
        <v>14800</v>
      </c>
      <c r="AW23" s="16">
        <f t="shared" si="1"/>
        <v>10360</v>
      </c>
    </row>
    <row r="24" spans="1:49" ht="21.6" customHeight="1" x14ac:dyDescent="0.4">
      <c r="A24" s="4" t="s">
        <v>61</v>
      </c>
      <c r="B24" s="6" t="s">
        <v>70</v>
      </c>
      <c r="C24" s="6">
        <v>465463</v>
      </c>
      <c r="D24" s="7"/>
      <c r="E24" s="6" t="s">
        <v>17</v>
      </c>
      <c r="F24" s="6" t="s">
        <v>71</v>
      </c>
      <c r="G24" s="6" t="s">
        <v>18</v>
      </c>
      <c r="H24" s="8" t="s">
        <v>72</v>
      </c>
      <c r="I24" s="8" t="s">
        <v>73</v>
      </c>
      <c r="J24" s="8">
        <v>0</v>
      </c>
      <c r="K24" s="8">
        <v>184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3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2</v>
      </c>
      <c r="AC24" s="8">
        <v>0</v>
      </c>
      <c r="AD24" s="8">
        <v>400</v>
      </c>
      <c r="AE24" s="8">
        <v>32</v>
      </c>
      <c r="AF24" s="9">
        <v>12800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10">
        <v>13200</v>
      </c>
      <c r="AV24" s="16">
        <f t="shared" si="0"/>
        <v>13200</v>
      </c>
      <c r="AW24" s="16">
        <f t="shared" si="1"/>
        <v>9240</v>
      </c>
    </row>
    <row r="25" spans="1:49" ht="21.6" customHeight="1" x14ac:dyDescent="0.4">
      <c r="A25" s="4" t="s">
        <v>61</v>
      </c>
      <c r="B25" s="6" t="s">
        <v>26</v>
      </c>
      <c r="C25" s="6">
        <v>412451</v>
      </c>
      <c r="D25" s="7"/>
      <c r="E25" s="6" t="s">
        <v>17</v>
      </c>
      <c r="F25" s="6" t="s">
        <v>57</v>
      </c>
      <c r="G25" s="6" t="s">
        <v>18</v>
      </c>
      <c r="H25" s="8" t="s">
        <v>13</v>
      </c>
      <c r="I25" s="8" t="s">
        <v>58</v>
      </c>
      <c r="J25" s="8">
        <v>2</v>
      </c>
      <c r="K25" s="8">
        <v>0</v>
      </c>
      <c r="L25" s="8">
        <v>400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22</v>
      </c>
      <c r="AC25" s="8">
        <v>0</v>
      </c>
      <c r="AD25" s="9">
        <v>4400</v>
      </c>
      <c r="AE25" s="8">
        <v>14</v>
      </c>
      <c r="AF25" s="8">
        <v>800</v>
      </c>
      <c r="AG25" s="9">
        <v>4800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10">
        <v>10400</v>
      </c>
      <c r="AV25" s="16">
        <f t="shared" si="0"/>
        <v>10400</v>
      </c>
      <c r="AW25" s="16">
        <f t="shared" si="1"/>
        <v>7279.9999999999991</v>
      </c>
    </row>
    <row r="26" spans="1:49" ht="21.6" customHeight="1" x14ac:dyDescent="0.4">
      <c r="A26" s="4" t="s">
        <v>61</v>
      </c>
      <c r="B26" s="6" t="s">
        <v>19</v>
      </c>
      <c r="C26" s="6">
        <v>380491</v>
      </c>
      <c r="D26" s="7"/>
      <c r="E26" s="6" t="s">
        <v>17</v>
      </c>
      <c r="F26" s="6" t="s">
        <v>23</v>
      </c>
      <c r="G26" s="6" t="s">
        <v>18</v>
      </c>
      <c r="H26" s="8" t="s">
        <v>11</v>
      </c>
      <c r="I26" s="8" t="s">
        <v>20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3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31</v>
      </c>
      <c r="AF26" s="8">
        <v>0</v>
      </c>
      <c r="AG26" s="9">
        <v>6200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10">
        <v>6200</v>
      </c>
      <c r="AV26" s="16">
        <f t="shared" si="0"/>
        <v>6200</v>
      </c>
      <c r="AW26" s="16">
        <f t="shared" si="1"/>
        <v>4340</v>
      </c>
    </row>
    <row r="27" spans="1:49" ht="21.6" customHeight="1" x14ac:dyDescent="0.4">
      <c r="A27" s="4" t="s">
        <v>61</v>
      </c>
      <c r="B27" s="6" t="s">
        <v>14</v>
      </c>
      <c r="C27" s="6">
        <v>383201</v>
      </c>
      <c r="D27" s="7"/>
      <c r="E27" s="6" t="s">
        <v>17</v>
      </c>
      <c r="F27" s="6" t="s">
        <v>15</v>
      </c>
      <c r="G27" s="6" t="s">
        <v>18</v>
      </c>
      <c r="H27" s="8" t="s">
        <v>11</v>
      </c>
      <c r="I27" s="8" t="s">
        <v>16</v>
      </c>
      <c r="J27" s="8">
        <v>0</v>
      </c>
      <c r="K27" s="8">
        <v>2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30</v>
      </c>
      <c r="AC27" s="9">
        <v>6000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10">
        <v>6000</v>
      </c>
      <c r="AV27" s="16">
        <f t="shared" si="0"/>
        <v>6000</v>
      </c>
      <c r="AW27" s="16">
        <f t="shared" si="1"/>
        <v>4200</v>
      </c>
    </row>
    <row r="28" spans="1:49" ht="21.6" customHeight="1" x14ac:dyDescent="0.4">
      <c r="A28" s="4" t="s">
        <v>61</v>
      </c>
      <c r="B28" s="6" t="s">
        <v>54</v>
      </c>
      <c r="C28" s="6">
        <v>448747</v>
      </c>
      <c r="D28" s="7"/>
      <c r="E28" s="6" t="s">
        <v>17</v>
      </c>
      <c r="F28" s="6" t="s">
        <v>55</v>
      </c>
      <c r="G28" s="6" t="s">
        <v>18</v>
      </c>
      <c r="H28" s="8" t="s">
        <v>11</v>
      </c>
      <c r="I28" s="8" t="s">
        <v>56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12</v>
      </c>
      <c r="AF28" s="8">
        <v>0</v>
      </c>
      <c r="AG28" s="9">
        <v>4800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10">
        <v>4800</v>
      </c>
      <c r="AV28" s="16">
        <f t="shared" si="0"/>
        <v>4800</v>
      </c>
      <c r="AW28" s="16">
        <f t="shared" si="1"/>
        <v>3360</v>
      </c>
    </row>
    <row r="29" spans="1:49" ht="21.6" customHeight="1" x14ac:dyDescent="0.4">
      <c r="A29" s="4" t="s">
        <v>61</v>
      </c>
      <c r="B29" s="6" t="s">
        <v>74</v>
      </c>
      <c r="C29" s="6">
        <v>465658</v>
      </c>
      <c r="D29" s="7"/>
      <c r="E29" s="6" t="s">
        <v>17</v>
      </c>
      <c r="F29" s="6" t="s">
        <v>75</v>
      </c>
      <c r="G29" s="6" t="s">
        <v>18</v>
      </c>
      <c r="H29" s="8" t="s">
        <v>11</v>
      </c>
      <c r="I29" s="8" t="s">
        <v>69</v>
      </c>
      <c r="J29" s="8">
        <v>0</v>
      </c>
      <c r="K29" s="8">
        <v>359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20</v>
      </c>
      <c r="AC29" s="9">
        <v>3600</v>
      </c>
      <c r="AD29" s="8">
        <v>400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1</v>
      </c>
      <c r="AP29" s="8">
        <v>200</v>
      </c>
      <c r="AQ29" s="8">
        <v>0</v>
      </c>
      <c r="AR29" s="8">
        <v>1</v>
      </c>
      <c r="AS29" s="8">
        <v>400</v>
      </c>
      <c r="AT29" s="8">
        <v>0</v>
      </c>
      <c r="AU29" s="10">
        <v>4600</v>
      </c>
      <c r="AV29" s="16">
        <f t="shared" ref="AV29:AV31" si="2">AU29-AN29</f>
        <v>4600</v>
      </c>
      <c r="AW29" s="16">
        <f t="shared" ref="AW29:AW31" si="3">AV29*70%</f>
        <v>3220</v>
      </c>
    </row>
    <row r="30" spans="1:49" ht="21.6" customHeight="1" x14ac:dyDescent="0.4">
      <c r="A30" s="4" t="s">
        <v>61</v>
      </c>
      <c r="B30" s="6" t="s">
        <v>24</v>
      </c>
      <c r="C30" s="6">
        <v>405596</v>
      </c>
      <c r="D30" s="7"/>
      <c r="E30" s="6" t="s">
        <v>17</v>
      </c>
      <c r="F30" s="6" t="s">
        <v>25</v>
      </c>
      <c r="G30" s="6" t="s">
        <v>18</v>
      </c>
      <c r="H30" s="8" t="s">
        <v>11</v>
      </c>
      <c r="I30" s="8" t="s">
        <v>29</v>
      </c>
      <c r="J30" s="8">
        <v>0</v>
      </c>
      <c r="K30" s="8">
        <v>175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1</v>
      </c>
      <c r="AC30" s="8">
        <v>0</v>
      </c>
      <c r="AD30" s="8">
        <v>100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18">
        <v>100</v>
      </c>
      <c r="AV30" s="16">
        <f t="shared" si="2"/>
        <v>100</v>
      </c>
      <c r="AW30" s="16">
        <f t="shared" si="3"/>
        <v>70</v>
      </c>
    </row>
    <row r="31" spans="1:49" s="28" customFormat="1" ht="21.6" customHeight="1" x14ac:dyDescent="0.4">
      <c r="A31" s="20" t="s">
        <v>62</v>
      </c>
      <c r="B31" s="21" t="s">
        <v>52</v>
      </c>
      <c r="C31" s="21">
        <v>435954</v>
      </c>
      <c r="D31" s="22"/>
      <c r="E31" s="21" t="s">
        <v>17</v>
      </c>
      <c r="F31" s="21" t="s">
        <v>49</v>
      </c>
      <c r="G31" s="21" t="s">
        <v>18</v>
      </c>
      <c r="H31" s="23" t="s">
        <v>11</v>
      </c>
      <c r="I31" s="23" t="s">
        <v>66</v>
      </c>
      <c r="J31" s="23">
        <v>1</v>
      </c>
      <c r="K31" s="24">
        <v>2099</v>
      </c>
      <c r="L31" s="23">
        <v>200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12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751</v>
      </c>
      <c r="AC31" s="24">
        <v>140700</v>
      </c>
      <c r="AD31" s="24">
        <v>9100</v>
      </c>
      <c r="AE31" s="23">
        <v>104</v>
      </c>
      <c r="AF31" s="24">
        <v>38000</v>
      </c>
      <c r="AG31" s="24">
        <v>3500</v>
      </c>
      <c r="AH31" s="24">
        <v>1030</v>
      </c>
      <c r="AI31" s="24">
        <v>211118</v>
      </c>
      <c r="AJ31" s="24">
        <v>29700</v>
      </c>
      <c r="AK31" s="23">
        <v>103</v>
      </c>
      <c r="AL31" s="24">
        <v>45520</v>
      </c>
      <c r="AM31" s="24">
        <v>3200</v>
      </c>
      <c r="AN31" s="25">
        <v>76991.399999999994</v>
      </c>
      <c r="AO31" s="23">
        <v>120</v>
      </c>
      <c r="AP31" s="24">
        <v>20300</v>
      </c>
      <c r="AQ31" s="24">
        <v>3700</v>
      </c>
      <c r="AR31" s="23">
        <v>73</v>
      </c>
      <c r="AS31" s="24">
        <v>28200</v>
      </c>
      <c r="AT31" s="24">
        <v>1000</v>
      </c>
      <c r="AU31" s="26">
        <v>534238</v>
      </c>
      <c r="AV31" s="27">
        <f t="shared" si="2"/>
        <v>457246.6</v>
      </c>
      <c r="AW31" s="27">
        <f t="shared" si="3"/>
        <v>320072.61999999994</v>
      </c>
    </row>
    <row r="32" spans="1:49" s="28" customFormat="1" ht="21.6" customHeight="1" x14ac:dyDescent="0.4">
      <c r="A32" s="20" t="s">
        <v>62</v>
      </c>
      <c r="B32" s="21" t="s">
        <v>67</v>
      </c>
      <c r="C32" s="21">
        <v>465461</v>
      </c>
      <c r="D32" s="22"/>
      <c r="E32" s="21" t="s">
        <v>17</v>
      </c>
      <c r="F32" s="21" t="s">
        <v>68</v>
      </c>
      <c r="G32" s="21" t="s">
        <v>18</v>
      </c>
      <c r="H32" s="23" t="s">
        <v>11</v>
      </c>
      <c r="I32" s="23" t="s">
        <v>69</v>
      </c>
      <c r="J32" s="23">
        <v>0</v>
      </c>
      <c r="K32" s="23">
        <v>552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92</v>
      </c>
      <c r="AC32" s="24">
        <v>13200</v>
      </c>
      <c r="AD32" s="24">
        <v>5200</v>
      </c>
      <c r="AE32" s="23">
        <v>6</v>
      </c>
      <c r="AF32" s="24">
        <v>2400</v>
      </c>
      <c r="AG32" s="23">
        <v>0</v>
      </c>
      <c r="AH32" s="23">
        <v>194</v>
      </c>
      <c r="AI32" s="24">
        <v>38792</v>
      </c>
      <c r="AJ32" s="24">
        <v>6800</v>
      </c>
      <c r="AK32" s="23">
        <v>19</v>
      </c>
      <c r="AL32" s="24">
        <v>7680</v>
      </c>
      <c r="AM32" s="24">
        <v>1200</v>
      </c>
      <c r="AN32" s="25">
        <v>13941.6</v>
      </c>
      <c r="AO32" s="23">
        <v>54</v>
      </c>
      <c r="AP32" s="24">
        <v>10600</v>
      </c>
      <c r="AQ32" s="23">
        <v>200</v>
      </c>
      <c r="AR32" s="23">
        <v>0</v>
      </c>
      <c r="AS32" s="23">
        <v>0</v>
      </c>
      <c r="AT32" s="23">
        <v>0</v>
      </c>
      <c r="AU32" s="26">
        <v>86072</v>
      </c>
      <c r="AV32" s="27">
        <f t="shared" ref="AV32:AV33" si="4">AU32-AN32</f>
        <v>72130.399999999994</v>
      </c>
      <c r="AW32" s="27">
        <f t="shared" ref="AW32:AW33" si="5">AV32*70%</f>
        <v>50491.279999999992</v>
      </c>
    </row>
    <row r="33" spans="1:49" s="28" customFormat="1" ht="21.6" customHeight="1" x14ac:dyDescent="0.4">
      <c r="A33" s="20" t="s">
        <v>62</v>
      </c>
      <c r="B33" s="21" t="s">
        <v>54</v>
      </c>
      <c r="C33" s="21">
        <v>448747</v>
      </c>
      <c r="D33" s="22"/>
      <c r="E33" s="21" t="s">
        <v>17</v>
      </c>
      <c r="F33" s="21" t="s">
        <v>55</v>
      </c>
      <c r="G33" s="21" t="s">
        <v>18</v>
      </c>
      <c r="H33" s="23" t="s">
        <v>11</v>
      </c>
      <c r="I33" s="23" t="s">
        <v>56</v>
      </c>
      <c r="J33" s="23">
        <v>0</v>
      </c>
      <c r="K33" s="23">
        <v>2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12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25</v>
      </c>
      <c r="AC33" s="23">
        <v>200</v>
      </c>
      <c r="AD33" s="24">
        <v>4800</v>
      </c>
      <c r="AE33" s="23">
        <v>0</v>
      </c>
      <c r="AF33" s="23">
        <v>0</v>
      </c>
      <c r="AG33" s="23">
        <v>0</v>
      </c>
      <c r="AH33" s="23">
        <v>0</v>
      </c>
      <c r="AI33" s="23">
        <v>0</v>
      </c>
      <c r="AJ33" s="23">
        <v>0</v>
      </c>
      <c r="AK33" s="23">
        <v>113</v>
      </c>
      <c r="AL33" s="24">
        <v>54240</v>
      </c>
      <c r="AM33" s="23">
        <v>0</v>
      </c>
      <c r="AN33" s="25">
        <v>16272</v>
      </c>
      <c r="AO33" s="23">
        <v>0</v>
      </c>
      <c r="AP33" s="23">
        <v>0</v>
      </c>
      <c r="AQ33" s="23">
        <v>0</v>
      </c>
      <c r="AR33" s="23">
        <v>0</v>
      </c>
      <c r="AS33" s="23">
        <v>0</v>
      </c>
      <c r="AT33" s="23">
        <v>0</v>
      </c>
      <c r="AU33" s="26">
        <v>59240</v>
      </c>
      <c r="AV33" s="27">
        <f t="shared" si="4"/>
        <v>42968</v>
      </c>
      <c r="AW33" s="27">
        <f t="shared" si="5"/>
        <v>30077.599999999999</v>
      </c>
    </row>
    <row r="34" spans="1:49" s="28" customFormat="1" ht="21.6" customHeight="1" x14ac:dyDescent="0.4">
      <c r="A34" s="20" t="s">
        <v>62</v>
      </c>
      <c r="B34" s="21" t="s">
        <v>9</v>
      </c>
      <c r="C34" s="21">
        <v>351846</v>
      </c>
      <c r="D34" s="22"/>
      <c r="E34" s="21" t="s">
        <v>17</v>
      </c>
      <c r="F34" s="21" t="s">
        <v>10</v>
      </c>
      <c r="G34" s="21" t="s">
        <v>18</v>
      </c>
      <c r="H34" s="23" t="s">
        <v>11</v>
      </c>
      <c r="I34" s="23" t="s">
        <v>12</v>
      </c>
      <c r="J34" s="23">
        <v>0</v>
      </c>
      <c r="K34" s="23">
        <v>22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228</v>
      </c>
      <c r="AC34" s="24">
        <v>22600</v>
      </c>
      <c r="AD34" s="23">
        <v>200</v>
      </c>
      <c r="AE34" s="23">
        <v>0</v>
      </c>
      <c r="AF34" s="23">
        <v>0</v>
      </c>
      <c r="AG34" s="23">
        <v>0</v>
      </c>
      <c r="AH34" s="23">
        <v>224</v>
      </c>
      <c r="AI34" s="24">
        <v>20640</v>
      </c>
      <c r="AJ34" s="24">
        <v>5200</v>
      </c>
      <c r="AK34" s="23">
        <v>0</v>
      </c>
      <c r="AL34" s="23">
        <v>0</v>
      </c>
      <c r="AM34" s="23">
        <v>0</v>
      </c>
      <c r="AN34" s="25">
        <v>6192</v>
      </c>
      <c r="AO34" s="23">
        <v>17</v>
      </c>
      <c r="AP34" s="24">
        <v>1700</v>
      </c>
      <c r="AQ34" s="23">
        <v>0</v>
      </c>
      <c r="AR34" s="23">
        <v>0</v>
      </c>
      <c r="AS34" s="23">
        <v>0</v>
      </c>
      <c r="AT34" s="23">
        <v>0</v>
      </c>
      <c r="AU34" s="26">
        <v>50340</v>
      </c>
      <c r="AV34" s="27">
        <f t="shared" ref="AV34:AV35" si="6">AU34-AN34</f>
        <v>44148</v>
      </c>
      <c r="AW34" s="27">
        <f t="shared" ref="AW34:AW35" si="7">AV34*70%</f>
        <v>30903.599999999999</v>
      </c>
    </row>
    <row r="35" spans="1:49" s="28" customFormat="1" ht="21.6" customHeight="1" x14ac:dyDescent="0.4">
      <c r="A35" s="20" t="s">
        <v>62</v>
      </c>
      <c r="B35" s="21" t="s">
        <v>21</v>
      </c>
      <c r="C35" s="21">
        <v>403837</v>
      </c>
      <c r="D35" s="22"/>
      <c r="E35" s="21" t="s">
        <v>17</v>
      </c>
      <c r="F35" s="21" t="s">
        <v>22</v>
      </c>
      <c r="G35" s="21" t="s">
        <v>18</v>
      </c>
      <c r="H35" s="23" t="s">
        <v>11</v>
      </c>
      <c r="I35" s="23" t="s">
        <v>20</v>
      </c>
      <c r="J35" s="23">
        <v>0</v>
      </c>
      <c r="K35" s="23">
        <v>4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4</v>
      </c>
      <c r="U35" s="23">
        <v>0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s="23">
        <v>51</v>
      </c>
      <c r="AC35" s="24">
        <v>7800</v>
      </c>
      <c r="AD35" s="24">
        <v>2400</v>
      </c>
      <c r="AE35" s="23">
        <v>1</v>
      </c>
      <c r="AF35" s="23">
        <v>100</v>
      </c>
      <c r="AG35" s="23">
        <v>0</v>
      </c>
      <c r="AH35" s="23">
        <v>48</v>
      </c>
      <c r="AI35" s="24">
        <v>10560</v>
      </c>
      <c r="AJ35" s="23">
        <v>800</v>
      </c>
      <c r="AK35" s="23">
        <v>0</v>
      </c>
      <c r="AL35" s="23">
        <v>0</v>
      </c>
      <c r="AM35" s="23">
        <v>0</v>
      </c>
      <c r="AN35" s="25">
        <v>3168</v>
      </c>
      <c r="AO35" s="23">
        <v>0</v>
      </c>
      <c r="AP35" s="23">
        <v>0</v>
      </c>
      <c r="AQ35" s="23">
        <v>0</v>
      </c>
      <c r="AR35" s="23">
        <v>39</v>
      </c>
      <c r="AS35" s="24">
        <v>5900</v>
      </c>
      <c r="AT35" s="24">
        <v>9600</v>
      </c>
      <c r="AU35" s="26">
        <v>37160</v>
      </c>
      <c r="AV35" s="27">
        <f t="shared" si="6"/>
        <v>33992</v>
      </c>
      <c r="AW35" s="27">
        <f t="shared" si="7"/>
        <v>23794.399999999998</v>
      </c>
    </row>
    <row r="36" spans="1:49" s="28" customFormat="1" ht="19.8" customHeight="1" x14ac:dyDescent="0.4">
      <c r="A36" s="20" t="s">
        <v>62</v>
      </c>
      <c r="B36" s="21" t="s">
        <v>53</v>
      </c>
      <c r="C36" s="21">
        <v>434897</v>
      </c>
      <c r="D36" s="22"/>
      <c r="E36" s="21" t="s">
        <v>17</v>
      </c>
      <c r="F36" s="21" t="s">
        <v>48</v>
      </c>
      <c r="G36" s="21" t="s">
        <v>18</v>
      </c>
      <c r="H36" s="23" t="s">
        <v>13</v>
      </c>
      <c r="I36" s="23" t="s">
        <v>59</v>
      </c>
      <c r="J36" s="23">
        <v>1</v>
      </c>
      <c r="K36" s="23">
        <v>71</v>
      </c>
      <c r="L36" s="23">
        <v>200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70</v>
      </c>
      <c r="AC36" s="24">
        <v>14000</v>
      </c>
      <c r="AD36" s="23">
        <v>0</v>
      </c>
      <c r="AE36" s="23">
        <v>1</v>
      </c>
      <c r="AF36" s="23">
        <v>400</v>
      </c>
      <c r="AG36" s="23">
        <v>0</v>
      </c>
      <c r="AH36" s="23">
        <v>57</v>
      </c>
      <c r="AI36" s="24">
        <v>13200</v>
      </c>
      <c r="AJ36" s="23">
        <v>400</v>
      </c>
      <c r="AK36" s="23">
        <v>0</v>
      </c>
      <c r="AL36" s="23">
        <v>0</v>
      </c>
      <c r="AM36" s="23">
        <v>0</v>
      </c>
      <c r="AN36" s="25">
        <v>3960</v>
      </c>
      <c r="AO36" s="23">
        <v>11</v>
      </c>
      <c r="AP36" s="24">
        <v>2000</v>
      </c>
      <c r="AQ36" s="23">
        <v>200</v>
      </c>
      <c r="AR36" s="23">
        <v>0</v>
      </c>
      <c r="AS36" s="23">
        <v>0</v>
      </c>
      <c r="AT36" s="23">
        <v>0</v>
      </c>
      <c r="AU36" s="26">
        <v>30400</v>
      </c>
      <c r="AV36" s="27">
        <f t="shared" ref="AV36:AV48" si="8">AU36-AN36</f>
        <v>26440</v>
      </c>
      <c r="AW36" s="27">
        <f t="shared" ref="AW36:AW48" si="9">AV36*70%</f>
        <v>18508</v>
      </c>
    </row>
    <row r="37" spans="1:49" s="28" customFormat="1" ht="19.8" customHeight="1" x14ac:dyDescent="0.4">
      <c r="A37" s="20" t="s">
        <v>62</v>
      </c>
      <c r="B37" s="21" t="s">
        <v>51</v>
      </c>
      <c r="C37" s="21">
        <v>432749</v>
      </c>
      <c r="D37" s="22"/>
      <c r="E37" s="21" t="s">
        <v>17</v>
      </c>
      <c r="F37" s="21" t="s">
        <v>47</v>
      </c>
      <c r="G37" s="21" t="s">
        <v>18</v>
      </c>
      <c r="H37" s="23" t="s">
        <v>11</v>
      </c>
      <c r="I37" s="23" t="s">
        <v>66</v>
      </c>
      <c r="J37" s="23">
        <v>5</v>
      </c>
      <c r="K37" s="23">
        <v>4</v>
      </c>
      <c r="L37" s="24">
        <v>1000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57</v>
      </c>
      <c r="AC37" s="24">
        <v>11400</v>
      </c>
      <c r="AD37" s="23">
        <v>0</v>
      </c>
      <c r="AE37" s="23">
        <v>5</v>
      </c>
      <c r="AF37" s="24">
        <v>2000</v>
      </c>
      <c r="AG37" s="23">
        <v>0</v>
      </c>
      <c r="AH37" s="23">
        <v>52</v>
      </c>
      <c r="AI37" s="24">
        <v>9600</v>
      </c>
      <c r="AJ37" s="24">
        <v>2300</v>
      </c>
      <c r="AK37" s="23">
        <v>0</v>
      </c>
      <c r="AL37" s="23">
        <v>0</v>
      </c>
      <c r="AM37" s="23">
        <v>0</v>
      </c>
      <c r="AN37" s="25">
        <v>2880</v>
      </c>
      <c r="AO37" s="23">
        <v>9</v>
      </c>
      <c r="AP37" s="24">
        <v>1700</v>
      </c>
      <c r="AQ37" s="23">
        <v>0</v>
      </c>
      <c r="AR37" s="23">
        <v>2</v>
      </c>
      <c r="AS37" s="23">
        <v>800</v>
      </c>
      <c r="AT37" s="23">
        <v>0</v>
      </c>
      <c r="AU37" s="26">
        <v>28800</v>
      </c>
      <c r="AV37" s="27">
        <f t="shared" si="8"/>
        <v>25920</v>
      </c>
      <c r="AW37" s="27">
        <f t="shared" si="9"/>
        <v>18144</v>
      </c>
    </row>
    <row r="38" spans="1:49" s="28" customFormat="1" ht="19.8" customHeight="1" x14ac:dyDescent="0.4">
      <c r="A38" s="20" t="s">
        <v>62</v>
      </c>
      <c r="B38" s="21" t="s">
        <v>19</v>
      </c>
      <c r="C38" s="21">
        <v>380491</v>
      </c>
      <c r="D38" s="22"/>
      <c r="E38" s="21" t="s">
        <v>17</v>
      </c>
      <c r="F38" s="21" t="s">
        <v>23</v>
      </c>
      <c r="G38" s="21" t="s">
        <v>18</v>
      </c>
      <c r="H38" s="23" t="s">
        <v>11</v>
      </c>
      <c r="I38" s="23" t="s">
        <v>20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2</v>
      </c>
      <c r="AC38" s="23">
        <v>0</v>
      </c>
      <c r="AD38" s="23">
        <v>200</v>
      </c>
      <c r="AE38" s="23">
        <v>0</v>
      </c>
      <c r="AF38" s="23">
        <v>0</v>
      </c>
      <c r="AG38" s="23">
        <v>0</v>
      </c>
      <c r="AH38" s="23">
        <v>0</v>
      </c>
      <c r="AI38" s="23">
        <v>0</v>
      </c>
      <c r="AJ38" s="23">
        <v>0</v>
      </c>
      <c r="AK38" s="23">
        <v>0</v>
      </c>
      <c r="AL38" s="23">
        <v>0</v>
      </c>
      <c r="AM38" s="23">
        <v>0</v>
      </c>
      <c r="AN38" s="23">
        <v>0</v>
      </c>
      <c r="AO38" s="23">
        <v>145</v>
      </c>
      <c r="AP38" s="24">
        <v>12700</v>
      </c>
      <c r="AQ38" s="24">
        <v>1800</v>
      </c>
      <c r="AR38" s="23">
        <v>0</v>
      </c>
      <c r="AS38" s="23">
        <v>0</v>
      </c>
      <c r="AT38" s="23">
        <v>0</v>
      </c>
      <c r="AU38" s="26">
        <v>14700</v>
      </c>
      <c r="AV38" s="27">
        <f t="shared" si="8"/>
        <v>14700</v>
      </c>
      <c r="AW38" s="27">
        <f t="shared" si="9"/>
        <v>10290</v>
      </c>
    </row>
    <row r="39" spans="1:49" s="28" customFormat="1" ht="19.8" customHeight="1" x14ac:dyDescent="0.4">
      <c r="A39" s="20" t="s">
        <v>62</v>
      </c>
      <c r="B39" s="21" t="s">
        <v>27</v>
      </c>
      <c r="C39" s="21">
        <v>419155</v>
      </c>
      <c r="D39" s="22"/>
      <c r="E39" s="21" t="s">
        <v>17</v>
      </c>
      <c r="F39" s="21" t="s">
        <v>28</v>
      </c>
      <c r="G39" s="21" t="s">
        <v>18</v>
      </c>
      <c r="H39" s="23" t="s">
        <v>11</v>
      </c>
      <c r="I39" s="23" t="s">
        <v>50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>
        <v>0</v>
      </c>
      <c r="AG39" s="23">
        <v>0</v>
      </c>
      <c r="AH39" s="23">
        <v>38</v>
      </c>
      <c r="AI39" s="24">
        <v>13680</v>
      </c>
      <c r="AJ39" s="23">
        <v>0</v>
      </c>
      <c r="AK39" s="23">
        <v>0</v>
      </c>
      <c r="AL39" s="23">
        <v>0</v>
      </c>
      <c r="AM39" s="23">
        <v>0</v>
      </c>
      <c r="AN39" s="25">
        <v>4104</v>
      </c>
      <c r="AO39" s="23">
        <v>0</v>
      </c>
      <c r="AP39" s="23">
        <v>0</v>
      </c>
      <c r="AQ39" s="23">
        <v>0</v>
      </c>
      <c r="AR39" s="23">
        <v>0</v>
      </c>
      <c r="AS39" s="23">
        <v>0</v>
      </c>
      <c r="AT39" s="23">
        <v>0</v>
      </c>
      <c r="AU39" s="26">
        <v>13680</v>
      </c>
      <c r="AV39" s="27">
        <f t="shared" si="8"/>
        <v>9576</v>
      </c>
      <c r="AW39" s="27">
        <f t="shared" si="9"/>
        <v>6703.2</v>
      </c>
    </row>
    <row r="40" spans="1:49" s="28" customFormat="1" ht="19.8" customHeight="1" x14ac:dyDescent="0.4">
      <c r="A40" s="20" t="s">
        <v>62</v>
      </c>
      <c r="B40" s="21" t="s">
        <v>70</v>
      </c>
      <c r="C40" s="21">
        <v>465463</v>
      </c>
      <c r="D40" s="22"/>
      <c r="E40" s="21" t="s">
        <v>17</v>
      </c>
      <c r="F40" s="21" t="s">
        <v>71</v>
      </c>
      <c r="G40" s="21" t="s">
        <v>18</v>
      </c>
      <c r="H40" s="23" t="s">
        <v>72</v>
      </c>
      <c r="I40" s="23" t="s">
        <v>73</v>
      </c>
      <c r="J40" s="23">
        <v>0</v>
      </c>
      <c r="K40" s="23">
        <v>165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>
        <v>0</v>
      </c>
      <c r="AG40" s="23">
        <v>0</v>
      </c>
      <c r="AH40" s="23">
        <v>30</v>
      </c>
      <c r="AI40" s="24">
        <v>6480</v>
      </c>
      <c r="AJ40" s="23">
        <v>500</v>
      </c>
      <c r="AK40" s="23">
        <v>0</v>
      </c>
      <c r="AL40" s="23">
        <v>0</v>
      </c>
      <c r="AM40" s="23">
        <v>0</v>
      </c>
      <c r="AN40" s="25">
        <v>1944</v>
      </c>
      <c r="AO40" s="23">
        <v>32</v>
      </c>
      <c r="AP40" s="24">
        <v>6300</v>
      </c>
      <c r="AQ40" s="23">
        <v>0</v>
      </c>
      <c r="AR40" s="23">
        <v>0</v>
      </c>
      <c r="AS40" s="23">
        <v>0</v>
      </c>
      <c r="AT40" s="23">
        <v>0</v>
      </c>
      <c r="AU40" s="26">
        <v>13280</v>
      </c>
      <c r="AV40" s="27">
        <f t="shared" si="8"/>
        <v>11336</v>
      </c>
      <c r="AW40" s="27">
        <f t="shared" si="9"/>
        <v>7935.2</v>
      </c>
    </row>
    <row r="41" spans="1:49" s="28" customFormat="1" ht="19.8" customHeight="1" x14ac:dyDescent="0.4">
      <c r="A41" s="20" t="s">
        <v>62</v>
      </c>
      <c r="B41" s="21" t="s">
        <v>26</v>
      </c>
      <c r="C41" s="21">
        <v>412451</v>
      </c>
      <c r="D41" s="22"/>
      <c r="E41" s="21" t="s">
        <v>17</v>
      </c>
      <c r="F41" s="21" t="s">
        <v>57</v>
      </c>
      <c r="G41" s="21" t="s">
        <v>18</v>
      </c>
      <c r="H41" s="23" t="s">
        <v>13</v>
      </c>
      <c r="I41" s="23" t="s">
        <v>58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8</v>
      </c>
      <c r="AC41" s="23">
        <v>900</v>
      </c>
      <c r="AD41" s="23">
        <v>700</v>
      </c>
      <c r="AE41" s="23">
        <v>0</v>
      </c>
      <c r="AF41" s="23">
        <v>0</v>
      </c>
      <c r="AG41" s="23">
        <v>0</v>
      </c>
      <c r="AH41" s="23">
        <v>54</v>
      </c>
      <c r="AI41" s="23">
        <v>240</v>
      </c>
      <c r="AJ41" s="24">
        <v>10600</v>
      </c>
      <c r="AK41" s="23">
        <v>0</v>
      </c>
      <c r="AL41" s="23">
        <v>0</v>
      </c>
      <c r="AM41" s="23">
        <v>0</v>
      </c>
      <c r="AN41" s="23">
        <v>72</v>
      </c>
      <c r="AO41" s="23">
        <v>0</v>
      </c>
      <c r="AP41" s="23">
        <v>0</v>
      </c>
      <c r="AQ41" s="23">
        <v>0</v>
      </c>
      <c r="AR41" s="23">
        <v>0</v>
      </c>
      <c r="AS41" s="23">
        <v>0</v>
      </c>
      <c r="AT41" s="23">
        <v>0</v>
      </c>
      <c r="AU41" s="26">
        <v>12440</v>
      </c>
      <c r="AV41" s="27">
        <f t="shared" si="8"/>
        <v>12368</v>
      </c>
      <c r="AW41" s="27">
        <f t="shared" si="9"/>
        <v>8657.5999999999985</v>
      </c>
    </row>
    <row r="42" spans="1:49" s="28" customFormat="1" ht="20.399999999999999" customHeight="1" x14ac:dyDescent="0.4">
      <c r="A42" s="20" t="s">
        <v>62</v>
      </c>
      <c r="B42" s="21" t="s">
        <v>14</v>
      </c>
      <c r="C42" s="21">
        <v>383201</v>
      </c>
      <c r="D42" s="22"/>
      <c r="E42" s="21" t="s">
        <v>17</v>
      </c>
      <c r="F42" s="21" t="s">
        <v>15</v>
      </c>
      <c r="G42" s="21" t="s">
        <v>18</v>
      </c>
      <c r="H42" s="23" t="s">
        <v>11</v>
      </c>
      <c r="I42" s="23" t="s">
        <v>16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4</v>
      </c>
      <c r="AC42" s="23">
        <v>0</v>
      </c>
      <c r="AD42" s="23">
        <v>800</v>
      </c>
      <c r="AE42" s="23">
        <v>0</v>
      </c>
      <c r="AF42" s="23">
        <v>0</v>
      </c>
      <c r="AG42" s="23">
        <v>0</v>
      </c>
      <c r="AH42" s="23">
        <v>28</v>
      </c>
      <c r="AI42" s="24">
        <v>6480</v>
      </c>
      <c r="AJ42" s="23">
        <v>200</v>
      </c>
      <c r="AK42" s="23">
        <v>1</v>
      </c>
      <c r="AL42" s="23">
        <v>480</v>
      </c>
      <c r="AM42" s="23">
        <v>0</v>
      </c>
      <c r="AN42" s="25">
        <v>2088</v>
      </c>
      <c r="AO42" s="23">
        <v>0</v>
      </c>
      <c r="AP42" s="23">
        <v>0</v>
      </c>
      <c r="AQ42" s="23">
        <v>0</v>
      </c>
      <c r="AR42" s="23">
        <v>0</v>
      </c>
      <c r="AS42" s="23">
        <v>0</v>
      </c>
      <c r="AT42" s="23">
        <v>0</v>
      </c>
      <c r="AU42" s="26">
        <v>7960</v>
      </c>
      <c r="AV42" s="27">
        <f t="shared" si="8"/>
        <v>5872</v>
      </c>
      <c r="AW42" s="27">
        <f t="shared" si="9"/>
        <v>4110.3999999999996</v>
      </c>
    </row>
    <row r="43" spans="1:49" s="28" customFormat="1" ht="19.8" customHeight="1" x14ac:dyDescent="0.4">
      <c r="A43" s="20" t="s">
        <v>62</v>
      </c>
      <c r="B43" s="21" t="s">
        <v>74</v>
      </c>
      <c r="C43" s="21">
        <v>465658</v>
      </c>
      <c r="D43" s="22"/>
      <c r="E43" s="21" t="s">
        <v>17</v>
      </c>
      <c r="F43" s="21" t="s">
        <v>75</v>
      </c>
      <c r="G43" s="21" t="s">
        <v>18</v>
      </c>
      <c r="H43" s="23" t="s">
        <v>11</v>
      </c>
      <c r="I43" s="23" t="s">
        <v>69</v>
      </c>
      <c r="J43" s="23">
        <v>0</v>
      </c>
      <c r="K43" s="23">
        <v>104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5</v>
      </c>
      <c r="AC43" s="23">
        <v>800</v>
      </c>
      <c r="AD43" s="23">
        <v>200</v>
      </c>
      <c r="AE43" s="23">
        <v>0</v>
      </c>
      <c r="AF43" s="23">
        <v>0</v>
      </c>
      <c r="AG43" s="23">
        <v>0</v>
      </c>
      <c r="AH43" s="23">
        <v>15</v>
      </c>
      <c r="AI43" s="24">
        <v>3600</v>
      </c>
      <c r="AJ43" s="23">
        <v>0</v>
      </c>
      <c r="AK43" s="23">
        <v>0</v>
      </c>
      <c r="AL43" s="23">
        <v>0</v>
      </c>
      <c r="AM43" s="23">
        <v>0</v>
      </c>
      <c r="AN43" s="25">
        <v>1080</v>
      </c>
      <c r="AO43" s="23">
        <v>0</v>
      </c>
      <c r="AP43" s="23">
        <v>0</v>
      </c>
      <c r="AQ43" s="23">
        <v>0</v>
      </c>
      <c r="AR43" s="23">
        <v>0</v>
      </c>
      <c r="AS43" s="23">
        <v>0</v>
      </c>
      <c r="AT43" s="23">
        <v>0</v>
      </c>
      <c r="AU43" s="26">
        <v>4600</v>
      </c>
      <c r="AV43" s="27">
        <f t="shared" si="8"/>
        <v>3520</v>
      </c>
      <c r="AW43" s="27">
        <f t="shared" si="9"/>
        <v>2464</v>
      </c>
    </row>
    <row r="44" spans="1:49" s="28" customFormat="1" ht="19.8" customHeight="1" x14ac:dyDescent="0.4">
      <c r="A44" s="20" t="s">
        <v>62</v>
      </c>
      <c r="B44" s="21" t="s">
        <v>45</v>
      </c>
      <c r="C44" s="21">
        <v>423525</v>
      </c>
      <c r="D44" s="22"/>
      <c r="E44" s="21" t="s">
        <v>17</v>
      </c>
      <c r="F44" s="21" t="s">
        <v>46</v>
      </c>
      <c r="G44" s="21" t="s">
        <v>18</v>
      </c>
      <c r="H44" s="23" t="s">
        <v>11</v>
      </c>
      <c r="I44" s="23" t="s">
        <v>69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5</v>
      </c>
      <c r="AC44" s="24">
        <v>1000</v>
      </c>
      <c r="AD44" s="23">
        <v>0</v>
      </c>
      <c r="AE44" s="23">
        <v>0</v>
      </c>
      <c r="AF44" s="23">
        <v>0</v>
      </c>
      <c r="AG44" s="23">
        <v>0</v>
      </c>
      <c r="AH44" s="23">
        <v>14</v>
      </c>
      <c r="AI44" s="24">
        <v>1920</v>
      </c>
      <c r="AJ44" s="24">
        <v>1200</v>
      </c>
      <c r="AK44" s="23">
        <v>0</v>
      </c>
      <c r="AL44" s="23">
        <v>0</v>
      </c>
      <c r="AM44" s="23">
        <v>0</v>
      </c>
      <c r="AN44" s="23">
        <v>576</v>
      </c>
      <c r="AO44" s="23">
        <v>0</v>
      </c>
      <c r="AP44" s="23">
        <v>0</v>
      </c>
      <c r="AQ44" s="23">
        <v>0</v>
      </c>
      <c r="AR44" s="23">
        <v>0</v>
      </c>
      <c r="AS44" s="23">
        <v>0</v>
      </c>
      <c r="AT44" s="23">
        <v>0</v>
      </c>
      <c r="AU44" s="26">
        <v>4120</v>
      </c>
      <c r="AV44" s="27">
        <f t="shared" si="8"/>
        <v>3544</v>
      </c>
      <c r="AW44" s="27">
        <f t="shared" si="9"/>
        <v>2480.7999999999997</v>
      </c>
    </row>
    <row r="45" spans="1:49" s="28" customFormat="1" ht="19.8" customHeight="1" x14ac:dyDescent="0.4">
      <c r="A45" s="20" t="s">
        <v>62</v>
      </c>
      <c r="B45" s="21" t="s">
        <v>24</v>
      </c>
      <c r="C45" s="21">
        <v>405596</v>
      </c>
      <c r="D45" s="22"/>
      <c r="E45" s="21" t="s">
        <v>17</v>
      </c>
      <c r="F45" s="21" t="s">
        <v>25</v>
      </c>
      <c r="G45" s="21" t="s">
        <v>18</v>
      </c>
      <c r="H45" s="23" t="s">
        <v>11</v>
      </c>
      <c r="I45" s="23" t="s">
        <v>29</v>
      </c>
      <c r="J45" s="23">
        <v>0</v>
      </c>
      <c r="K45" s="23">
        <v>66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  <c r="AC45" s="23">
        <v>0</v>
      </c>
      <c r="AD45" s="23">
        <v>0</v>
      </c>
      <c r="AE45" s="23">
        <v>0</v>
      </c>
      <c r="AF45" s="23">
        <v>0</v>
      </c>
      <c r="AG45" s="23">
        <v>0</v>
      </c>
      <c r="AH45" s="23">
        <v>2</v>
      </c>
      <c r="AI45" s="23">
        <v>0</v>
      </c>
      <c r="AJ45" s="23">
        <v>200</v>
      </c>
      <c r="AK45" s="23">
        <v>0</v>
      </c>
      <c r="AL45" s="23">
        <v>0</v>
      </c>
      <c r="AM45" s="23">
        <v>0</v>
      </c>
      <c r="AN45" s="23">
        <v>0</v>
      </c>
      <c r="AO45" s="23">
        <v>7</v>
      </c>
      <c r="AP45" s="23">
        <v>700</v>
      </c>
      <c r="AQ45" s="23">
        <v>0</v>
      </c>
      <c r="AR45" s="23">
        <v>0</v>
      </c>
      <c r="AS45" s="23">
        <v>0</v>
      </c>
      <c r="AT45" s="23">
        <v>0</v>
      </c>
      <c r="AU45" s="29">
        <v>900</v>
      </c>
      <c r="AV45" s="27">
        <f t="shared" si="8"/>
        <v>900</v>
      </c>
      <c r="AW45" s="27">
        <f t="shared" si="9"/>
        <v>630</v>
      </c>
    </row>
    <row r="46" spans="1:49" ht="19.8" customHeight="1" x14ac:dyDescent="0.4">
      <c r="A46" s="4" t="s">
        <v>63</v>
      </c>
      <c r="B46" s="6" t="s">
        <v>54</v>
      </c>
      <c r="C46" s="6">
        <v>448747</v>
      </c>
      <c r="D46" s="7"/>
      <c r="E46" s="6" t="s">
        <v>17</v>
      </c>
      <c r="F46" s="6" t="s">
        <v>55</v>
      </c>
      <c r="G46" s="6" t="s">
        <v>18</v>
      </c>
      <c r="H46" s="8" t="s">
        <v>11</v>
      </c>
      <c r="I46" s="8" t="s">
        <v>56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2</v>
      </c>
      <c r="AC46" s="8">
        <v>400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18">
        <v>400</v>
      </c>
      <c r="AV46" s="16">
        <f t="shared" si="8"/>
        <v>400</v>
      </c>
      <c r="AW46" s="16">
        <f t="shared" si="9"/>
        <v>280</v>
      </c>
    </row>
    <row r="47" spans="1:49" ht="19.8" customHeight="1" x14ac:dyDescent="0.4">
      <c r="A47" s="4" t="s">
        <v>65</v>
      </c>
      <c r="B47" s="6" t="s">
        <v>54</v>
      </c>
      <c r="C47" s="6">
        <v>448747</v>
      </c>
      <c r="D47" s="7"/>
      <c r="E47" s="6" t="s">
        <v>17</v>
      </c>
      <c r="F47" s="6" t="s">
        <v>55</v>
      </c>
      <c r="G47" s="6" t="s">
        <v>18</v>
      </c>
      <c r="H47" s="8" t="s">
        <v>11</v>
      </c>
      <c r="I47" s="8" t="s">
        <v>56</v>
      </c>
      <c r="J47" s="8">
        <v>0</v>
      </c>
      <c r="K47" s="9">
        <v>8190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825</v>
      </c>
      <c r="AC47" s="9">
        <v>155700</v>
      </c>
      <c r="AD47" s="9">
        <v>9300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23</v>
      </c>
      <c r="AP47" s="9">
        <v>4400</v>
      </c>
      <c r="AQ47" s="8">
        <v>200</v>
      </c>
      <c r="AR47" s="8">
        <v>0</v>
      </c>
      <c r="AS47" s="8">
        <v>0</v>
      </c>
      <c r="AT47" s="8">
        <v>0</v>
      </c>
      <c r="AU47" s="10">
        <v>169600</v>
      </c>
      <c r="AV47" s="16">
        <f t="shared" si="8"/>
        <v>169600</v>
      </c>
      <c r="AW47" s="16">
        <f t="shared" si="9"/>
        <v>118719.99999999999</v>
      </c>
    </row>
    <row r="48" spans="1:49" ht="19.8" customHeight="1" x14ac:dyDescent="0.4">
      <c r="A48" s="4" t="s">
        <v>64</v>
      </c>
      <c r="B48" s="6" t="s">
        <v>54</v>
      </c>
      <c r="C48" s="6">
        <v>448747</v>
      </c>
      <c r="D48" s="7"/>
      <c r="E48" s="6" t="s">
        <v>17</v>
      </c>
      <c r="F48" s="6" t="s">
        <v>55</v>
      </c>
      <c r="G48" s="6" t="s">
        <v>18</v>
      </c>
      <c r="H48" s="8" t="s">
        <v>11</v>
      </c>
      <c r="I48" s="8" t="s">
        <v>56</v>
      </c>
      <c r="J48" s="8">
        <v>0</v>
      </c>
      <c r="K48" s="9">
        <v>4168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69</v>
      </c>
      <c r="AC48" s="9">
        <v>4400</v>
      </c>
      <c r="AD48" s="9">
        <v>9400</v>
      </c>
      <c r="AE48" s="8">
        <v>0</v>
      </c>
      <c r="AF48" s="8">
        <v>0</v>
      </c>
      <c r="AG48" s="8">
        <v>0</v>
      </c>
      <c r="AH48" s="8">
        <v>74</v>
      </c>
      <c r="AI48" s="9">
        <v>14640</v>
      </c>
      <c r="AJ48" s="9">
        <v>2600</v>
      </c>
      <c r="AK48" s="8">
        <v>0</v>
      </c>
      <c r="AL48" s="8">
        <v>0</v>
      </c>
      <c r="AM48" s="8">
        <v>0</v>
      </c>
      <c r="AN48" s="11">
        <v>4392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10">
        <v>31040</v>
      </c>
      <c r="AV48" s="16">
        <f t="shared" si="8"/>
        <v>26648</v>
      </c>
      <c r="AW48" s="16">
        <f t="shared" si="9"/>
        <v>18653.599999999999</v>
      </c>
    </row>
    <row r="49" spans="47:49" ht="19.8" customHeight="1" x14ac:dyDescent="0.4">
      <c r="AU49" s="19">
        <f>SUM(AU2:AU48)</f>
        <v>2971470</v>
      </c>
      <c r="AW49" s="16">
        <f>SUM(AW2:AW48)</f>
        <v>1983666.3</v>
      </c>
    </row>
    <row r="50" spans="47:49" ht="19.8" customHeight="1" x14ac:dyDescent="0.4"/>
    <row r="51" spans="47:49" ht="19.8" customHeight="1" x14ac:dyDescent="0.4"/>
    <row r="52" spans="47:49" ht="19.8" customHeight="1" x14ac:dyDescent="0.4"/>
    <row r="53" spans="47:49" ht="19.8" customHeight="1" x14ac:dyDescent="0.4"/>
    <row r="54" spans="47:49" ht="19.8" customHeight="1" x14ac:dyDescent="0.4"/>
    <row r="55" spans="47:49" ht="19.8" customHeight="1" x14ac:dyDescent="0.4"/>
    <row r="56" spans="47:49" ht="19.8" customHeight="1" x14ac:dyDescent="0.4"/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2022-05-03T09:22:23Z</dcterms:modified>
</cp:coreProperties>
</file>