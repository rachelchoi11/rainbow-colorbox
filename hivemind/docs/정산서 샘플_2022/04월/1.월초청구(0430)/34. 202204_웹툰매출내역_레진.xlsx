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3040" windowHeight="8592"/>
  </bookViews>
  <sheets>
    <sheet name="2022-3월-comic" sheetId="1" r:id="rId1"/>
  </sheets>
  <calcPr calcId="152511"/>
</workbook>
</file>

<file path=xl/calcChain.xml><?xml version="1.0" encoding="utf-8"?>
<calcChain xmlns="http://schemas.openxmlformats.org/spreadsheetml/2006/main">
  <c r="H17" i="1" l="1"/>
  <c r="H15" i="1"/>
</calcChain>
</file>

<file path=xl/sharedStrings.xml><?xml version="1.0" encoding="utf-8"?>
<sst xmlns="http://schemas.openxmlformats.org/spreadsheetml/2006/main" count="36" uniqueCount="23">
  <si>
    <t>Title</t>
  </si>
  <si>
    <t>사용코인 합계</t>
  </si>
  <si>
    <t>Web 코인당 정산단가</t>
  </si>
  <si>
    <t>Mobile 코인당 정산단가</t>
  </si>
  <si>
    <t>환불코인</t>
  </si>
  <si>
    <t>MG</t>
  </si>
  <si>
    <t>지각차감</t>
  </si>
  <si>
    <t>정산 금액</t>
  </si>
  <si>
    <t>이세계 소환은 두 번째라구요</t>
  </si>
  <si>
    <t>상세보기</t>
  </si>
  <si>
    <t>감옥실험</t>
  </si>
  <si>
    <t>최애에게 들켜버렸다 [연재]</t>
  </si>
  <si>
    <t>폭군의 눈물 [연재]</t>
  </si>
  <si>
    <t>별빛 아래 우리 [연재]</t>
  </si>
  <si>
    <t>백스테이지 키스신</t>
  </si>
  <si>
    <t>내 남편의 스토커</t>
  </si>
  <si>
    <t>공주전쟁 [연재]</t>
  </si>
  <si>
    <t>피치 소르베</t>
  </si>
  <si>
    <t>커피여우 김삼월 [연재]</t>
  </si>
  <si>
    <t>악역이지만, 남주는 꼬시지 않아요 [연재]</t>
  </si>
  <si>
    <t>요괴님은 수련중 [연재]</t>
  </si>
  <si>
    <t>가출천사 육성계약 [연재]</t>
  </si>
  <si>
    <t>개천고 세계편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</si>
</sst>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rgb="FF333333"/>
      <name val="Segoe UI"/>
      <family val="2"/>
    </font>
    <font>
      <sz val="11"/>
      <color theme="1"/>
      <name val="Segoe UI"/>
      <family val="2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applyFill="1">
      <alignment vertical="center"/>
    </xf>
    <xf numFmtId="0" fontId="20" fillId="0" borderId="10" xfId="0" applyFont="1" applyBorder="1" applyAlignment="1">
      <alignment horizontal="left" vertical="top" wrapText="1"/>
    </xf>
    <xf numFmtId="0" fontId="20" fillId="0" borderId="10" xfId="0" applyFont="1" applyBorder="1" applyAlignment="1">
      <alignment horizontal="right" vertical="top" wrapText="1"/>
    </xf>
    <xf numFmtId="3" fontId="20" fillId="0" borderId="10" xfId="0" applyNumberFormat="1" applyFont="1" applyBorder="1" applyAlignment="1">
      <alignment horizontal="right" vertical="top" wrapText="1"/>
    </xf>
    <xf numFmtId="0" fontId="21" fillId="0" borderId="10" xfId="42" applyBorder="1" applyAlignment="1">
      <alignment horizontal="center" vertical="top" wrapText="1"/>
    </xf>
    <xf numFmtId="0" fontId="19" fillId="0" borderId="0" xfId="0" applyFont="1" applyAlignment="1">
      <alignment vertical="center" wrapText="1"/>
    </xf>
    <xf numFmtId="3" fontId="22" fillId="33" borderId="0" xfId="0" applyNumberFormat="1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rtner.lezhin.com/app/partner/" TargetMode="External"/><Relationship Id="rId13" Type="http://schemas.openxmlformats.org/officeDocument/2006/relationships/hyperlink" Target="https://partner.lezhin.com/app/partner/" TargetMode="External"/><Relationship Id="rId3" Type="http://schemas.openxmlformats.org/officeDocument/2006/relationships/hyperlink" Target="https://partner.lezhin.com/app/partner/" TargetMode="External"/><Relationship Id="rId7" Type="http://schemas.openxmlformats.org/officeDocument/2006/relationships/hyperlink" Target="https://partner.lezhin.com/app/partner/" TargetMode="External"/><Relationship Id="rId12" Type="http://schemas.openxmlformats.org/officeDocument/2006/relationships/hyperlink" Target="https://partner.lezhin.com/app/partner/" TargetMode="External"/><Relationship Id="rId2" Type="http://schemas.openxmlformats.org/officeDocument/2006/relationships/hyperlink" Target="https://partner.lezhin.com/app/partner/" TargetMode="External"/><Relationship Id="rId1" Type="http://schemas.openxmlformats.org/officeDocument/2006/relationships/hyperlink" Target="https://partner.lezhin.com/app/partner/" TargetMode="External"/><Relationship Id="rId6" Type="http://schemas.openxmlformats.org/officeDocument/2006/relationships/hyperlink" Target="https://partner.lezhin.com/app/partner/" TargetMode="External"/><Relationship Id="rId11" Type="http://schemas.openxmlformats.org/officeDocument/2006/relationships/hyperlink" Target="https://partner.lezhin.com/app/partner/" TargetMode="External"/><Relationship Id="rId5" Type="http://schemas.openxmlformats.org/officeDocument/2006/relationships/hyperlink" Target="https://partner.lezhin.com/app/partner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partner.lezhin.com/app/partner/" TargetMode="External"/><Relationship Id="rId4" Type="http://schemas.openxmlformats.org/officeDocument/2006/relationships/hyperlink" Target="https://partner.lezhin.com/app/partner/" TargetMode="External"/><Relationship Id="rId9" Type="http://schemas.openxmlformats.org/officeDocument/2006/relationships/hyperlink" Target="https://partner.lezhin.com/app/partner/" TargetMode="External"/><Relationship Id="rId14" Type="http://schemas.openxmlformats.org/officeDocument/2006/relationships/hyperlink" Target="https://partner.lezhin.com/app/partn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activeCell="A5" sqref="A5"/>
    </sheetView>
  </sheetViews>
  <sheetFormatPr defaultRowHeight="17.399999999999999" x14ac:dyDescent="0.4"/>
  <cols>
    <col min="1" max="1" width="31.796875" bestFit="1" customWidth="1"/>
    <col min="2" max="2" width="19.09765625" bestFit="1" customWidth="1"/>
    <col min="3" max="3" width="18.8984375" bestFit="1" customWidth="1"/>
    <col min="4" max="4" width="21" bestFit="1" customWidth="1"/>
    <col min="5" max="5" width="14.09765625" bestFit="1" customWidth="1"/>
    <col min="6" max="6" width="24.8984375" bestFit="1" customWidth="1"/>
    <col min="7" max="7" width="22.796875" bestFit="1" customWidth="1"/>
    <col min="8" max="8" width="12.09765625" customWidth="1"/>
  </cols>
  <sheetData>
    <row r="1" spans="1:9" ht="18" thickBot="1" x14ac:dyDescent="0.4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s="1" t="s">
        <v>7</v>
      </c>
    </row>
    <row r="2" spans="1:9" ht="18" thickBot="1" x14ac:dyDescent="0.45">
      <c r="A2" s="3" t="s">
        <v>8</v>
      </c>
      <c r="B2" s="4">
        <v>234</v>
      </c>
      <c r="C2" s="4">
        <v>84</v>
      </c>
      <c r="D2" s="4">
        <v>84</v>
      </c>
      <c r="E2" s="4">
        <v>0</v>
      </c>
      <c r="F2" s="4">
        <v>0</v>
      </c>
      <c r="G2" s="4">
        <v>0</v>
      </c>
      <c r="H2" s="5">
        <v>19656</v>
      </c>
      <c r="I2" s="6" t="s">
        <v>9</v>
      </c>
    </row>
    <row r="3" spans="1:9" ht="18" thickBot="1" x14ac:dyDescent="0.45">
      <c r="A3" s="3" t="s">
        <v>10</v>
      </c>
      <c r="B3" s="4">
        <v>939</v>
      </c>
      <c r="C3" s="4">
        <v>84</v>
      </c>
      <c r="D3" s="4">
        <v>84</v>
      </c>
      <c r="E3" s="4">
        <v>0</v>
      </c>
      <c r="F3" s="4">
        <v>0</v>
      </c>
      <c r="G3" s="4">
        <v>0</v>
      </c>
      <c r="H3" s="5">
        <v>78876</v>
      </c>
      <c r="I3" s="6" t="s">
        <v>9</v>
      </c>
    </row>
    <row r="4" spans="1:9" ht="18" thickBot="1" x14ac:dyDescent="0.45">
      <c r="A4" s="3" t="s">
        <v>11</v>
      </c>
      <c r="B4" s="4">
        <v>370</v>
      </c>
      <c r="C4" s="4">
        <v>84</v>
      </c>
      <c r="D4" s="4">
        <v>84</v>
      </c>
      <c r="E4" s="4">
        <v>0</v>
      </c>
      <c r="F4" s="4">
        <v>0</v>
      </c>
      <c r="G4" s="4">
        <v>0</v>
      </c>
      <c r="H4" s="5">
        <v>31080</v>
      </c>
      <c r="I4" s="6" t="s">
        <v>9</v>
      </c>
    </row>
    <row r="5" spans="1:9" ht="18" thickBot="1" x14ac:dyDescent="0.45">
      <c r="A5" s="3" t="s">
        <v>12</v>
      </c>
      <c r="B5" s="4">
        <v>6</v>
      </c>
      <c r="C5" s="4">
        <v>84</v>
      </c>
      <c r="D5" s="4">
        <v>84</v>
      </c>
      <c r="E5" s="4">
        <v>0</v>
      </c>
      <c r="F5" s="4">
        <v>0</v>
      </c>
      <c r="G5" s="4">
        <v>0</v>
      </c>
      <c r="H5" s="4">
        <v>504</v>
      </c>
      <c r="I5" s="6" t="s">
        <v>9</v>
      </c>
    </row>
    <row r="6" spans="1:9" ht="18" thickBot="1" x14ac:dyDescent="0.45">
      <c r="A6" s="3" t="s">
        <v>13</v>
      </c>
      <c r="B6" s="5">
        <v>1528</v>
      </c>
      <c r="C6" s="4">
        <v>84</v>
      </c>
      <c r="D6" s="4">
        <v>84</v>
      </c>
      <c r="E6" s="4">
        <v>0</v>
      </c>
      <c r="F6" s="4">
        <v>0</v>
      </c>
      <c r="G6" s="4">
        <v>0</v>
      </c>
      <c r="H6" s="5">
        <v>128352</v>
      </c>
      <c r="I6" s="6" t="s">
        <v>9</v>
      </c>
    </row>
    <row r="7" spans="1:9" ht="18" thickBot="1" x14ac:dyDescent="0.45">
      <c r="A7" s="3" t="s">
        <v>14</v>
      </c>
      <c r="B7" s="4">
        <v>480</v>
      </c>
      <c r="C7" s="4">
        <v>50</v>
      </c>
      <c r="D7" s="4">
        <v>50</v>
      </c>
      <c r="E7" s="4">
        <v>0</v>
      </c>
      <c r="F7" s="4">
        <v>0</v>
      </c>
      <c r="G7" s="4">
        <v>0</v>
      </c>
      <c r="H7" s="5">
        <v>24000</v>
      </c>
      <c r="I7" s="6" t="s">
        <v>9</v>
      </c>
    </row>
    <row r="8" spans="1:9" ht="18" thickBot="1" x14ac:dyDescent="0.45">
      <c r="A8" s="3" t="s">
        <v>15</v>
      </c>
      <c r="B8" s="4">
        <v>0</v>
      </c>
      <c r="C8" s="4">
        <v>50</v>
      </c>
      <c r="D8" s="4">
        <v>50</v>
      </c>
      <c r="E8" s="4">
        <v>0</v>
      </c>
      <c r="F8" s="4">
        <v>0</v>
      </c>
      <c r="G8" s="4">
        <v>0</v>
      </c>
      <c r="H8" s="4">
        <v>0</v>
      </c>
      <c r="I8" s="6" t="s">
        <v>9</v>
      </c>
    </row>
    <row r="9" spans="1:9" ht="18" thickBot="1" x14ac:dyDescent="0.45">
      <c r="A9" s="3" t="s">
        <v>16</v>
      </c>
      <c r="B9" s="4">
        <v>218</v>
      </c>
      <c r="C9" s="4">
        <v>84</v>
      </c>
      <c r="D9" s="4">
        <v>84</v>
      </c>
      <c r="E9" s="4">
        <v>0</v>
      </c>
      <c r="F9" s="4">
        <v>0</v>
      </c>
      <c r="G9" s="4">
        <v>0</v>
      </c>
      <c r="H9" s="5">
        <v>18312</v>
      </c>
      <c r="I9" s="6" t="s">
        <v>9</v>
      </c>
    </row>
    <row r="10" spans="1:9" ht="18" thickBot="1" x14ac:dyDescent="0.45">
      <c r="A10" s="3" t="s">
        <v>18</v>
      </c>
      <c r="B10" s="4">
        <v>354</v>
      </c>
      <c r="C10" s="4">
        <v>50</v>
      </c>
      <c r="D10" s="4">
        <v>50</v>
      </c>
      <c r="E10" s="4">
        <v>0</v>
      </c>
      <c r="F10" s="4">
        <v>0</v>
      </c>
      <c r="G10" s="4">
        <v>0</v>
      </c>
      <c r="H10" s="5">
        <v>17700</v>
      </c>
      <c r="I10" s="6" t="s">
        <v>9</v>
      </c>
    </row>
    <row r="11" spans="1:9" ht="34.200000000000003" thickBot="1" x14ac:dyDescent="0.45">
      <c r="A11" s="3" t="s">
        <v>19</v>
      </c>
      <c r="B11" s="5">
        <v>2474</v>
      </c>
      <c r="C11" s="4">
        <v>84</v>
      </c>
      <c r="D11" s="4">
        <v>84</v>
      </c>
      <c r="E11" s="4">
        <v>0</v>
      </c>
      <c r="F11" s="4">
        <v>0</v>
      </c>
      <c r="G11" s="4">
        <v>0</v>
      </c>
      <c r="H11" s="5">
        <v>207816</v>
      </c>
      <c r="I11" s="6" t="s">
        <v>9</v>
      </c>
    </row>
    <row r="12" spans="1:9" ht="18" thickBot="1" x14ac:dyDescent="0.45">
      <c r="A12" s="3" t="s">
        <v>20</v>
      </c>
      <c r="B12" s="4">
        <v>174</v>
      </c>
      <c r="C12" s="4">
        <v>84</v>
      </c>
      <c r="D12" s="4">
        <v>84</v>
      </c>
      <c r="E12" s="4">
        <v>0</v>
      </c>
      <c r="F12" s="4">
        <v>0</v>
      </c>
      <c r="G12" s="4">
        <v>0</v>
      </c>
      <c r="H12" s="5">
        <v>14616</v>
      </c>
      <c r="I12" s="6" t="s">
        <v>9</v>
      </c>
    </row>
    <row r="13" spans="1:9" ht="18" thickBot="1" x14ac:dyDescent="0.45">
      <c r="A13" s="3" t="s">
        <v>21</v>
      </c>
      <c r="B13" s="4">
        <v>612</v>
      </c>
      <c r="C13" s="4">
        <v>50</v>
      </c>
      <c r="D13" s="4">
        <v>50</v>
      </c>
      <c r="E13" s="4">
        <v>0</v>
      </c>
      <c r="F13" s="4">
        <v>0</v>
      </c>
      <c r="G13" s="4">
        <v>0</v>
      </c>
      <c r="H13" s="5">
        <v>30600</v>
      </c>
      <c r="I13" s="6" t="s">
        <v>9</v>
      </c>
    </row>
    <row r="14" spans="1:9" ht="18" thickBot="1" x14ac:dyDescent="0.45">
      <c r="A14" s="3" t="s">
        <v>22</v>
      </c>
      <c r="B14" s="5">
        <v>1424</v>
      </c>
      <c r="C14" s="4">
        <v>50</v>
      </c>
      <c r="D14" s="4">
        <v>50</v>
      </c>
      <c r="E14" s="4">
        <v>0</v>
      </c>
      <c r="F14" s="4">
        <v>0</v>
      </c>
      <c r="G14" s="4">
        <v>0</v>
      </c>
      <c r="H14" s="5">
        <v>71200</v>
      </c>
      <c r="I14" s="6" t="s">
        <v>9</v>
      </c>
    </row>
    <row r="15" spans="1:9" ht="18" thickBot="1" x14ac:dyDescent="0.45">
      <c r="A15" s="7"/>
      <c r="H15" s="8">
        <f>SUM(H2:H14)</f>
        <v>642712</v>
      </c>
    </row>
    <row r="16" spans="1:9" ht="18" thickBot="1" x14ac:dyDescent="0.45">
      <c r="A16" s="3" t="s">
        <v>17</v>
      </c>
      <c r="B16" s="5">
        <v>581646</v>
      </c>
      <c r="C16" s="4">
        <v>50</v>
      </c>
      <c r="D16" s="4">
        <v>50</v>
      </c>
      <c r="E16" s="4">
        <v>0</v>
      </c>
      <c r="F16" s="4">
        <v>0</v>
      </c>
      <c r="G16" s="4">
        <v>0</v>
      </c>
      <c r="H16" s="5">
        <v>29082300</v>
      </c>
      <c r="I16" s="6" t="s">
        <v>9</v>
      </c>
    </row>
    <row r="17" spans="8:8" x14ac:dyDescent="0.4">
      <c r="H17" s="8">
        <f>SUM(H16)</f>
        <v>29082300</v>
      </c>
    </row>
  </sheetData>
  <phoneticPr fontId="18" type="noConversion"/>
  <hyperlinks>
    <hyperlink ref="I2" r:id="rId1" location="/paymentReportDetail?isMonth=true&amp;settlementId=551043&amp;contentType=comic&amp;partnerType=cp" display="https://partner.lezhin.com/app/partner/ - /paymentReportDetail?isMonth=true&amp;settlementId=551043&amp;contentType=comic&amp;partnerType=cp"/>
    <hyperlink ref="I3" r:id="rId2" location="/paymentReportDetail?isMonth=true&amp;settlementId=551058&amp;contentType=comic&amp;partnerType=cp" display="https://partner.lezhin.com/app/partner/ - /paymentReportDetail?isMonth=true&amp;settlementId=551058&amp;contentType=comic&amp;partnerType=cp"/>
    <hyperlink ref="I4" r:id="rId3" location="/paymentReportDetail?isMonth=true&amp;settlementId=551872&amp;contentType=comic&amp;partnerType=cp" display="https://partner.lezhin.com/app/partner/ - /paymentReportDetail?isMonth=true&amp;settlementId=551872&amp;contentType=comic&amp;partnerType=cp"/>
    <hyperlink ref="I5" r:id="rId4" location="/paymentReportDetail?isMonth=true&amp;settlementId=551971&amp;contentType=comic&amp;partnerType=cp" display="https://partner.lezhin.com/app/partner/ - /paymentReportDetail?isMonth=true&amp;settlementId=551971&amp;contentType=comic&amp;partnerType=cp"/>
    <hyperlink ref="I6" r:id="rId5" location="/paymentReportDetail?isMonth=true&amp;settlementId=552002&amp;contentType=comic&amp;partnerType=cp" display="https://partner.lezhin.com/app/partner/ - /paymentReportDetail?isMonth=true&amp;settlementId=552002&amp;contentType=comic&amp;partnerType=cp"/>
    <hyperlink ref="I7" r:id="rId6" location="/paymentReportDetail?isMonth=true&amp;settlementId=552079&amp;contentType=comic&amp;partnerType=cp" display="https://partner.lezhin.com/app/partner/ - /paymentReportDetail?isMonth=true&amp;settlementId=552079&amp;contentType=comic&amp;partnerType=cp"/>
    <hyperlink ref="I8" r:id="rId7" location="/paymentReportDetail?isMonth=true&amp;settlementId=552128&amp;contentType=comic&amp;partnerType=cp" display="https://partner.lezhin.com/app/partner/ - /paymentReportDetail?isMonth=true&amp;settlementId=552128&amp;contentType=comic&amp;partnerType=cp"/>
    <hyperlink ref="I9" r:id="rId8" location="/paymentReportDetail?isMonth=true&amp;settlementId=552171&amp;contentType=comic&amp;partnerType=cp" display="https://partner.lezhin.com/app/partner/ - /paymentReportDetail?isMonth=true&amp;settlementId=552171&amp;contentType=comic&amp;partnerType=cp"/>
    <hyperlink ref="I16" r:id="rId9" location="/paymentReportDetail?isMonth=true&amp;settlementId=552490&amp;contentType=comic&amp;partnerType=cp" display="https://partner.lezhin.com/app/partner/ - /paymentReportDetail?isMonth=true&amp;settlementId=552490&amp;contentType=comic&amp;partnerType=cp"/>
    <hyperlink ref="I10" r:id="rId10" location="/paymentReportDetail?isMonth=true&amp;settlementId=552958&amp;contentType=comic&amp;partnerType=cp" display="https://partner.lezhin.com/app/partner/ - /paymentReportDetail?isMonth=true&amp;settlementId=552958&amp;contentType=comic&amp;partnerType=cp"/>
    <hyperlink ref="I11" r:id="rId11" location="/paymentReportDetail?isMonth=true&amp;settlementId=552967&amp;contentType=comic&amp;partnerType=cp" display="https://partner.lezhin.com/app/partner/ - /paymentReportDetail?isMonth=true&amp;settlementId=552967&amp;contentType=comic&amp;partnerType=cp"/>
    <hyperlink ref="I12" r:id="rId12" location="/paymentReportDetail?isMonth=true&amp;settlementId=552973&amp;contentType=comic&amp;partnerType=cp" display="https://partner.lezhin.com/app/partner/ - /paymentReportDetail?isMonth=true&amp;settlementId=552973&amp;contentType=comic&amp;partnerType=cp"/>
    <hyperlink ref="I13" r:id="rId13" location="/paymentReportDetail?isMonth=true&amp;settlementId=552989&amp;contentType=comic&amp;partnerType=cp" display="https://partner.lezhin.com/app/partner/ - /paymentReportDetail?isMonth=true&amp;settlementId=552989&amp;contentType=comic&amp;partnerType=cp"/>
    <hyperlink ref="I14" r:id="rId14" location="/paymentReportDetail?isMonth=true&amp;settlementId=553062&amp;contentType=comic&amp;partnerType=cp" display="https://partner.lezhin.com/app/partner/ - /paymentReportDetail?isMonth=true&amp;settlementId=553062&amp;contentType=comic&amp;partnerType=cp"/>
  </hyperlinks>
  <pageMargins left="0.7" right="0.7" top="0.75" bottom="0.75" header="0.3" footer="0.3"/>
  <pageSetup paperSize="9" orientation="portrait" verticalDpi="0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2022-3월-comic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2021-01-07T06:31:48Z</dcterms:created>
  <dcterms:modified xsi:type="dcterms:W3CDTF">2022-05-08T05:36:00Z</dcterms:modified>
</cp:coreProperties>
</file>