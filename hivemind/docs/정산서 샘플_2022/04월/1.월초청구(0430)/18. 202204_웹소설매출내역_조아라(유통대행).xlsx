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sjung\Desktop\1.월초청구(0430)\"/>
    </mc:Choice>
  </mc:AlternateContent>
  <bookViews>
    <workbookView xWindow="0" yWindow="0" windowWidth="23040" windowHeight="8955" tabRatio="930"/>
  </bookViews>
  <sheets>
    <sheet name="합계 (4)" sheetId="563" r:id="rId1"/>
  </sheets>
  <definedNames>
    <definedName name="_xlnm._FilterDatabase" localSheetId="0" hidden="1">'합계 (4)'!$A$1:$H$56</definedName>
    <definedName name="_xlnm.Extract" localSheetId="0">'합계 (4)'!#REF!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9" i="563" l="1"/>
  <c r="G56" i="563" l="1"/>
  <c r="E59" i="563" s="1"/>
  <c r="E61" i="563" l="1"/>
  <c r="E62" i="563" s="1"/>
  <c r="E63" i="563" l="1"/>
</calcChain>
</file>

<file path=xl/sharedStrings.xml><?xml version="1.0" encoding="utf-8"?>
<sst xmlns="http://schemas.openxmlformats.org/spreadsheetml/2006/main" count="128" uniqueCount="93">
  <si>
    <t>면세금액</t>
    <phoneticPr fontId="2" type="noConversion"/>
  </si>
  <si>
    <t>세금(VAT포함) 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</si>
  <si>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</si>
  <si>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</si>
  <si>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</si>
  <si>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</si>
  <si>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</si>
  <si>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</si>
  <si>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나는 내 연인의 것</t>
  </si>
  <si>
    <t>이세계 최강 군바리</t>
  </si>
  <si>
    <t>정산금액</t>
  </si>
  <si>
    <t>판매건수</t>
  </si>
  <si>
    <t>작품코드</t>
  </si>
  <si>
    <t>작품명</t>
  </si>
  <si>
    <t>단가</t>
  </si>
  <si>
    <t>비율</t>
  </si>
  <si>
    <t>작가명</t>
  </si>
  <si>
    <t>법보다 주먹</t>
  </si>
  <si>
    <t>출판사</t>
    <phoneticPr fontId="2" type="noConversion"/>
  </si>
  <si>
    <t>마지막 춤은  악인과 함께</t>
  </si>
  <si>
    <t>진짜 사나이!</t>
  </si>
  <si>
    <t>더 캡틴</t>
  </si>
  <si>
    <t>녹아내리다</t>
  </si>
  <si>
    <t>모어 댄 블루</t>
  </si>
  <si>
    <t>하루하루</t>
  </si>
  <si>
    <t>[[백범]]</t>
  </si>
  <si>
    <t>[[협행마]]</t>
  </si>
  <si>
    <t>위사무적</t>
  </si>
  <si>
    <t>[[나나코]]</t>
  </si>
  <si>
    <t>[[SISSI]]</t>
  </si>
  <si>
    <t>상무님이 원하시는 대로</t>
  </si>
  <si>
    <t>[[벨]]</t>
  </si>
  <si>
    <t>예렌의 신부</t>
  </si>
  <si>
    <t>[[sJessi]]</t>
  </si>
  <si>
    <t>[투즈]</t>
  </si>
  <si>
    <t>돌아갈 수 없는</t>
  </si>
  <si>
    <t>[[[키도]]]</t>
  </si>
  <si>
    <t>도깨비의 여자</t>
  </si>
  <si>
    <t>[[라돌체]]</t>
  </si>
  <si>
    <t>은아 멸치국수집</t>
  </si>
  <si>
    <t>[[배추적]]</t>
  </si>
  <si>
    <t>그 순간  별이 빛났다</t>
  </si>
  <si>
    <t>[[성실]]</t>
  </si>
  <si>
    <t>택스 프리(TAX FREE)</t>
  </si>
  <si>
    <t>바보가 만드는 멋진 세상 (개정판)</t>
  </si>
  <si>
    <t>[[[[시아]]]]</t>
  </si>
  <si>
    <t>[사틴]</t>
  </si>
  <si>
    <t>[무슈슈]</t>
  </si>
  <si>
    <t>꼭꼭 숨어라(Wherever you are)</t>
  </si>
  <si>
    <t>[감또개]</t>
  </si>
  <si>
    <t>거울 호흡</t>
  </si>
  <si>
    <t>귀수: 나비가 머문 별</t>
  </si>
  <si>
    <t>[[[마연]]]</t>
  </si>
  <si>
    <t>금의 해  새의 눈</t>
  </si>
  <si>
    <t>[등나무밑소공자]</t>
  </si>
  <si>
    <t>전설이 돼라</t>
  </si>
  <si>
    <t>월하연인</t>
  </si>
  <si>
    <t>바람피우지 마세요</t>
  </si>
  <si>
    <t>[[정감]]</t>
  </si>
  <si>
    <t>그저  닿지 않을 너에게</t>
  </si>
  <si>
    <t>[뚜여사]</t>
  </si>
  <si>
    <t>사냥꾼</t>
  </si>
  <si>
    <t>밤의 제물</t>
  </si>
  <si>
    <t>[두럭]</t>
  </si>
  <si>
    <t>2022.05.06</t>
  </si>
  <si>
    <t>하고 싶어</t>
  </si>
  <si>
    <t>폭군의 공물</t>
  </si>
  <si>
    <t>[[여러해살이풀]]</t>
  </si>
  <si>
    <t>술탄</t>
  </si>
  <si>
    <t>[jooki]</t>
  </si>
  <si>
    <t>담군 연사장</t>
  </si>
  <si>
    <t>[[[피모]]]</t>
  </si>
  <si>
    <t>끝까지  지독하게</t>
  </si>
  <si>
    <t>[진태이]</t>
  </si>
  <si>
    <t>달을 쫓는 하운드</t>
  </si>
  <si>
    <t>[[채플린]]</t>
  </si>
  <si>
    <t>무히비(Muhibbi)</t>
  </si>
  <si>
    <t>인투 유(INTO YOU)</t>
  </si>
  <si>
    <t>[[파씨]]</t>
  </si>
  <si>
    <t>센서티브 다이어리(Sensitive diary)</t>
  </si>
  <si>
    <t>육식주의자</t>
  </si>
  <si>
    <t>자비를 베푸소서(Miserere Nobis)</t>
  </si>
  <si>
    <t>네가 누구든</t>
  </si>
  <si>
    <t>황궁애사</t>
  </si>
  <si>
    <t>[[연유]]</t>
  </si>
  <si>
    <t xml:space="preserve">개만도 못한 </t>
  </si>
  <si>
    <t>진도넛</t>
  </si>
  <si>
    <t>무적살수</t>
  </si>
  <si>
    <t>위험한 선배</t>
  </si>
  <si>
    <t>집착의 맛</t>
  </si>
  <si>
    <t>선량한 야만인(Salvaje)</t>
  </si>
  <si>
    <t>아스트로(ASTRO): 별</t>
  </si>
  <si>
    <t>[꿀레]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</si>
</sst>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4" borderId="1" xfId="2" applyFill="1" applyBorder="1">
      <alignment vertical="center"/>
    </xf>
    <xf numFmtId="0" fontId="5" fillId="3" borderId="1" xfId="2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0" fontId="5" fillId="0" borderId="0" xfId="5">
      <alignment vertical="center"/>
    </xf>
    <xf numFmtId="176" fontId="5" fillId="3" borderId="1" xfId="1" applyFont="1" applyFill="1" applyBorder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3" borderId="0" xfId="1" applyFont="1" applyFill="1">
      <alignment vertical="center"/>
    </xf>
  </cellXfs>
  <cellStyles count="6">
    <cellStyle name="쉼표 [0]" xfId="1" builtinId="6"/>
    <cellStyle name="표준" xfId="0" builtinId="0"/>
    <cellStyle name="표준_합계 (11)" xfId="4"/>
    <cellStyle name="표준_합계 (12)" xfId="5"/>
    <cellStyle name="표준_합계 (7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63"/>
  <sheetViews>
    <sheetView tabSelected="1" zoomScale="70" zoomScaleNormal="70" workbookViewId="0">
      <selection activeCell="L9" sqref="L8:L9"/>
    </sheetView>
  </sheetViews>
  <sheetFormatPr defaultColWidth="9" defaultRowHeight="16.5" x14ac:dyDescent="0.3"/>
  <cols>
    <col min="1" max="1" width="29" style="3" customWidth="1"/>
    <col min="2" max="2" width="11.25" style="2" customWidth="1"/>
    <col min="3" max="3" width="13.25" style="2" customWidth="1"/>
    <col min="4" max="4" width="19.5" style="6" customWidth="1"/>
    <col min="5" max="5" width="12.5" style="2" customWidth="1"/>
    <col min="6" max="6" width="10.375" style="3" customWidth="1"/>
    <col min="7" max="7" width="17" style="19" customWidth="1"/>
    <col min="8" max="16384" width="9" style="2"/>
  </cols>
  <sheetData>
    <row r="1" spans="1:8" ht="25.15" customHeight="1" x14ac:dyDescent="0.3">
      <c r="A1" s="9" t="s">
        <v>13</v>
      </c>
      <c r="B1" s="9" t="s">
        <v>12</v>
      </c>
      <c r="C1" s="10" t="s">
        <v>16</v>
      </c>
      <c r="D1" s="9" t="s">
        <v>14</v>
      </c>
      <c r="E1" s="9" t="s">
        <v>11</v>
      </c>
      <c r="F1" s="9" t="s">
        <v>15</v>
      </c>
      <c r="G1" s="17" t="s">
        <v>10</v>
      </c>
      <c r="H1" s="10" t="s">
        <v>18</v>
      </c>
    </row>
    <row r="2" spans="1:8" x14ac:dyDescent="0.3">
      <c r="A2" t="s">
        <v>9</v>
      </c>
      <c r="B2">
        <v>1375113</v>
      </c>
      <c r="C2" t="s">
        <v>26</v>
      </c>
      <c r="D2">
        <v>100</v>
      </c>
      <c r="E2">
        <v>251</v>
      </c>
      <c r="F2" s="20">
        <v>0.6</v>
      </c>
      <c r="G2">
        <v>15060</v>
      </c>
      <c r="H2"/>
    </row>
    <row r="3" spans="1:8" x14ac:dyDescent="0.3">
      <c r="A3" t="s">
        <v>27</v>
      </c>
      <c r="B3">
        <v>1460828</v>
      </c>
      <c r="C3" t="s">
        <v>26</v>
      </c>
      <c r="D3">
        <v>100</v>
      </c>
      <c r="E3">
        <v>108</v>
      </c>
      <c r="F3" s="20">
        <v>0.6</v>
      </c>
      <c r="G3">
        <v>6480</v>
      </c>
      <c r="H3" t="s">
        <v>64</v>
      </c>
    </row>
    <row r="4" spans="1:8" x14ac:dyDescent="0.3">
      <c r="A4" t="s">
        <v>17</v>
      </c>
      <c r="B4">
        <v>1462888</v>
      </c>
      <c r="C4" t="s">
        <v>25</v>
      </c>
      <c r="D4">
        <v>100</v>
      </c>
      <c r="E4">
        <v>323</v>
      </c>
      <c r="F4" s="20">
        <v>0.6</v>
      </c>
      <c r="G4">
        <v>19380</v>
      </c>
      <c r="H4"/>
    </row>
    <row r="5" spans="1:8" x14ac:dyDescent="0.3">
      <c r="A5" t="s">
        <v>65</v>
      </c>
      <c r="B5">
        <v>1494931</v>
      </c>
      <c r="C5" t="s">
        <v>45</v>
      </c>
      <c r="D5">
        <v>100</v>
      </c>
      <c r="E5">
        <v>228</v>
      </c>
      <c r="F5" s="20">
        <v>0.6</v>
      </c>
      <c r="G5">
        <v>13680</v>
      </c>
      <c r="H5"/>
    </row>
    <row r="6" spans="1:8" x14ac:dyDescent="0.3">
      <c r="A6" t="s">
        <v>66</v>
      </c>
      <c r="B6">
        <v>1502380</v>
      </c>
      <c r="C6" t="s">
        <v>67</v>
      </c>
      <c r="D6">
        <v>100</v>
      </c>
      <c r="E6">
        <v>1</v>
      </c>
      <c r="F6" s="20">
        <v>0.6</v>
      </c>
      <c r="G6">
        <v>60</v>
      </c>
      <c r="H6" t="s">
        <v>64</v>
      </c>
    </row>
    <row r="7" spans="1:8" x14ac:dyDescent="0.3">
      <c r="A7" t="s">
        <v>23</v>
      </c>
      <c r="B7">
        <v>1502386</v>
      </c>
      <c r="C7" t="s">
        <v>28</v>
      </c>
      <c r="D7">
        <v>100</v>
      </c>
      <c r="E7">
        <v>29</v>
      </c>
      <c r="F7" s="20">
        <v>0.6</v>
      </c>
      <c r="G7">
        <v>1740</v>
      </c>
      <c r="H7" t="s">
        <v>64</v>
      </c>
    </row>
    <row r="8" spans="1:8" x14ac:dyDescent="0.3">
      <c r="A8" t="s">
        <v>68</v>
      </c>
      <c r="B8">
        <v>1502852</v>
      </c>
      <c r="C8" t="s">
        <v>69</v>
      </c>
      <c r="D8">
        <v>100</v>
      </c>
      <c r="E8">
        <v>1</v>
      </c>
      <c r="F8" s="20">
        <v>0.6</v>
      </c>
      <c r="G8">
        <v>60</v>
      </c>
      <c r="H8"/>
    </row>
    <row r="9" spans="1:8" x14ac:dyDescent="0.3">
      <c r="A9" t="s">
        <v>70</v>
      </c>
      <c r="B9">
        <v>1504727</v>
      </c>
      <c r="C9" t="s">
        <v>71</v>
      </c>
      <c r="D9">
        <v>100</v>
      </c>
      <c r="E9">
        <v>98</v>
      </c>
      <c r="F9" s="20">
        <v>0.6</v>
      </c>
      <c r="G9">
        <v>5880</v>
      </c>
      <c r="H9"/>
    </row>
    <row r="10" spans="1:8" x14ac:dyDescent="0.3">
      <c r="A10" t="s">
        <v>8</v>
      </c>
      <c r="B10">
        <v>1506057</v>
      </c>
      <c r="C10" t="s">
        <v>29</v>
      </c>
      <c r="D10">
        <v>100</v>
      </c>
      <c r="E10">
        <v>44</v>
      </c>
      <c r="F10" s="20">
        <v>0.6</v>
      </c>
      <c r="G10">
        <v>2640</v>
      </c>
      <c r="H10"/>
    </row>
    <row r="11" spans="1:8" x14ac:dyDescent="0.3">
      <c r="A11" t="s">
        <v>19</v>
      </c>
      <c r="B11">
        <v>1506317</v>
      </c>
      <c r="C11" t="s">
        <v>29</v>
      </c>
      <c r="D11">
        <v>100</v>
      </c>
      <c r="E11">
        <v>4</v>
      </c>
      <c r="F11" s="20">
        <v>0.6</v>
      </c>
      <c r="G11">
        <v>240</v>
      </c>
      <c r="H11" t="s">
        <v>64</v>
      </c>
    </row>
    <row r="12" spans="1:8" x14ac:dyDescent="0.3">
      <c r="A12" t="s">
        <v>72</v>
      </c>
      <c r="B12">
        <v>1506318</v>
      </c>
      <c r="C12" t="s">
        <v>73</v>
      </c>
      <c r="D12">
        <v>100</v>
      </c>
      <c r="E12">
        <v>5</v>
      </c>
      <c r="F12" s="20">
        <v>0.6</v>
      </c>
      <c r="G12">
        <v>300</v>
      </c>
      <c r="H12" t="s">
        <v>64</v>
      </c>
    </row>
    <row r="13" spans="1:8" x14ac:dyDescent="0.3">
      <c r="A13" t="s">
        <v>74</v>
      </c>
      <c r="B13">
        <v>1506847</v>
      </c>
      <c r="C13" t="s">
        <v>75</v>
      </c>
      <c r="D13">
        <v>100</v>
      </c>
      <c r="E13">
        <v>59</v>
      </c>
      <c r="F13" s="20">
        <v>0.6</v>
      </c>
      <c r="G13">
        <v>3540</v>
      </c>
      <c r="H13"/>
    </row>
    <row r="14" spans="1:8" x14ac:dyDescent="0.3">
      <c r="A14" t="s">
        <v>30</v>
      </c>
      <c r="B14">
        <v>1508098</v>
      </c>
      <c r="C14" t="s">
        <v>31</v>
      </c>
      <c r="D14">
        <v>100</v>
      </c>
      <c r="E14">
        <v>47</v>
      </c>
      <c r="F14" s="20">
        <v>0.6</v>
      </c>
      <c r="G14">
        <v>2820</v>
      </c>
      <c r="H14"/>
    </row>
    <row r="15" spans="1:8" x14ac:dyDescent="0.3">
      <c r="A15" t="s">
        <v>32</v>
      </c>
      <c r="B15">
        <v>1508639</v>
      </c>
      <c r="C15" t="s">
        <v>33</v>
      </c>
      <c r="D15">
        <v>100</v>
      </c>
      <c r="E15">
        <v>4</v>
      </c>
      <c r="F15" s="20">
        <v>0.6</v>
      </c>
      <c r="G15">
        <v>240</v>
      </c>
      <c r="H15" t="s">
        <v>64</v>
      </c>
    </row>
    <row r="16" spans="1:8" x14ac:dyDescent="0.3">
      <c r="A16" t="s">
        <v>22</v>
      </c>
      <c r="B16">
        <v>1508642</v>
      </c>
      <c r="C16" t="s">
        <v>34</v>
      </c>
      <c r="D16">
        <v>100</v>
      </c>
      <c r="E16">
        <v>56</v>
      </c>
      <c r="F16" s="20">
        <v>0.6</v>
      </c>
      <c r="G16">
        <v>3360</v>
      </c>
      <c r="H16"/>
    </row>
    <row r="17" spans="1:8" x14ac:dyDescent="0.3">
      <c r="A17" t="s">
        <v>35</v>
      </c>
      <c r="B17">
        <v>1509503</v>
      </c>
      <c r="C17" t="s">
        <v>36</v>
      </c>
      <c r="D17">
        <v>100</v>
      </c>
      <c r="E17">
        <v>2</v>
      </c>
      <c r="F17" s="20">
        <v>0.6</v>
      </c>
      <c r="G17">
        <v>120</v>
      </c>
      <c r="H17"/>
    </row>
    <row r="18" spans="1:8" x14ac:dyDescent="0.3">
      <c r="A18" t="s">
        <v>37</v>
      </c>
      <c r="B18">
        <v>1510247</v>
      </c>
      <c r="C18" t="s">
        <v>31</v>
      </c>
      <c r="D18">
        <v>100</v>
      </c>
      <c r="E18">
        <v>143</v>
      </c>
      <c r="F18" s="20">
        <v>0.6</v>
      </c>
      <c r="G18">
        <v>8580</v>
      </c>
      <c r="H18"/>
    </row>
    <row r="19" spans="1:8" x14ac:dyDescent="0.3">
      <c r="A19" t="s">
        <v>76</v>
      </c>
      <c r="B19">
        <v>1510552</v>
      </c>
      <c r="C19" t="s">
        <v>69</v>
      </c>
      <c r="D19">
        <v>100</v>
      </c>
      <c r="E19">
        <v>3</v>
      </c>
      <c r="F19" s="20">
        <v>0.6</v>
      </c>
      <c r="G19">
        <v>180</v>
      </c>
      <c r="H19"/>
    </row>
    <row r="20" spans="1:8" x14ac:dyDescent="0.3">
      <c r="A20" t="s">
        <v>77</v>
      </c>
      <c r="B20">
        <v>1511417</v>
      </c>
      <c r="C20" t="s">
        <v>78</v>
      </c>
      <c r="D20">
        <v>100</v>
      </c>
      <c r="E20">
        <v>1</v>
      </c>
      <c r="F20" s="20">
        <v>0.6</v>
      </c>
      <c r="G20">
        <v>60</v>
      </c>
      <c r="H20"/>
    </row>
    <row r="21" spans="1:8" x14ac:dyDescent="0.3">
      <c r="A21" t="s">
        <v>79</v>
      </c>
      <c r="B21">
        <v>1511708</v>
      </c>
      <c r="C21" t="s">
        <v>71</v>
      </c>
      <c r="D21">
        <v>100</v>
      </c>
      <c r="E21">
        <v>85</v>
      </c>
      <c r="F21" s="20">
        <v>0.6</v>
      </c>
      <c r="G21">
        <v>5100</v>
      </c>
      <c r="H21" t="s">
        <v>64</v>
      </c>
    </row>
    <row r="22" spans="1:8" x14ac:dyDescent="0.3">
      <c r="A22" t="s">
        <v>20</v>
      </c>
      <c r="B22">
        <v>1520021</v>
      </c>
      <c r="C22" t="s">
        <v>25</v>
      </c>
      <c r="D22">
        <v>100</v>
      </c>
      <c r="E22">
        <v>87</v>
      </c>
      <c r="F22" s="20">
        <v>0.6</v>
      </c>
      <c r="G22">
        <v>5220</v>
      </c>
      <c r="H22" t="s">
        <v>64</v>
      </c>
    </row>
    <row r="23" spans="1:8" x14ac:dyDescent="0.3">
      <c r="A23" t="s">
        <v>21</v>
      </c>
      <c r="B23">
        <v>1524614</v>
      </c>
      <c r="C23" t="s">
        <v>25</v>
      </c>
      <c r="D23">
        <v>100</v>
      </c>
      <c r="E23">
        <v>1</v>
      </c>
      <c r="F23" s="20">
        <v>0.6</v>
      </c>
      <c r="G23">
        <v>60</v>
      </c>
      <c r="H23" t="s">
        <v>64</v>
      </c>
    </row>
    <row r="24" spans="1:8" x14ac:dyDescent="0.3">
      <c r="A24" t="s">
        <v>80</v>
      </c>
      <c r="B24">
        <v>1543706</v>
      </c>
      <c r="C24" t="s">
        <v>29</v>
      </c>
      <c r="D24">
        <v>100</v>
      </c>
      <c r="E24">
        <v>1</v>
      </c>
      <c r="F24" s="20">
        <v>0.6</v>
      </c>
      <c r="G24">
        <v>60</v>
      </c>
      <c r="H24"/>
    </row>
    <row r="25" spans="1:8" x14ac:dyDescent="0.3">
      <c r="A25" t="s">
        <v>81</v>
      </c>
      <c r="B25">
        <v>1544386</v>
      </c>
      <c r="C25" t="s">
        <v>29</v>
      </c>
      <c r="D25">
        <v>100</v>
      </c>
      <c r="E25">
        <v>32</v>
      </c>
      <c r="F25" s="20">
        <v>0.6</v>
      </c>
      <c r="G25">
        <v>1920</v>
      </c>
      <c r="H25"/>
    </row>
    <row r="26" spans="1:8" x14ac:dyDescent="0.3">
      <c r="A26" t="s">
        <v>39</v>
      </c>
      <c r="B26">
        <v>1544995</v>
      </c>
      <c r="C26" t="s">
        <v>40</v>
      </c>
      <c r="D26">
        <v>100</v>
      </c>
      <c r="E26">
        <v>3</v>
      </c>
      <c r="F26" s="20">
        <v>0.6</v>
      </c>
      <c r="G26">
        <v>180</v>
      </c>
      <c r="H26" t="s">
        <v>64</v>
      </c>
    </row>
    <row r="27" spans="1:8" x14ac:dyDescent="0.3">
      <c r="A27" t="s">
        <v>82</v>
      </c>
      <c r="B27">
        <v>1548394</v>
      </c>
      <c r="C27" t="s">
        <v>52</v>
      </c>
      <c r="D27">
        <v>100</v>
      </c>
      <c r="E27">
        <v>1</v>
      </c>
      <c r="F27" s="20">
        <v>0.6</v>
      </c>
      <c r="G27">
        <v>60</v>
      </c>
      <c r="H27"/>
    </row>
    <row r="28" spans="1:8" x14ac:dyDescent="0.3">
      <c r="A28" t="s">
        <v>83</v>
      </c>
      <c r="B28">
        <v>1549052</v>
      </c>
      <c r="C28" t="s">
        <v>84</v>
      </c>
      <c r="D28">
        <v>100</v>
      </c>
      <c r="E28">
        <v>21</v>
      </c>
      <c r="F28" s="20">
        <v>0.6</v>
      </c>
      <c r="G28">
        <v>1260</v>
      </c>
      <c r="H28"/>
    </row>
    <row r="29" spans="1:8" x14ac:dyDescent="0.3">
      <c r="A29" t="s">
        <v>41</v>
      </c>
      <c r="B29">
        <v>1569812</v>
      </c>
      <c r="C29" t="s">
        <v>42</v>
      </c>
      <c r="D29">
        <v>100</v>
      </c>
      <c r="E29">
        <v>6</v>
      </c>
      <c r="F29" s="20">
        <v>0.6</v>
      </c>
      <c r="G29">
        <v>360</v>
      </c>
      <c r="H29"/>
    </row>
    <row r="30" spans="1:8" x14ac:dyDescent="0.3">
      <c r="A30" t="s">
        <v>43</v>
      </c>
      <c r="B30">
        <v>1569813</v>
      </c>
      <c r="C30" t="s">
        <v>29</v>
      </c>
      <c r="D30">
        <v>100</v>
      </c>
      <c r="E30">
        <v>2</v>
      </c>
      <c r="F30" s="20">
        <v>0.6</v>
      </c>
      <c r="G30">
        <v>120</v>
      </c>
      <c r="H30"/>
    </row>
    <row r="31" spans="1:8" x14ac:dyDescent="0.3">
      <c r="A31" t="s">
        <v>85</v>
      </c>
      <c r="B31">
        <v>1569814</v>
      </c>
      <c r="C31" t="s">
        <v>86</v>
      </c>
      <c r="D31">
        <v>100</v>
      </c>
      <c r="E31">
        <v>1</v>
      </c>
      <c r="F31" s="20">
        <v>0.6</v>
      </c>
      <c r="G31">
        <v>60</v>
      </c>
      <c r="H31"/>
    </row>
    <row r="32" spans="1:8" x14ac:dyDescent="0.3">
      <c r="A32" t="s">
        <v>87</v>
      </c>
      <c r="B32">
        <v>1572799</v>
      </c>
      <c r="C32" t="s">
        <v>26</v>
      </c>
      <c r="D32">
        <v>100</v>
      </c>
      <c r="E32">
        <v>1</v>
      </c>
      <c r="F32" s="20">
        <v>0.6</v>
      </c>
      <c r="G32">
        <v>60</v>
      </c>
      <c r="H32" t="s">
        <v>64</v>
      </c>
    </row>
    <row r="33" spans="1:8" x14ac:dyDescent="0.3">
      <c r="A33" t="s">
        <v>44</v>
      </c>
      <c r="B33">
        <v>1575208</v>
      </c>
      <c r="C33" t="s">
        <v>25</v>
      </c>
      <c r="D33">
        <v>100</v>
      </c>
      <c r="E33">
        <v>43</v>
      </c>
      <c r="F33" s="20">
        <v>0.6</v>
      </c>
      <c r="G33">
        <v>2580</v>
      </c>
      <c r="H33"/>
    </row>
    <row r="34" spans="1:8" x14ac:dyDescent="0.3">
      <c r="A34" t="s">
        <v>24</v>
      </c>
      <c r="B34">
        <v>1602249</v>
      </c>
      <c r="C34" t="s">
        <v>46</v>
      </c>
      <c r="D34">
        <v>100</v>
      </c>
      <c r="E34">
        <v>8</v>
      </c>
      <c r="F34" s="20">
        <v>0.6</v>
      </c>
      <c r="G34">
        <v>480</v>
      </c>
      <c r="H34"/>
    </row>
    <row r="35" spans="1:8" x14ac:dyDescent="0.3">
      <c r="A35" t="s">
        <v>48</v>
      </c>
      <c r="B35">
        <v>1604364</v>
      </c>
      <c r="C35" t="s">
        <v>49</v>
      </c>
      <c r="D35">
        <v>100</v>
      </c>
      <c r="E35">
        <v>2</v>
      </c>
      <c r="F35" s="20">
        <v>0.6</v>
      </c>
      <c r="G35">
        <v>120</v>
      </c>
      <c r="H35"/>
    </row>
    <row r="36" spans="1:8" x14ac:dyDescent="0.3">
      <c r="A36" t="s">
        <v>50</v>
      </c>
      <c r="B36">
        <v>1606096</v>
      </c>
      <c r="C36" t="s">
        <v>36</v>
      </c>
      <c r="D36">
        <v>100</v>
      </c>
      <c r="E36">
        <v>3</v>
      </c>
      <c r="F36" s="20">
        <v>0.6</v>
      </c>
      <c r="G36">
        <v>180</v>
      </c>
      <c r="H36" t="s">
        <v>64</v>
      </c>
    </row>
    <row r="37" spans="1:8" x14ac:dyDescent="0.3">
      <c r="A37" t="s">
        <v>51</v>
      </c>
      <c r="B37">
        <v>1609090</v>
      </c>
      <c r="C37" t="s">
        <v>36</v>
      </c>
      <c r="D37">
        <v>100</v>
      </c>
      <c r="E37">
        <v>74</v>
      </c>
      <c r="F37" s="20">
        <v>0.6</v>
      </c>
      <c r="G37">
        <v>4440</v>
      </c>
      <c r="H37" t="s">
        <v>64</v>
      </c>
    </row>
    <row r="38" spans="1:8" x14ac:dyDescent="0.3">
      <c r="A38" t="s">
        <v>53</v>
      </c>
      <c r="B38">
        <v>1613009</v>
      </c>
      <c r="C38" t="s">
        <v>54</v>
      </c>
      <c r="D38">
        <v>100</v>
      </c>
      <c r="E38">
        <v>23</v>
      </c>
      <c r="F38" s="20">
        <v>0.6</v>
      </c>
      <c r="G38">
        <v>1380</v>
      </c>
      <c r="H38" t="s">
        <v>64</v>
      </c>
    </row>
    <row r="39" spans="1:8" x14ac:dyDescent="0.3">
      <c r="A39" t="s">
        <v>55</v>
      </c>
      <c r="B39">
        <v>1613516</v>
      </c>
      <c r="C39" t="s">
        <v>25</v>
      </c>
      <c r="D39">
        <v>100</v>
      </c>
      <c r="E39">
        <v>384</v>
      </c>
      <c r="F39" s="20">
        <v>0.6</v>
      </c>
      <c r="G39">
        <v>23040</v>
      </c>
      <c r="H39"/>
    </row>
    <row r="40" spans="1:8" ht="19.149999999999999" customHeight="1" x14ac:dyDescent="0.3">
      <c r="A40" t="s">
        <v>56</v>
      </c>
      <c r="B40">
        <v>1614309</v>
      </c>
      <c r="C40" t="s">
        <v>47</v>
      </c>
      <c r="D40">
        <v>100</v>
      </c>
      <c r="E40">
        <v>10</v>
      </c>
      <c r="F40" s="20">
        <v>0.6</v>
      </c>
      <c r="G40">
        <v>600</v>
      </c>
      <c r="H40" t="s">
        <v>64</v>
      </c>
    </row>
    <row r="41" spans="1:8" x14ac:dyDescent="0.3">
      <c r="A41" t="s">
        <v>57</v>
      </c>
      <c r="B41">
        <v>1614310</v>
      </c>
      <c r="C41" t="s">
        <v>58</v>
      </c>
      <c r="D41">
        <v>100</v>
      </c>
      <c r="E41">
        <v>62</v>
      </c>
      <c r="F41" s="20">
        <v>0.6</v>
      </c>
      <c r="G41">
        <v>3720</v>
      </c>
      <c r="H41" t="s">
        <v>64</v>
      </c>
    </row>
    <row r="42" spans="1:8" x14ac:dyDescent="0.3">
      <c r="A42" t="s">
        <v>59</v>
      </c>
      <c r="B42">
        <v>1614311</v>
      </c>
      <c r="C42" t="s">
        <v>60</v>
      </c>
      <c r="D42">
        <v>100</v>
      </c>
      <c r="E42">
        <v>3</v>
      </c>
      <c r="F42" s="20">
        <v>0.6</v>
      </c>
      <c r="G42">
        <v>180</v>
      </c>
      <c r="H42" t="s">
        <v>64</v>
      </c>
    </row>
    <row r="43" spans="1:8" x14ac:dyDescent="0.3">
      <c r="A43" t="s">
        <v>61</v>
      </c>
      <c r="B43">
        <v>1614936</v>
      </c>
      <c r="C43" t="s">
        <v>38</v>
      </c>
      <c r="D43">
        <v>100</v>
      </c>
      <c r="E43">
        <v>4</v>
      </c>
      <c r="F43" s="20">
        <v>0.6</v>
      </c>
      <c r="G43">
        <v>240</v>
      </c>
      <c r="H43" t="s">
        <v>64</v>
      </c>
    </row>
    <row r="44" spans="1:8" x14ac:dyDescent="0.3">
      <c r="A44" t="s">
        <v>62</v>
      </c>
      <c r="B44">
        <v>1615736</v>
      </c>
      <c r="C44" t="s">
        <v>63</v>
      </c>
      <c r="D44">
        <v>100</v>
      </c>
      <c r="E44">
        <v>394</v>
      </c>
      <c r="F44" s="20">
        <v>0.6</v>
      </c>
      <c r="G44">
        <v>23640</v>
      </c>
      <c r="H44"/>
    </row>
    <row r="45" spans="1:8" x14ac:dyDescent="0.3">
      <c r="A45" t="s">
        <v>88</v>
      </c>
      <c r="B45">
        <v>1615738</v>
      </c>
      <c r="C45" t="s">
        <v>33</v>
      </c>
      <c r="D45">
        <v>100</v>
      </c>
      <c r="E45">
        <v>313</v>
      </c>
      <c r="F45" s="20">
        <v>0.6</v>
      </c>
      <c r="G45">
        <v>18780</v>
      </c>
      <c r="H45"/>
    </row>
    <row r="46" spans="1:8" x14ac:dyDescent="0.3">
      <c r="A46" t="s">
        <v>89</v>
      </c>
      <c r="B46">
        <v>1617265</v>
      </c>
      <c r="C46" t="s">
        <v>33</v>
      </c>
      <c r="D46">
        <v>100</v>
      </c>
      <c r="E46">
        <v>140</v>
      </c>
      <c r="F46" s="20">
        <v>0.6</v>
      </c>
      <c r="G46">
        <v>8400</v>
      </c>
      <c r="H46"/>
    </row>
    <row r="47" spans="1:8" x14ac:dyDescent="0.3">
      <c r="A47" t="s">
        <v>90</v>
      </c>
      <c r="B47">
        <v>1620012</v>
      </c>
      <c r="C47" t="s">
        <v>47</v>
      </c>
      <c r="D47">
        <v>100</v>
      </c>
      <c r="E47">
        <v>43</v>
      </c>
      <c r="F47" s="20">
        <v>0.6</v>
      </c>
      <c r="G47">
        <v>2580</v>
      </c>
      <c r="H47"/>
    </row>
    <row r="48" spans="1:8" x14ac:dyDescent="0.3">
      <c r="A48" t="s">
        <v>91</v>
      </c>
      <c r="B48">
        <v>1620013</v>
      </c>
      <c r="C48" t="s">
        <v>92</v>
      </c>
      <c r="D48">
        <v>100</v>
      </c>
      <c r="E48">
        <v>159</v>
      </c>
      <c r="F48" s="20">
        <v>0.6</v>
      </c>
      <c r="G48">
        <v>9540</v>
      </c>
      <c r="H48"/>
    </row>
    <row r="49" spans="1:8" x14ac:dyDescent="0.3">
      <c r="A49"/>
      <c r="B49"/>
      <c r="C49"/>
      <c r="D49"/>
      <c r="E49"/>
      <c r="F49" s="20"/>
      <c r="G49" s="21">
        <f>SUBTOTAL(9,G2:G48)</f>
        <v>198780</v>
      </c>
      <c r="H49" s="16"/>
    </row>
    <row r="50" spans="1:8" x14ac:dyDescent="0.3">
      <c r="A50"/>
      <c r="B50"/>
      <c r="C50"/>
      <c r="D50"/>
      <c r="E50"/>
      <c r="F50" s="20"/>
      <c r="G50"/>
      <c r="H50" s="16"/>
    </row>
    <row r="51" spans="1:8" x14ac:dyDescent="0.3">
      <c r="A51"/>
      <c r="B51"/>
      <c r="C51"/>
      <c r="D51"/>
      <c r="E51"/>
      <c r="F51" s="20"/>
      <c r="G51"/>
      <c r="H51" s="16"/>
    </row>
    <row r="52" spans="1:8" x14ac:dyDescent="0.3">
      <c r="A52"/>
      <c r="B52"/>
      <c r="C52"/>
      <c r="D52"/>
      <c r="E52"/>
      <c r="F52" s="20"/>
      <c r="G52"/>
      <c r="H52" s="16"/>
    </row>
    <row r="53" spans="1:8" x14ac:dyDescent="0.3">
      <c r="A53"/>
      <c r="B53"/>
      <c r="C53"/>
      <c r="D53"/>
      <c r="E53"/>
      <c r="F53" s="20"/>
      <c r="G53"/>
      <c r="H53" s="16"/>
    </row>
    <row r="54" spans="1:8" x14ac:dyDescent="0.3">
      <c r="A54"/>
      <c r="B54"/>
      <c r="C54"/>
      <c r="D54"/>
      <c r="E54"/>
      <c r="F54" s="20"/>
      <c r="G54"/>
      <c r="H54" s="16"/>
    </row>
    <row r="55" spans="1:8" x14ac:dyDescent="0.3">
      <c r="A55"/>
      <c r="B55"/>
      <c r="C55"/>
      <c r="D55"/>
      <c r="E55"/>
      <c r="F55" s="20"/>
      <c r="G55"/>
      <c r="H55" s="16"/>
    </row>
    <row r="56" spans="1:8" x14ac:dyDescent="0.3">
      <c r="A56" s="14"/>
      <c r="B56" s="14"/>
      <c r="C56" s="14"/>
      <c r="D56" s="14"/>
      <c r="E56" s="14"/>
      <c r="F56" s="15"/>
      <c r="G56" s="13">
        <f>SUM(G2:G55)</f>
        <v>397560</v>
      </c>
      <c r="H56" s="14"/>
    </row>
    <row r="57" spans="1:8" x14ac:dyDescent="0.3">
      <c r="A57" s="14"/>
      <c r="B57" s="14"/>
      <c r="C57" s="14"/>
      <c r="D57" s="14"/>
      <c r="E57" s="14"/>
      <c r="F57" s="15"/>
      <c r="G57" s="18"/>
      <c r="H57" s="14"/>
    </row>
    <row r="58" spans="1:8" x14ac:dyDescent="0.3">
      <c r="A58" s="11"/>
      <c r="B58" s="11"/>
      <c r="C58" s="11"/>
      <c r="D58" s="11"/>
      <c r="E58" s="11"/>
      <c r="F58" s="12"/>
      <c r="G58" s="18"/>
    </row>
    <row r="59" spans="1:8" s="3" customFormat="1" x14ac:dyDescent="0.3">
      <c r="B59" s="2"/>
      <c r="C59" s="2"/>
      <c r="D59" s="7" t="s">
        <v>0</v>
      </c>
      <c r="E59" s="1">
        <f>G56</f>
        <v>397560</v>
      </c>
      <c r="F59" s="5"/>
      <c r="G59" s="6"/>
    </row>
    <row r="60" spans="1:8" s="3" customFormat="1" x14ac:dyDescent="0.3">
      <c r="D60" s="7" t="s">
        <v>1</v>
      </c>
      <c r="E60" s="1"/>
      <c r="F60" s="3" t="s">
        <v>5</v>
      </c>
      <c r="G60" s="6" t="s">
        <v>7</v>
      </c>
    </row>
    <row r="61" spans="1:8" s="3" customFormat="1" x14ac:dyDescent="0.3">
      <c r="B61" s="2"/>
      <c r="C61" s="5"/>
      <c r="D61" s="7" t="s">
        <v>2</v>
      </c>
      <c r="E61" s="1">
        <f>E60/1.1</f>
        <v>0</v>
      </c>
      <c r="F61" s="5" t="s">
        <v>6</v>
      </c>
      <c r="G61" s="6"/>
    </row>
    <row r="62" spans="1:8" s="3" customFormat="1" x14ac:dyDescent="0.3">
      <c r="B62" s="2"/>
      <c r="C62" s="2"/>
      <c r="D62" s="7" t="s">
        <v>3</v>
      </c>
      <c r="E62" s="1">
        <f>E60-E61</f>
        <v>0</v>
      </c>
      <c r="G62" s="6"/>
    </row>
    <row r="63" spans="1:8" s="3" customFormat="1" x14ac:dyDescent="0.3">
      <c r="B63" s="2"/>
      <c r="C63" s="2"/>
      <c r="D63" s="8" t="s">
        <v>4</v>
      </c>
      <c r="E63" s="4">
        <f>E59+E61+E62</f>
        <v>397560</v>
      </c>
      <c r="G63" s="6"/>
    </row>
  </sheetData>
  <autoFilter ref="A1:H56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hsjung</cp:lastModifiedBy>
  <dcterms:created xsi:type="dcterms:W3CDTF">2019-01-07T11:02:09Z</dcterms:created>
  <dcterms:modified xsi:type="dcterms:W3CDTF">2022-05-16T08:26:04Z</dcterms:modified>
</cp:coreProperties>
</file>