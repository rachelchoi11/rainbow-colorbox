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제휴사\"/>
    </mc:Choice>
  </mc:AlternateContent>
  <bookViews>
    <workbookView xWindow="-108" yWindow="-108" windowWidth="23256" windowHeight="12576" tabRatio="796"/>
  </bookViews>
  <sheets>
    <sheet name="합계" sheetId="1" r:id="rId1"/>
    <sheet name="계정정보" sheetId="2" r:id="rId2"/>
    <sheet name="카카오페이지1" sheetId="3" r:id="rId3"/>
    <sheet name="카카오페이지2" sheetId="25" r:id="rId4"/>
    <sheet name="네이버웹툰1" sheetId="4" r:id="rId5"/>
    <sheet name="네이버웹툰2" sheetId="5" r:id="rId6"/>
    <sheet name="테크앤조이" sheetId="36" r:id="rId7"/>
    <sheet name="키다리스튜디오" sheetId="34" r:id="rId8"/>
    <sheet name="탑툰" sheetId="38" r:id="rId9"/>
    <sheet name="리디" sheetId="3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H172" i="39" l="1"/>
  <c r="E4" i="39"/>
  <c r="D4" i="39"/>
  <c r="O69" i="38"/>
  <c r="E13" i="5" l="1"/>
  <c r="G13" i="5"/>
  <c r="H13" i="5"/>
  <c r="E14" i="5"/>
  <c r="G14" i="5"/>
  <c r="H14" i="5"/>
  <c r="E15" i="5"/>
  <c r="G15" i="5"/>
  <c r="H15" i="5"/>
  <c r="E16" i="5"/>
  <c r="G16" i="5"/>
  <c r="H16" i="5"/>
  <c r="E17" i="5"/>
  <c r="G17" i="5"/>
  <c r="H17" i="5"/>
  <c r="E18" i="5"/>
  <c r="G18" i="5"/>
  <c r="H18" i="5"/>
  <c r="E19" i="5"/>
  <c r="G19" i="5"/>
  <c r="H19" i="5"/>
  <c r="E20" i="5"/>
  <c r="G20" i="5"/>
  <c r="H20" i="5"/>
  <c r="E21" i="5"/>
  <c r="G21" i="5"/>
  <c r="H21" i="5"/>
  <c r="E22" i="5"/>
  <c r="G22" i="5"/>
  <c r="H22" i="5"/>
  <c r="E23" i="5"/>
  <c r="G23" i="5"/>
  <c r="H23" i="5"/>
  <c r="E24" i="5"/>
  <c r="G24" i="5"/>
  <c r="H24" i="5"/>
  <c r="E25" i="5"/>
  <c r="G25" i="5"/>
  <c r="H25" i="5"/>
  <c r="E26" i="5"/>
  <c r="G26" i="5"/>
  <c r="H26" i="5"/>
  <c r="E27" i="5"/>
  <c r="G27" i="5"/>
  <c r="H27" i="5"/>
  <c r="E28" i="5"/>
  <c r="G28" i="5"/>
  <c r="H28" i="5"/>
  <c r="E29" i="5"/>
  <c r="G29" i="5"/>
  <c r="H29" i="5"/>
  <c r="E30" i="5"/>
  <c r="G30" i="5"/>
  <c r="H30" i="5"/>
  <c r="E31" i="5"/>
  <c r="G31" i="5"/>
  <c r="H31" i="5"/>
  <c r="E32" i="5"/>
  <c r="G32" i="5"/>
  <c r="H32" i="5"/>
  <c r="E33" i="5"/>
  <c r="G33" i="5"/>
  <c r="H33" i="5"/>
  <c r="E12" i="5"/>
  <c r="H12" i="5"/>
  <c r="G12" i="5"/>
  <c r="F10" i="5"/>
  <c r="H10" i="5" s="1"/>
  <c r="F9" i="5"/>
  <c r="H9" i="5" s="1"/>
  <c r="F11" i="5"/>
  <c r="G11" i="5" s="1"/>
  <c r="F7" i="5"/>
  <c r="H7" i="5" s="1"/>
  <c r="F6" i="5"/>
  <c r="G6" i="5" s="1"/>
  <c r="F8" i="5"/>
  <c r="G8" i="5" s="1"/>
  <c r="H11" i="5" l="1"/>
  <c r="G9" i="5"/>
  <c r="G10" i="5"/>
  <c r="H8" i="5"/>
  <c r="G7" i="5"/>
  <c r="H6" i="5"/>
  <c r="F8" i="3"/>
  <c r="H8" i="3" s="1"/>
  <c r="G8" i="3"/>
  <c r="F9" i="3"/>
  <c r="G9" i="3" s="1"/>
  <c r="H9" i="3"/>
  <c r="F10" i="3"/>
  <c r="G10" i="3" s="1"/>
  <c r="H10" i="3"/>
  <c r="F11" i="3"/>
  <c r="G11" i="3" s="1"/>
  <c r="F7" i="3"/>
  <c r="G7" i="3" s="1"/>
  <c r="H11" i="3" l="1"/>
  <c r="H7" i="3"/>
  <c r="D12" i="1"/>
  <c r="C12" i="1"/>
  <c r="F3" i="39"/>
  <c r="F4" i="39" l="1"/>
  <c r="H5" i="39" s="1"/>
  <c r="H3" i="39"/>
  <c r="G3" i="39"/>
  <c r="E12" i="1" l="1"/>
  <c r="G4" i="39"/>
  <c r="F12" i="1" s="1"/>
  <c r="H4" i="39"/>
  <c r="G12" i="1" s="1"/>
  <c r="G5" i="39"/>
  <c r="D3" i="34"/>
  <c r="AG21" i="25" l="1"/>
  <c r="AS21" i="25"/>
  <c r="AG32" i="25"/>
  <c r="AS32" i="25"/>
  <c r="F6" i="34"/>
  <c r="D6" i="34"/>
  <c r="I42" i="34" l="1"/>
  <c r="H42" i="34"/>
  <c r="N42" i="34" l="1"/>
  <c r="L42" i="34"/>
  <c r="J42" i="34"/>
  <c r="E4" i="34" l="1"/>
  <c r="G4" i="34"/>
  <c r="H4" i="34"/>
  <c r="E5" i="34"/>
  <c r="G5" i="34"/>
  <c r="H5" i="34"/>
  <c r="E6" i="4" l="1"/>
  <c r="D6" i="4"/>
  <c r="F5" i="4"/>
  <c r="H5" i="4" s="1"/>
  <c r="F4" i="5"/>
  <c r="H4" i="5" s="1"/>
  <c r="F5" i="5"/>
  <c r="G5" i="5" s="1"/>
  <c r="G5" i="4" l="1"/>
  <c r="G4" i="5"/>
  <c r="H5" i="5"/>
  <c r="F3" i="38" l="1"/>
  <c r="D3" i="25" l="1"/>
  <c r="D4" i="25"/>
  <c r="E4" i="38" l="1"/>
  <c r="D4" i="38"/>
  <c r="G3" i="25" l="1"/>
  <c r="H3" i="25"/>
  <c r="G4" i="25"/>
  <c r="H4" i="25"/>
  <c r="E12" i="3"/>
  <c r="D12" i="3"/>
  <c r="E34" i="5" l="1"/>
  <c r="G34" i="5"/>
  <c r="H34" i="5"/>
  <c r="E35" i="5"/>
  <c r="G35" i="5"/>
  <c r="H35" i="5"/>
  <c r="D36" i="5"/>
  <c r="F6" i="25" l="1"/>
  <c r="F4" i="38"/>
  <c r="D16" i="36" l="1"/>
  <c r="C16" i="36"/>
  <c r="G13" i="36"/>
  <c r="F4" i="36" l="1"/>
  <c r="D4" i="36"/>
  <c r="F6" i="3" l="1"/>
  <c r="G6" i="3" s="1"/>
  <c r="H6" i="3" l="1"/>
  <c r="D11" i="1" l="1"/>
  <c r="H3" i="38" l="1"/>
  <c r="G3" i="38"/>
  <c r="G4" i="38" l="1"/>
  <c r="F11" i="1" s="1"/>
  <c r="H4" i="38"/>
  <c r="G11" i="1" s="1"/>
  <c r="H5" i="38"/>
  <c r="E11" i="1"/>
  <c r="C11" i="1"/>
  <c r="G5" i="38"/>
  <c r="E5" i="25"/>
  <c r="G5" i="25"/>
  <c r="G6" i="25" s="1"/>
  <c r="H5" i="25"/>
  <c r="H6" i="25" s="1"/>
  <c r="F4" i="3" l="1"/>
  <c r="G4" i="3" s="1"/>
  <c r="F4" i="4"/>
  <c r="H4" i="4" s="1"/>
  <c r="G4" i="4" l="1"/>
  <c r="H4" i="3"/>
  <c r="F3" i="4"/>
  <c r="F6" i="4" s="1"/>
  <c r="H3" i="4" l="1"/>
  <c r="H6" i="4" s="1"/>
  <c r="G3" i="4"/>
  <c r="G6" i="4" s="1"/>
  <c r="E3" i="25" l="1"/>
  <c r="E4" i="25"/>
  <c r="E6" i="1" l="1"/>
  <c r="F3" i="5"/>
  <c r="F3" i="3"/>
  <c r="F5" i="3"/>
  <c r="H5" i="3" s="1"/>
  <c r="D5" i="1"/>
  <c r="C5" i="1"/>
  <c r="D7" i="1"/>
  <c r="C7" i="1"/>
  <c r="K50" i="1"/>
  <c r="K11" i="1"/>
  <c r="K24" i="1"/>
  <c r="K37" i="1"/>
  <c r="G5" i="36"/>
  <c r="C9" i="1"/>
  <c r="C8" i="1"/>
  <c r="H3" i="36"/>
  <c r="H4" i="36" s="1"/>
  <c r="G3" i="36"/>
  <c r="G4" i="36" s="1"/>
  <c r="E3" i="36"/>
  <c r="E4" i="36" s="1"/>
  <c r="H5" i="36"/>
  <c r="C10" i="1"/>
  <c r="G7" i="34"/>
  <c r="E3" i="34"/>
  <c r="E6" i="34" s="1"/>
  <c r="G3" i="34"/>
  <c r="G6" i="34" s="1"/>
  <c r="H3" i="34"/>
  <c r="H6" i="34" s="1"/>
  <c r="E6" i="25" l="1"/>
  <c r="D6" i="25"/>
  <c r="C6" i="1" s="1"/>
  <c r="C13" i="1" s="1"/>
  <c r="F12" i="3"/>
  <c r="G13" i="3" s="1"/>
  <c r="E36" i="5"/>
  <c r="D8" i="1" s="1"/>
  <c r="F36" i="5"/>
  <c r="H37" i="5" s="1"/>
  <c r="G6" i="1"/>
  <c r="F10" i="1"/>
  <c r="H3" i="3"/>
  <c r="F6" i="1"/>
  <c r="G3" i="5"/>
  <c r="D10" i="1"/>
  <c r="G10" i="1"/>
  <c r="G3" i="3"/>
  <c r="G5" i="3"/>
  <c r="H7" i="34"/>
  <c r="E10" i="1"/>
  <c r="G9" i="1"/>
  <c r="F9" i="1"/>
  <c r="D9" i="1"/>
  <c r="E9" i="1"/>
  <c r="H3" i="5"/>
  <c r="H7" i="4"/>
  <c r="K51" i="1"/>
  <c r="F7" i="1"/>
  <c r="G7" i="25"/>
  <c r="H7" i="25"/>
  <c r="G12" i="3" l="1"/>
  <c r="F5" i="1" s="1"/>
  <c r="H12" i="3"/>
  <c r="G5" i="1" s="1"/>
  <c r="G36" i="5"/>
  <c r="F8" i="1" s="1"/>
  <c r="H36" i="5"/>
  <c r="G8" i="1" s="1"/>
  <c r="D6" i="1"/>
  <c r="D13" i="1" s="1"/>
  <c r="E5" i="1"/>
  <c r="H13" i="3"/>
  <c r="G7" i="1"/>
  <c r="G7" i="4"/>
  <c r="E7" i="1"/>
  <c r="G37" i="5"/>
  <c r="E8" i="1"/>
  <c r="F13" i="1" l="1"/>
  <c r="D19" i="1" s="1"/>
  <c r="E13" i="1"/>
  <c r="G13" i="1"/>
  <c r="F14" i="1" l="1"/>
  <c r="G14" i="1"/>
</calcChain>
</file>

<file path=xl/comments1.xml><?xml version="1.0" encoding="utf-8"?>
<comments xmlns="http://schemas.openxmlformats.org/spreadsheetml/2006/main">
  <authors>
    <author>Windows 사용자</author>
  </authors>
  <commentList>
    <comment ref="B5" authorId="0" shapeId="0">
      <text>
        <r>
          <rPr>
            <sz val="10"/>
            <color indexed="8"/>
            <rFont val="맑은 고딕"/>
            <family val="3"/>
          </rPr>
          <t>※ 작성 방법 안내
각 채널 별 합계 데이터 정리표입니다.
(기 기입되어 있는 플랫폼 사이트 명은 작성 예시입니다. 
귀사 유통 채널에 맞춰서 작성하시고 초과된 행은 삭제하시면 됩니다.)</t>
        </r>
      </text>
    </comment>
  </commentList>
</comments>
</file>

<file path=xl/comments2.xml><?xml version="1.0" encoding="utf-8"?>
<comments xmlns="http://schemas.openxmlformats.org/spreadsheetml/2006/main">
  <authors>
    <author>Windows 사용자</author>
  </authors>
  <commentList>
    <comment ref="AF12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<sst xmlns="http://schemas.openxmlformats.org/spreadsheetml/2006/main" count="1581" uniqueCount="492">
  <si>
    <t>사이트명</t>
  </si>
  <si>
    <t xml:space="preserve">소비자매출액 </t>
  </si>
  <si>
    <t>유통사수수료</t>
  </si>
  <si>
    <t>케이티매출액</t>
  </si>
  <si>
    <t>케이티수익</t>
  </si>
  <si>
    <t>만화가족 수익</t>
  </si>
  <si>
    <t>비고</t>
  </si>
  <si>
    <t>선지급금</t>
  </si>
  <si>
    <t>카카오페이지</t>
  </si>
  <si>
    <t>연재고료</t>
  </si>
  <si>
    <t>KT프로젝트수익</t>
  </si>
  <si>
    <t>네이버웹툰1</t>
  </si>
  <si>
    <t>월별 회수금 (케이티 수익)</t>
  </si>
  <si>
    <t>네이버웹툰2</t>
  </si>
  <si>
    <t>유료판매</t>
  </si>
  <si>
    <t>2018. 08</t>
  </si>
  <si>
    <t>2018. 09</t>
  </si>
  <si>
    <t>2018. 10</t>
  </si>
  <si>
    <t>2018. 11</t>
  </si>
  <si>
    <t>2018. 12</t>
  </si>
  <si>
    <t>합계</t>
  </si>
  <si>
    <t>2018년 합계</t>
  </si>
  <si>
    <t>2019년 합계</t>
  </si>
  <si>
    <t>잔여 선지급금</t>
  </si>
  <si>
    <t>서비스명</t>
  </si>
  <si>
    <t>아이디</t>
  </si>
  <si>
    <t>패스워드</t>
  </si>
  <si>
    <t>URL</t>
  </si>
  <si>
    <t>toonsfamily11</t>
  </si>
  <si>
    <t>aocnf60djr!</t>
  </si>
  <si>
    <t>FRA01967</t>
  </si>
  <si>
    <t>작품명</t>
  </si>
  <si>
    <t>구분</t>
    <phoneticPr fontId="31" type="noConversion"/>
  </si>
  <si>
    <t>금액</t>
    <phoneticPr fontId="31" type="noConversion"/>
  </si>
  <si>
    <t>입금</t>
  </si>
  <si>
    <t>구분</t>
  </si>
  <si>
    <t>작가명</t>
  </si>
  <si>
    <t>17,908,333</t>
  </si>
  <si>
    <t>카카오페이지1</t>
  </si>
  <si>
    <t>카카오페이지2</t>
  </si>
  <si>
    <t>만화가족</t>
  </si>
  <si>
    <t>특별/일반</t>
  </si>
  <si>
    <t>사업자명</t>
  </si>
  <si>
    <t>사업자번호</t>
  </si>
  <si>
    <t>발행자명</t>
  </si>
  <si>
    <t>계약UID</t>
  </si>
  <si>
    <t>계약유형</t>
  </si>
  <si>
    <t>당월신규계약여부</t>
  </si>
  <si>
    <t>시리즈ID</t>
  </si>
  <si>
    <t>시리즈명</t>
  </si>
  <si>
    <t>레이블</t>
  </si>
  <si>
    <t>ISBN(유/무)</t>
  </si>
  <si>
    <t>이용권 종류</t>
  </si>
  <si>
    <t>공급가액</t>
  </si>
  <si>
    <t>황금의핸드메이커_앱</t>
  </si>
  <si>
    <t>반투명인간_앱</t>
  </si>
  <si>
    <t>순매출</t>
  </si>
  <si>
    <t>세액</t>
  </si>
  <si>
    <t>글로벌</t>
  </si>
  <si>
    <t>네이버웹툰</t>
    <phoneticPr fontId="31" type="noConversion"/>
  </si>
  <si>
    <t>-</t>
    <phoneticPr fontId="31" type="noConversion"/>
  </si>
  <si>
    <t>봄툰</t>
    <phoneticPr fontId="31" type="noConversion"/>
  </si>
  <si>
    <t>봄툰 구작연재</t>
    <phoneticPr fontId="31" type="noConversion"/>
  </si>
  <si>
    <t>No</t>
  </si>
  <si>
    <t>만화명</t>
  </si>
  <si>
    <t>웹코인합계</t>
  </si>
  <si>
    <t>웹정산율</t>
  </si>
  <si>
    <t>앱코인합계</t>
  </si>
  <si>
    <t>앱정산율</t>
  </si>
  <si>
    <t>연재</t>
  </si>
  <si>
    <t>겨우내</t>
  </si>
  <si>
    <t>만화idx</t>
  </si>
  <si>
    <t>1.과세</t>
  </si>
  <si>
    <t>시어머니는 츤데레(완결)</t>
  </si>
  <si>
    <t>여고를 아느냐(완결)</t>
  </si>
  <si>
    <t>날라리(완결)</t>
  </si>
  <si>
    <t>죽은자를 상대하는 방법(완결)</t>
  </si>
  <si>
    <t>소음(완결)</t>
  </si>
  <si>
    <t>키다리스튜디오</t>
  </si>
  <si>
    <t>＊각 플랫폼 데이터는 시트 추가하여 작성, 합계 표로 가져와 총 정산금액 정리</t>
    <phoneticPr fontId="31" type="noConversion"/>
  </si>
  <si>
    <t>2019.01</t>
    <phoneticPr fontId="31" type="noConversion"/>
  </si>
  <si>
    <t>2019.02</t>
    <phoneticPr fontId="31" type="noConversion"/>
  </si>
  <si>
    <t>2019.03</t>
    <phoneticPr fontId="31" type="noConversion"/>
  </si>
  <si>
    <t>2019.04</t>
    <phoneticPr fontId="31" type="noConversion"/>
  </si>
  <si>
    <t>2019.05</t>
    <phoneticPr fontId="31" type="noConversion"/>
  </si>
  <si>
    <t>2019.06</t>
    <phoneticPr fontId="31" type="noConversion"/>
  </si>
  <si>
    <t>2019.07</t>
    <phoneticPr fontId="31" type="noConversion"/>
  </si>
  <si>
    <t>2019.08</t>
    <phoneticPr fontId="31" type="noConversion"/>
  </si>
  <si>
    <t>2019.09</t>
    <phoneticPr fontId="31" type="noConversion"/>
  </si>
  <si>
    <t>2019.10</t>
    <phoneticPr fontId="31" type="noConversion"/>
  </si>
  <si>
    <t>2019.11</t>
    <phoneticPr fontId="31" type="noConversion"/>
  </si>
  <si>
    <t>입금</t>
    <phoneticPr fontId="31" type="noConversion"/>
  </si>
  <si>
    <t>우리집아이돌</t>
    <phoneticPr fontId="31" type="noConversion"/>
  </si>
  <si>
    <t>*익익월 입금</t>
    <phoneticPr fontId="31" type="noConversion"/>
  </si>
  <si>
    <t>기초정보</t>
  </si>
  <si>
    <t>악마와계약연애_앱</t>
    <phoneticPr fontId="31" type="noConversion"/>
  </si>
  <si>
    <t>악마와계약연애_웹</t>
    <phoneticPr fontId="31" type="noConversion"/>
  </si>
  <si>
    <t>나를바꿔줘_앱</t>
    <phoneticPr fontId="31" type="noConversion"/>
  </si>
  <si>
    <t>나를바꿔줘_웹</t>
    <phoneticPr fontId="31" type="noConversion"/>
  </si>
  <si>
    <t>2020년 합계</t>
    <phoneticPr fontId="31" type="noConversion"/>
  </si>
  <si>
    <t>2020.01</t>
    <phoneticPr fontId="31" type="noConversion"/>
  </si>
  <si>
    <t>2020.02</t>
    <phoneticPr fontId="31" type="noConversion"/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</si>
  <si>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</si>
  <si>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</si>
  <si>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</si>
  <si>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</si>
  <si>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</si>
  <si>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</si>
  <si>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</si>
  <si>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</si>
  <si>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</si>
  <si>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</si>
  <si>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상태</t>
  </si>
  <si>
    <t>요일</t>
  </si>
  <si>
    <t>CP회사명</t>
  </si>
  <si>
    <t>MCP</t>
  </si>
  <si>
    <t>업체MG</t>
  </si>
  <si>
    <t>에버그린</t>
  </si>
  <si>
    <t>만화가족(웹툰)</t>
  </si>
  <si>
    <t>부찌</t>
  </si>
  <si>
    <t>요일연재</t>
  </si>
  <si>
    <t>사랑이 커다래</t>
  </si>
  <si>
    <t>깜귤</t>
  </si>
  <si>
    <t>사해&amp;벌래</t>
  </si>
  <si>
    <t>온조</t>
  </si>
  <si>
    <t>어고</t>
  </si>
  <si>
    <t>곽병진</t>
  </si>
  <si>
    <t>젠틀독</t>
  </si>
  <si>
    <t>손 길</t>
  </si>
  <si>
    <t>CP(정산처)</t>
  </si>
  <si>
    <t>이월 차감잔액</t>
  </si>
  <si>
    <t>콘텐츠 MG</t>
  </si>
  <si>
    <t>실지급 MG</t>
  </si>
  <si>
    <t>웹매출액</t>
  </si>
  <si>
    <t>웹정산액</t>
  </si>
  <si>
    <t>앱매출액</t>
  </si>
  <si>
    <t>앱정산액</t>
  </si>
  <si>
    <t>정산액(웹+앱)</t>
  </si>
  <si>
    <t>총매출액</t>
  </si>
  <si>
    <t>글/그림</t>
  </si>
  <si>
    <t>RS정산액</t>
  </si>
  <si>
    <t>RS-MG</t>
  </si>
  <si>
    <t>RS지급액(MG-RS)</t>
  </si>
  <si>
    <t>차감잔액</t>
  </si>
  <si>
    <t>MG(당월 소멸)</t>
  </si>
  <si>
    <t>아는 사람 이야기</t>
  </si>
  <si>
    <t>온우주&amp;서랭</t>
  </si>
  <si>
    <t>테크앤조이</t>
    <phoneticPr fontId="31" type="noConversion"/>
  </si>
  <si>
    <t>투믹스/나인픽셀즈</t>
    <phoneticPr fontId="31" type="noConversion"/>
  </si>
  <si>
    <t>현금 결제</t>
  </si>
  <si>
    <t>테크앤조이</t>
  </si>
  <si>
    <t>구분</t>
    <phoneticPr fontId="53" type="noConversion"/>
  </si>
  <si>
    <t>총 청구금액</t>
    <phoneticPr fontId="53" type="noConversion"/>
  </si>
  <si>
    <t>포인트결제</t>
    <phoneticPr fontId="53" type="noConversion"/>
  </si>
  <si>
    <t>업체</t>
    <phoneticPr fontId="53" type="noConversion"/>
  </si>
  <si>
    <t>수수료
(KT/KTH/TECH)</t>
    <phoneticPr fontId="53" type="noConversion"/>
  </si>
  <si>
    <t>만화가족</t>
    <phoneticPr fontId="53" type="noConversion"/>
  </si>
  <si>
    <t>부기영화</t>
    <phoneticPr fontId="31" type="noConversion"/>
  </si>
  <si>
    <t>데드라이프_앱</t>
    <phoneticPr fontId="31" type="noConversion"/>
  </si>
  <si>
    <t>데드라이프_웹</t>
    <phoneticPr fontId="31" type="noConversion"/>
  </si>
  <si>
    <t>견우와선녀</t>
    <phoneticPr fontId="31" type="noConversion"/>
  </si>
  <si>
    <t xml:space="preserve">재밌니짝사랑 </t>
    <phoneticPr fontId="31" type="noConversion"/>
  </si>
  <si>
    <t>나를바꿔줘</t>
    <phoneticPr fontId="31" type="noConversion"/>
  </si>
  <si>
    <t>창작지원금_견우와선녀</t>
    <phoneticPr fontId="31" type="noConversion"/>
  </si>
  <si>
    <t>입금 : 스토리위즈</t>
    <phoneticPr fontId="31" type="noConversion"/>
  </si>
  <si>
    <t>카카오페이지</t>
    <phoneticPr fontId="31" type="noConversion"/>
  </si>
  <si>
    <t>https://biz.kakaopage.com/partner/login</t>
  </si>
  <si>
    <t>네이버</t>
  </si>
  <si>
    <t>Good2seeu!</t>
  </si>
  <si>
    <t>https://friend.navercorp.com/login/loginForm.sec?url=%2Fview%2Fsvc%2Fmain%3FsvcId%3DCOM%26lz%3Dko_KR%26tz%3DAsia%252FSeoul%253A%252B09%253A00&amp;c=d#</t>
  </si>
  <si>
    <t>FRA09683</t>
  </si>
  <si>
    <t>FRA07849</t>
  </si>
  <si>
    <t>FRA08900</t>
  </si>
  <si>
    <t>Epemfkdlvm8!</t>
  </si>
  <si>
    <t>FRA07850</t>
  </si>
  <si>
    <t>FRA09684</t>
  </si>
  <si>
    <t>FRA09669</t>
  </si>
  <si>
    <t>구작</t>
  </si>
  <si>
    <t>악마와계약연애</t>
  </si>
  <si>
    <t>반투명인간</t>
  </si>
  <si>
    <t>데드라이프</t>
  </si>
  <si>
    <t>황금의핸드메이커</t>
  </si>
  <si>
    <t>나를바꿔줘</t>
  </si>
  <si>
    <t>그녀의 버킷리스트</t>
  </si>
  <si>
    <t>2021.01</t>
    <phoneticPr fontId="31" type="noConversion"/>
  </si>
  <si>
    <t>2021.02</t>
    <phoneticPr fontId="31" type="noConversion"/>
  </si>
  <si>
    <t>2021.03</t>
    <phoneticPr fontId="31" type="noConversion"/>
  </si>
  <si>
    <t>2021.04</t>
    <phoneticPr fontId="31" type="noConversion"/>
  </si>
  <si>
    <t>2021.05</t>
    <phoneticPr fontId="31" type="noConversion"/>
  </si>
  <si>
    <t>2021.06</t>
    <phoneticPr fontId="31" type="noConversion"/>
  </si>
  <si>
    <t>2021.07</t>
    <phoneticPr fontId="31" type="noConversion"/>
  </si>
  <si>
    <t>2021.08</t>
    <phoneticPr fontId="31" type="noConversion"/>
  </si>
  <si>
    <t>2021.09</t>
    <phoneticPr fontId="31" type="noConversion"/>
  </si>
  <si>
    <t>2021.10</t>
    <phoneticPr fontId="31" type="noConversion"/>
  </si>
  <si>
    <t>2021.11</t>
    <phoneticPr fontId="31" type="noConversion"/>
  </si>
  <si>
    <t>2021.12</t>
    <phoneticPr fontId="31" type="noConversion"/>
  </si>
  <si>
    <t>2021년 합계</t>
    <phoneticPr fontId="31" type="noConversion"/>
  </si>
  <si>
    <t>웽</t>
    <phoneticPr fontId="31" type="noConversion"/>
  </si>
  <si>
    <t>11/10초과분 18,000원 차감 후 지급</t>
    <phoneticPr fontId="31" type="noConversion"/>
  </si>
  <si>
    <t>애증과 애정 사이</t>
  </si>
  <si>
    <t>세금계산년월</t>
  </si>
  <si>
    <t>만화IDX</t>
  </si>
  <si>
    <t>서비스사</t>
  </si>
  <si>
    <t>컨텐츠</t>
  </si>
  <si>
    <t>CP1(정산처)</t>
  </si>
  <si>
    <t>봄툰-CP정산액</t>
  </si>
  <si>
    <t>레진</t>
  </si>
  <si>
    <t>공유하는 집</t>
  </si>
  <si>
    <t>선독점</t>
  </si>
  <si>
    <t>화</t>
  </si>
  <si>
    <t>징망츄&amp;사앙</t>
  </si>
  <si>
    <t>더익스트림</t>
    <phoneticPr fontId="31" type="noConversion"/>
  </si>
  <si>
    <t>창작지원금_나를바꿔줘</t>
    <phoneticPr fontId="31" type="noConversion"/>
  </si>
  <si>
    <t>날라리 外</t>
  </si>
  <si>
    <t>이상적인관계</t>
  </si>
  <si>
    <t>얏꽁</t>
  </si>
  <si>
    <t>탑툰</t>
    <phoneticPr fontId="31" type="noConversion"/>
  </si>
  <si>
    <t>해금 外</t>
    <phoneticPr fontId="31" type="noConversion"/>
  </si>
  <si>
    <t>#</t>
  </si>
  <si>
    <t>범위</t>
  </si>
  <si>
    <t>세금</t>
  </si>
  <si>
    <t>WEB 정산</t>
  </si>
  <si>
    <t>APP 정산</t>
  </si>
  <si>
    <t>연재/MG정산액</t>
  </si>
  <si>
    <t>RS 선지급차감액</t>
  </si>
  <si>
    <t>RS 조정액</t>
  </si>
  <si>
    <t>RS 정산액</t>
  </si>
  <si>
    <t>총 정산액</t>
  </si>
  <si>
    <t>기타</t>
  </si>
  <si>
    <t>(대만)</t>
  </si>
  <si>
    <t>Love &amp; Wish 러브 앤 위시</t>
  </si>
  <si>
    <t>전체회차</t>
  </si>
  <si>
    <t>적용</t>
  </si>
  <si>
    <t>(연재없음)</t>
  </si>
  <si>
    <t>人妻的秘密 당신의 아내를 접수합니다</t>
  </si>
  <si>
    <t>LUNA 루나</t>
  </si>
  <si>
    <t>戀愛ing 그래도 사랑해</t>
  </si>
  <si>
    <t>解禁:初始的快感 해금 : 시작되는 쾌락</t>
  </si>
  <si>
    <t>Lust Awakening 해금 : 시작되는 쾌락 - 영어</t>
  </si>
  <si>
    <t>窺視 엿보기</t>
  </si>
  <si>
    <t>前女友 전여친</t>
  </si>
  <si>
    <t>與前妻同居 전처와의 동거</t>
  </si>
  <si>
    <t>(ASP)</t>
  </si>
  <si>
    <t>나싸(완결)</t>
  </si>
  <si>
    <t>당신의 아내를 접수합니다(완결)</t>
  </si>
  <si>
    <t>아임 펫!(완결)</t>
  </si>
  <si>
    <t>그래도 사랑해(완결)</t>
  </si>
  <si>
    <t>해금 : 시작되는 쾌락(완결)</t>
  </si>
  <si>
    <t>루나(완결)</t>
  </si>
  <si>
    <t>우당탕탕 따식이(완결)</t>
  </si>
  <si>
    <t>청춘 : 그 몸을 삼키다(완결)</t>
  </si>
  <si>
    <t>엿보기(완결)</t>
  </si>
  <si>
    <t>전 여친(완결)</t>
  </si>
  <si>
    <t>전처와의 동거(완결)</t>
  </si>
  <si>
    <t>(한국)</t>
  </si>
  <si>
    <t>나싸</t>
  </si>
  <si>
    <t>러브 앤 위시</t>
  </si>
  <si>
    <t>그래도 사랑해</t>
  </si>
  <si>
    <t>루나</t>
  </si>
  <si>
    <t>우당탕탕 따식이</t>
  </si>
  <si>
    <t>시어머니는 츤데레</t>
  </si>
  <si>
    <t>위험한 동거</t>
  </si>
  <si>
    <t>프랑켄이 사는 마을</t>
  </si>
  <si>
    <t>죽은 자를 상대하는 방법</t>
  </si>
  <si>
    <t>NPC</t>
  </si>
  <si>
    <t>아임 펫!</t>
  </si>
  <si>
    <t>당신의 아내를 접수합니다</t>
  </si>
  <si>
    <t>해금 : 시작되는 쾌락</t>
  </si>
  <si>
    <t>청춘 : 그 몸을 삼키다</t>
  </si>
  <si>
    <t>엿보기</t>
  </si>
  <si>
    <t>전 여친</t>
  </si>
  <si>
    <t>전처와의 동거</t>
  </si>
  <si>
    <t>(글로벌)</t>
  </si>
  <si>
    <t>Nevertheless, I love you. 그래도 사랑해</t>
  </si>
  <si>
    <t>How to Deal With the Dead 죽은자를 상대하는 방법</t>
  </si>
  <si>
    <t>LOVE &amp; WISH 러브 앤 위시</t>
  </si>
  <si>
    <t>Ah! I'm your pet! 아임펫</t>
  </si>
  <si>
    <t>Path of Justice 우당탕탕 따식이</t>
  </si>
  <si>
    <t>The Perfect Roommate 위험한 동거</t>
  </si>
  <si>
    <t>Living With My Ex-Wife 전처와의 동거</t>
  </si>
  <si>
    <t>스토리위즈 &gt; 만화가족 계산서 발행 금액</t>
    <phoneticPr fontId="31" type="noConversion"/>
  </si>
  <si>
    <t>&lt;픽코마&gt;</t>
    <phoneticPr fontId="31" type="noConversion"/>
  </si>
  <si>
    <t>&lt;글로벌&gt;</t>
    <phoneticPr fontId="31" type="noConversion"/>
  </si>
  <si>
    <t>포인트
정산대상금액</t>
    <phoneticPr fontId="53" type="noConversion"/>
  </si>
  <si>
    <t>&lt;정산서&gt;</t>
    <phoneticPr fontId="31" type="noConversion"/>
  </si>
  <si>
    <t>青春:逆齡小鮮肉 청춘 : 그 몸을 삼키다</t>
  </si>
  <si>
    <t>겁쟁이피지컬</t>
    <phoneticPr fontId="31" type="noConversion"/>
  </si>
  <si>
    <t xml:space="preserve">공동 마케팅/할인/무료
포인트 공동 부담율 </t>
    <phoneticPr fontId="53" type="noConversion"/>
  </si>
  <si>
    <t>금액</t>
    <phoneticPr fontId="53" type="noConversion"/>
  </si>
  <si>
    <t>정산매출</t>
    <phoneticPr fontId="53" type="noConversion"/>
  </si>
  <si>
    <t>요율</t>
    <phoneticPr fontId="53" type="noConversion"/>
  </si>
  <si>
    <t>구작_앱</t>
    <phoneticPr fontId="31" type="noConversion"/>
  </si>
  <si>
    <t>구작_웹</t>
    <phoneticPr fontId="31" type="noConversion"/>
  </si>
  <si>
    <t>-</t>
  </si>
  <si>
    <t>B2BC</t>
    <phoneticPr fontId="31" type="noConversion"/>
  </si>
  <si>
    <t>결제 및 기타수수료</t>
  </si>
  <si>
    <t>Ex-girlfriend 전 여친</t>
  </si>
  <si>
    <t>22년 03월 04월 서비스분(VAT별도)</t>
  </si>
  <si>
    <t>Lust Awakening 해금 : 시작되는 쾌락</t>
  </si>
  <si>
    <r>
      <rPr>
        <b/>
        <sz val="10"/>
        <color rgb="FF000000"/>
        <rFont val="맑은 고딕"/>
        <family val="3"/>
        <charset val="129"/>
      </rPr>
      <t>■</t>
    </r>
    <r>
      <rPr>
        <b/>
        <sz val="14"/>
        <color indexed="8"/>
        <rFont val="맑은 고딕"/>
        <family val="3"/>
        <charset val="129"/>
      </rPr>
      <t xml:space="preserve"> 만화가족 유통계정정보</t>
    </r>
    <phoneticPr fontId="31" type="noConversion"/>
  </si>
  <si>
    <t>계약명</t>
  </si>
  <si>
    <t>과/면세</t>
  </si>
  <si>
    <t>콘텐츠유형</t>
  </si>
  <si>
    <t>판매시작일</t>
  </si>
  <si>
    <t>판매종료일</t>
  </si>
  <si>
    <t>제품코드 (발행자가 부여하는 코드)</t>
  </si>
  <si>
    <t>거래액(캐시)</t>
  </si>
  <si>
    <t>거래액(원화)</t>
  </si>
  <si>
    <t>순매출액</t>
  </si>
  <si>
    <t>정산율(%)</t>
  </si>
  <si>
    <t>정산금액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</si>
  <si>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</si>
  <si>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</si>
  <si>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</si>
  <si>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</si>
  <si>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</si>
  <si>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</si>
  <si>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</si>
  <si>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</si>
  <si>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</si>
  <si>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</si>
  <si>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</si>
  <si>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</si>
  <si>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</si>
  <si>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</si>
  <si>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</si>
  <si>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</si>
  <si>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</si>
  <si>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</si>
  <si>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</si>
  <si>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</si>
  <si>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</si>
  <si>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</si>
  <si>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</si>
  <si>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</si>
  <si>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공급대가</t>
  </si>
  <si>
    <t>아임펫! 시즌 1,2,3</t>
  </si>
  <si>
    <t>탐이부</t>
  </si>
  <si>
    <t>연애에 서툰 뱀파이어(완결)</t>
  </si>
  <si>
    <t>유승승</t>
  </si>
  <si>
    <t>봄툰</t>
  </si>
  <si>
    <t>일부회차</t>
  </si>
  <si>
    <t>원스토어</t>
  </si>
  <si>
    <t>중국유통</t>
  </si>
  <si>
    <t>해외유통</t>
  </si>
  <si>
    <t>&lt;재밌니짝사랑&gt; 7월</t>
    <phoneticPr fontId="31" type="noConversion"/>
  </si>
  <si>
    <r>
      <t>&lt;</t>
    </r>
    <r>
      <rPr>
        <sz val="10"/>
        <color rgb="FF000000"/>
        <rFont val="맑은 고딕"/>
        <family val="3"/>
        <charset val="129"/>
      </rPr>
      <t>우리집아이돌&gt; 7월</t>
    </r>
    <phoneticPr fontId="31" type="noConversion"/>
  </si>
  <si>
    <t>봄툰 대만</t>
    <phoneticPr fontId="31" type="noConversion"/>
  </si>
  <si>
    <t>봄툰 태국</t>
    <phoneticPr fontId="31" type="noConversion"/>
  </si>
  <si>
    <t>7월 RS</t>
    <phoneticPr fontId="31" type="noConversion"/>
  </si>
  <si>
    <t>대만 Boomtoon 정산</t>
  </si>
  <si>
    <t>작품</t>
  </si>
  <si>
    <t>정산처</t>
  </si>
  <si>
    <t>MG/잔여금(KRW)</t>
  </si>
  <si>
    <t>웹순매출(NTD)</t>
  </si>
  <si>
    <t>앱순매출(NTD)</t>
  </si>
  <si>
    <t>순매출(KRW)</t>
  </si>
  <si>
    <t>RS요율</t>
  </si>
  <si>
    <t>순매출(KRW)*RS요율</t>
  </si>
  <si>
    <t>MG-(순매출*RS요율)</t>
  </si>
  <si>
    <t>최종 지급액(KRW)</t>
  </si>
  <si>
    <t>기준 환율</t>
  </si>
  <si>
    <t>인보이스 발행일</t>
  </si>
  <si>
    <t>태국 Boomtoon 정산</t>
  </si>
  <si>
    <t>웹순매출(THB)</t>
  </si>
  <si>
    <t>앱순매출(THB)</t>
  </si>
  <si>
    <t>지급일</t>
  </si>
  <si>
    <t>2022년 8월 지급요청</t>
    <phoneticPr fontId="31" type="noConversion"/>
  </si>
  <si>
    <t>정산처</t>
    <phoneticPr fontId="121" type="noConversion"/>
  </si>
  <si>
    <t>구분</t>
    <phoneticPr fontId="121" type="noConversion"/>
  </si>
  <si>
    <t>글/그림</t>
    <phoneticPr fontId="121" type="noConversion"/>
  </si>
  <si>
    <t>2022-2Q</t>
  </si>
  <si>
    <t>2022년 8월 지급요청</t>
    <phoneticPr fontId="121" type="noConversion"/>
  </si>
  <si>
    <t>2022-2Q</t>
    <phoneticPr fontId="121" type="noConversion"/>
  </si>
  <si>
    <t>Sum</t>
  </si>
  <si>
    <t>07월 연재</t>
  </si>
  <si>
    <t>07월 휴재</t>
  </si>
  <si>
    <t>(일본)</t>
  </si>
  <si>
    <t>解禁 해금 : 시작되는 쾌락</t>
  </si>
  <si>
    <t>モトカノ 전 여친</t>
  </si>
  <si>
    <t>のぞき 엿보기(망가)</t>
  </si>
  <si>
    <t>偽りの青春 청춘 : 그 몸을 삼키다(망가)</t>
  </si>
  <si>
    <t>解禁 해금 : 시작되는 쾌락(망가)</t>
  </si>
  <si>
    <t>モトカノ 전 여친(망가)</t>
  </si>
  <si>
    <t>偽りの青春 청춘 : 그 몸을 삼키다</t>
  </si>
  <si>
    <r>
      <rPr>
        <b/>
        <sz val="10"/>
        <color rgb="FF000000"/>
        <rFont val="맑은 고딕"/>
        <family val="3"/>
        <charset val="129"/>
      </rPr>
      <t>■</t>
    </r>
    <r>
      <rPr>
        <b/>
        <sz val="14"/>
        <color indexed="8"/>
        <rFont val="맑은 고딕"/>
        <family val="3"/>
        <charset val="129"/>
      </rPr>
      <t xml:space="preserve"> 만화가족 2022.10월 KT 정산서</t>
    </r>
    <phoneticPr fontId="31" type="noConversion"/>
  </si>
  <si>
    <t>글로벌MG (요율 : 약 60%, 카카오페이지 약관에 따름)</t>
    <phoneticPr fontId="31" type="noConversion"/>
  </si>
  <si>
    <t>홈파이브</t>
  </si>
  <si>
    <t>홈파이브</t>
    <phoneticPr fontId="31" type="noConversion"/>
  </si>
  <si>
    <t>글로벌MG</t>
    <phoneticPr fontId="31" type="noConversion"/>
  </si>
  <si>
    <t>9월</t>
    <phoneticPr fontId="31" type="noConversion"/>
  </si>
  <si>
    <t>양방향서비스 22년 월 서비스분 매출정산</t>
    <phoneticPr fontId="53" type="noConversion"/>
  </si>
  <si>
    <t>2022 Q3</t>
    <phoneticPr fontId="31" type="noConversion"/>
  </si>
  <si>
    <t>리디</t>
    <phoneticPr fontId="31" type="noConversion"/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</si>
  <si>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</si>
  <si>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</si>
  <si>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</si>
  <si>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</si>
  <si>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</si>
  <si>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</si>
  <si>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</si>
  <si>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</si>
  <si>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</si>
  <si>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</si>
  <si>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</si>
  <si>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</si>
  <si>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</si>
  <si>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</si>
  <si>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</si>
  <si>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</si>
  <si>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</si>
  <si>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</si>
  <si>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</si>
  <si>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</si>
  <si>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</si>
  <si>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</si>
  <si>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</si>
  <si>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</si>
  <si>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</si>
  <si>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</si>
  <si>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</si>
  <si>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</si>
  <si>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</si>
  <si>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</si>
  <si>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</si>
  <si>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</si>
  <si>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</si>
  <si>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대형막내!</t>
  </si>
  <si>
    <t>위작난전</t>
  </si>
  <si>
    <t>대형막내 外</t>
    <phoneticPr fontId="31" type="noConversion"/>
  </si>
  <si>
    <t>애착인형</t>
    <phoneticPr fontId="31" type="noConversion"/>
  </si>
  <si>
    <t>10월 MG (요율 : 약 60%, 카카오페이지 약관에 따름)</t>
    <phoneticPr fontId="31" type="noConversion"/>
  </si>
  <si>
    <t>재밌니짝사랑</t>
    <phoneticPr fontId="31" type="noConversion"/>
  </si>
  <si>
    <t>그림자미녀</t>
    <phoneticPr fontId="31" type="noConversion"/>
  </si>
  <si>
    <t>남자친구를조심해</t>
    <phoneticPr fontId="31" type="noConversion"/>
  </si>
  <si>
    <t>9월 초과수익</t>
    <phoneticPr fontId="31" type="noConversion"/>
  </si>
  <si>
    <t>픽코마 9월 RS</t>
    <phoneticPr fontId="31" type="noConversion"/>
  </si>
  <si>
    <t>특별</t>
  </si>
  <si>
    <t>주식회사 만화가족</t>
  </si>
  <si>
    <t>카카오페이지 웹툰 선투자 직계약</t>
  </si>
  <si>
    <t>N</t>
  </si>
  <si>
    <t>만화가족_우리집아이돌</t>
  </si>
  <si>
    <t>과세</t>
  </si>
  <si>
    <t>만화</t>
  </si>
  <si>
    <t>우리집 아이돌</t>
  </si>
  <si>
    <t>한둘,자라개</t>
  </si>
  <si>
    <t>유</t>
  </si>
  <si>
    <t>단일 이용권</t>
  </si>
  <si>
    <t>시리즈 이용권 패키지</t>
  </si>
  <si>
    <t>단일 대여 이용권</t>
  </si>
  <si>
    <t>시리즈 대여 이용권 패키지</t>
  </si>
  <si>
    <t>만화가족_재밌니,짝사랑</t>
  </si>
  <si>
    <t>재밌니, 짝사랑</t>
  </si>
  <si>
    <t>손길</t>
  </si>
  <si>
    <t>9월 고료</t>
    <phoneticPr fontId="31" type="noConversion"/>
  </si>
  <si>
    <t>네버마인드달링</t>
    <phoneticPr fontId="31" type="noConversion"/>
  </si>
  <si>
    <t>9월 글로벌</t>
    <phoneticPr fontId="31" type="noConversion"/>
  </si>
  <si>
    <t>9월 창작</t>
    <phoneticPr fontId="31" type="noConversion"/>
  </si>
  <si>
    <t>리워드비디오_그녀의버킷리스트</t>
    <phoneticPr fontId="31" type="noConversion"/>
  </si>
  <si>
    <t>그녀의버킷리스트_앱</t>
  </si>
  <si>
    <t>그녀의버킷리스트_앱</t>
    <phoneticPr fontId="31" type="noConversion"/>
  </si>
  <si>
    <t>리워드비디오_데드라이프</t>
    <phoneticPr fontId="31" type="noConversion"/>
  </si>
  <si>
    <t>리워드비디오_악마와계약연애</t>
    <phoneticPr fontId="31" type="noConversion"/>
  </si>
  <si>
    <t>9월 리워드비디오</t>
    <phoneticPr fontId="31" type="noConversion"/>
  </si>
  <si>
    <t>8월 리워드비디오</t>
    <phoneticPr fontId="31" type="noConversion"/>
  </si>
  <si>
    <t>데드라이프_앱</t>
  </si>
  <si>
    <t>데드라이프_웹</t>
  </si>
  <si>
    <t>나를바꿔줘_앱</t>
  </si>
  <si>
    <t>나를바꿔줘_웹</t>
  </si>
  <si>
    <t>악마와계약연애_앱</t>
  </si>
  <si>
    <t>악마와계약연애_웹</t>
  </si>
  <si>
    <t>반투명인간_웹</t>
  </si>
  <si>
    <t>황금의핸드메이커_웹</t>
  </si>
  <si>
    <t>구작_앱</t>
  </si>
  <si>
    <t>구작_웹</t>
  </si>
  <si>
    <t>10월</t>
    <phoneticPr fontId="31" type="noConversion"/>
  </si>
  <si>
    <t>&lt;웹+앱&gt; 10월</t>
    <phoneticPr fontId="31" type="noConversion"/>
  </si>
  <si>
    <t>9월 RS</t>
    <phoneticPr fontId="31" type="noConversion"/>
  </si>
  <si>
    <t>2022.09</t>
  </si>
  <si>
    <t>45.00%</t>
  </si>
  <si>
    <t>35.00%</t>
  </si>
  <si>
    <t>54.00%</t>
  </si>
  <si>
    <t>42.00%</t>
  </si>
  <si>
    <t>세렌디피티</t>
  </si>
  <si>
    <t>잇뚜&amp;주요</t>
  </si>
  <si>
    <t>9월 국내/해외 RS</t>
    <phoneticPr fontId="31" type="noConversion"/>
  </si>
  <si>
    <t>만화전쟁</t>
  </si>
  <si>
    <t>말랑말랑 무브먼트</t>
  </si>
  <si>
    <t>아임 펫! (시즌1,2)</t>
  </si>
  <si>
    <t>죽은자를 상대하는 방법</t>
  </si>
  <si>
    <t>한잔의 맛</t>
  </si>
  <si>
    <t>한 번 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</si>
</sst>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 &quot;* #,##0&quot; &quot;;&quot;-&quot;* #,##0&quot; &quot;;&quot; &quot;* &quot;- &quot;"/>
    <numFmt numFmtId="177" formatCode="&quot; &quot;* #,##0.00&quot; &quot;;&quot;-&quot;* #,##0.00&quot; &quot;;&quot; &quot;* &quot;-&quot;??&quot; &quot;"/>
    <numFmt numFmtId="178" formatCode="_(* #,##0_);_(* \(#,##0\);_(* &quot;-&quot;_);_(@_)"/>
    <numFmt numFmtId="179" formatCode="_(* #,##0.00_);_(* \(#,##0.00\);_(* &quot;-&quot;??_);_(@_)"/>
    <numFmt numFmtId="180" formatCode="#,##0_ ;[Red]\-#,##0\ "/>
    <numFmt numFmtId="181" formatCode="#,##0_ "/>
    <numFmt numFmtId="182" formatCode="0.0%"/>
    <numFmt numFmtId="183" formatCode="yyyy\.mm;@"/>
    <numFmt numFmtId="184" formatCode="yyyy/mm;@"/>
    <numFmt numFmtId="185" formatCode="_-* #,##0.00_-;\-* #,##0.00_-;_-* &quot;-&quot;_-;_-@"/>
    <numFmt numFmtId="186" formatCode="_-* #,##0_-;\-* #,##0_-;_-* &quot;-&quot;_-;_-@"/>
    <numFmt numFmtId="187" formatCode="yyyy\-mm\-dd"/>
    <numFmt numFmtId="188" formatCode="_-* #,##0.0_-;\-* #,##0.0_-;_-* &quot;-&quot;_-;_-@"/>
  </numFmts>
  <fonts count="126">
    <font>
      <sz val="11"/>
      <color indexed="8"/>
      <name val="Calibri"/>
    </font>
    <font>
      <sz val="11"/>
      <color theme="1"/>
      <name val="Helvetica Neue"/>
      <family val="2"/>
      <charset val="129"/>
      <scheme val="minor"/>
    </font>
    <font>
      <sz val="11"/>
      <color theme="1"/>
      <name val="Helvetica Neue"/>
      <family val="2"/>
      <charset val="129"/>
      <scheme val="minor"/>
    </font>
    <font>
      <sz val="11"/>
      <color theme="1"/>
      <name val="Helvetica Neue"/>
      <family val="2"/>
      <charset val="129"/>
      <scheme val="minor"/>
    </font>
    <font>
      <sz val="10"/>
      <color indexed="8"/>
      <name val="Calibri"/>
      <family val="2"/>
    </font>
    <font>
      <u/>
      <sz val="11"/>
      <color theme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돋움"/>
      <family val="3"/>
    </font>
    <font>
      <sz val="11"/>
      <color indexed="8"/>
      <name val="맑은 고딕"/>
      <family val="3"/>
    </font>
    <font>
      <sz val="11"/>
      <name val="굴림"/>
      <family val="3"/>
      <charset val="129"/>
    </font>
    <font>
      <sz val="11"/>
      <color indexed="9"/>
      <name val="맑은 고딕"/>
      <family val="3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0"/>
      <name val="Helvetica"/>
      <family val="2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indexed="17"/>
      <name val="맑은 고딕"/>
      <family val="3"/>
    </font>
    <font>
      <b/>
      <sz val="11"/>
      <color indexed="63"/>
      <name val="맑은 고딕"/>
      <family val="3"/>
    </font>
    <font>
      <sz val="11"/>
      <color indexed="8"/>
      <name val="돋움"/>
      <family val="3"/>
    </font>
    <font>
      <sz val="10"/>
      <color indexed="8"/>
      <name val="맑은 고딕"/>
      <family val="3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Helvetica Neue"/>
      <family val="3"/>
      <charset val="129"/>
      <scheme val="minor"/>
    </font>
    <font>
      <sz val="10"/>
      <color theme="1"/>
      <name val="돋움"/>
      <family val="2"/>
      <charset val="129"/>
    </font>
    <font>
      <b/>
      <sz val="11"/>
      <color rgb="FFFF000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11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16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6100"/>
      <name val="Helvetica Neue"/>
      <family val="2"/>
      <charset val="129"/>
      <scheme val="minor"/>
    </font>
    <font>
      <sz val="11"/>
      <color rgb="FF9C0006"/>
      <name val="Helvetica Neue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1"/>
      <color indexed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1"/>
      <name val="맑은 고딕"/>
      <family val="3"/>
      <charset val="129"/>
    </font>
    <font>
      <b/>
      <sz val="11"/>
      <color indexed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Helvetica Neue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theme="1"/>
      <name val="Helvetica Neue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sz val="12"/>
      <color theme="1"/>
      <name val="Helvetica Neue"/>
      <family val="2"/>
      <charset val="129"/>
      <scheme val="minor"/>
    </font>
    <font>
      <sz val="9"/>
      <color theme="0" tint="-0.34998626667073579"/>
      <name val="맑은 고딕"/>
      <family val="3"/>
      <charset val="129"/>
    </font>
    <font>
      <b/>
      <sz val="15"/>
      <color theme="3"/>
      <name val="Helvetica Neue"/>
      <family val="2"/>
      <charset val="129"/>
      <scheme val="minor"/>
    </font>
    <font>
      <b/>
      <sz val="13"/>
      <color theme="3"/>
      <name val="Helvetica Neue"/>
      <family val="2"/>
      <charset val="129"/>
      <scheme val="minor"/>
    </font>
    <font>
      <b/>
      <sz val="11"/>
      <color theme="3"/>
      <name val="Helvetica Neue"/>
      <family val="2"/>
      <charset val="129"/>
      <scheme val="minor"/>
    </font>
    <font>
      <sz val="11"/>
      <color rgb="FF3F3F76"/>
      <name val="Helvetica Neue"/>
      <family val="2"/>
      <charset val="129"/>
      <scheme val="minor"/>
    </font>
    <font>
      <b/>
      <sz val="11"/>
      <color rgb="FF3F3F3F"/>
      <name val="Helvetica Neue"/>
      <family val="2"/>
      <charset val="129"/>
      <scheme val="minor"/>
    </font>
    <font>
      <b/>
      <sz val="11"/>
      <color rgb="FFFA7D00"/>
      <name val="Helvetica Neue"/>
      <family val="2"/>
      <charset val="129"/>
      <scheme val="minor"/>
    </font>
    <font>
      <sz val="11"/>
      <color rgb="FFFA7D00"/>
      <name val="Helvetica Neue"/>
      <family val="2"/>
      <charset val="129"/>
      <scheme val="minor"/>
    </font>
    <font>
      <b/>
      <sz val="11"/>
      <color theme="0"/>
      <name val="Helvetica Neue"/>
      <family val="2"/>
      <charset val="129"/>
      <scheme val="minor"/>
    </font>
    <font>
      <sz val="11"/>
      <color rgb="FFFF0000"/>
      <name val="Helvetica Neue"/>
      <family val="2"/>
      <charset val="129"/>
      <scheme val="minor"/>
    </font>
    <font>
      <i/>
      <sz val="11"/>
      <color rgb="FF7F7F7F"/>
      <name val="Helvetica Neue"/>
      <family val="2"/>
      <charset val="129"/>
      <scheme val="minor"/>
    </font>
    <font>
      <b/>
      <sz val="11"/>
      <color theme="1"/>
      <name val="Helvetica Neue"/>
      <family val="2"/>
      <charset val="129"/>
      <scheme val="minor"/>
    </font>
    <font>
      <sz val="11"/>
      <color theme="0"/>
      <name val="Helvetica Neue"/>
      <family val="2"/>
      <charset val="129"/>
      <scheme val="minor"/>
    </font>
    <font>
      <sz val="9"/>
      <color theme="0" tint="-0.249977111117893"/>
      <name val="맑은 고딕"/>
      <family val="3"/>
      <charset val="129"/>
    </font>
    <font>
      <sz val="11"/>
      <color indexed="8"/>
      <name val="Helvetica Neue"/>
      <family val="2"/>
      <scheme val="minor"/>
    </font>
    <font>
      <sz val="10"/>
      <color rgb="FF000000"/>
      <name val="Arial"/>
      <family val="2"/>
    </font>
    <font>
      <b/>
      <sz val="18"/>
      <color theme="3"/>
      <name val="Helvetica Neue"/>
      <family val="2"/>
      <charset val="129"/>
      <scheme val="major"/>
    </font>
    <font>
      <sz val="11"/>
      <color rgb="FF9C6500"/>
      <name val="Helvetica Neue"/>
      <family val="2"/>
      <charset val="129"/>
      <scheme val="minor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0" tint="-0.249977111117893"/>
      <name val="맑은 고딕"/>
      <family val="3"/>
      <charset val="129"/>
    </font>
    <font>
      <sz val="10"/>
      <color indexed="8"/>
      <name val="Malgun Gothic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0061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rgb="FF33993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EE3333"/>
      <name val="맑은 고딕"/>
      <family val="3"/>
      <charset val="129"/>
    </font>
    <font>
      <sz val="10"/>
      <color rgb="FFCCCCCC"/>
      <name val="맑은 고딕"/>
      <family val="3"/>
      <charset val="129"/>
    </font>
    <font>
      <b/>
      <sz val="10"/>
      <color rgb="FF3333EE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b/>
      <sz val="10"/>
      <color rgb="FFC641DD"/>
      <name val="맑은 고딕"/>
      <family val="3"/>
      <charset val="129"/>
    </font>
    <font>
      <sz val="10"/>
      <color rgb="FFAAAAAA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indexed="8"/>
      <name val="Malgun Gothic"/>
      <family val="3"/>
      <charset val="129"/>
    </font>
    <font>
      <b/>
      <sz val="10"/>
      <color theme="1"/>
      <name val="Malgun Gothic Semilight"/>
      <family val="3"/>
      <charset val="129"/>
    </font>
    <font>
      <b/>
      <sz val="10"/>
      <name val="Malgun Gothic Semilight"/>
      <family val="3"/>
      <charset val="129"/>
    </font>
    <font>
      <sz val="10"/>
      <color theme="1"/>
      <name val="Malgun Gothic Semilight"/>
      <family val="3"/>
      <charset val="129"/>
    </font>
    <font>
      <sz val="10"/>
      <color indexed="8"/>
      <name val="Malgun Gothic Semilight"/>
      <family val="3"/>
      <charset val="129"/>
    </font>
    <font>
      <sz val="8"/>
      <name val="Helvetica Neue"/>
      <family val="2"/>
      <charset val="129"/>
      <scheme val="minor"/>
    </font>
    <font>
      <b/>
      <sz val="10"/>
      <color indexed="8"/>
      <name val="Malgun Gothic Semilight"/>
      <family val="2"/>
      <charset val="129"/>
    </font>
    <font>
      <b/>
      <sz val="10"/>
      <color indexed="8"/>
      <name val="Malgun Gothic Semilight"/>
      <family val="3"/>
      <charset val="129"/>
    </font>
    <font>
      <sz val="10"/>
      <color rgb="FFFF0000"/>
      <name val="Malgun Gothic Semilight"/>
      <family val="3"/>
      <charset val="129"/>
    </font>
    <font>
      <sz val="10"/>
      <color rgb="FF000000"/>
      <name val="Malgun Gothic Semilight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216">
    <xf numFmtId="0" fontId="0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8" borderId="1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8" fillId="23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0" fontId="6" fillId="24" borderId="2" applyNumberFormat="0" applyFont="0" applyAlignment="0" applyProtection="0">
      <alignment vertical="center"/>
    </xf>
    <xf numFmtId="9" fontId="7" fillId="0" borderId="0" applyNumberFormat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3" applyNumberFormat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0" borderId="0"/>
    <xf numFmtId="0" fontId="21" fillId="4" borderId="1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8" borderId="9" applyNumberFormat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7" fillId="0" borderId="0"/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9" fontId="59" fillId="0" borderId="0" applyFont="0" applyFill="0" applyBorder="0" applyAlignment="0" applyProtection="0"/>
    <xf numFmtId="0" fontId="61" fillId="0" borderId="34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3" fillId="0" borderId="36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8" borderId="37" applyNumberFormat="0" applyAlignment="0" applyProtection="0">
      <alignment vertical="center"/>
    </xf>
    <xf numFmtId="0" fontId="65" fillId="39" borderId="38" applyNumberFormat="0" applyAlignment="0" applyProtection="0">
      <alignment vertical="center"/>
    </xf>
    <xf numFmtId="0" fontId="66" fillId="39" borderId="37" applyNumberFormat="0" applyAlignment="0" applyProtection="0">
      <alignment vertical="center"/>
    </xf>
    <xf numFmtId="0" fontId="67" fillId="0" borderId="39" applyNumberFormat="0" applyFill="0" applyAlignment="0" applyProtection="0">
      <alignment vertical="center"/>
    </xf>
    <xf numFmtId="0" fontId="68" fillId="40" borderId="40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2" applyNumberFormat="0" applyFill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74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7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5" borderId="0" applyNumberFormat="0" applyBorder="0" applyAlignment="0" applyProtection="0">
      <alignment vertical="center"/>
    </xf>
    <xf numFmtId="0" fontId="56" fillId="0" borderId="0">
      <alignment vertical="center"/>
    </xf>
    <xf numFmtId="0" fontId="7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44" fillId="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8" fillId="0" borderId="0"/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22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18" borderId="43" applyNumberFormat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78" fillId="23" borderId="44" applyNumberFormat="0" applyFont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25" borderId="3" applyNumberFormat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86" fillId="0" borderId="0"/>
    <xf numFmtId="0" fontId="87" fillId="0" borderId="4" applyNumberFormat="0" applyFill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88" fillId="4" borderId="43" applyNumberFormat="0" applyAlignment="0" applyProtection="0">
      <alignment vertical="center"/>
    </xf>
    <xf numFmtId="0" fontId="89" fillId="0" borderId="6" applyNumberFormat="0" applyFill="0" applyAlignment="0" applyProtection="0">
      <alignment vertical="center"/>
    </xf>
    <xf numFmtId="0" fontId="90" fillId="0" borderId="7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94" fillId="18" borderId="46" applyNumberFormat="0" applyAlignment="0" applyProtection="0">
      <alignment vertical="center"/>
    </xf>
    <xf numFmtId="42" fontId="96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7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7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NumberFormat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7" fillId="0" borderId="0" applyNumberFormat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96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1" borderId="41" applyNumberFormat="0" applyFont="0" applyAlignment="0" applyProtection="0">
      <alignment vertical="center"/>
    </xf>
    <xf numFmtId="0" fontId="1" fillId="0" borderId="0">
      <alignment vertical="center"/>
    </xf>
    <xf numFmtId="0" fontId="59" fillId="0" borderId="0"/>
    <xf numFmtId="0" fontId="75" fillId="0" borderId="0"/>
  </cellStyleXfs>
  <cellXfs count="307">
    <xf numFmtId="0" fontId="0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76" fontId="36" fillId="28" borderId="10" xfId="0" applyNumberFormat="1" applyFont="1" applyFill="1" applyBorder="1" applyAlignment="1">
      <alignment vertical="center"/>
    </xf>
    <xf numFmtId="176" fontId="36" fillId="28" borderId="12" xfId="0" applyNumberFormat="1" applyFont="1" applyFill="1" applyBorder="1" applyAlignment="1">
      <alignment horizontal="center" vertical="center"/>
    </xf>
    <xf numFmtId="0" fontId="35" fillId="31" borderId="13" xfId="0" applyFont="1" applyFill="1" applyBorder="1" applyAlignment="1">
      <alignment horizontal="center" vertical="center"/>
    </xf>
    <xf numFmtId="49" fontId="35" fillId="27" borderId="10" xfId="0" applyNumberFormat="1" applyFont="1" applyFill="1" applyBorder="1" applyAlignment="1">
      <alignment horizontal="center" vertical="center"/>
    </xf>
    <xf numFmtId="49" fontId="35" fillId="31" borderId="13" xfId="0" applyNumberFormat="1" applyFont="1" applyFill="1" applyBorder="1" applyAlignment="1">
      <alignment horizontal="center" vertical="center"/>
    </xf>
    <xf numFmtId="176" fontId="35" fillId="31" borderId="13" xfId="0" applyNumberFormat="1" applyFont="1" applyFill="1" applyBorder="1" applyAlignment="1">
      <alignment vertical="center"/>
    </xf>
    <xf numFmtId="176" fontId="36" fillId="27" borderId="11" xfId="0" applyNumberFormat="1" applyFont="1" applyFill="1" applyBorder="1" applyAlignment="1">
      <alignment vertical="center"/>
    </xf>
    <xf numFmtId="41" fontId="36" fillId="27" borderId="15" xfId="3" applyFont="1" applyFill="1" applyBorder="1" applyAlignment="1">
      <alignment vertical="center"/>
    </xf>
    <xf numFmtId="176" fontId="36" fillId="28" borderId="15" xfId="0" applyNumberFormat="1" applyFont="1" applyFill="1" applyBorder="1" applyAlignment="1">
      <alignment horizontal="center" vertical="center"/>
    </xf>
    <xf numFmtId="176" fontId="36" fillId="27" borderId="15" xfId="0" applyNumberFormat="1" applyFont="1" applyFill="1" applyBorder="1" applyAlignment="1">
      <alignment horizontal="center" vertical="center"/>
    </xf>
    <xf numFmtId="49" fontId="36" fillId="28" borderId="15" xfId="0" applyNumberFormat="1" applyFont="1" applyFill="1" applyBorder="1" applyAlignment="1">
      <alignment horizontal="right" vertical="center"/>
    </xf>
    <xf numFmtId="49" fontId="36" fillId="0" borderId="15" xfId="0" applyNumberFormat="1" applyFont="1" applyFill="1" applyBorder="1" applyAlignment="1">
      <alignment horizontal="left" vertical="center"/>
    </xf>
    <xf numFmtId="176" fontId="36" fillId="0" borderId="15" xfId="0" applyNumberFormat="1" applyFont="1" applyFill="1" applyBorder="1" applyAlignment="1">
      <alignment vertical="center"/>
    </xf>
    <xf numFmtId="49" fontId="35" fillId="27" borderId="15" xfId="0" applyNumberFormat="1" applyFont="1" applyFill="1" applyBorder="1" applyAlignment="1">
      <alignment horizontal="center" vertical="center"/>
    </xf>
    <xf numFmtId="49" fontId="35" fillId="31" borderId="15" xfId="0" applyNumberFormat="1" applyFont="1" applyFill="1" applyBorder="1" applyAlignment="1">
      <alignment horizontal="center" vertical="center"/>
    </xf>
    <xf numFmtId="0" fontId="35" fillId="31" borderId="15" xfId="0" applyFont="1" applyFill="1" applyBorder="1" applyAlignment="1">
      <alignment horizontal="center" vertical="center"/>
    </xf>
    <xf numFmtId="176" fontId="35" fillId="31" borderId="15" xfId="0" applyNumberFormat="1" applyFont="1" applyFill="1" applyBorder="1" applyAlignment="1">
      <alignment vertical="center"/>
    </xf>
    <xf numFmtId="176" fontId="36" fillId="27" borderId="15" xfId="0" applyNumberFormat="1" applyFont="1" applyFill="1" applyBorder="1" applyAlignment="1">
      <alignment vertical="center"/>
    </xf>
    <xf numFmtId="0" fontId="44" fillId="0" borderId="0" xfId="0" applyFont="1">
      <alignment vertical="center"/>
    </xf>
    <xf numFmtId="49" fontId="35" fillId="28" borderId="24" xfId="0" applyNumberFormat="1" applyFont="1" applyFill="1" applyBorder="1" applyAlignment="1">
      <alignment horizontal="center" vertical="center"/>
    </xf>
    <xf numFmtId="176" fontId="48" fillId="28" borderId="25" xfId="0" applyNumberFormat="1" applyFont="1" applyFill="1" applyBorder="1" applyAlignment="1">
      <alignment horizontal="center" vertical="center"/>
    </xf>
    <xf numFmtId="176" fontId="36" fillId="0" borderId="29" xfId="0" applyNumberFormat="1" applyFont="1" applyFill="1" applyBorder="1" applyAlignment="1">
      <alignment vertical="center"/>
    </xf>
    <xf numFmtId="49" fontId="35" fillId="27" borderId="31" xfId="0" applyNumberFormat="1" applyFont="1" applyFill="1" applyBorder="1" applyAlignment="1">
      <alignment horizontal="center" vertical="center"/>
    </xf>
    <xf numFmtId="176" fontId="36" fillId="27" borderId="31" xfId="0" applyNumberFormat="1" applyFont="1" applyFill="1" applyBorder="1">
      <alignment vertical="center"/>
    </xf>
    <xf numFmtId="49" fontId="35" fillId="31" borderId="31" xfId="0" applyNumberFormat="1" applyFont="1" applyFill="1" applyBorder="1" applyAlignment="1">
      <alignment horizontal="center" vertical="center"/>
    </xf>
    <xf numFmtId="0" fontId="35" fillId="31" borderId="31" xfId="0" applyFont="1" applyFill="1" applyBorder="1" applyAlignment="1">
      <alignment horizontal="center" vertical="center"/>
    </xf>
    <xf numFmtId="176" fontId="35" fillId="31" borderId="31" xfId="0" applyNumberFormat="1" applyFont="1" applyFill="1" applyBorder="1">
      <alignment vertical="center"/>
    </xf>
    <xf numFmtId="0" fontId="44" fillId="0" borderId="0" xfId="0" applyFont="1" applyFill="1">
      <alignment vertical="center"/>
    </xf>
    <xf numFmtId="0" fontId="57" fillId="0" borderId="0" xfId="0" applyFont="1" applyFill="1" applyBorder="1" applyAlignment="1">
      <alignment horizontal="center"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right" vertical="center"/>
    </xf>
    <xf numFmtId="0" fontId="35" fillId="36" borderId="31" xfId="0" applyFont="1" applyFill="1" applyBorder="1" applyAlignment="1">
      <alignment horizontal="center" vertical="center"/>
    </xf>
    <xf numFmtId="0" fontId="35" fillId="34" borderId="31" xfId="0" applyFont="1" applyFill="1" applyBorder="1" applyAlignment="1">
      <alignment horizontal="center" vertical="center"/>
    </xf>
    <xf numFmtId="0" fontId="35" fillId="33" borderId="31" xfId="0" applyFont="1" applyFill="1" applyBorder="1" applyAlignment="1">
      <alignment horizontal="center" vertical="center"/>
    </xf>
    <xf numFmtId="0" fontId="35" fillId="33" borderId="31" xfId="0" applyFont="1" applyFill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/>
    </xf>
    <xf numFmtId="181" fontId="35" fillId="0" borderId="31" xfId="0" applyNumberFormat="1" applyFont="1" applyBorder="1">
      <alignment vertical="center"/>
    </xf>
    <xf numFmtId="181" fontId="58" fillId="0" borderId="31" xfId="0" applyNumberFormat="1" applyFont="1" applyBorder="1">
      <alignment vertical="center"/>
    </xf>
    <xf numFmtId="181" fontId="58" fillId="0" borderId="31" xfId="0" applyNumberFormat="1" applyFont="1" applyFill="1" applyBorder="1" applyAlignment="1">
      <alignment horizontal="right" vertical="center"/>
    </xf>
    <xf numFmtId="0" fontId="41" fillId="0" borderId="0" xfId="0" applyFont="1">
      <alignment vertical="center"/>
    </xf>
    <xf numFmtId="0" fontId="44" fillId="0" borderId="0" xfId="0" applyFont="1" applyFill="1" applyBorder="1">
      <alignment vertical="center"/>
    </xf>
    <xf numFmtId="0" fontId="55" fillId="0" borderId="0" xfId="0" applyFont="1" applyFill="1" applyBorder="1">
      <alignment vertical="center"/>
    </xf>
    <xf numFmtId="0" fontId="44" fillId="0" borderId="0" xfId="0" applyFont="1" applyAlignment="1">
      <alignment horizontal="center" vertical="center" wrapText="1"/>
    </xf>
    <xf numFmtId="0" fontId="35" fillId="36" borderId="31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181" fontId="36" fillId="0" borderId="31" xfId="0" applyNumberFormat="1" applyFont="1" applyBorder="1">
      <alignment vertical="center"/>
    </xf>
    <xf numFmtId="181" fontId="35" fillId="27" borderId="31" xfId="0" applyNumberFormat="1" applyFont="1" applyFill="1" applyBorder="1">
      <alignment vertical="center"/>
    </xf>
    <xf numFmtId="181" fontId="35" fillId="0" borderId="0" xfId="0" applyNumberFormat="1" applyFont="1" applyFill="1" applyBorder="1">
      <alignment vertical="center"/>
    </xf>
    <xf numFmtId="182" fontId="36" fillId="0" borderId="31" xfId="0" applyNumberFormat="1" applyFont="1" applyBorder="1">
      <alignment vertical="center"/>
    </xf>
    <xf numFmtId="182" fontId="35" fillId="27" borderId="31" xfId="0" applyNumberFormat="1" applyFont="1" applyFill="1" applyBorder="1">
      <alignment vertical="center"/>
    </xf>
    <xf numFmtId="182" fontId="35" fillId="0" borderId="0" xfId="0" applyNumberFormat="1" applyFont="1" applyFill="1" applyBorder="1">
      <alignment vertical="center"/>
    </xf>
    <xf numFmtId="176" fontId="36" fillId="0" borderId="15" xfId="0" applyNumberFormat="1" applyFont="1" applyFill="1" applyBorder="1" applyAlignment="1">
      <alignment horizontal="center" vertical="center"/>
    </xf>
    <xf numFmtId="49" fontId="36" fillId="0" borderId="12" xfId="0" applyNumberFormat="1" applyFont="1" applyFill="1" applyBorder="1" applyAlignment="1">
      <alignment horizontal="center" vertical="center"/>
    </xf>
    <xf numFmtId="49" fontId="38" fillId="0" borderId="31" xfId="0" applyNumberFormat="1" applyFont="1" applyFill="1" applyBorder="1" applyAlignment="1">
      <alignment horizontal="center" vertical="center"/>
    </xf>
    <xf numFmtId="176" fontId="36" fillId="0" borderId="31" xfId="0" applyNumberFormat="1" applyFont="1" applyFill="1" applyBorder="1" applyAlignment="1">
      <alignment vertical="center"/>
    </xf>
    <xf numFmtId="49" fontId="99" fillId="0" borderId="0" xfId="0" applyNumberFormat="1" applyFont="1">
      <alignment vertical="center"/>
    </xf>
    <xf numFmtId="0" fontId="100" fillId="0" borderId="0" xfId="0" applyFont="1">
      <alignment vertical="center"/>
    </xf>
    <xf numFmtId="180" fontId="101" fillId="0" borderId="0" xfId="215" applyNumberFormat="1" applyFont="1" applyFill="1" applyBorder="1" applyAlignment="1">
      <alignment vertical="center"/>
    </xf>
    <xf numFmtId="41" fontId="101" fillId="0" borderId="0" xfId="215" applyFont="1" applyFill="1" applyBorder="1" applyAlignment="1">
      <alignment vertical="center"/>
    </xf>
    <xf numFmtId="0" fontId="100" fillId="0" borderId="14" xfId="0" applyFont="1" applyBorder="1">
      <alignment vertical="center"/>
    </xf>
    <xf numFmtId="0" fontId="102" fillId="27" borderId="14" xfId="703" applyFont="1" applyFill="1" applyBorder="1" applyAlignment="1">
      <alignment horizontal="center" vertical="center"/>
    </xf>
    <xf numFmtId="0" fontId="100" fillId="27" borderId="31" xfId="0" applyFont="1" applyFill="1" applyBorder="1" applyAlignment="1">
      <alignment horizontal="center" vertical="center"/>
    </xf>
    <xf numFmtId="180" fontId="100" fillId="27" borderId="31" xfId="215" applyNumberFormat="1" applyFont="1" applyFill="1" applyBorder="1" applyAlignment="1">
      <alignment horizontal="center" vertical="center"/>
    </xf>
    <xf numFmtId="180" fontId="100" fillId="27" borderId="31" xfId="0" applyNumberFormat="1" applyFont="1" applyFill="1" applyBorder="1" applyAlignment="1">
      <alignment horizontal="center" vertical="center"/>
    </xf>
    <xf numFmtId="9" fontId="100" fillId="27" borderId="31" xfId="209" applyFont="1" applyFill="1" applyBorder="1" applyAlignment="1">
      <alignment horizontal="center" vertical="center"/>
    </xf>
    <xf numFmtId="180" fontId="103" fillId="27" borderId="14" xfId="702" applyNumberFormat="1" applyFont="1" applyFill="1" applyBorder="1" applyAlignment="1">
      <alignment horizontal="center" vertical="center"/>
    </xf>
    <xf numFmtId="41" fontId="100" fillId="27" borderId="31" xfId="215" applyFont="1" applyFill="1" applyBorder="1" applyAlignment="1">
      <alignment horizontal="center" vertical="center"/>
    </xf>
    <xf numFmtId="0" fontId="100" fillId="0" borderId="0" xfId="335" applyFont="1">
      <alignment vertical="center"/>
    </xf>
    <xf numFmtId="0" fontId="55" fillId="0" borderId="14" xfId="0" applyFont="1" applyBorder="1">
      <alignment vertical="center"/>
    </xf>
    <xf numFmtId="3" fontId="100" fillId="0" borderId="14" xfId="0" applyNumberFormat="1" applyFont="1" applyBorder="1">
      <alignment vertical="center"/>
    </xf>
    <xf numFmtId="41" fontId="104" fillId="0" borderId="14" xfId="618" applyFont="1" applyBorder="1" applyAlignment="1">
      <alignment vertical="center"/>
    </xf>
    <xf numFmtId="41" fontId="100" fillId="0" borderId="14" xfId="618" applyFont="1" applyBorder="1" applyAlignment="1">
      <alignment vertical="center"/>
    </xf>
    <xf numFmtId="49" fontId="100" fillId="0" borderId="14" xfId="0" applyNumberFormat="1" applyFont="1" applyBorder="1">
      <alignment vertical="center"/>
    </xf>
    <xf numFmtId="180" fontId="100" fillId="0" borderId="14" xfId="215" applyNumberFormat="1" applyFont="1" applyBorder="1" applyAlignment="1">
      <alignment vertical="center"/>
    </xf>
    <xf numFmtId="49" fontId="100" fillId="0" borderId="28" xfId="0" applyNumberFormat="1" applyFont="1" applyBorder="1">
      <alignment vertical="center"/>
    </xf>
    <xf numFmtId="180" fontId="100" fillId="0" borderId="31" xfId="215" applyNumberFormat="1" applyFont="1" applyBorder="1" applyAlignment="1">
      <alignment vertical="center"/>
    </xf>
    <xf numFmtId="0" fontId="55" fillId="0" borderId="31" xfId="0" applyFont="1" applyBorder="1">
      <alignment vertical="center"/>
    </xf>
    <xf numFmtId="180" fontId="100" fillId="0" borderId="14" xfId="618" applyNumberFormat="1" applyFont="1" applyBorder="1" applyAlignment="1">
      <alignment vertical="center"/>
    </xf>
    <xf numFmtId="41" fontId="100" fillId="0" borderId="28" xfId="618" applyFont="1" applyBorder="1" applyAlignment="1">
      <alignment vertical="center"/>
    </xf>
    <xf numFmtId="41" fontId="100" fillId="0" borderId="31" xfId="618" applyFont="1" applyBorder="1" applyAlignment="1">
      <alignment vertical="center"/>
    </xf>
    <xf numFmtId="176" fontId="38" fillId="0" borderId="31" xfId="0" applyNumberFormat="1" applyFont="1" applyFill="1" applyBorder="1" applyAlignment="1">
      <alignment vertical="center"/>
    </xf>
    <xf numFmtId="0" fontId="54" fillId="0" borderId="14" xfId="0" applyFont="1" applyBorder="1" applyAlignment="1">
      <alignment vertical="center"/>
    </xf>
    <xf numFmtId="0" fontId="105" fillId="0" borderId="14" xfId="0" applyFont="1" applyBorder="1" applyAlignment="1">
      <alignment vertical="center"/>
    </xf>
    <xf numFmtId="0" fontId="106" fillId="0" borderId="14" xfId="0" applyFont="1" applyBorder="1" applyAlignment="1">
      <alignment vertical="center"/>
    </xf>
    <xf numFmtId="0" fontId="109" fillId="0" borderId="14" xfId="0" applyFont="1" applyBorder="1" applyAlignment="1">
      <alignment vertical="center"/>
    </xf>
    <xf numFmtId="0" fontId="110" fillId="0" borderId="14" xfId="0" applyFont="1" applyBorder="1" applyAlignment="1">
      <alignment vertical="center"/>
    </xf>
    <xf numFmtId="0" fontId="111" fillId="0" borderId="14" xfId="0" applyFont="1" applyBorder="1" applyAlignment="1">
      <alignment vertical="center"/>
    </xf>
    <xf numFmtId="0" fontId="112" fillId="0" borderId="14" xfId="0" applyFont="1" applyBorder="1" applyAlignment="1">
      <alignment vertical="center"/>
    </xf>
    <xf numFmtId="0" fontId="107" fillId="0" borderId="14" xfId="0" applyFont="1" applyBorder="1" applyAlignment="1">
      <alignment vertical="center"/>
    </xf>
    <xf numFmtId="176" fontId="36" fillId="0" borderId="11" xfId="0" applyNumberFormat="1" applyFont="1" applyFill="1" applyBorder="1" applyAlignment="1">
      <alignment vertical="center"/>
    </xf>
    <xf numFmtId="176" fontId="38" fillId="0" borderId="12" xfId="0" applyNumberFormat="1" applyFont="1" applyFill="1" applyBorder="1" applyAlignment="1">
      <alignment vertical="center"/>
    </xf>
    <xf numFmtId="0" fontId="36" fillId="0" borderId="0" xfId="0" applyFont="1" applyFill="1">
      <alignment vertical="center"/>
    </xf>
    <xf numFmtId="0" fontId="36" fillId="0" borderId="0" xfId="0" applyNumberFormat="1" applyFont="1" applyFill="1" applyAlignment="1">
      <alignment vertical="center"/>
    </xf>
    <xf numFmtId="0" fontId="36" fillId="0" borderId="0" xfId="0" applyFont="1" applyFill="1" applyAlignment="1">
      <alignment vertical="center"/>
    </xf>
    <xf numFmtId="49" fontId="36" fillId="0" borderId="10" xfId="0" applyNumberFormat="1" applyFont="1" applyFill="1" applyBorder="1" applyAlignment="1">
      <alignment horizontal="center" vertical="center"/>
    </xf>
    <xf numFmtId="49" fontId="36" fillId="0" borderId="10" xfId="0" applyNumberFormat="1" applyFont="1" applyFill="1" applyBorder="1" applyAlignment="1">
      <alignment horizontal="left" vertical="center"/>
    </xf>
    <xf numFmtId="176" fontId="36" fillId="0" borderId="10" xfId="0" applyNumberFormat="1" applyFont="1" applyFill="1" applyBorder="1" applyAlignment="1">
      <alignment vertical="center"/>
    </xf>
    <xf numFmtId="176" fontId="36" fillId="0" borderId="10" xfId="0" applyNumberFormat="1" applyFont="1" applyFill="1" applyBorder="1" applyAlignment="1">
      <alignment vertical="center" wrapText="1"/>
    </xf>
    <xf numFmtId="49" fontId="36" fillId="0" borderId="10" xfId="0" applyNumberFormat="1" applyFont="1" applyFill="1" applyBorder="1" applyAlignment="1">
      <alignment vertical="center"/>
    </xf>
    <xf numFmtId="49" fontId="36" fillId="0" borderId="31" xfId="0" applyNumberFormat="1" applyFont="1" applyFill="1" applyBorder="1" applyAlignment="1">
      <alignment horizontal="left" vertical="center"/>
    </xf>
    <xf numFmtId="0" fontId="36" fillId="0" borderId="0" xfId="0" applyFont="1" applyFill="1" applyBorder="1" applyAlignment="1">
      <alignment vertical="center"/>
    </xf>
    <xf numFmtId="41" fontId="38" fillId="0" borderId="0" xfId="3" applyFont="1" applyFill="1" applyBorder="1" applyAlignment="1">
      <alignment vertical="center"/>
    </xf>
    <xf numFmtId="176" fontId="36" fillId="27" borderId="10" xfId="0" applyNumberFormat="1" applyFont="1" applyFill="1" applyBorder="1" applyAlignment="1">
      <alignment vertical="center"/>
    </xf>
    <xf numFmtId="49" fontId="36" fillId="0" borderId="11" xfId="0" applyNumberFormat="1" applyFont="1" applyFill="1" applyBorder="1" applyAlignment="1">
      <alignment horizontal="center" vertical="center"/>
    </xf>
    <xf numFmtId="41" fontId="36" fillId="0" borderId="10" xfId="3" applyFont="1" applyFill="1" applyBorder="1" applyAlignment="1">
      <alignment vertical="center"/>
    </xf>
    <xf numFmtId="41" fontId="36" fillId="0" borderId="10" xfId="3" applyFont="1" applyFill="1" applyBorder="1" applyAlignment="1">
      <alignment vertical="center" wrapText="1"/>
    </xf>
    <xf numFmtId="49" fontId="36" fillId="0" borderId="12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49" fontId="36" fillId="0" borderId="12" xfId="0" applyNumberFormat="1" applyFont="1" applyFill="1" applyBorder="1" applyAlignment="1">
      <alignment horizontal="left" vertical="center"/>
    </xf>
    <xf numFmtId="49" fontId="36" fillId="0" borderId="31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43" fontId="36" fillId="0" borderId="0" xfId="0" applyNumberFormat="1" applyFont="1" applyFill="1" applyBorder="1" applyAlignment="1">
      <alignment vertical="center"/>
    </xf>
    <xf numFmtId="0" fontId="36" fillId="0" borderId="30" xfId="0" applyFont="1" applyFill="1" applyBorder="1" applyAlignment="1"/>
    <xf numFmtId="3" fontId="36" fillId="0" borderId="30" xfId="0" applyNumberFormat="1" applyFont="1" applyFill="1" applyBorder="1" applyAlignment="1"/>
    <xf numFmtId="3" fontId="36" fillId="0" borderId="0" xfId="0" applyNumberFormat="1" applyFont="1" applyFill="1" applyAlignment="1">
      <alignment vertical="center"/>
    </xf>
    <xf numFmtId="0" fontId="36" fillId="0" borderId="0" xfId="0" applyNumberFormat="1" applyFont="1" applyFill="1" applyBorder="1" applyAlignment="1">
      <alignment vertical="center"/>
    </xf>
    <xf numFmtId="49" fontId="36" fillId="0" borderId="15" xfId="0" applyNumberFormat="1" applyFont="1" applyFill="1" applyBorder="1" applyAlignment="1">
      <alignment horizontal="center" vertical="center"/>
    </xf>
    <xf numFmtId="176" fontId="36" fillId="0" borderId="15" xfId="0" applyNumberFormat="1" applyFont="1" applyFill="1" applyBorder="1" applyAlignment="1">
      <alignment horizontal="center" vertical="center" wrapText="1"/>
    </xf>
    <xf numFmtId="49" fontId="37" fillId="0" borderId="0" xfId="0" applyNumberFormat="1" applyFont="1" applyFill="1" applyBorder="1" applyAlignment="1">
      <alignment vertical="center"/>
    </xf>
    <xf numFmtId="176" fontId="36" fillId="0" borderId="0" xfId="0" applyNumberFormat="1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177" fontId="36" fillId="0" borderId="0" xfId="0" applyNumberFormat="1" applyFont="1" applyFill="1" applyBorder="1" applyAlignment="1">
      <alignment vertical="center"/>
    </xf>
    <xf numFmtId="3" fontId="39" fillId="0" borderId="0" xfId="0" applyNumberFormat="1" applyFont="1" applyFill="1" applyBorder="1" applyAlignment="1">
      <alignment vertical="center"/>
    </xf>
    <xf numFmtId="3" fontId="36" fillId="0" borderId="0" xfId="0" applyNumberFormat="1" applyFont="1" applyFill="1" applyBorder="1" applyAlignment="1">
      <alignment vertical="center"/>
    </xf>
    <xf numFmtId="41" fontId="36" fillId="0" borderId="15" xfId="3" applyFont="1" applyFill="1" applyBorder="1" applyAlignment="1">
      <alignment vertical="center"/>
    </xf>
    <xf numFmtId="176" fontId="36" fillId="0" borderId="15" xfId="0" applyNumberFormat="1" applyFont="1" applyFill="1" applyBorder="1" applyAlignment="1">
      <alignment vertical="center" wrapText="1"/>
    </xf>
    <xf numFmtId="49" fontId="36" fillId="0" borderId="29" xfId="0" applyNumberFormat="1" applyFont="1" applyFill="1" applyBorder="1" applyAlignment="1">
      <alignment horizontal="left" vertical="center"/>
    </xf>
    <xf numFmtId="0" fontId="41" fillId="0" borderId="0" xfId="0" applyNumberFormat="1" applyFont="1" applyFill="1" applyBorder="1" applyAlignment="1">
      <alignment vertical="center"/>
    </xf>
    <xf numFmtId="0" fontId="34" fillId="0" borderId="0" xfId="0" applyNumberFormat="1" applyFont="1" applyFill="1" applyBorder="1" applyAlignment="1">
      <alignment vertical="center"/>
    </xf>
    <xf numFmtId="0" fontId="41" fillId="0" borderId="0" xfId="0" applyFont="1" applyFill="1" applyBorder="1" applyAlignment="1">
      <alignment vertical="center"/>
    </xf>
    <xf numFmtId="41" fontId="36" fillId="0" borderId="0" xfId="3" applyFont="1" applyFill="1" applyBorder="1" applyAlignment="1">
      <alignment vertical="center"/>
    </xf>
    <xf numFmtId="0" fontId="36" fillId="0" borderId="0" xfId="0" applyFont="1" applyFill="1" applyBorder="1">
      <alignment vertical="center"/>
    </xf>
    <xf numFmtId="49" fontId="36" fillId="0" borderId="31" xfId="0" applyNumberFormat="1" applyFont="1" applyFill="1" applyBorder="1" applyAlignment="1">
      <alignment horizontal="center" vertical="center"/>
    </xf>
    <xf numFmtId="176" fontId="36" fillId="0" borderId="31" xfId="0" applyNumberFormat="1" applyFont="1" applyFill="1" applyBorder="1">
      <alignment vertical="center"/>
    </xf>
    <xf numFmtId="176" fontId="36" fillId="0" borderId="31" xfId="0" applyNumberFormat="1" applyFont="1" applyFill="1" applyBorder="1" applyAlignment="1">
      <alignment vertical="center" wrapText="1"/>
    </xf>
    <xf numFmtId="0" fontId="40" fillId="0" borderId="0" xfId="0" applyFont="1" applyFill="1" applyBorder="1">
      <alignment vertical="center"/>
    </xf>
    <xf numFmtId="181" fontId="35" fillId="33" borderId="31" xfId="0" applyNumberFormat="1" applyFont="1" applyFill="1" applyBorder="1" applyAlignment="1">
      <alignment horizontal="center" vertical="center" wrapText="1"/>
    </xf>
    <xf numFmtId="0" fontId="29" fillId="0" borderId="15" xfId="0" applyFont="1" applyFill="1" applyBorder="1" applyAlignment="1">
      <alignment vertical="center"/>
    </xf>
    <xf numFmtId="41" fontId="36" fillId="0" borderId="0" xfId="0" applyNumberFormat="1" applyFont="1" applyFill="1" applyBorder="1" applyAlignment="1">
      <alignment vertical="center"/>
    </xf>
    <xf numFmtId="0" fontId="54" fillId="66" borderId="14" xfId="0" applyFont="1" applyFill="1" applyBorder="1" applyAlignment="1">
      <alignment horizontal="center" vertical="center"/>
    </xf>
    <xf numFmtId="0" fontId="44" fillId="0" borderId="0" xfId="0" applyNumberFormat="1" applyFont="1" applyFill="1" applyAlignment="1">
      <alignment vertical="center"/>
    </xf>
    <xf numFmtId="49" fontId="45" fillId="0" borderId="0" xfId="0" applyNumberFormat="1" applyFont="1" applyFill="1" applyBorder="1" applyAlignment="1">
      <alignment vertical="center"/>
    </xf>
    <xf numFmtId="0" fontId="44" fillId="0" borderId="0" xfId="0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0" fontId="36" fillId="0" borderId="29" xfId="0" applyNumberFormat="1" applyFont="1" applyFill="1" applyBorder="1" applyAlignment="1">
      <alignment vertical="center"/>
    </xf>
    <xf numFmtId="0" fontId="36" fillId="0" borderId="50" xfId="0" applyNumberFormat="1" applyFont="1" applyFill="1" applyBorder="1" applyAlignment="1">
      <alignment vertical="center"/>
    </xf>
    <xf numFmtId="0" fontId="36" fillId="0" borderId="51" xfId="0" applyNumberFormat="1" applyFont="1" applyFill="1" applyBorder="1" applyAlignment="1">
      <alignment vertical="center"/>
    </xf>
    <xf numFmtId="0" fontId="36" fillId="0" borderId="49" xfId="0" applyNumberFormat="1" applyFont="1" applyFill="1" applyBorder="1" applyAlignment="1">
      <alignment vertical="center"/>
    </xf>
    <xf numFmtId="41" fontId="54" fillId="0" borderId="14" xfId="3" applyFont="1" applyBorder="1" applyAlignment="1">
      <alignment horizontal="right" vertical="center"/>
    </xf>
    <xf numFmtId="41" fontId="36" fillId="0" borderId="0" xfId="3" applyFont="1" applyFill="1" applyAlignment="1">
      <alignment vertical="center"/>
    </xf>
    <xf numFmtId="0" fontId="55" fillId="0" borderId="0" xfId="0" applyNumberFormat="1" applyFont="1" applyFill="1" applyAlignment="1">
      <alignment vertical="center"/>
    </xf>
    <xf numFmtId="176" fontId="36" fillId="0" borderId="12" xfId="0" applyNumberFormat="1" applyFont="1" applyFill="1" applyBorder="1" applyAlignment="1">
      <alignment horizontal="center" vertical="center"/>
    </xf>
    <xf numFmtId="176" fontId="36" fillId="0" borderId="12" xfId="0" applyNumberFormat="1" applyFont="1" applyFill="1" applyBorder="1" applyAlignment="1">
      <alignment horizontal="center" vertical="center" wrapText="1"/>
    </xf>
    <xf numFmtId="49" fontId="36" fillId="0" borderId="22" xfId="0" applyNumberFormat="1" applyFont="1" applyFill="1" applyBorder="1" applyAlignment="1">
      <alignment horizontal="center" vertical="center"/>
    </xf>
    <xf numFmtId="176" fontId="36" fillId="0" borderId="23" xfId="0" applyNumberFormat="1" applyFont="1" applyFill="1" applyBorder="1" applyAlignment="1">
      <alignment horizontal="right" vertical="center"/>
    </xf>
    <xf numFmtId="41" fontId="36" fillId="0" borderId="23" xfId="3" applyFont="1" applyFill="1" applyBorder="1" applyAlignment="1">
      <alignment horizontal="right" vertical="center"/>
    </xf>
    <xf numFmtId="41" fontId="44" fillId="0" borderId="0" xfId="3" applyFont="1" applyFill="1" applyAlignment="1">
      <alignment vertical="center"/>
    </xf>
    <xf numFmtId="176" fontId="38" fillId="0" borderId="31" xfId="0" applyNumberFormat="1" applyFont="1" applyFill="1" applyBorder="1" applyAlignment="1">
      <alignment horizontal="center" vertical="center"/>
    </xf>
    <xf numFmtId="41" fontId="38" fillId="0" borderId="31" xfId="3" applyFont="1" applyFill="1" applyBorder="1" applyAlignment="1">
      <alignment horizontal="center" vertical="center"/>
    </xf>
    <xf numFmtId="41" fontId="38" fillId="0" borderId="31" xfId="3" applyFont="1" applyFill="1" applyBorder="1" applyAlignment="1">
      <alignment horizontal="center" vertical="center" wrapText="1"/>
    </xf>
    <xf numFmtId="0" fontId="38" fillId="0" borderId="31" xfId="0" applyNumberFormat="1" applyFont="1" applyFill="1" applyBorder="1" applyAlignment="1">
      <alignment horizontal="center" vertical="center"/>
    </xf>
    <xf numFmtId="49" fontId="38" fillId="0" borderId="13" xfId="0" applyNumberFormat="1" applyFont="1" applyFill="1" applyBorder="1" applyAlignment="1">
      <alignment horizontal="center" vertical="center"/>
    </xf>
    <xf numFmtId="176" fontId="38" fillId="0" borderId="13" xfId="0" applyNumberFormat="1" applyFont="1" applyFill="1" applyBorder="1" applyAlignment="1">
      <alignment horizontal="center" vertical="center"/>
    </xf>
    <xf numFmtId="41" fontId="38" fillId="0" borderId="13" xfId="3" applyFont="1" applyFill="1" applyBorder="1" applyAlignment="1">
      <alignment horizontal="center" vertical="center"/>
    </xf>
    <xf numFmtId="41" fontId="38" fillId="0" borderId="13" xfId="3" applyFont="1" applyFill="1" applyBorder="1" applyAlignment="1">
      <alignment horizontal="center" vertical="center" wrapText="1"/>
    </xf>
    <xf numFmtId="0" fontId="38" fillId="0" borderId="12" xfId="0" applyNumberFormat="1" applyFont="1" applyFill="1" applyBorder="1" applyAlignment="1">
      <alignment horizontal="center" vertical="center"/>
    </xf>
    <xf numFmtId="49" fontId="36" fillId="0" borderId="20" xfId="0" applyNumberFormat="1" applyFont="1" applyFill="1" applyBorder="1" applyAlignment="1">
      <alignment horizontal="center" vertical="center"/>
    </xf>
    <xf numFmtId="41" fontId="36" fillId="0" borderId="21" xfId="3" applyFont="1" applyFill="1" applyBorder="1" applyAlignment="1">
      <alignment horizontal="right" vertical="center"/>
    </xf>
    <xf numFmtId="41" fontId="97" fillId="0" borderId="0" xfId="3" applyFont="1" applyFill="1" applyBorder="1" applyAlignment="1">
      <alignment vertical="center"/>
    </xf>
    <xf numFmtId="0" fontId="73" fillId="0" borderId="0" xfId="0" applyFont="1" applyFill="1" applyAlignment="1">
      <alignment vertical="center"/>
    </xf>
    <xf numFmtId="0" fontId="73" fillId="0" borderId="0" xfId="0" applyNumberFormat="1" applyFont="1" applyFill="1">
      <alignment vertical="center"/>
    </xf>
    <xf numFmtId="181" fontId="36" fillId="0" borderId="23" xfId="3" applyNumberFormat="1" applyFont="1" applyFill="1" applyBorder="1" applyAlignment="1">
      <alignment horizontal="right" vertical="center"/>
    </xf>
    <xf numFmtId="0" fontId="36" fillId="0" borderId="22" xfId="0" applyNumberFormat="1" applyFont="1" applyFill="1" applyBorder="1" applyAlignment="1">
      <alignment horizontal="center" vertical="center"/>
    </xf>
    <xf numFmtId="0" fontId="60" fillId="0" borderId="0" xfId="0" applyNumberFormat="1" applyFont="1" applyFill="1" applyAlignment="1">
      <alignment vertical="center"/>
    </xf>
    <xf numFmtId="0" fontId="40" fillId="0" borderId="0" xfId="0" applyNumberFormat="1" applyFont="1" applyFill="1" applyAlignment="1">
      <alignment vertical="center"/>
    </xf>
    <xf numFmtId="49" fontId="36" fillId="0" borderId="0" xfId="0" applyNumberFormat="1" applyFont="1" applyFill="1" applyAlignment="1">
      <alignment horizontal="left" vertical="center"/>
    </xf>
    <xf numFmtId="49" fontId="35" fillId="27" borderId="12" xfId="0" applyNumberFormat="1" applyFont="1" applyFill="1" applyBorder="1" applyAlignment="1">
      <alignment horizontal="center" vertical="center"/>
    </xf>
    <xf numFmtId="176" fontId="36" fillId="27" borderId="12" xfId="0" applyNumberFormat="1" applyFont="1" applyFill="1" applyBorder="1" applyAlignment="1">
      <alignment horizontal="center" vertical="center"/>
    </xf>
    <xf numFmtId="176" fontId="38" fillId="27" borderId="31" xfId="0" applyNumberFormat="1" applyFont="1" applyFill="1" applyBorder="1" applyAlignment="1">
      <alignment horizontal="center" vertical="center"/>
    </xf>
    <xf numFmtId="176" fontId="38" fillId="27" borderId="13" xfId="0" applyNumberFormat="1" applyFont="1" applyFill="1" applyBorder="1" applyAlignment="1">
      <alignment horizontal="center" vertical="center"/>
    </xf>
    <xf numFmtId="49" fontId="50" fillId="67" borderId="26" xfId="0" applyNumberFormat="1" applyFont="1" applyFill="1" applyBorder="1" applyAlignment="1">
      <alignment horizontal="center" vertical="center"/>
    </xf>
    <xf numFmtId="176" fontId="49" fillId="67" borderId="27" xfId="0" applyNumberFormat="1" applyFont="1" applyFill="1" applyBorder="1" applyAlignment="1">
      <alignment horizontal="center" vertical="center"/>
    </xf>
    <xf numFmtId="49" fontId="36" fillId="67" borderId="16" xfId="0" applyNumberFormat="1" applyFont="1" applyFill="1" applyBorder="1" applyAlignment="1">
      <alignment horizontal="center" vertical="center"/>
    </xf>
    <xf numFmtId="176" fontId="46" fillId="67" borderId="17" xfId="0" applyNumberFormat="1" applyFont="1" applyFill="1" applyBorder="1" applyAlignment="1">
      <alignment horizontal="center" vertical="center"/>
    </xf>
    <xf numFmtId="49" fontId="36" fillId="67" borderId="18" xfId="0" applyNumberFormat="1" applyFont="1" applyFill="1" applyBorder="1" applyAlignment="1">
      <alignment horizontal="center" vertical="center"/>
    </xf>
    <xf numFmtId="176" fontId="46" fillId="67" borderId="19" xfId="0" applyNumberFormat="1" applyFont="1" applyFill="1" applyBorder="1" applyAlignment="1">
      <alignment horizontal="center" vertical="center"/>
    </xf>
    <xf numFmtId="49" fontId="38" fillId="27" borderId="12" xfId="0" applyNumberFormat="1" applyFont="1" applyFill="1" applyBorder="1" applyAlignment="1">
      <alignment horizontal="center" vertical="center"/>
    </xf>
    <xf numFmtId="176" fontId="38" fillId="27" borderId="12" xfId="0" applyNumberFormat="1" applyFont="1" applyFill="1" applyBorder="1" applyAlignment="1">
      <alignment horizontal="center" vertical="center"/>
    </xf>
    <xf numFmtId="176" fontId="47" fillId="27" borderId="12" xfId="0" applyNumberFormat="1" applyFont="1" applyFill="1" applyBorder="1" applyAlignment="1">
      <alignment horizontal="center" vertical="center"/>
    </xf>
    <xf numFmtId="0" fontId="38" fillId="27" borderId="12" xfId="0" applyFont="1" applyFill="1" applyBorder="1" applyAlignment="1">
      <alignment horizontal="center" vertical="center"/>
    </xf>
    <xf numFmtId="9" fontId="58" fillId="0" borderId="31" xfId="736" applyNumberFormat="1" applyFont="1" applyFill="1" applyBorder="1" applyAlignment="1">
      <alignment horizontal="right" vertical="center"/>
    </xf>
    <xf numFmtId="41" fontId="114" fillId="0" borderId="31" xfId="736" applyFont="1" applyBorder="1">
      <alignment vertical="center"/>
    </xf>
    <xf numFmtId="0" fontId="35" fillId="0" borderId="0" xfId="0" applyFont="1" applyFill="1" applyBorder="1" applyAlignment="1">
      <alignment vertical="center"/>
    </xf>
    <xf numFmtId="41" fontId="36" fillId="0" borderId="15" xfId="3" applyNumberFormat="1" applyFont="1" applyFill="1" applyBorder="1" applyAlignment="1">
      <alignment vertical="center"/>
    </xf>
    <xf numFmtId="14" fontId="36" fillId="0" borderId="30" xfId="0" applyNumberFormat="1" applyFont="1" applyFill="1" applyBorder="1" applyAlignment="1"/>
    <xf numFmtId="0" fontId="36" fillId="68" borderId="54" xfId="0" applyFont="1" applyFill="1" applyBorder="1" applyAlignment="1">
      <alignment horizontal="center"/>
    </xf>
    <xf numFmtId="0" fontId="36" fillId="68" borderId="54" xfId="0" applyFont="1" applyFill="1" applyBorder="1" applyAlignment="1"/>
    <xf numFmtId="0" fontId="36" fillId="27" borderId="54" xfId="0" applyFont="1" applyFill="1" applyBorder="1" applyAlignment="1">
      <alignment horizontal="center"/>
    </xf>
    <xf numFmtId="0" fontId="36" fillId="68" borderId="53" xfId="0" applyFont="1" applyFill="1" applyBorder="1" applyAlignment="1">
      <alignment horizontal="left"/>
    </xf>
    <xf numFmtId="0" fontId="36" fillId="68" borderId="56" xfId="0" applyFont="1" applyFill="1" applyBorder="1" applyAlignment="1"/>
    <xf numFmtId="0" fontId="36" fillId="68" borderId="55" xfId="0" applyFont="1" applyFill="1" applyBorder="1" applyAlignment="1"/>
    <xf numFmtId="0" fontId="36" fillId="68" borderId="57" xfId="0" applyFont="1" applyFill="1" applyBorder="1" applyAlignment="1"/>
    <xf numFmtId="0" fontId="36" fillId="68" borderId="56" xfId="0" applyFont="1" applyFill="1" applyBorder="1" applyAlignment="1">
      <alignment horizontal="center"/>
    </xf>
    <xf numFmtId="0" fontId="36" fillId="68" borderId="55" xfId="0" applyFont="1" applyFill="1" applyBorder="1" applyAlignment="1">
      <alignment horizontal="center"/>
    </xf>
    <xf numFmtId="0" fontId="36" fillId="68" borderId="57" xfId="0" applyFont="1" applyFill="1" applyBorder="1" applyAlignment="1">
      <alignment horizontal="center"/>
    </xf>
    <xf numFmtId="3" fontId="36" fillId="0" borderId="58" xfId="0" applyNumberFormat="1" applyFont="1" applyFill="1" applyBorder="1" applyAlignment="1"/>
    <xf numFmtId="0" fontId="36" fillId="0" borderId="52" xfId="0" applyFont="1" applyFill="1" applyBorder="1">
      <alignment vertical="center"/>
    </xf>
    <xf numFmtId="3" fontId="36" fillId="0" borderId="52" xfId="0" applyNumberFormat="1" applyFont="1" applyFill="1" applyBorder="1">
      <alignment vertical="center"/>
    </xf>
    <xf numFmtId="41" fontId="107" fillId="0" borderId="14" xfId="3" applyFont="1" applyBorder="1" applyAlignment="1">
      <alignment horizontal="right" vertical="center"/>
    </xf>
    <xf numFmtId="41" fontId="108" fillId="0" borderId="14" xfId="3" applyFont="1" applyBorder="1" applyAlignment="1">
      <alignment horizontal="right" vertical="center"/>
    </xf>
    <xf numFmtId="41" fontId="36" fillId="0" borderId="14" xfId="3" applyFont="1" applyBorder="1" applyAlignment="1">
      <alignment horizontal="right" vertical="center"/>
    </xf>
    <xf numFmtId="3" fontId="98" fillId="0" borderId="0" xfId="0" applyNumberFormat="1" applyFont="1" applyFill="1" applyAlignment="1">
      <alignment vertical="center"/>
    </xf>
    <xf numFmtId="49" fontId="36" fillId="0" borderId="52" xfId="0" applyNumberFormat="1" applyFont="1" applyFill="1" applyBorder="1" applyAlignment="1">
      <alignment horizontal="center" vertical="center"/>
    </xf>
    <xf numFmtId="49" fontId="36" fillId="0" borderId="52" xfId="0" applyNumberFormat="1" applyFont="1" applyFill="1" applyBorder="1" applyAlignment="1">
      <alignment horizontal="left" vertical="center"/>
    </xf>
    <xf numFmtId="176" fontId="36" fillId="0" borderId="52" xfId="0" applyNumberFormat="1" applyFont="1" applyFill="1" applyBorder="1" applyAlignment="1">
      <alignment vertical="center"/>
    </xf>
    <xf numFmtId="3" fontId="36" fillId="27" borderId="0" xfId="0" applyNumberFormat="1" applyFont="1" applyFill="1" applyAlignment="1">
      <alignment vertical="center"/>
    </xf>
    <xf numFmtId="176" fontId="36" fillId="0" borderId="52" xfId="0" applyNumberFormat="1" applyFont="1" applyFill="1" applyBorder="1" applyAlignment="1">
      <alignment horizontal="center" vertical="center"/>
    </xf>
    <xf numFmtId="41" fontId="36" fillId="0" borderId="52" xfId="3" applyNumberFormat="1" applyFont="1" applyFill="1" applyBorder="1" applyAlignment="1">
      <alignment vertical="center"/>
    </xf>
    <xf numFmtId="0" fontId="29" fillId="0" borderId="52" xfId="0" applyFont="1" applyFill="1" applyBorder="1" applyAlignment="1">
      <alignment vertical="center"/>
    </xf>
    <xf numFmtId="0" fontId="54" fillId="0" borderId="0" xfId="0" applyFont="1">
      <alignment vertical="center"/>
    </xf>
    <xf numFmtId="183" fontId="54" fillId="0" borderId="0" xfId="0" applyNumberFormat="1" applyFont="1" applyAlignment="1">
      <alignment horizontal="center" vertical="center"/>
    </xf>
    <xf numFmtId="41" fontId="54" fillId="0" borderId="0" xfId="3" applyFont="1" applyAlignment="1">
      <alignment vertical="center"/>
    </xf>
    <xf numFmtId="181" fontId="38" fillId="0" borderId="0" xfId="3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106" fillId="27" borderId="52" xfId="0" applyFont="1" applyFill="1" applyBorder="1" applyAlignment="1">
      <alignment horizontal="center" vertical="center"/>
    </xf>
    <xf numFmtId="2" fontId="106" fillId="27" borderId="52" xfId="0" applyNumberFormat="1" applyFont="1" applyFill="1" applyBorder="1" applyAlignment="1">
      <alignment horizontal="center" vertical="center"/>
    </xf>
    <xf numFmtId="0" fontId="47" fillId="27" borderId="52" xfId="703" applyFont="1" applyFill="1" applyBorder="1" applyAlignment="1">
      <alignment horizontal="center" vertical="center"/>
    </xf>
    <xf numFmtId="0" fontId="106" fillId="27" borderId="52" xfId="1214" applyFont="1" applyFill="1" applyBorder="1" applyAlignment="1">
      <alignment horizontal="center" vertical="center"/>
    </xf>
    <xf numFmtId="41" fontId="106" fillId="27" borderId="52" xfId="3" applyFont="1" applyFill="1" applyBorder="1" applyAlignment="1">
      <alignment horizontal="center" vertical="center"/>
    </xf>
    <xf numFmtId="0" fontId="54" fillId="32" borderId="0" xfId="0" applyFont="1" applyFill="1" applyAlignment="1">
      <alignment horizontal="center" vertical="center"/>
    </xf>
    <xf numFmtId="0" fontId="54" fillId="0" borderId="52" xfId="0" applyFont="1" applyFill="1" applyBorder="1">
      <alignment vertical="center"/>
    </xf>
    <xf numFmtId="184" fontId="54" fillId="0" borderId="52" xfId="0" quotePrefix="1" applyNumberFormat="1" applyFont="1" applyFill="1" applyBorder="1" applyAlignment="1">
      <alignment horizontal="center"/>
    </xf>
    <xf numFmtId="181" fontId="54" fillId="0" borderId="52" xfId="3" applyNumberFormat="1" applyFont="1" applyFill="1" applyBorder="1" applyAlignment="1">
      <alignment vertical="center"/>
    </xf>
    <xf numFmtId="0" fontId="30" fillId="0" borderId="0" xfId="0" applyFont="1" applyAlignment="1">
      <alignment vertical="center" wrapText="1"/>
    </xf>
    <xf numFmtId="0" fontId="36" fillId="0" borderId="0" xfId="0" applyFont="1" applyBorder="1" applyAlignment="1">
      <alignment vertical="center" wrapText="1"/>
    </xf>
    <xf numFmtId="0" fontId="120" fillId="0" borderId="0" xfId="0" applyFont="1" applyAlignment="1">
      <alignment vertical="center" wrapText="1"/>
    </xf>
    <xf numFmtId="0" fontId="120" fillId="0" borderId="0" xfId="0" applyFont="1" applyBorder="1" applyAlignment="1">
      <alignment vertical="center"/>
    </xf>
    <xf numFmtId="0" fontId="123" fillId="69" borderId="52" xfId="0" applyFont="1" applyFill="1" applyBorder="1" applyAlignment="1">
      <alignment horizontal="center" vertical="center"/>
    </xf>
    <xf numFmtId="0" fontId="124" fillId="27" borderId="52" xfId="0" applyFont="1" applyFill="1" applyBorder="1" applyAlignment="1">
      <alignment horizontal="center" vertical="center"/>
    </xf>
    <xf numFmtId="0" fontId="120" fillId="0" borderId="52" xfId="0" applyFont="1" applyBorder="1" applyAlignment="1">
      <alignment horizontal="center" vertical="center"/>
    </xf>
    <xf numFmtId="0" fontId="120" fillId="0" borderId="52" xfId="0" applyFont="1" applyBorder="1" applyAlignment="1">
      <alignment vertical="center"/>
    </xf>
    <xf numFmtId="3" fontId="120" fillId="0" borderId="52" xfId="0" applyNumberFormat="1" applyFont="1" applyBorder="1" applyAlignment="1">
      <alignment horizontal="right" vertical="center"/>
    </xf>
    <xf numFmtId="9" fontId="120" fillId="0" borderId="52" xfId="0" applyNumberFormat="1" applyFont="1" applyBorder="1" applyAlignment="1">
      <alignment horizontal="center" vertical="center"/>
    </xf>
    <xf numFmtId="3" fontId="120" fillId="70" borderId="52" xfId="0" applyNumberFormat="1" applyFont="1" applyFill="1" applyBorder="1" applyAlignment="1">
      <alignment horizontal="right" vertical="center"/>
    </xf>
    <xf numFmtId="3" fontId="120" fillId="27" borderId="52" xfId="0" applyNumberFormat="1" applyFont="1" applyFill="1" applyBorder="1" applyAlignment="1">
      <alignment horizontal="right" vertical="center"/>
    </xf>
    <xf numFmtId="0" fontId="113" fillId="0" borderId="60" xfId="328" applyFont="1" applyBorder="1" applyAlignment="1">
      <alignment horizontal="center" vertical="center"/>
    </xf>
    <xf numFmtId="0" fontId="113" fillId="0" borderId="60" xfId="328" applyNumberFormat="1" applyFont="1" applyFill="1" applyBorder="1" applyAlignment="1">
      <alignment vertical="center"/>
    </xf>
    <xf numFmtId="0" fontId="113" fillId="0" borderId="14" xfId="328" applyNumberFormat="1" applyFont="1" applyFill="1" applyBorder="1" applyAlignment="1">
      <alignment vertical="center"/>
    </xf>
    <xf numFmtId="186" fontId="113" fillId="0" borderId="60" xfId="328" applyNumberFormat="1" applyFont="1" applyFill="1" applyBorder="1" applyAlignment="1">
      <alignment vertical="center"/>
    </xf>
    <xf numFmtId="0" fontId="106" fillId="0" borderId="0" xfId="328" applyFont="1" applyAlignment="1">
      <alignment vertical="center"/>
    </xf>
    <xf numFmtId="0" fontId="54" fillId="0" borderId="0" xfId="328" applyFont="1" applyAlignment="1">
      <alignment vertical="center"/>
    </xf>
    <xf numFmtId="185" fontId="106" fillId="71" borderId="59" xfId="328" applyNumberFormat="1" applyFont="1" applyFill="1" applyBorder="1" applyAlignment="1">
      <alignment horizontal="center" vertical="center"/>
    </xf>
    <xf numFmtId="185" fontId="115" fillId="72" borderId="14" xfId="0" applyNumberFormat="1" applyFont="1" applyFill="1" applyBorder="1">
      <alignment vertical="center"/>
    </xf>
    <xf numFmtId="187" fontId="113" fillId="0" borderId="47" xfId="0" applyNumberFormat="1" applyFont="1" applyBorder="1">
      <alignment vertical="center"/>
    </xf>
    <xf numFmtId="0" fontId="113" fillId="0" borderId="47" xfId="0" applyFont="1" applyBorder="1">
      <alignment vertical="center"/>
    </xf>
    <xf numFmtId="0" fontId="115" fillId="71" borderId="59" xfId="328" applyFont="1" applyFill="1" applyBorder="1" applyAlignment="1">
      <alignment horizontal="center" vertical="center"/>
    </xf>
    <xf numFmtId="186" fontId="106" fillId="71" borderId="59" xfId="328" applyNumberFormat="1" applyFont="1" applyFill="1" applyBorder="1" applyAlignment="1">
      <alignment horizontal="center" vertical="center"/>
    </xf>
    <xf numFmtId="0" fontId="40" fillId="27" borderId="47" xfId="0" applyFont="1" applyFill="1" applyBorder="1" applyAlignment="1">
      <alignment horizontal="center" vertical="center"/>
    </xf>
    <xf numFmtId="186" fontId="106" fillId="74" borderId="59" xfId="328" applyNumberFormat="1" applyFont="1" applyFill="1" applyBorder="1" applyAlignment="1">
      <alignment horizontal="center" vertical="center"/>
    </xf>
    <xf numFmtId="186" fontId="54" fillId="0" borderId="60" xfId="328" applyNumberFormat="1" applyFont="1" applyBorder="1" applyAlignment="1">
      <alignment vertical="center"/>
    </xf>
    <xf numFmtId="188" fontId="54" fillId="0" borderId="60" xfId="328" applyNumberFormat="1" applyFont="1" applyBorder="1" applyAlignment="1">
      <alignment vertical="center"/>
    </xf>
    <xf numFmtId="9" fontId="54" fillId="0" borderId="60" xfId="328" applyNumberFormat="1" applyFont="1" applyBorder="1" applyAlignment="1">
      <alignment vertical="center"/>
    </xf>
    <xf numFmtId="186" fontId="54" fillId="73" borderId="60" xfId="328" applyNumberFormat="1" applyFont="1" applyFill="1" applyBorder="1" applyAlignment="1">
      <alignment vertical="center"/>
    </xf>
    <xf numFmtId="186" fontId="54" fillId="74" borderId="60" xfId="328" applyNumberFormat="1" applyFont="1" applyFill="1" applyBorder="1" applyAlignment="1">
      <alignment vertical="center"/>
    </xf>
    <xf numFmtId="185" fontId="106" fillId="72" borderId="14" xfId="328" applyNumberFormat="1" applyFont="1" applyFill="1" applyBorder="1" applyAlignment="1">
      <alignment vertical="center"/>
    </xf>
    <xf numFmtId="186" fontId="106" fillId="72" borderId="14" xfId="328" applyNumberFormat="1" applyFont="1" applyFill="1" applyBorder="1" applyAlignment="1">
      <alignment vertical="center"/>
    </xf>
    <xf numFmtId="185" fontId="117" fillId="71" borderId="14" xfId="0" applyNumberFormat="1" applyFont="1" applyFill="1" applyBorder="1" applyAlignment="1">
      <alignment horizontal="center" vertical="center"/>
    </xf>
    <xf numFmtId="185" fontId="118" fillId="72" borderId="14" xfId="0" applyNumberFormat="1" applyFont="1" applyFill="1" applyBorder="1">
      <alignment vertical="center"/>
    </xf>
    <xf numFmtId="187" fontId="125" fillId="0" borderId="59" xfId="0" applyNumberFormat="1" applyFont="1" applyBorder="1">
      <alignment vertical="center"/>
    </xf>
    <xf numFmtId="0" fontId="125" fillId="0" borderId="59" xfId="0" applyFont="1" applyBorder="1">
      <alignment vertical="center"/>
    </xf>
    <xf numFmtId="186" fontId="119" fillId="0" borderId="0" xfId="0" applyNumberFormat="1" applyFont="1">
      <alignment vertical="center"/>
    </xf>
    <xf numFmtId="0" fontId="36" fillId="26" borderId="17" xfId="0" applyNumberFormat="1" applyFont="1" applyFill="1" applyBorder="1" applyAlignment="1">
      <alignment horizontal="center" vertical="center"/>
    </xf>
    <xf numFmtId="41" fontId="36" fillId="27" borderId="66" xfId="3" applyFont="1" applyFill="1" applyBorder="1" applyAlignment="1">
      <alignment vertical="center"/>
    </xf>
    <xf numFmtId="176" fontId="36" fillId="28" borderId="60" xfId="0" applyNumberFormat="1" applyFont="1" applyFill="1" applyBorder="1" applyAlignment="1">
      <alignment horizontal="center" vertical="center"/>
    </xf>
    <xf numFmtId="0" fontId="54" fillId="66" borderId="59" xfId="0" applyFont="1" applyFill="1" applyBorder="1" applyAlignment="1">
      <alignment horizontal="center" vertical="center"/>
    </xf>
    <xf numFmtId="0" fontId="36" fillId="0" borderId="60" xfId="0" applyFont="1" applyFill="1" applyBorder="1" applyAlignment="1">
      <alignment vertical="center"/>
    </xf>
    <xf numFmtId="0" fontId="0" fillId="0" borderId="60" xfId="0" applyBorder="1">
      <alignment vertical="center"/>
    </xf>
    <xf numFmtId="49" fontId="38" fillId="0" borderId="60" xfId="0" applyNumberFormat="1" applyFont="1" applyFill="1" applyBorder="1" applyAlignment="1">
      <alignment horizontal="center" vertical="center"/>
    </xf>
    <xf numFmtId="176" fontId="38" fillId="0" borderId="60" xfId="0" applyNumberFormat="1" applyFont="1" applyFill="1" applyBorder="1" applyAlignment="1">
      <alignment horizontal="center" vertical="center"/>
    </xf>
    <xf numFmtId="176" fontId="38" fillId="27" borderId="60" xfId="0" applyNumberFormat="1" applyFont="1" applyFill="1" applyBorder="1" applyAlignment="1">
      <alignment horizontal="center" vertical="center"/>
    </xf>
    <xf numFmtId="41" fontId="38" fillId="0" borderId="60" xfId="3" applyFont="1" applyFill="1" applyBorder="1" applyAlignment="1">
      <alignment horizontal="center" vertical="center"/>
    </xf>
    <xf numFmtId="41" fontId="38" fillId="0" borderId="60" xfId="3" applyFont="1" applyFill="1" applyBorder="1" applyAlignment="1">
      <alignment horizontal="center" vertical="center" wrapText="1"/>
    </xf>
    <xf numFmtId="49" fontId="36" fillId="0" borderId="60" xfId="0" applyNumberFormat="1" applyFont="1" applyFill="1" applyBorder="1" applyAlignment="1">
      <alignment horizontal="left" vertical="center"/>
    </xf>
    <xf numFmtId="176" fontId="36" fillId="0" borderId="60" xfId="0" applyNumberFormat="1" applyFont="1" applyFill="1" applyBorder="1" applyAlignment="1">
      <alignment vertical="center"/>
    </xf>
    <xf numFmtId="180" fontId="100" fillId="0" borderId="60" xfId="215" applyNumberFormat="1" applyFont="1" applyBorder="1" applyAlignment="1">
      <alignment vertical="center"/>
    </xf>
    <xf numFmtId="0" fontId="55" fillId="0" borderId="60" xfId="0" applyFont="1" applyBorder="1">
      <alignment vertical="center"/>
    </xf>
    <xf numFmtId="41" fontId="100" fillId="0" borderId="60" xfId="618" applyFont="1" applyBorder="1" applyAlignment="1">
      <alignment vertical="center"/>
    </xf>
    <xf numFmtId="49" fontId="102" fillId="0" borderId="0" xfId="0" applyNumberFormat="1" applyFont="1" applyFill="1" applyBorder="1" applyAlignment="1">
      <alignment horizontal="left" vertical="center"/>
    </xf>
    <xf numFmtId="49" fontId="45" fillId="0" borderId="0" xfId="0" applyNumberFormat="1" applyFont="1" applyFill="1" applyBorder="1" applyAlignment="1">
      <alignment horizontal="left" vertical="center"/>
    </xf>
    <xf numFmtId="49" fontId="36" fillId="0" borderId="20" xfId="0" applyNumberFormat="1" applyFont="1" applyFill="1" applyBorder="1" applyAlignment="1">
      <alignment horizontal="center" vertical="center"/>
    </xf>
    <xf numFmtId="49" fontId="36" fillId="0" borderId="21" xfId="0" applyNumberFormat="1" applyFont="1" applyFill="1" applyBorder="1" applyAlignment="1">
      <alignment horizontal="center" vertical="center"/>
    </xf>
    <xf numFmtId="0" fontId="36" fillId="26" borderId="16" xfId="0" applyNumberFormat="1" applyFont="1" applyFill="1" applyBorder="1" applyAlignment="1">
      <alignment horizontal="center" vertical="center"/>
    </xf>
    <xf numFmtId="0" fontId="36" fillId="26" borderId="63" xfId="0" applyNumberFormat="1" applyFont="1" applyFill="1" applyBorder="1" applyAlignment="1">
      <alignment horizontal="center" vertical="center"/>
    </xf>
    <xf numFmtId="0" fontId="36" fillId="0" borderId="64" xfId="0" applyNumberFormat="1" applyFont="1" applyFill="1" applyBorder="1" applyAlignment="1">
      <alignment horizontal="center" vertical="center"/>
    </xf>
    <xf numFmtId="0" fontId="36" fillId="0" borderId="65" xfId="0" applyNumberFormat="1" applyFont="1" applyFill="1" applyBorder="1" applyAlignment="1">
      <alignment horizontal="center" vertical="center"/>
    </xf>
    <xf numFmtId="0" fontId="36" fillId="0" borderId="47" xfId="0" applyNumberFormat="1" applyFont="1" applyFill="1" applyBorder="1" applyAlignment="1">
      <alignment horizontal="center" vertical="center"/>
    </xf>
    <xf numFmtId="0" fontId="36" fillId="0" borderId="48" xfId="0" applyNumberFormat="1" applyFont="1" applyFill="1" applyBorder="1" applyAlignment="1">
      <alignment horizontal="center" vertical="center"/>
    </xf>
    <xf numFmtId="0" fontId="36" fillId="0" borderId="49" xfId="0" applyNumberFormat="1" applyFont="1" applyFill="1" applyBorder="1" applyAlignment="1">
      <alignment horizontal="center" vertical="center"/>
    </xf>
    <xf numFmtId="0" fontId="57" fillId="35" borderId="32" xfId="0" applyFont="1" applyFill="1" applyBorder="1" applyAlignment="1">
      <alignment horizontal="center" vertical="center"/>
    </xf>
    <xf numFmtId="0" fontId="57" fillId="35" borderId="33" xfId="0" applyFont="1" applyFill="1" applyBorder="1" applyAlignment="1">
      <alignment horizontal="center" vertical="center"/>
    </xf>
    <xf numFmtId="0" fontId="116" fillId="0" borderId="0" xfId="0" applyFont="1" applyAlignment="1">
      <alignment vertical="center" wrapText="1"/>
    </xf>
    <xf numFmtId="0" fontId="122" fillId="0" borderId="0" xfId="0" applyFont="1" applyAlignment="1">
      <alignment vertical="center" wrapText="1"/>
    </xf>
    <xf numFmtId="186" fontId="106" fillId="72" borderId="28" xfId="328" applyNumberFormat="1" applyFont="1" applyFill="1" applyBorder="1" applyAlignment="1">
      <alignment horizontal="center" vertical="center"/>
    </xf>
    <xf numFmtId="186" fontId="106" fillId="72" borderId="61" xfId="328" applyNumberFormat="1" applyFont="1" applyFill="1" applyBorder="1" applyAlignment="1">
      <alignment horizontal="center" vertical="center"/>
    </xf>
    <xf numFmtId="186" fontId="106" fillId="72" borderId="62" xfId="328" applyNumberFormat="1" applyFont="1" applyFill="1" applyBorder="1" applyAlignment="1">
      <alignment horizontal="center" vertical="center"/>
    </xf>
  </cellXfs>
  <cellStyles count="1216">
    <cellStyle name="=C:\WINNT\SYSTEM32\COMMAND.COM" xfId="4"/>
    <cellStyle name="=C:\WINNT\SYSTEM32\COMMAND.COM 10" xfId="5"/>
    <cellStyle name="=C:\WINNT\SYSTEM32\COMMAND.COM 2" xfId="6"/>
    <cellStyle name="=C:\WINNT\SYSTEM32\COMMAND.COM 2 2" xfId="7"/>
    <cellStyle name="=C:\WINNT\SYSTEM32\COMMAND.COM 2 2 2" xfId="752"/>
    <cellStyle name="=C:\WINNT\SYSTEM32\COMMAND.COM 2 3" xfId="8"/>
    <cellStyle name="=C:\WINNT\SYSTEM32\COMMAND.COM 2 3 2" xfId="753"/>
    <cellStyle name="=C:\WINNT\SYSTEM32\COMMAND.COM 2 4" xfId="9"/>
    <cellStyle name="=C:\WINNT\SYSTEM32\COMMAND.COM 2 4 2" xfId="754"/>
    <cellStyle name="=C:\WINNT\SYSTEM32\COMMAND.COM 2 5" xfId="10"/>
    <cellStyle name="=C:\WINNT\SYSTEM32\COMMAND.COM 2 5 2" xfId="755"/>
    <cellStyle name="=C:\WINNT\SYSTEM32\COMMAND.COM 2 6" xfId="751"/>
    <cellStyle name="=C:\WINNT\SYSTEM32\COMMAND.COM 3" xfId="11"/>
    <cellStyle name="=C:\WINNT\SYSTEM32\COMMAND.COM 3 2" xfId="12"/>
    <cellStyle name="=C:\WINNT\SYSTEM32\COMMAND.COM 3 3" xfId="13"/>
    <cellStyle name="=C:\WINNT\SYSTEM32\COMMAND.COM 3 4" xfId="14"/>
    <cellStyle name="=C:\WINNT\SYSTEM32\COMMAND.COM 3 5" xfId="15"/>
    <cellStyle name="=C:\WINNT\SYSTEM32\COMMAND.COM 3 6" xfId="756"/>
    <cellStyle name="=C:\WINNT\SYSTEM32\COMMAND.COM 4" xfId="16"/>
    <cellStyle name="=C:\WINNT\SYSTEM32\COMMAND.COM 4 2" xfId="17"/>
    <cellStyle name="=C:\WINNT\SYSTEM32\COMMAND.COM 4 3" xfId="757"/>
    <cellStyle name="=C:\WINNT\SYSTEM32\COMMAND.COM 5" xfId="18"/>
    <cellStyle name="=C:\WINNT\SYSTEM32\COMMAND.COM 5 2" xfId="758"/>
    <cellStyle name="=C:\WINNT\SYSTEM32\COMMAND.COM 6" xfId="19"/>
    <cellStyle name="=C:\WINNT\SYSTEM32\COMMAND.COM 6 2" xfId="759"/>
    <cellStyle name="=C:\WINNT\SYSTEM32\COMMAND.COM 7" xfId="20"/>
    <cellStyle name="=C:\WINNT\SYSTEM32\COMMAND.COM 7 2" xfId="760"/>
    <cellStyle name="=C:\WINNT\SYSTEM32\COMMAND.COM 8" xfId="21"/>
    <cellStyle name="=C:\WINNT\SYSTEM32\COMMAND.COM 8 2" xfId="761"/>
    <cellStyle name="=C:\WINNT\SYSTEM32\COMMAND.COM 9" xfId="22"/>
    <cellStyle name="=C:\WINNT\SYSTEM32\COMMAND.COM 9 2" xfId="762"/>
    <cellStyle name="=C:\WINNT\SYSTEM32\COMMAND.COM_KT_WB_PPV_NOV_11_WB" xfId="23"/>
    <cellStyle name="20% - 강조색1" xfId="718" builtinId="30" customBuiltin="1"/>
    <cellStyle name="20% - 강조색1 10" xfId="24"/>
    <cellStyle name="20% - 강조색1 10 2" xfId="1104"/>
    <cellStyle name="20% - 강조색1 11" xfId="25"/>
    <cellStyle name="20% - 강조색1 11 2" xfId="1119"/>
    <cellStyle name="20% - 강조색1 12" xfId="26"/>
    <cellStyle name="20% - 강조색1 12 2" xfId="1134"/>
    <cellStyle name="20% - 강조색1 13" xfId="27"/>
    <cellStyle name="20% - 강조색1 13 2" xfId="1149"/>
    <cellStyle name="20% - 강조색1 14" xfId="28"/>
    <cellStyle name="20% - 강조색1 14 2" xfId="1199"/>
    <cellStyle name="20% - 강조색1 2" xfId="29"/>
    <cellStyle name="20% - 강조색1 2 2" xfId="763"/>
    <cellStyle name="20% - 강조색1 3" xfId="30"/>
    <cellStyle name="20% - 강조색1 3 2" xfId="1002"/>
    <cellStyle name="20% - 강조색1 4" xfId="31"/>
    <cellStyle name="20% - 강조색1 4 2" xfId="1016"/>
    <cellStyle name="20% - 강조색1 5" xfId="32"/>
    <cellStyle name="20% - 강조색1 5 2" xfId="1030"/>
    <cellStyle name="20% - 강조색1 6" xfId="33"/>
    <cellStyle name="20% - 강조색1 6 2" xfId="1044"/>
    <cellStyle name="20% - 강조색1 7" xfId="34"/>
    <cellStyle name="20% - 강조색1 7 2" xfId="1059"/>
    <cellStyle name="20% - 강조색1 8" xfId="35"/>
    <cellStyle name="20% - 강조색1 8 2" xfId="1074"/>
    <cellStyle name="20% - 강조색1 9" xfId="36"/>
    <cellStyle name="20% - 강조색1 9 2" xfId="1089"/>
    <cellStyle name="20% - 강조색2" xfId="721" builtinId="34" customBuiltin="1"/>
    <cellStyle name="20% - 강조색2 10" xfId="37"/>
    <cellStyle name="20% - 강조색2 10 2" xfId="1106"/>
    <cellStyle name="20% - 강조색2 11" xfId="38"/>
    <cellStyle name="20% - 강조색2 11 2" xfId="1121"/>
    <cellStyle name="20% - 강조색2 12" xfId="39"/>
    <cellStyle name="20% - 강조색2 12 2" xfId="1136"/>
    <cellStyle name="20% - 강조색2 13" xfId="40"/>
    <cellStyle name="20% - 강조색2 13 2" xfId="1151"/>
    <cellStyle name="20% - 강조색2 14" xfId="41"/>
    <cellStyle name="20% - 강조색2 14 2" xfId="1201"/>
    <cellStyle name="20% - 강조색2 2" xfId="42"/>
    <cellStyle name="20% - 강조색2 2 2" xfId="764"/>
    <cellStyle name="20% - 강조색2 3" xfId="43"/>
    <cellStyle name="20% - 강조색2 3 2" xfId="1004"/>
    <cellStyle name="20% - 강조색2 4" xfId="44"/>
    <cellStyle name="20% - 강조색2 4 2" xfId="1018"/>
    <cellStyle name="20% - 강조색2 5" xfId="45"/>
    <cellStyle name="20% - 강조색2 5 2" xfId="1032"/>
    <cellStyle name="20% - 강조색2 6" xfId="46"/>
    <cellStyle name="20% - 강조색2 6 2" xfId="1046"/>
    <cellStyle name="20% - 강조색2 7" xfId="47"/>
    <cellStyle name="20% - 강조색2 7 2" xfId="1061"/>
    <cellStyle name="20% - 강조색2 8" xfId="48"/>
    <cellStyle name="20% - 강조색2 8 2" xfId="1076"/>
    <cellStyle name="20% - 강조색2 9" xfId="49"/>
    <cellStyle name="20% - 강조색2 9 2" xfId="1091"/>
    <cellStyle name="20% - 강조색3" xfId="724" builtinId="38" customBuiltin="1"/>
    <cellStyle name="20% - 강조색3 10" xfId="50"/>
    <cellStyle name="20% - 강조색3 10 2" xfId="1108"/>
    <cellStyle name="20% - 강조색3 11" xfId="51"/>
    <cellStyle name="20% - 강조색3 11 2" xfId="1123"/>
    <cellStyle name="20% - 강조색3 12" xfId="52"/>
    <cellStyle name="20% - 강조색3 12 2" xfId="1138"/>
    <cellStyle name="20% - 강조색3 13" xfId="53"/>
    <cellStyle name="20% - 강조색3 13 2" xfId="1153"/>
    <cellStyle name="20% - 강조색3 14" xfId="54"/>
    <cellStyle name="20% - 강조색3 14 2" xfId="1203"/>
    <cellStyle name="20% - 강조색3 2" xfId="55"/>
    <cellStyle name="20% - 강조색3 2 2" xfId="765"/>
    <cellStyle name="20% - 강조색3 3" xfId="56"/>
    <cellStyle name="20% - 강조색3 3 2" xfId="1006"/>
    <cellStyle name="20% - 강조색3 4" xfId="57"/>
    <cellStyle name="20% - 강조색3 4 2" xfId="1020"/>
    <cellStyle name="20% - 강조색3 5" xfId="58"/>
    <cellStyle name="20% - 강조색3 5 2" xfId="1034"/>
    <cellStyle name="20% - 강조색3 6" xfId="59"/>
    <cellStyle name="20% - 강조색3 6 2" xfId="1048"/>
    <cellStyle name="20% - 강조색3 7" xfId="60"/>
    <cellStyle name="20% - 강조색3 7 2" xfId="1063"/>
    <cellStyle name="20% - 강조색3 8" xfId="61"/>
    <cellStyle name="20% - 강조색3 8 2" xfId="1078"/>
    <cellStyle name="20% - 강조색3 9" xfId="62"/>
    <cellStyle name="20% - 강조색3 9 2" xfId="1093"/>
    <cellStyle name="20% - 강조색4" xfId="727" builtinId="42" customBuiltin="1"/>
    <cellStyle name="20% - 강조색4 10" xfId="63"/>
    <cellStyle name="20% - 강조색4 10 2" xfId="1110"/>
    <cellStyle name="20% - 강조색4 11" xfId="64"/>
    <cellStyle name="20% - 강조색4 11 2" xfId="1125"/>
    <cellStyle name="20% - 강조색4 12" xfId="65"/>
    <cellStyle name="20% - 강조색4 12 2" xfId="1140"/>
    <cellStyle name="20% - 강조색4 13" xfId="66"/>
    <cellStyle name="20% - 강조색4 13 2" xfId="1155"/>
    <cellStyle name="20% - 강조색4 14" xfId="67"/>
    <cellStyle name="20% - 강조색4 14 2" xfId="1205"/>
    <cellStyle name="20% - 강조색4 2" xfId="68"/>
    <cellStyle name="20% - 강조색4 2 2" xfId="766"/>
    <cellStyle name="20% - 강조색4 3" xfId="69"/>
    <cellStyle name="20% - 강조색4 3 2" xfId="1008"/>
    <cellStyle name="20% - 강조색4 4" xfId="70"/>
    <cellStyle name="20% - 강조색4 4 2" xfId="1022"/>
    <cellStyle name="20% - 강조색4 5" xfId="71"/>
    <cellStyle name="20% - 강조색4 5 2" xfId="1036"/>
    <cellStyle name="20% - 강조색4 6" xfId="72"/>
    <cellStyle name="20% - 강조색4 6 2" xfId="1050"/>
    <cellStyle name="20% - 강조색4 7" xfId="73"/>
    <cellStyle name="20% - 강조색4 7 2" xfId="1065"/>
    <cellStyle name="20% - 강조색4 8" xfId="74"/>
    <cellStyle name="20% - 강조색4 8 2" xfId="1080"/>
    <cellStyle name="20% - 강조색4 9" xfId="75"/>
    <cellStyle name="20% - 강조색4 9 2" xfId="1095"/>
    <cellStyle name="20% - 강조색5" xfId="730" builtinId="46" customBuiltin="1"/>
    <cellStyle name="20% - 강조색5 10" xfId="76"/>
    <cellStyle name="20% - 강조색5 10 2" xfId="1112"/>
    <cellStyle name="20% - 강조색5 11" xfId="77"/>
    <cellStyle name="20% - 강조색5 11 2" xfId="1127"/>
    <cellStyle name="20% - 강조색5 12" xfId="78"/>
    <cellStyle name="20% - 강조색5 12 2" xfId="1142"/>
    <cellStyle name="20% - 강조색5 13" xfId="79"/>
    <cellStyle name="20% - 강조색5 13 2" xfId="1157"/>
    <cellStyle name="20% - 강조색5 14" xfId="80"/>
    <cellStyle name="20% - 강조색5 14 2" xfId="1207"/>
    <cellStyle name="20% - 강조색5 2" xfId="81"/>
    <cellStyle name="20% - 강조색5 2 2" xfId="767"/>
    <cellStyle name="20% - 강조색5 3" xfId="82"/>
    <cellStyle name="20% - 강조색5 3 2" xfId="1010"/>
    <cellStyle name="20% - 강조색5 4" xfId="83"/>
    <cellStyle name="20% - 강조색5 4 2" xfId="1024"/>
    <cellStyle name="20% - 강조색5 5" xfId="84"/>
    <cellStyle name="20% - 강조색5 5 2" xfId="1038"/>
    <cellStyle name="20% - 강조색5 6" xfId="85"/>
    <cellStyle name="20% - 강조색5 6 2" xfId="1052"/>
    <cellStyle name="20% - 강조색5 7" xfId="86"/>
    <cellStyle name="20% - 강조색5 7 2" xfId="1067"/>
    <cellStyle name="20% - 강조색5 8" xfId="87"/>
    <cellStyle name="20% - 강조색5 8 2" xfId="1082"/>
    <cellStyle name="20% - 강조색5 9" xfId="88"/>
    <cellStyle name="20% - 강조색5 9 2" xfId="1097"/>
    <cellStyle name="20% - 강조색6" xfId="733" builtinId="50" customBuiltin="1"/>
    <cellStyle name="20% - 강조색6 10" xfId="89"/>
    <cellStyle name="20% - 강조색6 10 2" xfId="1114"/>
    <cellStyle name="20% - 강조색6 11" xfId="90"/>
    <cellStyle name="20% - 강조색6 11 2" xfId="1129"/>
    <cellStyle name="20% - 강조색6 12" xfId="91"/>
    <cellStyle name="20% - 강조색6 12 2" xfId="1144"/>
    <cellStyle name="20% - 강조색6 13" xfId="92"/>
    <cellStyle name="20% - 강조색6 13 2" xfId="1159"/>
    <cellStyle name="20% - 강조색6 14" xfId="93"/>
    <cellStyle name="20% - 강조색6 14 2" xfId="1209"/>
    <cellStyle name="20% - 강조색6 2" xfId="94"/>
    <cellStyle name="20% - 강조색6 2 2" xfId="768"/>
    <cellStyle name="20% - 강조색6 3" xfId="95"/>
    <cellStyle name="20% - 강조색6 3 2" xfId="1012"/>
    <cellStyle name="20% - 강조색6 4" xfId="96"/>
    <cellStyle name="20% - 강조색6 4 2" xfId="1026"/>
    <cellStyle name="20% - 강조색6 5" xfId="97"/>
    <cellStyle name="20% - 강조색6 5 2" xfId="1040"/>
    <cellStyle name="20% - 강조색6 6" xfId="98"/>
    <cellStyle name="20% - 강조색6 6 2" xfId="1054"/>
    <cellStyle name="20% - 강조색6 7" xfId="99"/>
    <cellStyle name="20% - 강조색6 7 2" xfId="1069"/>
    <cellStyle name="20% - 강조색6 8" xfId="100"/>
    <cellStyle name="20% - 강조색6 8 2" xfId="1084"/>
    <cellStyle name="20% - 강조색6 9" xfId="101"/>
    <cellStyle name="20% - 강조색6 9 2" xfId="1099"/>
    <cellStyle name="40% - 강조색1" xfId="719" builtinId="31" customBuiltin="1"/>
    <cellStyle name="40% - 강조색1 10" xfId="102"/>
    <cellStyle name="40% - 강조색1 10 2" xfId="1105"/>
    <cellStyle name="40% - 강조색1 11" xfId="103"/>
    <cellStyle name="40% - 강조색1 11 2" xfId="1120"/>
    <cellStyle name="40% - 강조색1 12" xfId="104"/>
    <cellStyle name="40% - 강조색1 12 2" xfId="1135"/>
    <cellStyle name="40% - 강조색1 13" xfId="105"/>
    <cellStyle name="40% - 강조색1 13 2" xfId="1150"/>
    <cellStyle name="40% - 강조색1 14" xfId="106"/>
    <cellStyle name="40% - 강조색1 14 2" xfId="1200"/>
    <cellStyle name="40% - 강조색1 2" xfId="107"/>
    <cellStyle name="40% - 강조색1 2 2" xfId="769"/>
    <cellStyle name="40% - 강조색1 3" xfId="108"/>
    <cellStyle name="40% - 강조색1 3 2" xfId="1003"/>
    <cellStyle name="40% - 강조색1 4" xfId="109"/>
    <cellStyle name="40% - 강조색1 4 2" xfId="1017"/>
    <cellStyle name="40% - 강조색1 5" xfId="110"/>
    <cellStyle name="40% - 강조색1 5 2" xfId="1031"/>
    <cellStyle name="40% - 강조색1 6" xfId="111"/>
    <cellStyle name="40% - 강조색1 6 2" xfId="1045"/>
    <cellStyle name="40% - 강조색1 7" xfId="112"/>
    <cellStyle name="40% - 강조색1 7 2" xfId="1060"/>
    <cellStyle name="40% - 강조색1 8" xfId="113"/>
    <cellStyle name="40% - 강조색1 8 2" xfId="1075"/>
    <cellStyle name="40% - 강조색1 9" xfId="114"/>
    <cellStyle name="40% - 강조색1 9 2" xfId="1090"/>
    <cellStyle name="40% - 강조색2" xfId="722" builtinId="35" customBuiltin="1"/>
    <cellStyle name="40% - 강조색2 10" xfId="115"/>
    <cellStyle name="40% - 강조색2 10 2" xfId="1107"/>
    <cellStyle name="40% - 강조색2 11" xfId="116"/>
    <cellStyle name="40% - 강조색2 11 2" xfId="1122"/>
    <cellStyle name="40% - 강조색2 12" xfId="117"/>
    <cellStyle name="40% - 강조색2 12 2" xfId="1137"/>
    <cellStyle name="40% - 강조색2 13" xfId="118"/>
    <cellStyle name="40% - 강조색2 13 2" xfId="1152"/>
    <cellStyle name="40% - 강조색2 14" xfId="119"/>
    <cellStyle name="40% - 강조색2 14 2" xfId="1202"/>
    <cellStyle name="40% - 강조색2 2" xfId="120"/>
    <cellStyle name="40% - 강조색2 2 2" xfId="770"/>
    <cellStyle name="40% - 강조색2 3" xfId="121"/>
    <cellStyle name="40% - 강조색2 3 2" xfId="1005"/>
    <cellStyle name="40% - 강조색2 4" xfId="122"/>
    <cellStyle name="40% - 강조색2 4 2" xfId="1019"/>
    <cellStyle name="40% - 강조색2 5" xfId="123"/>
    <cellStyle name="40% - 강조색2 5 2" xfId="1033"/>
    <cellStyle name="40% - 강조색2 6" xfId="124"/>
    <cellStyle name="40% - 강조색2 6 2" xfId="1047"/>
    <cellStyle name="40% - 강조색2 7" xfId="125"/>
    <cellStyle name="40% - 강조색2 7 2" xfId="1062"/>
    <cellStyle name="40% - 강조색2 8" xfId="126"/>
    <cellStyle name="40% - 강조색2 8 2" xfId="1077"/>
    <cellStyle name="40% - 강조색2 9" xfId="127"/>
    <cellStyle name="40% - 강조색2 9 2" xfId="1092"/>
    <cellStyle name="40% - 강조색3" xfId="725" builtinId="39" customBuiltin="1"/>
    <cellStyle name="40% - 강조색3 10" xfId="128"/>
    <cellStyle name="40% - 강조색3 10 2" xfId="1109"/>
    <cellStyle name="40% - 강조색3 11" xfId="129"/>
    <cellStyle name="40% - 강조색3 11 2" xfId="1124"/>
    <cellStyle name="40% - 강조색3 12" xfId="130"/>
    <cellStyle name="40% - 강조색3 12 2" xfId="1139"/>
    <cellStyle name="40% - 강조색3 13" xfId="131"/>
    <cellStyle name="40% - 강조색3 13 2" xfId="1154"/>
    <cellStyle name="40% - 강조색3 14" xfId="132"/>
    <cellStyle name="40% - 강조색3 14 2" xfId="1204"/>
    <cellStyle name="40% - 강조색3 2" xfId="133"/>
    <cellStyle name="40% - 강조색3 2 2" xfId="771"/>
    <cellStyle name="40% - 강조색3 3" xfId="134"/>
    <cellStyle name="40% - 강조색3 3 2" xfId="1007"/>
    <cellStyle name="40% - 강조색3 4" xfId="135"/>
    <cellStyle name="40% - 강조색3 4 2" xfId="1021"/>
    <cellStyle name="40% - 강조색3 5" xfId="136"/>
    <cellStyle name="40% - 강조색3 5 2" xfId="1035"/>
    <cellStyle name="40% - 강조색3 6" xfId="137"/>
    <cellStyle name="40% - 강조색3 6 2" xfId="1049"/>
    <cellStyle name="40% - 강조색3 7" xfId="138"/>
    <cellStyle name="40% - 강조색3 7 2" xfId="1064"/>
    <cellStyle name="40% - 강조색3 8" xfId="139"/>
    <cellStyle name="40% - 강조색3 8 2" xfId="1079"/>
    <cellStyle name="40% - 강조색3 9" xfId="140"/>
    <cellStyle name="40% - 강조색3 9 2" xfId="1094"/>
    <cellStyle name="40% - 강조색4" xfId="728" builtinId="43" customBuiltin="1"/>
    <cellStyle name="40% - 강조색4 10" xfId="141"/>
    <cellStyle name="40% - 강조색4 10 2" xfId="1111"/>
    <cellStyle name="40% - 강조색4 11" xfId="142"/>
    <cellStyle name="40% - 강조색4 11 2" xfId="1126"/>
    <cellStyle name="40% - 강조색4 12" xfId="143"/>
    <cellStyle name="40% - 강조색4 12 2" xfId="1141"/>
    <cellStyle name="40% - 강조색4 13" xfId="144"/>
    <cellStyle name="40% - 강조색4 13 2" xfId="1156"/>
    <cellStyle name="40% - 강조색4 14" xfId="145"/>
    <cellStyle name="40% - 강조색4 14 2" xfId="1206"/>
    <cellStyle name="40% - 강조색4 2" xfId="146"/>
    <cellStyle name="40% - 강조색4 2 2" xfId="772"/>
    <cellStyle name="40% - 강조색4 3" xfId="147"/>
    <cellStyle name="40% - 강조색4 3 2" xfId="1009"/>
    <cellStyle name="40% - 강조색4 4" xfId="148"/>
    <cellStyle name="40% - 강조색4 4 2" xfId="1023"/>
    <cellStyle name="40% - 강조색4 5" xfId="149"/>
    <cellStyle name="40% - 강조색4 5 2" xfId="1037"/>
    <cellStyle name="40% - 강조색4 6" xfId="150"/>
    <cellStyle name="40% - 강조색4 6 2" xfId="1051"/>
    <cellStyle name="40% - 강조색4 7" xfId="151"/>
    <cellStyle name="40% - 강조색4 7 2" xfId="1066"/>
    <cellStyle name="40% - 강조색4 8" xfId="152"/>
    <cellStyle name="40% - 강조색4 8 2" xfId="1081"/>
    <cellStyle name="40% - 강조색4 9" xfId="153"/>
    <cellStyle name="40% - 강조색4 9 2" xfId="1096"/>
    <cellStyle name="40% - 강조색5" xfId="731" builtinId="47" customBuiltin="1"/>
    <cellStyle name="40% - 강조색5 10" xfId="154"/>
    <cellStyle name="40% - 강조색5 10 2" xfId="1113"/>
    <cellStyle name="40% - 강조색5 11" xfId="155"/>
    <cellStyle name="40% - 강조색5 11 2" xfId="1128"/>
    <cellStyle name="40% - 강조색5 12" xfId="156"/>
    <cellStyle name="40% - 강조색5 12 2" xfId="1143"/>
    <cellStyle name="40% - 강조색5 13" xfId="157"/>
    <cellStyle name="40% - 강조색5 13 2" xfId="1158"/>
    <cellStyle name="40% - 강조색5 14" xfId="158"/>
    <cellStyle name="40% - 강조색5 14 2" xfId="1208"/>
    <cellStyle name="40% - 강조색5 2" xfId="159"/>
    <cellStyle name="40% - 강조색5 2 2" xfId="773"/>
    <cellStyle name="40% - 강조색5 3" xfId="160"/>
    <cellStyle name="40% - 강조색5 3 2" xfId="1011"/>
    <cellStyle name="40% - 강조색5 4" xfId="161"/>
    <cellStyle name="40% - 강조색5 4 2" xfId="1025"/>
    <cellStyle name="40% - 강조색5 5" xfId="162"/>
    <cellStyle name="40% - 강조색5 5 2" xfId="1039"/>
    <cellStyle name="40% - 강조색5 6" xfId="163"/>
    <cellStyle name="40% - 강조색5 6 2" xfId="1053"/>
    <cellStyle name="40% - 강조색5 7" xfId="164"/>
    <cellStyle name="40% - 강조색5 7 2" xfId="1068"/>
    <cellStyle name="40% - 강조색5 8" xfId="165"/>
    <cellStyle name="40% - 강조색5 8 2" xfId="1083"/>
    <cellStyle name="40% - 강조색5 9" xfId="166"/>
    <cellStyle name="40% - 강조색5 9 2" xfId="1098"/>
    <cellStyle name="40% - 강조색6" xfId="734" builtinId="51" customBuiltin="1"/>
    <cellStyle name="40% - 강조색6 10" xfId="167"/>
    <cellStyle name="40% - 강조색6 10 2" xfId="1115"/>
    <cellStyle name="40% - 강조색6 11" xfId="168"/>
    <cellStyle name="40% - 강조색6 11 2" xfId="1130"/>
    <cellStyle name="40% - 강조색6 12" xfId="169"/>
    <cellStyle name="40% - 강조색6 12 2" xfId="1145"/>
    <cellStyle name="40% - 강조색6 13" xfId="170"/>
    <cellStyle name="40% - 강조색6 13 2" xfId="1160"/>
    <cellStyle name="40% - 강조색6 14" xfId="171"/>
    <cellStyle name="40% - 강조색6 14 2" xfId="1210"/>
    <cellStyle name="40% - 강조색6 2" xfId="172"/>
    <cellStyle name="40% - 강조색6 2 2" xfId="774"/>
    <cellStyle name="40% - 강조색6 3" xfId="173"/>
    <cellStyle name="40% - 강조색6 3 2" xfId="1013"/>
    <cellStyle name="40% - 강조색6 4" xfId="174"/>
    <cellStyle name="40% - 강조색6 4 2" xfId="1027"/>
    <cellStyle name="40% - 강조색6 5" xfId="175"/>
    <cellStyle name="40% - 강조색6 5 2" xfId="1041"/>
    <cellStyle name="40% - 강조색6 6" xfId="176"/>
    <cellStyle name="40% - 강조색6 6 2" xfId="1055"/>
    <cellStyle name="40% - 강조색6 7" xfId="177"/>
    <cellStyle name="40% - 강조색6 7 2" xfId="1070"/>
    <cellStyle name="40% - 강조색6 8" xfId="178"/>
    <cellStyle name="40% - 강조색6 8 2" xfId="1085"/>
    <cellStyle name="40% - 강조색6 9" xfId="179"/>
    <cellStyle name="40% - 강조색6 9 2" xfId="1100"/>
    <cellStyle name="60% - 강조색1 2" xfId="180"/>
    <cellStyle name="60% - 강조색1 2 2" xfId="775"/>
    <cellStyle name="60% - 강조색1 3" xfId="744"/>
    <cellStyle name="60% - 강조색2 2" xfId="181"/>
    <cellStyle name="60% - 강조색2 2 2" xfId="776"/>
    <cellStyle name="60% - 강조색2 3" xfId="745"/>
    <cellStyle name="60% - 강조색3 2" xfId="182"/>
    <cellStyle name="60% - 강조색3 2 2" xfId="777"/>
    <cellStyle name="60% - 강조색3 3" xfId="746"/>
    <cellStyle name="60% - 강조색4 2" xfId="183"/>
    <cellStyle name="60% - 강조색4 2 2" xfId="778"/>
    <cellStyle name="60% - 강조색4 3" xfId="747"/>
    <cellStyle name="60% - 강조색5 2" xfId="184"/>
    <cellStyle name="60% - 강조색5 2 2" xfId="779"/>
    <cellStyle name="60% - 강조색5 3" xfId="748"/>
    <cellStyle name="60% - 강조색6 2" xfId="185"/>
    <cellStyle name="60% - 강조색6 2 2" xfId="780"/>
    <cellStyle name="60% - 강조색6 3" xfId="749"/>
    <cellStyle name="Excel Built-in Normal" xfId="503"/>
    <cellStyle name="Excel Built-in Normal 2" xfId="781"/>
    <cellStyle name="Normal 2" xfId="504"/>
    <cellStyle name="강조색1" xfId="717" builtinId="29" customBuiltin="1"/>
    <cellStyle name="강조색1 2" xfId="186"/>
    <cellStyle name="강조색1 2 2" xfId="782"/>
    <cellStyle name="강조색2" xfId="720" builtinId="33" customBuiltin="1"/>
    <cellStyle name="강조색2 2" xfId="187"/>
    <cellStyle name="강조색2 2 2" xfId="783"/>
    <cellStyle name="강조색3" xfId="723" builtinId="37" customBuiltin="1"/>
    <cellStyle name="강조색3 2" xfId="188"/>
    <cellStyle name="강조색3 2 2" xfId="784"/>
    <cellStyle name="강조색4" xfId="726" builtinId="41" customBuiltin="1"/>
    <cellStyle name="강조색4 2" xfId="189"/>
    <cellStyle name="강조색4 2 2" xfId="785"/>
    <cellStyle name="강조색5" xfId="729" builtinId="45" customBuiltin="1"/>
    <cellStyle name="강조색5 2" xfId="190"/>
    <cellStyle name="강조색5 2 2" xfId="786"/>
    <cellStyle name="강조색6" xfId="732" builtinId="49" customBuiltin="1"/>
    <cellStyle name="강조색6 2" xfId="191"/>
    <cellStyle name="강조색6 2 2" xfId="787"/>
    <cellStyle name="경고문" xfId="714" builtinId="11" customBuiltin="1"/>
    <cellStyle name="경고문 2" xfId="192"/>
    <cellStyle name="경고문 2 2" xfId="788"/>
    <cellStyle name="계산" xfId="711" builtinId="22" customBuiltin="1"/>
    <cellStyle name="계산 2" xfId="193"/>
    <cellStyle name="계산 2 2" xfId="789"/>
    <cellStyle name="나쁨" xfId="703" builtinId="27" customBuiltin="1"/>
    <cellStyle name="나쁨 2" xfId="194"/>
    <cellStyle name="나쁨 2 2" xfId="790"/>
    <cellStyle name="메모 2" xfId="195"/>
    <cellStyle name="메모 2 2" xfId="791"/>
    <cellStyle name="메모 3" xfId="196"/>
    <cellStyle name="메모 3 10" xfId="197"/>
    <cellStyle name="메모 3 10 2" xfId="1132"/>
    <cellStyle name="메모 3 11" xfId="198"/>
    <cellStyle name="메모 3 11 2" xfId="1147"/>
    <cellStyle name="메모 3 12" xfId="199"/>
    <cellStyle name="메모 3 12 2" xfId="1162"/>
    <cellStyle name="메모 3 13" xfId="200"/>
    <cellStyle name="메모 3 13 2" xfId="1212"/>
    <cellStyle name="메모 3 14" xfId="1001"/>
    <cellStyle name="메모 3 2" xfId="201"/>
    <cellStyle name="메모 3 2 2" xfId="1015"/>
    <cellStyle name="메모 3 3" xfId="202"/>
    <cellStyle name="메모 3 3 2" xfId="1029"/>
    <cellStyle name="메모 3 4" xfId="203"/>
    <cellStyle name="메모 3 4 2" xfId="1043"/>
    <cellStyle name="메모 3 5" xfId="204"/>
    <cellStyle name="메모 3 5 2" xfId="1057"/>
    <cellStyle name="메모 3 6" xfId="205"/>
    <cellStyle name="메모 3 6 2" xfId="1072"/>
    <cellStyle name="메모 3 7" xfId="206"/>
    <cellStyle name="메모 3 7 2" xfId="1087"/>
    <cellStyle name="메모 3 8" xfId="207"/>
    <cellStyle name="메모 3 8 2" xfId="1102"/>
    <cellStyle name="메모 3 9" xfId="208"/>
    <cellStyle name="메모 3 9 2" xfId="1117"/>
    <cellStyle name="백분율 2" xfId="209"/>
    <cellStyle name="백분율 2 2 3" xfId="704"/>
    <cellStyle name="백분율 3" xfId="210"/>
    <cellStyle name="백분율 3 2" xfId="793"/>
    <cellStyle name="백분율 4" xfId="211"/>
    <cellStyle name="백분율 4 2" xfId="792"/>
    <cellStyle name="보통 2" xfId="212"/>
    <cellStyle name="보통 2 2" xfId="794"/>
    <cellStyle name="보통 3" xfId="743"/>
    <cellStyle name="설명 텍스트" xfId="715" builtinId="53" customBuiltin="1"/>
    <cellStyle name="설명 텍스트 2" xfId="213"/>
    <cellStyle name="설명 텍스트 2 2" xfId="795"/>
    <cellStyle name="셀 확인" xfId="713" builtinId="23" customBuiltin="1"/>
    <cellStyle name="셀 확인 2" xfId="214"/>
    <cellStyle name="셀 확인 2 2" xfId="796"/>
    <cellStyle name="쉼표 [0]" xfId="3" builtinId="6"/>
    <cellStyle name="쉼표 [0] 10" xfId="736"/>
    <cellStyle name="쉼표 [0] 2" xfId="215"/>
    <cellStyle name="쉼표 [0] 2 10" xfId="216"/>
    <cellStyle name="쉼표 [0] 2 10 2" xfId="1165"/>
    <cellStyle name="쉼표 [0] 2 11" xfId="798"/>
    <cellStyle name="쉼표 [0] 2 2" xfId="217"/>
    <cellStyle name="쉼표 [0] 2 2 2" xfId="218"/>
    <cellStyle name="쉼표 [0] 2 2 2 2" xfId="1166"/>
    <cellStyle name="쉼표 [0] 2 2 3" xfId="799"/>
    <cellStyle name="쉼표 [0] 2 3" xfId="219"/>
    <cellStyle name="쉼표 [0] 2 3 2" xfId="220"/>
    <cellStyle name="쉼표 [0] 2 3 2 2" xfId="1167"/>
    <cellStyle name="쉼표 [0] 2 3 3" xfId="800"/>
    <cellStyle name="쉼표 [0] 2 4" xfId="221"/>
    <cellStyle name="쉼표 [0] 2 4 2" xfId="222"/>
    <cellStyle name="쉼표 [0] 2 4 2 2" xfId="1168"/>
    <cellStyle name="쉼표 [0] 2 4 3" xfId="801"/>
    <cellStyle name="쉼표 [0] 2 5" xfId="223"/>
    <cellStyle name="쉼표 [0] 2 5 2" xfId="224"/>
    <cellStyle name="쉼표 [0] 2 5 2 2" xfId="1169"/>
    <cellStyle name="쉼표 [0] 2 5 3" xfId="802"/>
    <cellStyle name="쉼표 [0] 2 6" xfId="225"/>
    <cellStyle name="쉼표 [0] 2 6 2" xfId="226"/>
    <cellStyle name="쉼표 [0] 2 6 2 2" xfId="1170"/>
    <cellStyle name="쉼표 [0] 2 6 3" xfId="803"/>
    <cellStyle name="쉼표 [0] 2 7" xfId="227"/>
    <cellStyle name="쉼표 [0] 2 7 2" xfId="228"/>
    <cellStyle name="쉼표 [0] 2 7 2 2" xfId="229"/>
    <cellStyle name="쉼표 [0] 2 7 2 2 2" xfId="1172"/>
    <cellStyle name="쉼표 [0] 2 7 3" xfId="230"/>
    <cellStyle name="쉼표 [0] 2 7 3 2" xfId="231"/>
    <cellStyle name="쉼표 [0] 2 7 3 2 2" xfId="1173"/>
    <cellStyle name="쉼표 [0] 2 7 3 3" xfId="804"/>
    <cellStyle name="쉼표 [0] 2 7 4" xfId="232"/>
    <cellStyle name="쉼표 [0] 2 7 4 2" xfId="233"/>
    <cellStyle name="쉼표 [0] 2 7 4 2 2" xfId="1174"/>
    <cellStyle name="쉼표 [0] 2 7 5" xfId="234"/>
    <cellStyle name="쉼표 [0] 2 7 5 2" xfId="1171"/>
    <cellStyle name="쉼표 [0] 2 8" xfId="235"/>
    <cellStyle name="쉼표 [0] 2 8 2" xfId="236"/>
    <cellStyle name="쉼표 [0] 2 8 2 2" xfId="237"/>
    <cellStyle name="쉼표 [0] 2 8 2 2 2" xfId="1176"/>
    <cellStyle name="쉼표 [0] 2 8 2 3" xfId="806"/>
    <cellStyle name="쉼표 [0] 2 8 3" xfId="238"/>
    <cellStyle name="쉼표 [0] 2 8 3 2" xfId="239"/>
    <cellStyle name="쉼표 [0] 2 8 3 2 2" xfId="1177"/>
    <cellStyle name="쉼표 [0] 2 8 3 3" xfId="807"/>
    <cellStyle name="쉼표 [0] 2 8 4" xfId="240"/>
    <cellStyle name="쉼표 [0] 2 8 4 2" xfId="1175"/>
    <cellStyle name="쉼표 [0] 2 8 5" xfId="805"/>
    <cellStyle name="쉼표 [0] 2 9" xfId="241"/>
    <cellStyle name="쉼표 [0] 2 9 2" xfId="242"/>
    <cellStyle name="쉼표 [0] 2 9 2 2" xfId="1178"/>
    <cellStyle name="쉼표 [0] 3" xfId="243"/>
    <cellStyle name="쉼표 [0] 3 10" xfId="244"/>
    <cellStyle name="쉼표 [0] 3 10 2" xfId="1179"/>
    <cellStyle name="쉼표 [0] 3 11" xfId="808"/>
    <cellStyle name="쉼표 [0] 3 2" xfId="245"/>
    <cellStyle name="쉼표 [0] 3 2 2" xfId="246"/>
    <cellStyle name="쉼표 [0] 3 2 2 2" xfId="1180"/>
    <cellStyle name="쉼표 [0] 3 2 3" xfId="809"/>
    <cellStyle name="쉼표 [0] 3 3" xfId="247"/>
    <cellStyle name="쉼표 [0] 3 3 2" xfId="248"/>
    <cellStyle name="쉼표 [0] 3 3 2 2" xfId="1181"/>
    <cellStyle name="쉼표 [0] 3 3 3" xfId="810"/>
    <cellStyle name="쉼표 [0] 3 4" xfId="249"/>
    <cellStyle name="쉼표 [0] 3 4 2" xfId="250"/>
    <cellStyle name="쉼표 [0] 3 4 2 2" xfId="1182"/>
    <cellStyle name="쉼표 [0] 3 4 3" xfId="811"/>
    <cellStyle name="쉼표 [0] 3 5" xfId="251"/>
    <cellStyle name="쉼표 [0] 3 5 2" xfId="252"/>
    <cellStyle name="쉼표 [0] 3 5 2 2" xfId="1183"/>
    <cellStyle name="쉼표 [0] 3 5 3" xfId="812"/>
    <cellStyle name="쉼표 [0] 3 6" xfId="253"/>
    <cellStyle name="쉼표 [0] 3 6 2" xfId="254"/>
    <cellStyle name="쉼표 [0] 3 6 2 2" xfId="1184"/>
    <cellStyle name="쉼표 [0] 3 6 3" xfId="813"/>
    <cellStyle name="쉼표 [0] 3 7" xfId="255"/>
    <cellStyle name="쉼표 [0] 3 7 2" xfId="256"/>
    <cellStyle name="쉼표 [0] 3 7 2 2" xfId="1185"/>
    <cellStyle name="쉼표 [0] 3 7 3" xfId="814"/>
    <cellStyle name="쉼표 [0] 3 8" xfId="257"/>
    <cellStyle name="쉼표 [0] 3 8 2" xfId="258"/>
    <cellStyle name="쉼표 [0] 3 8 2 2" xfId="1186"/>
    <cellStyle name="쉼표 [0] 3 8 3" xfId="815"/>
    <cellStyle name="쉼표 [0] 3 9" xfId="259"/>
    <cellStyle name="쉼표 [0] 3 9 2" xfId="260"/>
    <cellStyle name="쉼표 [0] 3 9 2 2" xfId="1187"/>
    <cellStyle name="쉼표 [0] 3 9 3" xfId="816"/>
    <cellStyle name="쉼표 [0] 4" xfId="261"/>
    <cellStyle name="쉼표 [0] 4 2" xfId="262"/>
    <cellStyle name="쉼표 [0] 4 2 2" xfId="263"/>
    <cellStyle name="쉼표 [0] 4 2 2 2" xfId="264"/>
    <cellStyle name="쉼표 [0] 4 2 2 2 2" xfId="1190"/>
    <cellStyle name="쉼표 [0] 4 2 2 3" xfId="819"/>
    <cellStyle name="쉼표 [0] 4 2 3" xfId="265"/>
    <cellStyle name="쉼표 [0] 4 2 3 2" xfId="266"/>
    <cellStyle name="쉼표 [0] 4 2 3 2 2" xfId="1191"/>
    <cellStyle name="쉼표 [0] 4 2 3 3" xfId="820"/>
    <cellStyle name="쉼표 [0] 4 2 4" xfId="267"/>
    <cellStyle name="쉼표 [0] 4 2 4 2" xfId="1189"/>
    <cellStyle name="쉼표 [0] 4 2 5" xfId="818"/>
    <cellStyle name="쉼표 [0] 4 3" xfId="268"/>
    <cellStyle name="쉼표 [0] 4 3 2" xfId="1188"/>
    <cellStyle name="쉼표 [0] 4 4" xfId="817"/>
    <cellStyle name="쉼표 [0] 5" xfId="269"/>
    <cellStyle name="쉼표 [0] 5 2" xfId="270"/>
    <cellStyle name="쉼표 [0] 5 2 2" xfId="1192"/>
    <cellStyle name="쉼표 [0] 5 3" xfId="821"/>
    <cellStyle name="쉼표 [0] 6" xfId="271"/>
    <cellStyle name="쉼표 [0] 6 2" xfId="272"/>
    <cellStyle name="쉼표 [0] 6 2 2" xfId="1193"/>
    <cellStyle name="쉼표 [0] 6 3" xfId="822"/>
    <cellStyle name="쉼표 [0] 7" xfId="273"/>
    <cellStyle name="쉼표 [0] 7 2" xfId="797"/>
    <cellStyle name="쉼표 [0] 8" xfId="274"/>
    <cellStyle name="쉼표 [0] 8 2" xfId="1164"/>
    <cellStyle name="쉼표 [0] 9" xfId="536"/>
    <cellStyle name="쉼표 [0] 9 2" xfId="618"/>
    <cellStyle name="쉼표 2" xfId="275"/>
    <cellStyle name="쉼표 2 2" xfId="276"/>
    <cellStyle name="쉼표 2 2 2" xfId="1194"/>
    <cellStyle name="쉼표 3" xfId="277"/>
    <cellStyle name="쉼표 3 2" xfId="278"/>
    <cellStyle name="쉼표 3 2 2" xfId="1195"/>
    <cellStyle name="스타일 1" xfId="279"/>
    <cellStyle name="스타일 1 2" xfId="823"/>
    <cellStyle name="연결된 셀" xfId="712" builtinId="24" customBuiltin="1"/>
    <cellStyle name="연결된 셀 2" xfId="280"/>
    <cellStyle name="연결된 셀 2 2" xfId="824"/>
    <cellStyle name="열어 본 하이퍼링크" xfId="1" builtinId="9" hidden="1"/>
    <cellStyle name="열어 본 하이퍼링크" xfId="2" builtinId="9" hidden="1"/>
    <cellStyle name="열어 본 하이퍼링크" xfId="505" builtinId="9" hidden="1"/>
    <cellStyle name="열어 본 하이퍼링크" xfId="506" builtinId="9" hidden="1"/>
    <cellStyle name="열어 본 하이퍼링크" xfId="507" builtinId="9" hidden="1"/>
    <cellStyle name="열어 본 하이퍼링크" xfId="508" builtinId="9" hidden="1"/>
    <cellStyle name="열어 본 하이퍼링크" xfId="509" builtinId="9" hidden="1"/>
    <cellStyle name="열어 본 하이퍼링크" xfId="510" builtinId="9" hidden="1"/>
    <cellStyle name="열어 본 하이퍼링크" xfId="511" builtinId="9" hidden="1"/>
    <cellStyle name="열어 본 하이퍼링크" xfId="512" builtinId="9" hidden="1"/>
    <cellStyle name="열어 본 하이퍼링크" xfId="513" builtinId="9" hidden="1"/>
    <cellStyle name="열어 본 하이퍼링크" xfId="514" builtinId="9" hidden="1"/>
    <cellStyle name="열어 본 하이퍼링크" xfId="515" builtinId="9" hidden="1"/>
    <cellStyle name="열어 본 하이퍼링크" xfId="516" builtinId="9" hidden="1"/>
    <cellStyle name="열어 본 하이퍼링크" xfId="517" builtinId="9" hidden="1"/>
    <cellStyle name="열어 본 하이퍼링크" xfId="518" builtinId="9" hidden="1"/>
    <cellStyle name="열어 본 하이퍼링크" xfId="519" builtinId="9" hidden="1"/>
    <cellStyle name="열어 본 하이퍼링크" xfId="520" builtinId="9" hidden="1"/>
    <cellStyle name="열어 본 하이퍼링크" xfId="521" builtinId="9" hidden="1"/>
    <cellStyle name="열어 본 하이퍼링크" xfId="522" builtinId="9" hidden="1"/>
    <cellStyle name="열어 본 하이퍼링크" xfId="523" builtinId="9" hidden="1"/>
    <cellStyle name="열어 본 하이퍼링크" xfId="524" builtinId="9" hidden="1"/>
    <cellStyle name="열어 본 하이퍼링크" xfId="525" builtinId="9" hidden="1"/>
    <cellStyle name="열어 본 하이퍼링크" xfId="526" builtinId="9" hidden="1"/>
    <cellStyle name="열어 본 하이퍼링크" xfId="527" builtinId="9" hidden="1"/>
    <cellStyle name="열어 본 하이퍼링크" xfId="528" builtinId="9" hidden="1"/>
    <cellStyle name="열어 본 하이퍼링크" xfId="529" builtinId="9" hidden="1"/>
    <cellStyle name="열어 본 하이퍼링크" xfId="530" builtinId="9" hidden="1"/>
    <cellStyle name="열어 본 하이퍼링크" xfId="531" builtinId="9" hidden="1"/>
    <cellStyle name="열어 본 하이퍼링크" xfId="532" builtinId="9" hidden="1"/>
    <cellStyle name="열어 본 하이퍼링크" xfId="533" builtinId="9" hidden="1"/>
    <cellStyle name="열어 본 하이퍼링크" xfId="538" builtinId="9" hidden="1"/>
    <cellStyle name="열어 본 하이퍼링크" xfId="539" builtinId="9" hidden="1"/>
    <cellStyle name="열어 본 하이퍼링크" xfId="540" builtinId="9" hidden="1"/>
    <cellStyle name="열어 본 하이퍼링크" xfId="541" builtinId="9" hidden="1"/>
    <cellStyle name="열어 본 하이퍼링크" xfId="542" builtinId="9" hidden="1"/>
    <cellStyle name="열어 본 하이퍼링크" xfId="543" builtinId="9" hidden="1"/>
    <cellStyle name="열어 본 하이퍼링크" xfId="544" builtinId="9" hidden="1"/>
    <cellStyle name="열어 본 하이퍼링크" xfId="545" builtinId="9" hidden="1"/>
    <cellStyle name="열어 본 하이퍼링크" xfId="546" builtinId="9" hidden="1"/>
    <cellStyle name="열어 본 하이퍼링크" xfId="547" builtinId="9" hidden="1"/>
    <cellStyle name="열어 본 하이퍼링크" xfId="548" builtinId="9" hidden="1"/>
    <cellStyle name="열어 본 하이퍼링크" xfId="549" builtinId="9" hidden="1"/>
    <cellStyle name="열어 본 하이퍼링크" xfId="550" builtinId="9" hidden="1"/>
    <cellStyle name="열어 본 하이퍼링크" xfId="551" builtinId="9" hidden="1"/>
    <cellStyle name="열어 본 하이퍼링크" xfId="552" builtinId="9" hidden="1"/>
    <cellStyle name="열어 본 하이퍼링크" xfId="553" builtinId="9" hidden="1"/>
    <cellStyle name="열어 본 하이퍼링크" xfId="554" builtinId="9" hidden="1"/>
    <cellStyle name="열어 본 하이퍼링크" xfId="555" builtinId="9" hidden="1"/>
    <cellStyle name="열어 본 하이퍼링크" xfId="556" builtinId="9" hidden="1"/>
    <cellStyle name="열어 본 하이퍼링크" xfId="557" builtinId="9" hidden="1"/>
    <cellStyle name="열어 본 하이퍼링크" xfId="558" builtinId="9" hidden="1"/>
    <cellStyle name="열어 본 하이퍼링크" xfId="559" builtinId="9" hidden="1"/>
    <cellStyle name="열어 본 하이퍼링크" xfId="560" builtinId="9" hidden="1"/>
    <cellStyle name="열어 본 하이퍼링크" xfId="561" builtinId="9" hidden="1"/>
    <cellStyle name="열어 본 하이퍼링크" xfId="562" builtinId="9" hidden="1"/>
    <cellStyle name="열어 본 하이퍼링크" xfId="563" builtinId="9" hidden="1"/>
    <cellStyle name="열어 본 하이퍼링크" xfId="564" builtinId="9" hidden="1"/>
    <cellStyle name="열어 본 하이퍼링크" xfId="565" builtinId="9" hidden="1"/>
    <cellStyle name="열어 본 하이퍼링크" xfId="566" builtinId="9" hidden="1"/>
    <cellStyle name="열어 본 하이퍼링크" xfId="567" builtinId="9" hidden="1"/>
    <cellStyle name="열어 본 하이퍼링크" xfId="568" builtinId="9" hidden="1"/>
    <cellStyle name="열어 본 하이퍼링크" xfId="569" builtinId="9" hidden="1"/>
    <cellStyle name="열어 본 하이퍼링크" xfId="570" builtinId="9" hidden="1"/>
    <cellStyle name="열어 본 하이퍼링크" xfId="571" builtinId="9" hidden="1"/>
    <cellStyle name="열어 본 하이퍼링크" xfId="572" builtinId="9" hidden="1"/>
    <cellStyle name="열어 본 하이퍼링크" xfId="573" builtinId="9" hidden="1"/>
    <cellStyle name="열어 본 하이퍼링크" xfId="574" builtinId="9" hidden="1"/>
    <cellStyle name="열어 본 하이퍼링크" xfId="575" builtinId="9" hidden="1"/>
    <cellStyle name="열어 본 하이퍼링크" xfId="576" builtinId="9" hidden="1"/>
    <cellStyle name="열어 본 하이퍼링크" xfId="577" builtinId="9" hidden="1"/>
    <cellStyle name="열어 본 하이퍼링크" xfId="578" builtinId="9" hidden="1"/>
    <cellStyle name="열어 본 하이퍼링크" xfId="579" builtinId="9" hidden="1"/>
    <cellStyle name="열어 본 하이퍼링크" xfId="580" builtinId="9" hidden="1"/>
    <cellStyle name="열어 본 하이퍼링크" xfId="581" builtinId="9" hidden="1"/>
    <cellStyle name="열어 본 하이퍼링크" xfId="582" builtinId="9" hidden="1"/>
    <cellStyle name="열어 본 하이퍼링크" xfId="583" builtinId="9" hidden="1"/>
    <cellStyle name="열어 본 하이퍼링크" xfId="584" builtinId="9" hidden="1"/>
    <cellStyle name="열어 본 하이퍼링크" xfId="585" builtinId="9" hidden="1"/>
    <cellStyle name="열어 본 하이퍼링크" xfId="586" builtinId="9" hidden="1"/>
    <cellStyle name="열어 본 하이퍼링크" xfId="587" builtinId="9" hidden="1"/>
    <cellStyle name="열어 본 하이퍼링크" xfId="588" builtinId="9" hidden="1"/>
    <cellStyle name="열어 본 하이퍼링크" xfId="589" builtinId="9" hidden="1"/>
    <cellStyle name="열어 본 하이퍼링크" xfId="590" builtinId="9" hidden="1"/>
    <cellStyle name="열어 본 하이퍼링크" xfId="591" builtinId="9" hidden="1"/>
    <cellStyle name="열어 본 하이퍼링크" xfId="592" builtinId="9" hidden="1"/>
    <cellStyle name="열어 본 하이퍼링크" xfId="593" builtinId="9" hidden="1"/>
    <cellStyle name="열어 본 하이퍼링크" xfId="594" builtinId="9" hidden="1"/>
    <cellStyle name="열어 본 하이퍼링크" xfId="595" builtinId="9" hidden="1"/>
    <cellStyle name="열어 본 하이퍼링크" xfId="596" builtinId="9" hidden="1"/>
    <cellStyle name="열어 본 하이퍼링크" xfId="597" builtinId="9" hidden="1"/>
    <cellStyle name="열어 본 하이퍼링크" xfId="598" builtinId="9" hidden="1"/>
    <cellStyle name="열어 본 하이퍼링크" xfId="599" builtinId="9" hidden="1"/>
    <cellStyle name="열어 본 하이퍼링크" xfId="600" builtinId="9" hidden="1"/>
    <cellStyle name="열어 본 하이퍼링크" xfId="601" builtinId="9" hidden="1"/>
    <cellStyle name="열어 본 하이퍼링크" xfId="602" builtinId="9" hidden="1"/>
    <cellStyle name="열어 본 하이퍼링크" xfId="603" builtinId="9" hidden="1"/>
    <cellStyle name="열어 본 하이퍼링크" xfId="604" builtinId="9" hidden="1"/>
    <cellStyle name="열어 본 하이퍼링크" xfId="605" builtinId="9" hidden="1"/>
    <cellStyle name="열어 본 하이퍼링크" xfId="606" builtinId="9" hidden="1"/>
    <cellStyle name="열어 본 하이퍼링크" xfId="607" builtinId="9" hidden="1"/>
    <cellStyle name="열어 본 하이퍼링크" xfId="608" builtinId="9" hidden="1"/>
    <cellStyle name="열어 본 하이퍼링크" xfId="609" builtinId="9" hidden="1"/>
    <cellStyle name="열어 본 하이퍼링크" xfId="610" builtinId="9" hidden="1"/>
    <cellStyle name="열어 본 하이퍼링크" xfId="611" builtinId="9" hidden="1"/>
    <cellStyle name="열어 본 하이퍼링크" xfId="612" builtinId="9" hidden="1"/>
    <cellStyle name="열어 본 하이퍼링크" xfId="613" builtinId="9" hidden="1"/>
    <cellStyle name="열어 본 하이퍼링크" xfId="614" builtinId="9" hidden="1"/>
    <cellStyle name="열어 본 하이퍼링크" xfId="615" builtinId="9" hidden="1"/>
    <cellStyle name="열어 본 하이퍼링크" xfId="616" builtinId="9" hidden="1"/>
    <cellStyle name="열어 본 하이퍼링크" xfId="617" builtinId="9" hidden="1"/>
    <cellStyle name="열어 본 하이퍼링크" xfId="621" builtinId="9" hidden="1"/>
    <cellStyle name="열어 본 하이퍼링크" xfId="622" builtinId="9" hidden="1"/>
    <cellStyle name="열어 본 하이퍼링크" xfId="623" builtinId="9" hidden="1"/>
    <cellStyle name="열어 본 하이퍼링크" xfId="624" builtinId="9" hidden="1"/>
    <cellStyle name="열어 본 하이퍼링크" xfId="625" builtinId="9" hidden="1"/>
    <cellStyle name="열어 본 하이퍼링크" xfId="626" builtinId="9" hidden="1"/>
    <cellStyle name="열어 본 하이퍼링크" xfId="627" builtinId="9" hidden="1"/>
    <cellStyle name="열어 본 하이퍼링크" xfId="628" builtinId="9" hidden="1"/>
    <cellStyle name="열어 본 하이퍼링크" xfId="629" builtinId="9" hidden="1"/>
    <cellStyle name="열어 본 하이퍼링크" xfId="630" builtinId="9" hidden="1"/>
    <cellStyle name="열어 본 하이퍼링크" xfId="631" builtinId="9" hidden="1"/>
    <cellStyle name="열어 본 하이퍼링크" xfId="632" builtinId="9" hidden="1"/>
    <cellStyle name="열어 본 하이퍼링크" xfId="633" builtinId="9" hidden="1"/>
    <cellStyle name="열어 본 하이퍼링크" xfId="634" builtinId="9" hidden="1"/>
    <cellStyle name="열어 본 하이퍼링크" xfId="635" builtinId="9" hidden="1"/>
    <cellStyle name="열어 본 하이퍼링크" xfId="636" builtinId="9" hidden="1"/>
    <cellStyle name="열어 본 하이퍼링크" xfId="637" builtinId="9" hidden="1"/>
    <cellStyle name="열어 본 하이퍼링크" xfId="638" builtinId="9" hidden="1"/>
    <cellStyle name="열어 본 하이퍼링크" xfId="639" builtinId="9" hidden="1"/>
    <cellStyle name="열어 본 하이퍼링크" xfId="640" builtinId="9" hidden="1"/>
    <cellStyle name="열어 본 하이퍼링크" xfId="641" builtinId="9" hidden="1"/>
    <cellStyle name="열어 본 하이퍼링크" xfId="642" builtinId="9" hidden="1"/>
    <cellStyle name="열어 본 하이퍼링크" xfId="643" builtinId="9" hidden="1"/>
    <cellStyle name="열어 본 하이퍼링크" xfId="644" builtinId="9" hidden="1"/>
    <cellStyle name="열어 본 하이퍼링크" xfId="645" builtinId="9" hidden="1"/>
    <cellStyle name="열어 본 하이퍼링크" xfId="646" builtinId="9" hidden="1"/>
    <cellStyle name="열어 본 하이퍼링크" xfId="647" builtinId="9" hidden="1"/>
    <cellStyle name="열어 본 하이퍼링크" xfId="648" builtinId="9" hidden="1"/>
    <cellStyle name="열어 본 하이퍼링크" xfId="649" builtinId="9" hidden="1"/>
    <cellStyle name="열어 본 하이퍼링크" xfId="650" builtinId="9" hidden="1"/>
    <cellStyle name="열어 본 하이퍼링크" xfId="651" builtinId="9" hidden="1"/>
    <cellStyle name="열어 본 하이퍼링크" xfId="652" builtinId="9" hidden="1"/>
    <cellStyle name="열어 본 하이퍼링크" xfId="653" builtinId="9" hidden="1"/>
    <cellStyle name="열어 본 하이퍼링크" xfId="654" builtinId="9" hidden="1"/>
    <cellStyle name="열어 본 하이퍼링크" xfId="655" builtinId="9" hidden="1"/>
    <cellStyle name="열어 본 하이퍼링크" xfId="656" builtinId="9" hidden="1"/>
    <cellStyle name="열어 본 하이퍼링크" xfId="657" builtinId="9" hidden="1"/>
    <cellStyle name="열어 본 하이퍼링크" xfId="658" builtinId="9" hidden="1"/>
    <cellStyle name="열어 본 하이퍼링크" xfId="659" builtinId="9" hidden="1"/>
    <cellStyle name="열어 본 하이퍼링크" xfId="660" builtinId="9" hidden="1"/>
    <cellStyle name="열어 본 하이퍼링크" xfId="661" builtinId="9" hidden="1"/>
    <cellStyle name="열어 본 하이퍼링크" xfId="662" builtinId="9" hidden="1"/>
    <cellStyle name="열어 본 하이퍼링크" xfId="663" builtinId="9" hidden="1"/>
    <cellStyle name="열어 본 하이퍼링크" xfId="664" builtinId="9" hidden="1"/>
    <cellStyle name="열어 본 하이퍼링크" xfId="665" builtinId="9" hidden="1"/>
    <cellStyle name="열어 본 하이퍼링크" xfId="666" builtinId="9" hidden="1"/>
    <cellStyle name="열어 본 하이퍼링크" xfId="667" builtinId="9" hidden="1"/>
    <cellStyle name="열어 본 하이퍼링크" xfId="668" builtinId="9" hidden="1"/>
    <cellStyle name="열어 본 하이퍼링크" xfId="669" builtinId="9" hidden="1"/>
    <cellStyle name="열어 본 하이퍼링크" xfId="670" builtinId="9" hidden="1"/>
    <cellStyle name="열어 본 하이퍼링크" xfId="671" builtinId="9" hidden="1"/>
    <cellStyle name="열어 본 하이퍼링크" xfId="672" builtinId="9" hidden="1"/>
    <cellStyle name="열어 본 하이퍼링크" xfId="673" builtinId="9" hidden="1"/>
    <cellStyle name="열어 본 하이퍼링크" xfId="674" builtinId="9" hidden="1"/>
    <cellStyle name="열어 본 하이퍼링크" xfId="675" builtinId="9" hidden="1"/>
    <cellStyle name="열어 본 하이퍼링크" xfId="676" builtinId="9" hidden="1"/>
    <cellStyle name="열어 본 하이퍼링크" xfId="677" builtinId="9" hidden="1"/>
    <cellStyle name="열어 본 하이퍼링크" xfId="678" builtinId="9" hidden="1"/>
    <cellStyle name="열어 본 하이퍼링크" xfId="679" builtinId="9" hidden="1"/>
    <cellStyle name="열어 본 하이퍼링크" xfId="680" builtinId="9" hidden="1"/>
    <cellStyle name="열어 본 하이퍼링크" xfId="681" builtinId="9" hidden="1"/>
    <cellStyle name="열어 본 하이퍼링크" xfId="682" builtinId="9" hidden="1"/>
    <cellStyle name="열어 본 하이퍼링크" xfId="683" builtinId="9" hidden="1"/>
    <cellStyle name="열어 본 하이퍼링크" xfId="684" builtinId="9" hidden="1"/>
    <cellStyle name="열어 본 하이퍼링크" xfId="685" builtinId="9" hidden="1"/>
    <cellStyle name="열어 본 하이퍼링크" xfId="686" builtinId="9" hidden="1"/>
    <cellStyle name="열어 본 하이퍼링크" xfId="687" builtinId="9" hidden="1"/>
    <cellStyle name="열어 본 하이퍼링크" xfId="688" builtinId="9" hidden="1"/>
    <cellStyle name="열어 본 하이퍼링크" xfId="689" builtinId="9" hidden="1"/>
    <cellStyle name="열어 본 하이퍼링크" xfId="690" builtinId="9" hidden="1"/>
    <cellStyle name="열어 본 하이퍼링크" xfId="691" builtinId="9" hidden="1"/>
    <cellStyle name="열어 본 하이퍼링크" xfId="692" builtinId="9" hidden="1"/>
    <cellStyle name="열어 본 하이퍼링크" xfId="693" builtinId="9" hidden="1"/>
    <cellStyle name="열어 본 하이퍼링크" xfId="694" builtinId="9" hidden="1"/>
    <cellStyle name="열어 본 하이퍼링크" xfId="695" builtinId="9" hidden="1"/>
    <cellStyle name="열어 본 하이퍼링크" xfId="696" builtinId="9" hidden="1"/>
    <cellStyle name="열어 본 하이퍼링크" xfId="697" builtinId="9" hidden="1"/>
    <cellStyle name="열어 본 하이퍼링크" xfId="698" builtinId="9" hidden="1"/>
    <cellStyle name="열어 본 하이퍼링크" xfId="699" builtinId="9" hidden="1"/>
    <cellStyle name="열어 본 하이퍼링크" xfId="700" builtinId="9" hidden="1"/>
    <cellStyle name="열어 본 하이퍼링크" xfId="701" builtinId="9" hidden="1"/>
    <cellStyle name="요약" xfId="716" builtinId="25" customBuiltin="1"/>
    <cellStyle name="요약 2" xfId="281"/>
    <cellStyle name="요약 2 2" xfId="825"/>
    <cellStyle name="一般_Sheet1" xfId="282"/>
    <cellStyle name="입력" xfId="709" builtinId="20" customBuiltin="1"/>
    <cellStyle name="입력 2" xfId="283"/>
    <cellStyle name="입력 2 2" xfId="826"/>
    <cellStyle name="제목 1" xfId="705" builtinId="16" customBuiltin="1"/>
    <cellStyle name="제목 1 2" xfId="284"/>
    <cellStyle name="제목 1 2 2" xfId="827"/>
    <cellStyle name="제목 2" xfId="706" builtinId="17" customBuiltin="1"/>
    <cellStyle name="제목 2 2" xfId="285"/>
    <cellStyle name="제목 2 2 2" xfId="828"/>
    <cellStyle name="제목 3" xfId="707" builtinId="18" customBuiltin="1"/>
    <cellStyle name="제목 3 2" xfId="286"/>
    <cellStyle name="제목 3 2 2" xfId="829"/>
    <cellStyle name="제목 4" xfId="708" builtinId="19" customBuiltin="1"/>
    <cellStyle name="제목 4 2" xfId="287"/>
    <cellStyle name="제목 4 2 2" xfId="830"/>
    <cellStyle name="제목 5" xfId="288"/>
    <cellStyle name="제목 5 2" xfId="831"/>
    <cellStyle name="제목 6" xfId="742"/>
    <cellStyle name="좋음" xfId="702" builtinId="26" customBuiltin="1"/>
    <cellStyle name="좋음 2" xfId="289"/>
    <cellStyle name="좋음 2 2" xfId="832"/>
    <cellStyle name="출력" xfId="710" builtinId="21" customBuiltin="1"/>
    <cellStyle name="출력 2" xfId="290"/>
    <cellStyle name="출력 2 2" xfId="833"/>
    <cellStyle name="통화 [0] 3" xfId="291"/>
    <cellStyle name="통화 [0] 3 2" xfId="292"/>
    <cellStyle name="통화 [0] 3 2 2" xfId="1196"/>
    <cellStyle name="통화 [0] 3 3" xfId="834"/>
    <cellStyle name="통화 [0] 4" xfId="293"/>
    <cellStyle name="통화 [0] 4 2" xfId="294"/>
    <cellStyle name="통화 [0] 4 2 2" xfId="295"/>
    <cellStyle name="통화 [0] 4 2 2 2" xfId="1198"/>
    <cellStyle name="통화 [0] 4 2 3" xfId="835"/>
    <cellStyle name="통화 [0] 4 3" xfId="296"/>
    <cellStyle name="통화 [0] 4 3 2" xfId="1197"/>
    <cellStyle name="통화 [0] 4 4" xfId="738"/>
    <cellStyle name="표준" xfId="0" builtinId="0"/>
    <cellStyle name="표준 10" xfId="297"/>
    <cellStyle name="표준 10 10" xfId="298"/>
    <cellStyle name="표준 10 10 2" xfId="837"/>
    <cellStyle name="표준 10 12 2" xfId="299"/>
    <cellStyle name="표준 10 2" xfId="300"/>
    <cellStyle name="표준 10 2 2" xfId="838"/>
    <cellStyle name="표준 10 3" xfId="301"/>
    <cellStyle name="표준 10 3 2" xfId="839"/>
    <cellStyle name="표준 10 4" xfId="836"/>
    <cellStyle name="표준 102 5 2 4 2 2" xfId="302"/>
    <cellStyle name="표준 102 5 2 4 2 2 2" xfId="840"/>
    <cellStyle name="표준 11" xfId="303"/>
    <cellStyle name="표준 11 2" xfId="304"/>
    <cellStyle name="표준 11 2 2" xfId="842"/>
    <cellStyle name="표준 11 3" xfId="305"/>
    <cellStyle name="표준 11 3 2" xfId="306"/>
    <cellStyle name="표준 11 3 2 2" xfId="307"/>
    <cellStyle name="표준 11 3 2 2 2" xfId="845"/>
    <cellStyle name="표준 11 3 2 3" xfId="308"/>
    <cellStyle name="표준 11 3 2 3 2" xfId="846"/>
    <cellStyle name="표준 11 3 2 4" xfId="844"/>
    <cellStyle name="표준 11 3 3" xfId="309"/>
    <cellStyle name="표준 11 3 3 2" xfId="847"/>
    <cellStyle name="표준 11 3 4" xfId="310"/>
    <cellStyle name="표준 11 3 4 2" xfId="848"/>
    <cellStyle name="표준 11 3 5" xfId="311"/>
    <cellStyle name="표준 11 3 5 2" xfId="849"/>
    <cellStyle name="표준 11 3 6" xfId="843"/>
    <cellStyle name="표준 11 4" xfId="841"/>
    <cellStyle name="표준 114" xfId="312"/>
    <cellStyle name="표준 114 2" xfId="850"/>
    <cellStyle name="표준 12" xfId="313"/>
    <cellStyle name="표준 12 2" xfId="851"/>
    <cellStyle name="표준 13" xfId="314"/>
    <cellStyle name="표준 13 2" xfId="852"/>
    <cellStyle name="표준 14" xfId="315"/>
    <cellStyle name="표준 14 2" xfId="853"/>
    <cellStyle name="표준 15" xfId="316"/>
    <cellStyle name="표준 15 2" xfId="854"/>
    <cellStyle name="표준 16" xfId="317"/>
    <cellStyle name="표준 16 2" xfId="318"/>
    <cellStyle name="표준 16 2 2" xfId="856"/>
    <cellStyle name="표준 16 3" xfId="319"/>
    <cellStyle name="표준 16 3 2" xfId="857"/>
    <cellStyle name="표준 16 4" xfId="320"/>
    <cellStyle name="표준 16 4 2" xfId="858"/>
    <cellStyle name="표준 16 5" xfId="855"/>
    <cellStyle name="표준 17" xfId="321"/>
    <cellStyle name="표준 17 2" xfId="859"/>
    <cellStyle name="표준 18" xfId="322"/>
    <cellStyle name="표준 18 2" xfId="323"/>
    <cellStyle name="표준 18 2 2" xfId="861"/>
    <cellStyle name="표준 18 3" xfId="324"/>
    <cellStyle name="표준 18 3 2" xfId="862"/>
    <cellStyle name="표준 18 4" xfId="860"/>
    <cellStyle name="표준 19" xfId="325"/>
    <cellStyle name="표준 19 2" xfId="326"/>
    <cellStyle name="표준 19 2 2" xfId="864"/>
    <cellStyle name="표준 19 3" xfId="327"/>
    <cellStyle name="표준 19 3 2" xfId="865"/>
    <cellStyle name="표준 19 4" xfId="863"/>
    <cellStyle name="표준 2" xfId="328"/>
    <cellStyle name="표준 2 10" xfId="329"/>
    <cellStyle name="표준 2 10 2" xfId="330"/>
    <cellStyle name="표준 2 10 2 2" xfId="867"/>
    <cellStyle name="표준 2 10 3" xfId="866"/>
    <cellStyle name="표준 2 11" xfId="331"/>
    <cellStyle name="표준 2 11 2" xfId="868"/>
    <cellStyle name="표준 2 12" xfId="332"/>
    <cellStyle name="표준 2 13" xfId="333"/>
    <cellStyle name="표준 2 13 2" xfId="869"/>
    <cellStyle name="표준 2 14" xfId="334"/>
    <cellStyle name="표준 2 14 2" xfId="870"/>
    <cellStyle name="표준 2 15" xfId="535"/>
    <cellStyle name="표준 2 2" xfId="335"/>
    <cellStyle name="표준 2 2 2" xfId="336"/>
    <cellStyle name="표준 2 2 2 2" xfId="337"/>
    <cellStyle name="표준 2 2 2 2 2" xfId="871"/>
    <cellStyle name="표준 2 2 2 3" xfId="338"/>
    <cellStyle name="표준 2 2 2 3 2" xfId="872"/>
    <cellStyle name="표준 2 2 2 4" xfId="620"/>
    <cellStyle name="표준 2 2 3" xfId="339"/>
    <cellStyle name="표준 2 2 3 2" xfId="873"/>
    <cellStyle name="표준 2 2 4" xfId="340"/>
    <cellStyle name="표준 2 2 4 2" xfId="874"/>
    <cellStyle name="표준 2 2 5" xfId="341"/>
    <cellStyle name="표준 2 2 5 2" xfId="875"/>
    <cellStyle name="표준 2 22" xfId="1214"/>
    <cellStyle name="표준 2 3" xfId="342"/>
    <cellStyle name="표준 2 3 2" xfId="343"/>
    <cellStyle name="표준 2 3 2 2" xfId="877"/>
    <cellStyle name="표준 2 3 3" xfId="344"/>
    <cellStyle name="표준 2 3 3 2" xfId="878"/>
    <cellStyle name="표준 2 3 4" xfId="345"/>
    <cellStyle name="표준 2 3 4 2" xfId="879"/>
    <cellStyle name="표준 2 3 5" xfId="876"/>
    <cellStyle name="표준 2 4" xfId="346"/>
    <cellStyle name="표준 2 4 2" xfId="880"/>
    <cellStyle name="표준 2 5" xfId="347"/>
    <cellStyle name="표준 2 5 2" xfId="881"/>
    <cellStyle name="표준 2 6" xfId="348"/>
    <cellStyle name="표준 2 6 2" xfId="882"/>
    <cellStyle name="표준 2 7" xfId="349"/>
    <cellStyle name="표준 2 7 2" xfId="350"/>
    <cellStyle name="표준 2 7 3" xfId="351"/>
    <cellStyle name="표준 2 7 3 2" xfId="883"/>
    <cellStyle name="표준 2 7 4" xfId="352"/>
    <cellStyle name="표준 2 8" xfId="353"/>
    <cellStyle name="표준 2 8 2" xfId="354"/>
    <cellStyle name="표준 2 8 2 2" xfId="885"/>
    <cellStyle name="표준 2 8 3" xfId="355"/>
    <cellStyle name="표준 2 8 3 2" xfId="886"/>
    <cellStyle name="표준 2 8 4" xfId="884"/>
    <cellStyle name="표준 2 9" xfId="356"/>
    <cellStyle name="표준 20" xfId="357"/>
    <cellStyle name="표준 20 2" xfId="358"/>
    <cellStyle name="표준 20 2 2" xfId="888"/>
    <cellStyle name="표준 20 3" xfId="359"/>
    <cellStyle name="표준 20 3 2" xfId="889"/>
    <cellStyle name="표준 20 4" xfId="887"/>
    <cellStyle name="표준 21" xfId="360"/>
    <cellStyle name="표준 22" xfId="361"/>
    <cellStyle name="표준 23" xfId="362"/>
    <cellStyle name="표준 23 2" xfId="890"/>
    <cellStyle name="표준 24" xfId="363"/>
    <cellStyle name="표준 24 2" xfId="364"/>
    <cellStyle name="표준 24 2 2" xfId="891"/>
    <cellStyle name="표준 24 3" xfId="365"/>
    <cellStyle name="표준 24 3 2" xfId="892"/>
    <cellStyle name="표준 24 4" xfId="737"/>
    <cellStyle name="표준 25" xfId="366"/>
    <cellStyle name="표준 25 2" xfId="893"/>
    <cellStyle name="표준 26" xfId="367"/>
    <cellStyle name="표준 26 2" xfId="894"/>
    <cellStyle name="표준 27" xfId="368"/>
    <cellStyle name="표준 27 2" xfId="895"/>
    <cellStyle name="표준 28" xfId="369"/>
    <cellStyle name="표준 28 2" xfId="896"/>
    <cellStyle name="표준 29" xfId="370"/>
    <cellStyle name="표준 29 2" xfId="897"/>
    <cellStyle name="표준 3" xfId="371"/>
    <cellStyle name="표준 3 10" xfId="372"/>
    <cellStyle name="표준 3 10 2" xfId="899"/>
    <cellStyle name="표준 3 11" xfId="898"/>
    <cellStyle name="표준 3 2" xfId="373"/>
    <cellStyle name="표준 3 2 2" xfId="1215"/>
    <cellStyle name="표준 3 3" xfId="374"/>
    <cellStyle name="표준 3 3 2" xfId="375"/>
    <cellStyle name="표준 3 3 2 2" xfId="901"/>
    <cellStyle name="표준 3 3 3" xfId="376"/>
    <cellStyle name="표준 3 3 4" xfId="377"/>
    <cellStyle name="표준 3 3 4 2" xfId="902"/>
    <cellStyle name="표준 3 3 5" xfId="900"/>
    <cellStyle name="표준 3 30" xfId="378"/>
    <cellStyle name="표준 3 4" xfId="379"/>
    <cellStyle name="표준 3 4 2" xfId="903"/>
    <cellStyle name="표준 3 5" xfId="380"/>
    <cellStyle name="표준 3 5 2" xfId="904"/>
    <cellStyle name="표준 3 6" xfId="381"/>
    <cellStyle name="표준 3 6 2" xfId="905"/>
    <cellStyle name="표준 3 7" xfId="382"/>
    <cellStyle name="표준 3 7 2" xfId="906"/>
    <cellStyle name="표준 3 8" xfId="383"/>
    <cellStyle name="표준 3 8 2" xfId="907"/>
    <cellStyle name="표준 3 9" xfId="384"/>
    <cellStyle name="표준 3 9 2" xfId="908"/>
    <cellStyle name="표준 30" xfId="385"/>
    <cellStyle name="표준 30 2" xfId="909"/>
    <cellStyle name="표준 31" xfId="386"/>
    <cellStyle name="표준 31 2" xfId="910"/>
    <cellStyle name="표준 32" xfId="387"/>
    <cellStyle name="표준 32 2" xfId="911"/>
    <cellStyle name="표준 33" xfId="388"/>
    <cellStyle name="표준 33 2" xfId="912"/>
    <cellStyle name="표준 34" xfId="389"/>
    <cellStyle name="표준 34 2" xfId="913"/>
    <cellStyle name="표준 35" xfId="390"/>
    <cellStyle name="표준 35 2" xfId="914"/>
    <cellStyle name="표준 36" xfId="391"/>
    <cellStyle name="표준 36 2" xfId="915"/>
    <cellStyle name="표준 37" xfId="392"/>
    <cellStyle name="표준 37 2" xfId="916"/>
    <cellStyle name="표준 38" xfId="393"/>
    <cellStyle name="표준 38 2" xfId="917"/>
    <cellStyle name="표준 39" xfId="394"/>
    <cellStyle name="표준 39 2" xfId="918"/>
    <cellStyle name="표준 4" xfId="395"/>
    <cellStyle name="표준 4 10" xfId="396"/>
    <cellStyle name="표준 4 10 2" xfId="397"/>
    <cellStyle name="표준 4 10 2 2" xfId="921"/>
    <cellStyle name="표준 4 10 3" xfId="398"/>
    <cellStyle name="표준 4 10 3 2" xfId="922"/>
    <cellStyle name="표준 4 10 4" xfId="920"/>
    <cellStyle name="표준 4 11" xfId="399"/>
    <cellStyle name="표준 4 11 2" xfId="400"/>
    <cellStyle name="표준 4 11 2 2" xfId="924"/>
    <cellStyle name="표준 4 11 3" xfId="401"/>
    <cellStyle name="표준 4 11 3 2" xfId="925"/>
    <cellStyle name="표준 4 11 4" xfId="923"/>
    <cellStyle name="표준 4 12" xfId="402"/>
    <cellStyle name="표준 4 12 2" xfId="926"/>
    <cellStyle name="표준 4 13" xfId="403"/>
    <cellStyle name="표준 4 13 2" xfId="927"/>
    <cellStyle name="표준 4 14" xfId="919"/>
    <cellStyle name="표준 4 2" xfId="404"/>
    <cellStyle name="표준 4 2 2" xfId="405"/>
    <cellStyle name="표준 4 2 2 2" xfId="929"/>
    <cellStyle name="표준 4 2 3" xfId="406"/>
    <cellStyle name="표준 4 2 3 2" xfId="930"/>
    <cellStyle name="표준 4 2 4" xfId="407"/>
    <cellStyle name="표준 4 2 4 2" xfId="931"/>
    <cellStyle name="표준 4 2 5" xfId="928"/>
    <cellStyle name="표준 4 3" xfId="408"/>
    <cellStyle name="표준 4 3 2" xfId="932"/>
    <cellStyle name="표준 4 4" xfId="409"/>
    <cellStyle name="표준 4 4 2" xfId="933"/>
    <cellStyle name="표준 4 5" xfId="410"/>
    <cellStyle name="표준 4 5 2" xfId="934"/>
    <cellStyle name="표준 4 6" xfId="411"/>
    <cellStyle name="표준 4 6 2" xfId="935"/>
    <cellStyle name="표준 4 7" xfId="412"/>
    <cellStyle name="표준 4 7 2" xfId="413"/>
    <cellStyle name="표준 4 7 2 2" xfId="937"/>
    <cellStyle name="표준 4 7 3" xfId="414"/>
    <cellStyle name="표준 4 7 3 2" xfId="938"/>
    <cellStyle name="표준 4 7 4" xfId="936"/>
    <cellStyle name="표준 4 8" xfId="415"/>
    <cellStyle name="표준 4 8 2" xfId="939"/>
    <cellStyle name="표준 4 9" xfId="416"/>
    <cellStyle name="표준 4 9 2" xfId="417"/>
    <cellStyle name="표준 4 9 2 2" xfId="941"/>
    <cellStyle name="표준 4 9 3" xfId="418"/>
    <cellStyle name="표준 4 9 3 2" xfId="942"/>
    <cellStyle name="표준 4 9 4" xfId="940"/>
    <cellStyle name="표준 40" xfId="419"/>
    <cellStyle name="표준 40 2" xfId="943"/>
    <cellStyle name="표준 41" xfId="420"/>
    <cellStyle name="표준 41 2" xfId="944"/>
    <cellStyle name="표준 42" xfId="421"/>
    <cellStyle name="표준 42 2" xfId="945"/>
    <cellStyle name="표준 43" xfId="422"/>
    <cellStyle name="표준 43 2" xfId="946"/>
    <cellStyle name="표준 44" xfId="423"/>
    <cellStyle name="표준 44 2" xfId="947"/>
    <cellStyle name="표준 45" xfId="424"/>
    <cellStyle name="표준 45 2" xfId="948"/>
    <cellStyle name="표준 46" xfId="425"/>
    <cellStyle name="표준 46 2" xfId="949"/>
    <cellStyle name="표준 47" xfId="426"/>
    <cellStyle name="표준 47 2" xfId="950"/>
    <cellStyle name="표준 48" xfId="427"/>
    <cellStyle name="표준 48 2" xfId="951"/>
    <cellStyle name="표준 49" xfId="428"/>
    <cellStyle name="표준 49 2" xfId="952"/>
    <cellStyle name="표준 5" xfId="429"/>
    <cellStyle name="표준 5 2" xfId="430"/>
    <cellStyle name="표준 5 2 2" xfId="954"/>
    <cellStyle name="표준 5 3" xfId="431"/>
    <cellStyle name="표준 5 3 2" xfId="432"/>
    <cellStyle name="표준 5 3 2 2" xfId="956"/>
    <cellStyle name="표준 5 3 3" xfId="433"/>
    <cellStyle name="표준 5 3 3 2" xfId="957"/>
    <cellStyle name="표준 5 3 4" xfId="955"/>
    <cellStyle name="표준 5 4" xfId="434"/>
    <cellStyle name="표준 5 4 2" xfId="435"/>
    <cellStyle name="표준 5 4 2 2" xfId="959"/>
    <cellStyle name="표준 5 4 3" xfId="436"/>
    <cellStyle name="표준 5 4 3 2" xfId="960"/>
    <cellStyle name="표준 5 4 4" xfId="958"/>
    <cellStyle name="표준 5 5" xfId="437"/>
    <cellStyle name="표준 5 5 2" xfId="438"/>
    <cellStyle name="표준 5 5 2 2" xfId="962"/>
    <cellStyle name="표준 5 5 3" xfId="439"/>
    <cellStyle name="표준 5 5 3 2" xfId="963"/>
    <cellStyle name="표준 5 5 4" xfId="961"/>
    <cellStyle name="표준 5 6" xfId="440"/>
    <cellStyle name="표준 5 6 2" xfId="441"/>
    <cellStyle name="표준 5 6 2 2" xfId="965"/>
    <cellStyle name="표준 5 6 3" xfId="442"/>
    <cellStyle name="표준 5 6 3 2" xfId="966"/>
    <cellStyle name="표준 5 6 4" xfId="964"/>
    <cellStyle name="표준 5 7" xfId="537"/>
    <cellStyle name="표준 5 8" xfId="953"/>
    <cellStyle name="표준 50" xfId="443"/>
    <cellStyle name="표준 50 2" xfId="967"/>
    <cellStyle name="표준 51" xfId="444"/>
    <cellStyle name="표준 51 2" xfId="968"/>
    <cellStyle name="표준 52" xfId="445"/>
    <cellStyle name="표준 52 2" xfId="969"/>
    <cellStyle name="표준 53" xfId="446"/>
    <cellStyle name="표준 53 2" xfId="970"/>
    <cellStyle name="표준 54" xfId="447"/>
    <cellStyle name="표준 54 2" xfId="971"/>
    <cellStyle name="표준 55" xfId="448"/>
    <cellStyle name="표준 55 2" xfId="972"/>
    <cellStyle name="표준 56" xfId="449"/>
    <cellStyle name="표준 56 2" xfId="973"/>
    <cellStyle name="표준 57" xfId="450"/>
    <cellStyle name="표준 57 2" xfId="974"/>
    <cellStyle name="표준 58" xfId="451"/>
    <cellStyle name="표준 58 2" xfId="452"/>
    <cellStyle name="표준 58 2 2" xfId="975"/>
    <cellStyle name="표준 58 3" xfId="453"/>
    <cellStyle name="표준 58 3 2" xfId="976"/>
    <cellStyle name="표준 58 4" xfId="739"/>
    <cellStyle name="표준 59" xfId="454"/>
    <cellStyle name="표준 59 2" xfId="741"/>
    <cellStyle name="표준 6" xfId="455"/>
    <cellStyle name="표준 6 2" xfId="456"/>
    <cellStyle name="표준 6 2 2" xfId="978"/>
    <cellStyle name="표준 6 3" xfId="457"/>
    <cellStyle name="표준 6 3 2" xfId="979"/>
    <cellStyle name="표준 6 4" xfId="458"/>
    <cellStyle name="표준 6 4 2" xfId="980"/>
    <cellStyle name="표준 6 5" xfId="977"/>
    <cellStyle name="표준 60" xfId="459"/>
    <cellStyle name="표준 60 2" xfId="981"/>
    <cellStyle name="표준 61" xfId="460"/>
    <cellStyle name="표준 61 10" xfId="461"/>
    <cellStyle name="표준 61 10 2" xfId="1131"/>
    <cellStyle name="표준 61 11" xfId="462"/>
    <cellStyle name="표준 61 11 2" xfId="1146"/>
    <cellStyle name="표준 61 12" xfId="463"/>
    <cellStyle name="표준 61 12 2" xfId="1161"/>
    <cellStyle name="표준 61 13" xfId="464"/>
    <cellStyle name="표준 61 13 2" xfId="1211"/>
    <cellStyle name="표준 61 14" xfId="1000"/>
    <cellStyle name="표준 61 2" xfId="465"/>
    <cellStyle name="표준 61 2 2" xfId="1014"/>
    <cellStyle name="표준 61 3" xfId="466"/>
    <cellStyle name="표준 61 3 2" xfId="1028"/>
    <cellStyle name="표준 61 4" xfId="467"/>
    <cellStyle name="표준 61 4 2" xfId="1042"/>
    <cellStyle name="표준 61 5" xfId="468"/>
    <cellStyle name="표준 61 5 2" xfId="1056"/>
    <cellStyle name="표준 61 6" xfId="469"/>
    <cellStyle name="표준 61 6 2" xfId="1071"/>
    <cellStyle name="표준 61 7" xfId="470"/>
    <cellStyle name="표준 61 7 2" xfId="1086"/>
    <cellStyle name="표준 61 8" xfId="471"/>
    <cellStyle name="표준 61 8 2" xfId="1101"/>
    <cellStyle name="표준 61 9" xfId="472"/>
    <cellStyle name="표준 61 9 2" xfId="1116"/>
    <cellStyle name="표준 62" xfId="473"/>
    <cellStyle name="표준 62 10" xfId="474"/>
    <cellStyle name="표준 62 10 2" xfId="1213"/>
    <cellStyle name="표준 62 11" xfId="750"/>
    <cellStyle name="표준 62 2" xfId="475"/>
    <cellStyle name="표준 62 2 2" xfId="1058"/>
    <cellStyle name="표준 62 3" xfId="476"/>
    <cellStyle name="표준 62 3 2" xfId="1073"/>
    <cellStyle name="표준 62 4" xfId="477"/>
    <cellStyle name="표준 62 4 2" xfId="1088"/>
    <cellStyle name="표준 62 5" xfId="478"/>
    <cellStyle name="표준 62 5 2" xfId="1103"/>
    <cellStyle name="표준 62 6" xfId="479"/>
    <cellStyle name="표준 62 6 2" xfId="1118"/>
    <cellStyle name="표준 62 7" xfId="480"/>
    <cellStyle name="표준 62 7 2" xfId="1133"/>
    <cellStyle name="표준 62 8" xfId="481"/>
    <cellStyle name="표준 62 8 2" xfId="1148"/>
    <cellStyle name="표준 62 9" xfId="482"/>
    <cellStyle name="표준 62 9 2" xfId="1163"/>
    <cellStyle name="표준 63" xfId="534"/>
    <cellStyle name="표준 63 2" xfId="619"/>
    <cellStyle name="표준 64" xfId="483"/>
    <cellStyle name="표준 64 2" xfId="982"/>
    <cellStyle name="표준 65" xfId="735"/>
    <cellStyle name="표준 69" xfId="484"/>
    <cellStyle name="표준 69 2" xfId="740"/>
    <cellStyle name="표준 7" xfId="485"/>
    <cellStyle name="표준 7 2" xfId="486"/>
    <cellStyle name="표준 7 2 2" xfId="487"/>
    <cellStyle name="표준 7 2 2 2" xfId="985"/>
    <cellStyle name="표준 7 2 3" xfId="488"/>
    <cellStyle name="표준 7 2 3 2" xfId="986"/>
    <cellStyle name="표준 7 2 4" xfId="984"/>
    <cellStyle name="표준 7 3" xfId="489"/>
    <cellStyle name="표준 7 3 2" xfId="987"/>
    <cellStyle name="표준 7 4" xfId="490"/>
    <cellStyle name="표준 7 4 2" xfId="491"/>
    <cellStyle name="표준 7 4 2 2" xfId="989"/>
    <cellStyle name="표준 7 4 3" xfId="492"/>
    <cellStyle name="표준 7 4 3 2" xfId="990"/>
    <cellStyle name="표준 7 4 4" xfId="988"/>
    <cellStyle name="표준 7 5" xfId="493"/>
    <cellStyle name="표준 7 5 2" xfId="991"/>
    <cellStyle name="표준 7 6" xfId="494"/>
    <cellStyle name="표준 7 6 2" xfId="992"/>
    <cellStyle name="표준 7 7" xfId="983"/>
    <cellStyle name="표준 8" xfId="495"/>
    <cellStyle name="표준 9" xfId="496"/>
    <cellStyle name="표준 9 2" xfId="497"/>
    <cellStyle name="표준 9 2 2" xfId="498"/>
    <cellStyle name="표준 9 2 2 2" xfId="995"/>
    <cellStyle name="표준 9 2 3" xfId="499"/>
    <cellStyle name="표준 9 2 3 2" xfId="996"/>
    <cellStyle name="표준 9 2 4" xfId="994"/>
    <cellStyle name="표준 9 3" xfId="500"/>
    <cellStyle name="표준 9 3 2" xfId="997"/>
    <cellStyle name="표준 9 4" xfId="501"/>
    <cellStyle name="표준 9 4 2" xfId="998"/>
    <cellStyle name="표준 9 5" xfId="502"/>
    <cellStyle name="표준 9 5 2" xfId="999"/>
    <cellStyle name="표준 9 6" xfId="993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0806"/>
      <rgbColor rgb="FFFFFF00"/>
      <rgbColor rgb="FFC0C0C0"/>
      <rgbColor rgb="FF0000FF"/>
      <rgbColor rgb="FFFFFF99"/>
      <rgbColor rgb="FF333333"/>
      <rgbColor rgb="FFC0504D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006600"/>
      <color rgb="FFFFFFCC"/>
      <color rgb="FFFF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21</xdr:col>
      <xdr:colOff>113037</xdr:colOff>
      <xdr:row>54</xdr:row>
      <xdr:rowOff>174739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B0EB5DE4-C371-648D-6C5D-2C97B088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91325"/>
          <a:ext cx="10104762" cy="41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5</xdr:col>
      <xdr:colOff>330298</xdr:colOff>
      <xdr:row>123</xdr:row>
      <xdr:rowOff>21148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FEF69F9D-7807-E370-1BF8-FE7B2FCE0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48650"/>
          <a:ext cx="5249008" cy="150325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20</xdr:col>
      <xdr:colOff>565668</xdr:colOff>
      <xdr:row>144</xdr:row>
      <xdr:rowOff>127208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xmlns="" id="{744F5285-81EA-4F81-93C9-F01205D74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42980"/>
          <a:ext cx="16171428" cy="34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20</xdr:col>
      <xdr:colOff>565668</xdr:colOff>
      <xdr:row>162</xdr:row>
      <xdr:rowOff>148183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xmlns="" id="{D513F9D1-5015-459B-A6B9-244402BEA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317700"/>
          <a:ext cx="16171428" cy="3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20</xdr:col>
      <xdr:colOff>556145</xdr:colOff>
      <xdr:row>180</xdr:row>
      <xdr:rowOff>138659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xmlns="" id="{689EAA99-86DE-46F9-8D42-134606F2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609540"/>
          <a:ext cx="16161905" cy="3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20</xdr:col>
      <xdr:colOff>575192</xdr:colOff>
      <xdr:row>201</xdr:row>
      <xdr:rowOff>170971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xmlns="" id="{5AA6D604-1EF8-40F5-AA9B-D4C9C21EB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901380"/>
          <a:ext cx="16180952" cy="3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20</xdr:col>
      <xdr:colOff>565668</xdr:colOff>
      <xdr:row>222</xdr:row>
      <xdr:rowOff>161448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xmlns="" id="{F8C893B2-C054-483F-9BA0-0870AE3D3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741860"/>
          <a:ext cx="16171428" cy="3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20</xdr:col>
      <xdr:colOff>556145</xdr:colOff>
      <xdr:row>244</xdr:row>
      <xdr:rowOff>117684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xmlns="" id="{6A9D5F7B-787D-2E9E-CD59-CFB35A25B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2130980"/>
          <a:ext cx="16161905" cy="3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20</xdr:col>
      <xdr:colOff>527573</xdr:colOff>
      <xdr:row>262</xdr:row>
      <xdr:rowOff>138659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xmlns="" id="{5EAC4C62-4E4B-1E99-1F35-D2678CC1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5605700"/>
          <a:ext cx="16133333" cy="3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20</xdr:col>
      <xdr:colOff>537097</xdr:colOff>
      <xdr:row>280</xdr:row>
      <xdr:rowOff>138659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xmlns="" id="{992D8C92-6A1C-C326-F52D-AEAD5B0E2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8897540"/>
          <a:ext cx="16142857" cy="3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20</xdr:col>
      <xdr:colOff>546621</xdr:colOff>
      <xdr:row>302</xdr:row>
      <xdr:rowOff>7139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xmlns="" id="{86019B22-AE7F-7483-A82C-62F9A1EA8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2189380"/>
          <a:ext cx="16152381" cy="3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20</xdr:col>
      <xdr:colOff>537097</xdr:colOff>
      <xdr:row>324</xdr:row>
      <xdr:rowOff>7139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xmlns="" id="{A6626F62-33C5-2B21-6BC2-6C63FBF92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6212740"/>
          <a:ext cx="16142857" cy="3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20</xdr:col>
      <xdr:colOff>537097</xdr:colOff>
      <xdr:row>343</xdr:row>
      <xdr:rowOff>136731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xmlns="" id="{65367C94-C722-53C6-878A-3886C810D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0236100"/>
          <a:ext cx="16142857" cy="34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20</xdr:col>
      <xdr:colOff>556145</xdr:colOff>
      <xdr:row>363</xdr:row>
      <xdr:rowOff>163375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xmlns="" id="{90E54AF7-5C18-B395-947C-A5AC54D11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3710820"/>
          <a:ext cx="16161905" cy="3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1"/>
  <sheetViews>
    <sheetView showGridLines="0" tabSelected="1" topLeftCell="A3" zoomScaleNormal="100" workbookViewId="0">
      <selection activeCell="B4" sqref="B4"/>
    </sheetView>
  </sheetViews>
  <sheetFormatPr defaultColWidth="8.77734375" defaultRowHeight="17.399999999999999"/>
  <cols>
    <col min="1" max="1" width="3.6640625" style="142" customWidth="1"/>
    <col min="2" max="2" width="19.44140625" style="142" customWidth="1"/>
    <col min="3" max="3" width="17.6640625" style="142" customWidth="1"/>
    <col min="4" max="4" width="13.109375" style="142" customWidth="1"/>
    <col min="5" max="5" width="15" style="142" bestFit="1" customWidth="1"/>
    <col min="6" max="6" width="15.6640625" style="142" bestFit="1" customWidth="1"/>
    <col min="7" max="7" width="15.44140625" style="142" customWidth="1"/>
    <col min="8" max="8" width="9.109375" style="142" bestFit="1" customWidth="1"/>
    <col min="9" max="9" width="7.109375" style="142" customWidth="1"/>
    <col min="10" max="10" width="15.6640625" style="142" bestFit="1" customWidth="1"/>
    <col min="11" max="11" width="16" style="142" customWidth="1"/>
    <col min="12" max="12" width="5.44140625" style="94" customWidth="1"/>
    <col min="13" max="13" width="8.77734375" style="142" customWidth="1"/>
    <col min="14" max="14" width="10.77734375" style="142" bestFit="1" customWidth="1"/>
    <col min="15" max="15" width="8.77734375" style="94" customWidth="1"/>
    <col min="16" max="16" width="13.33203125" style="151" bestFit="1" customWidth="1"/>
    <col min="17" max="256" width="8.77734375" style="142" customWidth="1"/>
    <col min="257" max="16384" width="8.77734375" style="145"/>
  </cols>
  <sheetData>
    <row r="1" spans="2:14" ht="7.8" customHeight="1"/>
    <row r="2" spans="2:14" ht="21.6" thickBot="1">
      <c r="B2" s="290" t="s">
        <v>385</v>
      </c>
      <c r="C2" s="290"/>
      <c r="D2" s="290"/>
      <c r="J2" s="152" t="s">
        <v>93</v>
      </c>
    </row>
    <row r="3" spans="2:14">
      <c r="B3" s="145"/>
      <c r="J3" s="184" t="s">
        <v>7</v>
      </c>
      <c r="K3" s="185">
        <v>512710000</v>
      </c>
    </row>
    <row r="4" spans="2:14" ht="18" thickBot="1">
      <c r="B4" s="178" t="s">
        <v>0</v>
      </c>
      <c r="C4" s="178" t="s">
        <v>1</v>
      </c>
      <c r="D4" s="178" t="s">
        <v>2</v>
      </c>
      <c r="E4" s="178" t="s">
        <v>3</v>
      </c>
      <c r="F4" s="178" t="s">
        <v>4</v>
      </c>
      <c r="G4" s="178" t="s">
        <v>5</v>
      </c>
      <c r="H4" s="178" t="s">
        <v>6</v>
      </c>
      <c r="J4" s="186" t="s">
        <v>10</v>
      </c>
      <c r="K4" s="187">
        <v>125000000</v>
      </c>
    </row>
    <row r="5" spans="2:14">
      <c r="B5" s="54" t="s">
        <v>38</v>
      </c>
      <c r="C5" s="153">
        <f>카카오페이지1!D12</f>
        <v>85300815</v>
      </c>
      <c r="D5" s="3">
        <f>카카오페이지1!E12</f>
        <v>0</v>
      </c>
      <c r="E5" s="179">
        <f>카카오페이지1!F12</f>
        <v>85300815</v>
      </c>
      <c r="F5" s="153">
        <f>카카오페이지1!G12</f>
        <v>17060163</v>
      </c>
      <c r="G5" s="154">
        <f>카카오페이지1!H12</f>
        <v>68240652</v>
      </c>
      <c r="H5" s="54" t="s">
        <v>9</v>
      </c>
      <c r="J5" s="291" t="s">
        <v>12</v>
      </c>
      <c r="K5" s="292"/>
    </row>
    <row r="6" spans="2:14">
      <c r="B6" s="54" t="s">
        <v>39</v>
      </c>
      <c r="C6" s="153">
        <f>카카오페이지2!D6</f>
        <v>9965195</v>
      </c>
      <c r="D6" s="153">
        <f>카카오페이지2!E6</f>
        <v>3839383</v>
      </c>
      <c r="E6" s="179">
        <f>카카오페이지2!F6</f>
        <v>6125812</v>
      </c>
      <c r="F6" s="153">
        <f>카카오페이지2!G6</f>
        <v>1225162.4000000001</v>
      </c>
      <c r="G6" s="154">
        <f>카카오페이지2!H6</f>
        <v>4900649.6000000006</v>
      </c>
      <c r="H6" s="54" t="s">
        <v>14</v>
      </c>
      <c r="J6" s="155" t="s">
        <v>15</v>
      </c>
      <c r="K6" s="156">
        <v>14506621</v>
      </c>
      <c r="L6" s="94" t="s">
        <v>34</v>
      </c>
    </row>
    <row r="7" spans="2:14">
      <c r="B7" s="54" t="s">
        <v>11</v>
      </c>
      <c r="C7" s="153">
        <f>네이버웹툰1!D6</f>
        <v>6700000</v>
      </c>
      <c r="D7" s="3">
        <f>네이버웹툰1!E6</f>
        <v>0</v>
      </c>
      <c r="E7" s="179">
        <f>네이버웹툰1!F6</f>
        <v>6700000</v>
      </c>
      <c r="F7" s="153">
        <f>네이버웹툰1!G6</f>
        <v>1340000</v>
      </c>
      <c r="G7" s="154">
        <f>네이버웹툰1!H6</f>
        <v>5360000</v>
      </c>
      <c r="H7" s="54" t="s">
        <v>9</v>
      </c>
      <c r="J7" s="155" t="s">
        <v>16</v>
      </c>
      <c r="K7" s="157">
        <v>8562269</v>
      </c>
      <c r="L7" s="94" t="s">
        <v>34</v>
      </c>
      <c r="N7" s="158"/>
    </row>
    <row r="8" spans="2:14">
      <c r="B8" s="54" t="s">
        <v>13</v>
      </c>
      <c r="C8" s="153">
        <f>네이버웹툰2!D36</f>
        <v>208670094</v>
      </c>
      <c r="D8" s="153">
        <f>네이버웹툰2!E36</f>
        <v>97259791</v>
      </c>
      <c r="E8" s="179">
        <f>네이버웹툰2!F36</f>
        <v>111410303</v>
      </c>
      <c r="F8" s="153">
        <f>네이버웹툰2!G36</f>
        <v>22282060.599999994</v>
      </c>
      <c r="G8" s="153">
        <f>네이버웹툰2!H36</f>
        <v>89128242.399999976</v>
      </c>
      <c r="H8" s="54" t="s">
        <v>14</v>
      </c>
      <c r="J8" s="155" t="s">
        <v>17</v>
      </c>
      <c r="K8" s="157">
        <v>17036883</v>
      </c>
      <c r="L8" s="94" t="s">
        <v>34</v>
      </c>
    </row>
    <row r="9" spans="2:14">
      <c r="B9" s="55" t="s">
        <v>150</v>
      </c>
      <c r="C9" s="159">
        <f>테크앤조이!D4</f>
        <v>0</v>
      </c>
      <c r="D9" s="160">
        <f>테크앤조이!E4</f>
        <v>0</v>
      </c>
      <c r="E9" s="180">
        <f>테크앤조이!F4</f>
        <v>0</v>
      </c>
      <c r="F9" s="160">
        <f>테크앤조이!G4</f>
        <v>0</v>
      </c>
      <c r="G9" s="161">
        <f>테크앤조이!H4</f>
        <v>0</v>
      </c>
      <c r="H9" s="162" t="s">
        <v>14</v>
      </c>
      <c r="J9" s="155" t="s">
        <v>18</v>
      </c>
      <c r="K9" s="157">
        <v>30825944</v>
      </c>
      <c r="L9" s="94" t="s">
        <v>34</v>
      </c>
    </row>
    <row r="10" spans="2:14">
      <c r="B10" s="163" t="s">
        <v>78</v>
      </c>
      <c r="C10" s="164">
        <f>키다리스튜디오!D6</f>
        <v>11957350</v>
      </c>
      <c r="D10" s="165">
        <f>키다리스튜디오!E6</f>
        <v>6307622</v>
      </c>
      <c r="E10" s="181">
        <f>키다리스튜디오!F6</f>
        <v>5649728</v>
      </c>
      <c r="F10" s="165">
        <f>키다리스튜디오!G6</f>
        <v>1129945.6000000001</v>
      </c>
      <c r="G10" s="166">
        <f>키다리스튜디오!H6</f>
        <v>4519782.4000000004</v>
      </c>
      <c r="H10" s="167" t="s">
        <v>14</v>
      </c>
      <c r="J10" s="155" t="s">
        <v>19</v>
      </c>
      <c r="K10" s="157">
        <v>17198136</v>
      </c>
      <c r="L10" s="94" t="s">
        <v>34</v>
      </c>
    </row>
    <row r="11" spans="2:14" ht="18" thickBot="1">
      <c r="B11" s="55" t="s">
        <v>216</v>
      </c>
      <c r="C11" s="159">
        <f>탑툰!D4</f>
        <v>1034633</v>
      </c>
      <c r="D11" s="3">
        <f>네이버웹툰1!E10</f>
        <v>0</v>
      </c>
      <c r="E11" s="180">
        <f>탑툰!F4</f>
        <v>1034633</v>
      </c>
      <c r="F11" s="160">
        <f>탑툰!G4</f>
        <v>206926.6</v>
      </c>
      <c r="G11" s="161">
        <f>탑툰!H4</f>
        <v>827706.4</v>
      </c>
      <c r="H11" s="167" t="s">
        <v>14</v>
      </c>
      <c r="J11" s="21" t="s">
        <v>21</v>
      </c>
      <c r="K11" s="22">
        <f>SUM(K6:K10)</f>
        <v>88129853</v>
      </c>
    </row>
    <row r="12" spans="2:14" ht="18" thickTop="1">
      <c r="B12" s="279" t="s">
        <v>393</v>
      </c>
      <c r="C12" s="280">
        <f>리디!D4</f>
        <v>11017001</v>
      </c>
      <c r="D12" s="275">
        <f>리디!E4</f>
        <v>0</v>
      </c>
      <c r="E12" s="281">
        <f>리디!F4</f>
        <v>11017001</v>
      </c>
      <c r="F12" s="282">
        <f>리디!G4</f>
        <v>2203400.2000000002</v>
      </c>
      <c r="G12" s="283">
        <f>리디!H4</f>
        <v>8813600.8000000007</v>
      </c>
      <c r="H12" s="167" t="s">
        <v>14</v>
      </c>
      <c r="J12" s="168" t="s">
        <v>80</v>
      </c>
      <c r="K12" s="169" t="s">
        <v>37</v>
      </c>
      <c r="L12" s="94" t="s">
        <v>34</v>
      </c>
    </row>
    <row r="13" spans="2:14">
      <c r="B13" s="188" t="s">
        <v>20</v>
      </c>
      <c r="C13" s="189">
        <f>SUM(C5:C12)</f>
        <v>334645088</v>
      </c>
      <c r="D13" s="189">
        <f t="shared" ref="D13:E13" si="0">SUM(D5:D12)</f>
        <v>107406796</v>
      </c>
      <c r="E13" s="189">
        <f t="shared" si="0"/>
        <v>227238292</v>
      </c>
      <c r="F13" s="190">
        <f>SUM(F5:F12)</f>
        <v>45447658.399999999</v>
      </c>
      <c r="G13" s="190">
        <f t="shared" ref="G13" si="1">SUM(G5:G12)</f>
        <v>181790633.59999999</v>
      </c>
      <c r="H13" s="191"/>
      <c r="J13" s="155" t="s">
        <v>81</v>
      </c>
      <c r="K13" s="157">
        <v>40642286</v>
      </c>
      <c r="L13" s="94" t="s">
        <v>34</v>
      </c>
    </row>
    <row r="14" spans="2:14">
      <c r="B14" s="289" t="s">
        <v>79</v>
      </c>
      <c r="F14" s="170">
        <f>E13*0.2</f>
        <v>45447658.400000006</v>
      </c>
      <c r="G14" s="170">
        <f>E13*0.8</f>
        <v>181790633.60000002</v>
      </c>
      <c r="J14" s="155" t="s">
        <v>82</v>
      </c>
      <c r="K14" s="157">
        <v>28776392</v>
      </c>
      <c r="L14" s="94" t="s">
        <v>34</v>
      </c>
    </row>
    <row r="15" spans="2:14">
      <c r="J15" s="155" t="s">
        <v>83</v>
      </c>
      <c r="K15" s="157">
        <v>17432662</v>
      </c>
      <c r="L15" s="94" t="s">
        <v>34</v>
      </c>
    </row>
    <row r="16" spans="2:14">
      <c r="J16" s="155" t="s">
        <v>84</v>
      </c>
      <c r="K16" s="157">
        <v>35056871</v>
      </c>
      <c r="L16" s="94" t="s">
        <v>34</v>
      </c>
    </row>
    <row r="17" spans="2:13" ht="18" thickBot="1">
      <c r="C17" s="145"/>
      <c r="D17" s="145"/>
      <c r="E17" s="145"/>
      <c r="J17" s="155" t="s">
        <v>85</v>
      </c>
      <c r="K17" s="157">
        <v>33089659</v>
      </c>
      <c r="L17" s="94" t="s">
        <v>34</v>
      </c>
    </row>
    <row r="18" spans="2:13">
      <c r="B18" s="293" t="s">
        <v>32</v>
      </c>
      <c r="C18" s="294"/>
      <c r="D18" s="273" t="s">
        <v>33</v>
      </c>
      <c r="E18" s="171"/>
      <c r="J18" s="155" t="s">
        <v>86</v>
      </c>
      <c r="K18" s="157">
        <v>17278906</v>
      </c>
      <c r="L18" s="94" t="s">
        <v>34</v>
      </c>
    </row>
    <row r="19" spans="2:13" ht="18" thickBot="1">
      <c r="B19" s="295" t="s">
        <v>280</v>
      </c>
      <c r="C19" s="296"/>
      <c r="D19" s="274">
        <f>F13</f>
        <v>45447658.399999999</v>
      </c>
      <c r="E19" s="172"/>
      <c r="J19" s="155" t="s">
        <v>87</v>
      </c>
      <c r="K19" s="173">
        <v>24626732</v>
      </c>
      <c r="L19" s="94" t="s">
        <v>34</v>
      </c>
    </row>
    <row r="20" spans="2:13">
      <c r="E20" s="172"/>
      <c r="J20" s="155" t="s">
        <v>88</v>
      </c>
      <c r="K20" s="173">
        <v>27140688</v>
      </c>
      <c r="L20" s="94" t="s">
        <v>91</v>
      </c>
    </row>
    <row r="21" spans="2:13">
      <c r="J21" s="155" t="s">
        <v>89</v>
      </c>
      <c r="K21" s="173">
        <v>29171298</v>
      </c>
      <c r="L21" s="94" t="s">
        <v>91</v>
      </c>
    </row>
    <row r="22" spans="2:13">
      <c r="J22" s="155" t="s">
        <v>90</v>
      </c>
      <c r="K22" s="173">
        <v>15744187</v>
      </c>
      <c r="L22" s="94" t="s">
        <v>91</v>
      </c>
    </row>
    <row r="23" spans="2:13">
      <c r="J23" s="174">
        <v>2019.12</v>
      </c>
      <c r="K23" s="173">
        <v>18683634</v>
      </c>
      <c r="L23" s="94" t="s">
        <v>91</v>
      </c>
    </row>
    <row r="24" spans="2:13" ht="18" thickBot="1">
      <c r="J24" s="21" t="s">
        <v>22</v>
      </c>
      <c r="K24" s="22">
        <f>SUM(K12:K23)</f>
        <v>287643315</v>
      </c>
    </row>
    <row r="25" spans="2:13" ht="18" thickTop="1">
      <c r="B25" s="175"/>
      <c r="J25" s="168" t="s">
        <v>100</v>
      </c>
      <c r="K25" s="169">
        <v>25963688</v>
      </c>
      <c r="L25" s="94" t="s">
        <v>91</v>
      </c>
    </row>
    <row r="26" spans="2:13">
      <c r="B26" s="172"/>
      <c r="J26" s="155" t="s">
        <v>101</v>
      </c>
      <c r="K26" s="157">
        <v>24673815</v>
      </c>
      <c r="L26" s="94" t="s">
        <v>91</v>
      </c>
      <c r="M26" s="176" t="s">
        <v>164</v>
      </c>
    </row>
    <row r="27" spans="2:13">
      <c r="J27" s="155" t="s">
        <v>102</v>
      </c>
      <c r="K27" s="157">
        <v>24315434</v>
      </c>
      <c r="L27" s="94" t="s">
        <v>91</v>
      </c>
      <c r="M27" s="176"/>
    </row>
    <row r="28" spans="2:13">
      <c r="J28" s="155" t="s">
        <v>103</v>
      </c>
      <c r="K28" s="157">
        <v>31918486</v>
      </c>
      <c r="L28" s="94" t="s">
        <v>91</v>
      </c>
    </row>
    <row r="29" spans="2:13">
      <c r="J29" s="155" t="s">
        <v>104</v>
      </c>
      <c r="K29" s="157">
        <v>27302553</v>
      </c>
      <c r="L29" s="94" t="s">
        <v>91</v>
      </c>
    </row>
    <row r="30" spans="2:13">
      <c r="J30" s="155" t="s">
        <v>105</v>
      </c>
      <c r="K30" s="157">
        <v>25712668</v>
      </c>
      <c r="L30" s="94" t="s">
        <v>91</v>
      </c>
    </row>
    <row r="31" spans="2:13">
      <c r="J31" s="155" t="s">
        <v>106</v>
      </c>
      <c r="K31" s="157">
        <v>29131889</v>
      </c>
      <c r="L31" s="94" t="s">
        <v>91</v>
      </c>
      <c r="M31" s="177"/>
    </row>
    <row r="32" spans="2:13">
      <c r="J32" s="155" t="s">
        <v>107</v>
      </c>
      <c r="K32" s="173">
        <v>27059690</v>
      </c>
      <c r="L32" s="94" t="s">
        <v>91</v>
      </c>
    </row>
    <row r="33" spans="10:13">
      <c r="J33" s="155" t="s">
        <v>108</v>
      </c>
      <c r="K33" s="173">
        <v>34344144</v>
      </c>
      <c r="L33" s="94" t="s">
        <v>91</v>
      </c>
    </row>
    <row r="34" spans="10:13">
      <c r="J34" s="155" t="s">
        <v>109</v>
      </c>
      <c r="K34" s="173">
        <v>27618375</v>
      </c>
      <c r="L34" s="94" t="s">
        <v>91</v>
      </c>
    </row>
    <row r="35" spans="10:13">
      <c r="J35" s="155" t="s">
        <v>110</v>
      </c>
      <c r="K35" s="173">
        <v>18666794</v>
      </c>
      <c r="L35" s="94" t="s">
        <v>91</v>
      </c>
      <c r="M35" s="94" t="s">
        <v>198</v>
      </c>
    </row>
    <row r="36" spans="10:13">
      <c r="J36" s="155" t="s">
        <v>111</v>
      </c>
      <c r="K36" s="173">
        <v>22399933</v>
      </c>
      <c r="L36" s="94" t="s">
        <v>91</v>
      </c>
    </row>
    <row r="37" spans="10:13" ht="18" thickBot="1">
      <c r="J37" s="21" t="s">
        <v>99</v>
      </c>
      <c r="K37" s="22">
        <f>SUM(K25:K36)</f>
        <v>319107469</v>
      </c>
    </row>
    <row r="38" spans="10:13" ht="18" thickTop="1">
      <c r="J38" s="168" t="s">
        <v>184</v>
      </c>
      <c r="K38" s="169">
        <v>25525200.799999997</v>
      </c>
      <c r="L38" s="94" t="s">
        <v>91</v>
      </c>
    </row>
    <row r="39" spans="10:13">
      <c r="J39" s="155" t="s">
        <v>185</v>
      </c>
      <c r="K39" s="157">
        <v>23838777.200000003</v>
      </c>
      <c r="L39" s="94" t="s">
        <v>91</v>
      </c>
    </row>
    <row r="40" spans="10:13">
      <c r="J40" s="155" t="s">
        <v>186</v>
      </c>
      <c r="K40" s="157">
        <v>19328258.200000003</v>
      </c>
      <c r="L40" s="94" t="s">
        <v>91</v>
      </c>
    </row>
    <row r="41" spans="10:13">
      <c r="J41" s="155" t="s">
        <v>187</v>
      </c>
      <c r="K41" s="157">
        <v>20722060</v>
      </c>
      <c r="L41" s="94" t="s">
        <v>91</v>
      </c>
    </row>
    <row r="42" spans="10:13">
      <c r="J42" s="155" t="s">
        <v>188</v>
      </c>
      <c r="K42" s="157">
        <v>20670191.199999999</v>
      </c>
      <c r="L42" s="94" t="s">
        <v>91</v>
      </c>
    </row>
    <row r="43" spans="10:13">
      <c r="J43" s="155" t="s">
        <v>189</v>
      </c>
      <c r="K43" s="157">
        <v>21199151</v>
      </c>
      <c r="L43" s="94" t="s">
        <v>91</v>
      </c>
    </row>
    <row r="44" spans="10:13">
      <c r="J44" s="155" t="s">
        <v>190</v>
      </c>
      <c r="K44" s="157">
        <v>20129780.880000003</v>
      </c>
      <c r="L44" s="94" t="s">
        <v>91</v>
      </c>
    </row>
    <row r="45" spans="10:13">
      <c r="J45" s="155" t="s">
        <v>191</v>
      </c>
      <c r="K45" s="173">
        <v>14471595.200000003</v>
      </c>
      <c r="L45" s="94" t="s">
        <v>91</v>
      </c>
    </row>
    <row r="46" spans="10:13">
      <c r="J46" s="155" t="s">
        <v>192</v>
      </c>
      <c r="K46" s="173">
        <v>13902655.76</v>
      </c>
      <c r="L46" s="94" t="s">
        <v>91</v>
      </c>
    </row>
    <row r="47" spans="10:13">
      <c r="J47" s="155" t="s">
        <v>193</v>
      </c>
      <c r="K47" s="173">
        <v>15806725.000000002</v>
      </c>
      <c r="L47" s="94" t="s">
        <v>91</v>
      </c>
    </row>
    <row r="48" spans="10:13">
      <c r="J48" s="155" t="s">
        <v>194</v>
      </c>
      <c r="K48" s="173">
        <v>14272427.000000002</v>
      </c>
      <c r="L48" s="94" t="s">
        <v>91</v>
      </c>
    </row>
    <row r="49" spans="10:12">
      <c r="J49" s="155" t="s">
        <v>195</v>
      </c>
      <c r="K49" s="173">
        <v>17635227.000000004</v>
      </c>
      <c r="L49" s="94" t="s">
        <v>91</v>
      </c>
    </row>
    <row r="50" spans="10:12" ht="18" thickBot="1">
      <c r="J50" s="21" t="s">
        <v>196</v>
      </c>
      <c r="K50" s="22">
        <f>SUM(K38:K49)</f>
        <v>227502049.24000001</v>
      </c>
    </row>
    <row r="51" spans="10:12" ht="18.600000000000001" thickTop="1" thickBot="1">
      <c r="J51" s="182" t="s">
        <v>23</v>
      </c>
      <c r="K51" s="183">
        <f>K3-K11-K24-K37-K50</f>
        <v>-409672686.24000001</v>
      </c>
    </row>
  </sheetData>
  <mergeCells count="4">
    <mergeCell ref="B2:D2"/>
    <mergeCell ref="J5:K5"/>
    <mergeCell ref="B18:C18"/>
    <mergeCell ref="B19:C19"/>
  </mergeCells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2"/>
  <sheetViews>
    <sheetView workbookViewId="0">
      <selection activeCell="G22" sqref="G22"/>
    </sheetView>
  </sheetViews>
  <sheetFormatPr defaultColWidth="8.77734375" defaultRowHeight="13.95" customHeight="1"/>
  <cols>
    <col min="1" max="1" width="3.6640625" style="142" customWidth="1"/>
    <col min="2" max="2" width="20" style="142" customWidth="1"/>
    <col min="3" max="3" width="17.109375" style="142" bestFit="1" customWidth="1"/>
    <col min="4" max="4" width="14.77734375" style="142" bestFit="1" customWidth="1"/>
    <col min="5" max="5" width="42" style="142" customWidth="1"/>
    <col min="6" max="256" width="8.77734375" style="142" customWidth="1"/>
    <col min="257" max="16384" width="8.77734375" style="145"/>
  </cols>
  <sheetData>
    <row r="1" spans="2:6" s="142" customFormat="1" ht="15.75" customHeight="1"/>
    <row r="2" spans="2:6" ht="19.95" customHeight="1">
      <c r="B2" s="143" t="s">
        <v>299</v>
      </c>
      <c r="C2" s="144"/>
      <c r="D2" s="144"/>
      <c r="E2" s="144"/>
    </row>
    <row r="3" spans="2:6" ht="15.45" customHeight="1">
      <c r="B3" s="144"/>
      <c r="C3" s="144"/>
      <c r="D3" s="144"/>
      <c r="E3" s="144"/>
    </row>
    <row r="4" spans="2:6" ht="17.399999999999999">
      <c r="B4" s="15" t="s">
        <v>24</v>
      </c>
      <c r="C4" s="15" t="s">
        <v>25</v>
      </c>
      <c r="D4" s="15" t="s">
        <v>26</v>
      </c>
      <c r="E4" s="15" t="s">
        <v>27</v>
      </c>
    </row>
    <row r="5" spans="2:6" ht="17.399999999999999">
      <c r="B5" s="96" t="s">
        <v>165</v>
      </c>
      <c r="C5" s="146" t="s">
        <v>28</v>
      </c>
      <c r="D5" s="146" t="s">
        <v>29</v>
      </c>
      <c r="E5" s="146" t="s">
        <v>166</v>
      </c>
    </row>
    <row r="6" spans="2:6" ht="17.399999999999999">
      <c r="B6" s="297" t="s">
        <v>167</v>
      </c>
      <c r="C6" s="147" t="s">
        <v>30</v>
      </c>
      <c r="D6" s="147" t="s">
        <v>168</v>
      </c>
      <c r="E6" s="147" t="s">
        <v>169</v>
      </c>
      <c r="F6" s="94" t="s">
        <v>177</v>
      </c>
    </row>
    <row r="7" spans="2:6" ht="17.399999999999999">
      <c r="B7" s="298"/>
      <c r="C7" s="148" t="s">
        <v>170</v>
      </c>
      <c r="D7" s="148" t="s">
        <v>29</v>
      </c>
      <c r="E7" s="148" t="s">
        <v>169</v>
      </c>
      <c r="F7" s="94" t="s">
        <v>178</v>
      </c>
    </row>
    <row r="8" spans="2:6" ht="17.399999999999999">
      <c r="B8" s="298"/>
      <c r="C8" s="148" t="s">
        <v>171</v>
      </c>
      <c r="D8" s="148" t="s">
        <v>29</v>
      </c>
      <c r="E8" s="148" t="s">
        <v>169</v>
      </c>
      <c r="F8" s="94" t="s">
        <v>179</v>
      </c>
    </row>
    <row r="9" spans="2:6" ht="17.399999999999999">
      <c r="B9" s="298"/>
      <c r="C9" s="148" t="s">
        <v>172</v>
      </c>
      <c r="D9" s="148" t="s">
        <v>173</v>
      </c>
      <c r="E9" s="148" t="s">
        <v>169</v>
      </c>
      <c r="F9" s="94" t="s">
        <v>180</v>
      </c>
    </row>
    <row r="10" spans="2:6" ht="17.399999999999999">
      <c r="B10" s="298"/>
      <c r="C10" s="148" t="s">
        <v>174</v>
      </c>
      <c r="D10" s="148" t="s">
        <v>29</v>
      </c>
      <c r="E10" s="148" t="s">
        <v>169</v>
      </c>
      <c r="F10" s="94" t="s">
        <v>181</v>
      </c>
    </row>
    <row r="11" spans="2:6" ht="17.399999999999999">
      <c r="B11" s="298"/>
      <c r="C11" s="148" t="s">
        <v>175</v>
      </c>
      <c r="D11" s="148" t="s">
        <v>29</v>
      </c>
      <c r="E11" s="148" t="s">
        <v>169</v>
      </c>
      <c r="F11" s="94" t="s">
        <v>182</v>
      </c>
    </row>
    <row r="12" spans="2:6" ht="17.399999999999999">
      <c r="B12" s="299"/>
      <c r="C12" s="149" t="s">
        <v>176</v>
      </c>
      <c r="D12" s="149" t="s">
        <v>29</v>
      </c>
      <c r="E12" s="149" t="s">
        <v>169</v>
      </c>
      <c r="F12" s="94" t="s">
        <v>183</v>
      </c>
    </row>
  </sheetData>
  <mergeCells count="1">
    <mergeCell ref="B6:B12"/>
  </mergeCells>
  <phoneticPr fontId="31" type="noConversion"/>
  <pageMargins left="0.7" right="0.7" top="0.75" bottom="0.75" header="0.3" footer="0.3"/>
  <headerFooter>
    <oddFooter>&amp;C&amp;"Helvetica Neue,Regular"&amp;12&amp;K000000&amp;P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27"/>
  <sheetViews>
    <sheetView showGridLines="0" workbookViewId="0">
      <selection activeCell="H13" sqref="H13"/>
    </sheetView>
  </sheetViews>
  <sheetFormatPr defaultColWidth="8.77734375" defaultRowHeight="13.95" customHeight="1"/>
  <cols>
    <col min="1" max="1" width="4" style="94" customWidth="1"/>
    <col min="2" max="2" width="13.109375" style="94" customWidth="1"/>
    <col min="3" max="3" width="24" style="94" customWidth="1"/>
    <col min="4" max="4" width="13.44140625" style="94" customWidth="1"/>
    <col min="5" max="7" width="12.6640625" style="94" customWidth="1"/>
    <col min="8" max="8" width="15.109375" style="94" bestFit="1" customWidth="1"/>
    <col min="9" max="9" width="49.33203125" style="94" bestFit="1" customWidth="1"/>
    <col min="10" max="256" width="8.77734375" style="94" customWidth="1"/>
    <col min="257" max="16384" width="8.77734375" style="95"/>
  </cols>
  <sheetData>
    <row r="1" spans="1:256" s="94" customFormat="1" ht="15.45" customHeight="1"/>
    <row r="2" spans="1:256" ht="16.05" customHeight="1">
      <c r="B2" s="5" t="s">
        <v>0</v>
      </c>
      <c r="C2" s="5" t="s">
        <v>31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</row>
    <row r="3" spans="1:256" ht="16.5" customHeight="1">
      <c r="B3" s="96" t="s">
        <v>8</v>
      </c>
      <c r="C3" s="97" t="s">
        <v>157</v>
      </c>
      <c r="D3" s="98">
        <v>4000000</v>
      </c>
      <c r="E3" s="2">
        <v>0</v>
      </c>
      <c r="F3" s="104">
        <f t="shared" ref="F3" si="0">D3</f>
        <v>4000000</v>
      </c>
      <c r="G3" s="98">
        <f>F3*20%</f>
        <v>800000</v>
      </c>
      <c r="H3" s="99">
        <f>F3*80%</f>
        <v>3200000</v>
      </c>
      <c r="I3" s="100" t="s">
        <v>431</v>
      </c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  <c r="FF3" s="95"/>
      <c r="FG3" s="95"/>
      <c r="FH3" s="95"/>
      <c r="FI3" s="95"/>
      <c r="FJ3" s="95"/>
      <c r="FK3" s="95"/>
      <c r="FL3" s="95"/>
      <c r="FM3" s="95"/>
      <c r="FN3" s="95"/>
      <c r="FO3" s="95"/>
      <c r="FP3" s="95"/>
      <c r="FQ3" s="95"/>
      <c r="FR3" s="95"/>
      <c r="FS3" s="95"/>
      <c r="FT3" s="95"/>
      <c r="FU3" s="95"/>
      <c r="FV3" s="95"/>
      <c r="FW3" s="95"/>
      <c r="FX3" s="95"/>
      <c r="FY3" s="95"/>
      <c r="FZ3" s="95"/>
      <c r="GA3" s="95"/>
      <c r="GB3" s="95"/>
      <c r="GC3" s="95"/>
      <c r="GD3" s="95"/>
      <c r="GE3" s="95"/>
      <c r="GF3" s="95"/>
      <c r="GG3" s="95"/>
      <c r="GH3" s="95"/>
      <c r="GI3" s="95"/>
      <c r="GJ3" s="95"/>
      <c r="GK3" s="95"/>
      <c r="GL3" s="95"/>
      <c r="GM3" s="95"/>
      <c r="GN3" s="95"/>
      <c r="GO3" s="95"/>
      <c r="GP3" s="95"/>
      <c r="GQ3" s="95"/>
      <c r="GR3" s="95"/>
      <c r="GS3" s="95"/>
      <c r="GT3" s="95"/>
      <c r="GU3" s="95"/>
      <c r="GV3" s="95"/>
      <c r="GW3" s="95"/>
      <c r="GX3" s="95"/>
      <c r="GY3" s="95"/>
      <c r="GZ3" s="95"/>
      <c r="HA3" s="95"/>
      <c r="HB3" s="95"/>
      <c r="HC3" s="95"/>
      <c r="HD3" s="95"/>
      <c r="HE3" s="95"/>
      <c r="HF3" s="95"/>
      <c r="HG3" s="95"/>
      <c r="HH3" s="95"/>
      <c r="HI3" s="95"/>
      <c r="HJ3" s="95"/>
      <c r="HK3" s="95"/>
      <c r="HL3" s="95"/>
      <c r="HM3" s="95"/>
      <c r="HN3" s="95"/>
      <c r="HO3" s="95"/>
      <c r="HP3" s="95"/>
      <c r="HQ3" s="95"/>
      <c r="HR3" s="95"/>
      <c r="HS3" s="95"/>
      <c r="HT3" s="95"/>
      <c r="HU3" s="95"/>
      <c r="HV3" s="95"/>
      <c r="HW3" s="95"/>
      <c r="HX3" s="95"/>
      <c r="HY3" s="95"/>
      <c r="HZ3" s="95"/>
      <c r="IA3" s="95"/>
      <c r="IB3" s="95"/>
      <c r="IC3" s="95"/>
      <c r="ID3" s="95"/>
      <c r="IE3" s="95"/>
      <c r="IF3" s="95"/>
      <c r="IG3" s="95"/>
      <c r="IH3" s="95"/>
      <c r="II3" s="95"/>
      <c r="IJ3" s="95"/>
      <c r="IK3" s="95"/>
      <c r="IL3" s="95"/>
      <c r="IM3" s="95"/>
      <c r="IN3" s="95"/>
      <c r="IO3" s="95"/>
      <c r="IP3" s="95"/>
      <c r="IQ3" s="95"/>
      <c r="IR3" s="95"/>
      <c r="IS3" s="95"/>
      <c r="IT3" s="95"/>
      <c r="IU3" s="95"/>
      <c r="IV3" s="95"/>
    </row>
    <row r="4" spans="1:256" ht="16.5" customHeight="1">
      <c r="B4" s="96" t="s">
        <v>8</v>
      </c>
      <c r="C4" s="101" t="s">
        <v>211</v>
      </c>
      <c r="D4" s="56">
        <v>3600000</v>
      </c>
      <c r="E4" s="2">
        <v>0</v>
      </c>
      <c r="F4" s="104">
        <f t="shared" ref="F4" si="1">D4</f>
        <v>3600000</v>
      </c>
      <c r="G4" s="98">
        <f>F4*20%</f>
        <v>720000</v>
      </c>
      <c r="H4" s="99">
        <f>F4*80%</f>
        <v>2880000</v>
      </c>
      <c r="I4" s="100" t="s">
        <v>431</v>
      </c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5"/>
      <c r="DE4" s="95"/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5"/>
      <c r="FJ4" s="95"/>
      <c r="FK4" s="95"/>
      <c r="FL4" s="95"/>
      <c r="FM4" s="95"/>
      <c r="FN4" s="95"/>
      <c r="FO4" s="95"/>
      <c r="FP4" s="95"/>
      <c r="FQ4" s="95"/>
      <c r="FR4" s="95"/>
      <c r="FS4" s="95"/>
      <c r="FT4" s="95"/>
      <c r="FU4" s="95"/>
      <c r="FV4" s="95"/>
      <c r="FW4" s="95"/>
      <c r="FX4" s="95"/>
      <c r="FY4" s="95"/>
      <c r="FZ4" s="95"/>
      <c r="GA4" s="95"/>
      <c r="GB4" s="95"/>
      <c r="GC4" s="95"/>
      <c r="GD4" s="95"/>
      <c r="GE4" s="95"/>
      <c r="GF4" s="95"/>
      <c r="GG4" s="95"/>
      <c r="GH4" s="95"/>
      <c r="GI4" s="95"/>
      <c r="GJ4" s="95"/>
      <c r="GK4" s="95"/>
      <c r="GL4" s="95"/>
      <c r="GM4" s="95"/>
      <c r="GN4" s="95"/>
      <c r="GO4" s="95"/>
      <c r="GP4" s="95"/>
      <c r="GQ4" s="95"/>
      <c r="GR4" s="95"/>
      <c r="GS4" s="95"/>
      <c r="GT4" s="95"/>
      <c r="GU4" s="95"/>
      <c r="GV4" s="95"/>
      <c r="GW4" s="95"/>
      <c r="GX4" s="95"/>
      <c r="GY4" s="95"/>
      <c r="GZ4" s="95"/>
      <c r="HA4" s="95"/>
      <c r="HB4" s="95"/>
      <c r="HC4" s="95"/>
      <c r="HD4" s="95"/>
      <c r="HE4" s="95"/>
      <c r="HF4" s="95"/>
      <c r="HG4" s="95"/>
      <c r="HH4" s="95"/>
      <c r="HI4" s="95"/>
      <c r="HJ4" s="95"/>
      <c r="HK4" s="95"/>
      <c r="HL4" s="95"/>
      <c r="HM4" s="95"/>
      <c r="HN4" s="95"/>
      <c r="HO4" s="95"/>
      <c r="HP4" s="95"/>
      <c r="HQ4" s="95"/>
      <c r="HR4" s="95"/>
      <c r="HS4" s="95"/>
      <c r="HT4" s="95"/>
      <c r="HU4" s="95"/>
      <c r="HV4" s="95"/>
      <c r="HW4" s="95"/>
      <c r="HX4" s="95"/>
      <c r="HY4" s="95"/>
      <c r="HZ4" s="95"/>
      <c r="IA4" s="95"/>
      <c r="IB4" s="95"/>
      <c r="IC4" s="95"/>
      <c r="ID4" s="95"/>
      <c r="IE4" s="95"/>
      <c r="IF4" s="95"/>
      <c r="IG4" s="95"/>
      <c r="IH4" s="95"/>
      <c r="II4" s="95"/>
      <c r="IJ4" s="95"/>
      <c r="IK4" s="95"/>
      <c r="IL4" s="95"/>
      <c r="IM4" s="95"/>
      <c r="IN4" s="95"/>
      <c r="IO4" s="95"/>
      <c r="IP4" s="95"/>
      <c r="IQ4" s="95"/>
      <c r="IR4" s="95"/>
      <c r="IS4" s="95"/>
      <c r="IT4" s="95"/>
      <c r="IU4" s="95"/>
      <c r="IV4" s="95"/>
    </row>
    <row r="5" spans="1:256" ht="16.5" customHeight="1">
      <c r="B5" s="96" t="s">
        <v>8</v>
      </c>
      <c r="C5" s="101" t="s">
        <v>197</v>
      </c>
      <c r="D5" s="56">
        <v>5250000</v>
      </c>
      <c r="E5" s="2">
        <v>0</v>
      </c>
      <c r="F5" s="104">
        <f t="shared" ref="F5" si="2">D5</f>
        <v>5250000</v>
      </c>
      <c r="G5" s="98">
        <f t="shared" ref="G5" si="3">F5*20%</f>
        <v>1050000</v>
      </c>
      <c r="H5" s="99">
        <f t="shared" ref="H5" si="4">F5*80%</f>
        <v>4200000</v>
      </c>
      <c r="I5" s="100" t="s">
        <v>431</v>
      </c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95"/>
      <c r="FK5" s="95"/>
      <c r="FL5" s="95"/>
      <c r="FM5" s="95"/>
      <c r="FN5" s="95"/>
      <c r="FO5" s="95"/>
      <c r="FP5" s="95"/>
      <c r="FQ5" s="95"/>
      <c r="FR5" s="95"/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/>
      <c r="GK5" s="95"/>
      <c r="GL5" s="95"/>
      <c r="GM5" s="95"/>
      <c r="GN5" s="95"/>
      <c r="GO5" s="95"/>
      <c r="GP5" s="95"/>
      <c r="GQ5" s="95"/>
      <c r="GR5" s="95"/>
      <c r="GS5" s="95"/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/>
      <c r="HF5" s="95"/>
      <c r="HG5" s="95"/>
      <c r="HH5" s="95"/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/>
      <c r="HW5" s="95"/>
      <c r="HX5" s="95"/>
      <c r="HY5" s="95"/>
      <c r="HZ5" s="95"/>
      <c r="IA5" s="95"/>
      <c r="IB5" s="95"/>
      <c r="IC5" s="95"/>
      <c r="ID5" s="95"/>
      <c r="IE5" s="95"/>
      <c r="IF5" s="95"/>
      <c r="IG5" s="95"/>
      <c r="IH5" s="95"/>
      <c r="II5" s="95"/>
      <c r="IJ5" s="95"/>
      <c r="IK5" s="95"/>
      <c r="IL5" s="95"/>
      <c r="IM5" s="95"/>
      <c r="IN5" s="95"/>
      <c r="IO5" s="95"/>
      <c r="IP5" s="95"/>
      <c r="IQ5" s="95"/>
      <c r="IR5" s="95"/>
      <c r="IS5" s="95"/>
      <c r="IT5" s="95"/>
      <c r="IU5" s="95"/>
      <c r="IV5" s="95"/>
    </row>
    <row r="6" spans="1:256" ht="16.5" customHeight="1">
      <c r="B6" s="96" t="s">
        <v>8</v>
      </c>
      <c r="C6" s="101" t="s">
        <v>286</v>
      </c>
      <c r="D6" s="56">
        <v>3400000</v>
      </c>
      <c r="E6" s="2">
        <v>0</v>
      </c>
      <c r="F6" s="104">
        <f t="shared" ref="F6:F7" si="5">D6</f>
        <v>3400000</v>
      </c>
      <c r="G6" s="98">
        <f t="shared" ref="G6:G7" si="6">F6*20%</f>
        <v>680000</v>
      </c>
      <c r="H6" s="99">
        <f t="shared" ref="H6:H7" si="7">F6*80%</f>
        <v>2720000</v>
      </c>
      <c r="I6" s="100" t="s">
        <v>431</v>
      </c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5"/>
      <c r="EM6" s="95"/>
      <c r="EN6" s="95"/>
      <c r="EO6" s="95"/>
      <c r="EP6" s="95"/>
      <c r="EQ6" s="95"/>
      <c r="ER6" s="95"/>
      <c r="ES6" s="95"/>
      <c r="ET6" s="95"/>
      <c r="EU6" s="95"/>
      <c r="EV6" s="95"/>
      <c r="EW6" s="95"/>
      <c r="EX6" s="95"/>
      <c r="EY6" s="95"/>
      <c r="EZ6" s="95"/>
      <c r="FA6" s="95"/>
      <c r="FB6" s="95"/>
      <c r="FC6" s="95"/>
      <c r="FD6" s="95"/>
      <c r="FE6" s="95"/>
      <c r="FF6" s="95"/>
      <c r="FG6" s="95"/>
      <c r="FH6" s="95"/>
      <c r="FI6" s="95"/>
      <c r="FJ6" s="95"/>
      <c r="FK6" s="95"/>
      <c r="FL6" s="95"/>
      <c r="FM6" s="95"/>
      <c r="FN6" s="95"/>
      <c r="FO6" s="95"/>
      <c r="FP6" s="95"/>
      <c r="FQ6" s="95"/>
      <c r="FR6" s="95"/>
      <c r="FS6" s="95"/>
      <c r="FT6" s="95"/>
      <c r="FU6" s="95"/>
      <c r="FV6" s="95"/>
      <c r="FW6" s="95"/>
      <c r="FX6" s="95"/>
      <c r="FY6" s="95"/>
      <c r="FZ6" s="95"/>
      <c r="GA6" s="95"/>
      <c r="GB6" s="95"/>
      <c r="GC6" s="95"/>
      <c r="GD6" s="95"/>
      <c r="GE6" s="95"/>
      <c r="GF6" s="95"/>
      <c r="GG6" s="95"/>
      <c r="GH6" s="95"/>
      <c r="GI6" s="95"/>
      <c r="GJ6" s="95"/>
      <c r="GK6" s="95"/>
      <c r="GL6" s="95"/>
      <c r="GM6" s="95"/>
      <c r="GN6" s="95"/>
      <c r="GO6" s="95"/>
      <c r="GP6" s="95"/>
      <c r="GQ6" s="95"/>
      <c r="GR6" s="95"/>
      <c r="GS6" s="95"/>
      <c r="GT6" s="95"/>
      <c r="GU6" s="95"/>
      <c r="GV6" s="95"/>
      <c r="GW6" s="95"/>
      <c r="GX6" s="95"/>
      <c r="GY6" s="95"/>
      <c r="GZ6" s="95"/>
      <c r="HA6" s="95"/>
      <c r="HB6" s="95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</row>
    <row r="7" spans="1:256" ht="16.5" customHeight="1">
      <c r="B7" s="96" t="s">
        <v>8</v>
      </c>
      <c r="C7" s="101" t="s">
        <v>430</v>
      </c>
      <c r="D7" s="56">
        <v>50000000</v>
      </c>
      <c r="E7" s="2">
        <v>0</v>
      </c>
      <c r="F7" s="104">
        <f t="shared" si="5"/>
        <v>50000000</v>
      </c>
      <c r="G7" s="98">
        <f t="shared" si="6"/>
        <v>10000000</v>
      </c>
      <c r="H7" s="99">
        <f t="shared" si="7"/>
        <v>40000000</v>
      </c>
      <c r="I7" s="100" t="s">
        <v>431</v>
      </c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95"/>
      <c r="EX7" s="95"/>
      <c r="EY7" s="95"/>
      <c r="EZ7" s="95"/>
      <c r="FA7" s="95"/>
      <c r="FB7" s="95"/>
      <c r="FC7" s="95"/>
      <c r="FD7" s="95"/>
      <c r="FE7" s="95"/>
      <c r="FF7" s="95"/>
      <c r="FG7" s="95"/>
      <c r="FH7" s="95"/>
      <c r="FI7" s="95"/>
      <c r="FJ7" s="95"/>
      <c r="FK7" s="95"/>
      <c r="FL7" s="95"/>
      <c r="FM7" s="95"/>
      <c r="FN7" s="95"/>
      <c r="FO7" s="95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95"/>
      <c r="IA7" s="95"/>
      <c r="IB7" s="95"/>
      <c r="IC7" s="95"/>
      <c r="ID7" s="95"/>
      <c r="IE7" s="95"/>
      <c r="IF7" s="95"/>
      <c r="IG7" s="95"/>
      <c r="IH7" s="95"/>
      <c r="II7" s="95"/>
      <c r="IJ7" s="95"/>
      <c r="IK7" s="95"/>
      <c r="IL7" s="95"/>
      <c r="IM7" s="95"/>
      <c r="IN7" s="95"/>
      <c r="IO7" s="95"/>
      <c r="IP7" s="95"/>
      <c r="IQ7" s="95"/>
      <c r="IR7" s="95"/>
      <c r="IS7" s="95"/>
      <c r="IT7" s="95"/>
      <c r="IU7" s="95"/>
      <c r="IV7" s="95"/>
    </row>
    <row r="8" spans="1:256" ht="16.5" customHeight="1">
      <c r="B8" s="96" t="s">
        <v>8</v>
      </c>
      <c r="C8" s="284" t="s">
        <v>432</v>
      </c>
      <c r="D8" s="285">
        <v>4683605</v>
      </c>
      <c r="E8" s="2">
        <v>0</v>
      </c>
      <c r="F8" s="104">
        <f t="shared" ref="F8:F11" si="8">D8</f>
        <v>4683605</v>
      </c>
      <c r="G8" s="98">
        <f t="shared" ref="G8:G11" si="9">F8*20%</f>
        <v>936721</v>
      </c>
      <c r="H8" s="99">
        <f t="shared" ref="H8:H11" si="10">F8*80%</f>
        <v>3746884</v>
      </c>
      <c r="I8" s="100" t="s">
        <v>386</v>
      </c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/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95"/>
      <c r="IR8" s="95"/>
      <c r="IS8" s="95"/>
      <c r="IT8" s="95"/>
      <c r="IU8" s="95"/>
      <c r="IV8" s="95"/>
    </row>
    <row r="9" spans="1:256" ht="16.5" customHeight="1">
      <c r="B9" s="96" t="s">
        <v>8</v>
      </c>
      <c r="C9" s="284" t="s">
        <v>433</v>
      </c>
      <c r="D9" s="285">
        <v>4683605</v>
      </c>
      <c r="E9" s="2">
        <v>0</v>
      </c>
      <c r="F9" s="104">
        <f t="shared" si="8"/>
        <v>4683605</v>
      </c>
      <c r="G9" s="98">
        <f t="shared" si="9"/>
        <v>936721</v>
      </c>
      <c r="H9" s="99">
        <f t="shared" si="10"/>
        <v>3746884</v>
      </c>
      <c r="I9" s="100" t="s">
        <v>386</v>
      </c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95"/>
      <c r="IR9" s="95"/>
      <c r="IS9" s="95"/>
      <c r="IT9" s="95"/>
      <c r="IU9" s="95"/>
      <c r="IV9" s="95"/>
    </row>
    <row r="10" spans="1:256" ht="16.5" customHeight="1">
      <c r="B10" s="96" t="s">
        <v>8</v>
      </c>
      <c r="C10" s="284" t="s">
        <v>434</v>
      </c>
      <c r="D10" s="285">
        <v>4683605</v>
      </c>
      <c r="E10" s="2">
        <v>0</v>
      </c>
      <c r="F10" s="104">
        <f t="shared" si="8"/>
        <v>4683605</v>
      </c>
      <c r="G10" s="98">
        <f t="shared" si="9"/>
        <v>936721</v>
      </c>
      <c r="H10" s="99">
        <f t="shared" si="10"/>
        <v>3746884</v>
      </c>
      <c r="I10" s="100" t="s">
        <v>386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  <c r="EF10" s="95"/>
      <c r="EG10" s="95"/>
      <c r="EH10" s="95"/>
      <c r="EI10" s="95"/>
      <c r="EJ10" s="95"/>
      <c r="EK10" s="95"/>
      <c r="EL10" s="95"/>
      <c r="EM10" s="95"/>
      <c r="EN10" s="95"/>
      <c r="EO10" s="95"/>
      <c r="EP10" s="95"/>
      <c r="EQ10" s="95"/>
      <c r="ER10" s="95"/>
      <c r="ES10" s="95"/>
      <c r="ET10" s="95"/>
      <c r="EU10" s="95"/>
      <c r="EV10" s="95"/>
      <c r="EW10" s="95"/>
      <c r="EX10" s="95"/>
      <c r="EY10" s="95"/>
      <c r="EZ10" s="95"/>
      <c r="FA10" s="95"/>
      <c r="FB10" s="95"/>
      <c r="FC10" s="95"/>
      <c r="FD10" s="95"/>
      <c r="FE10" s="95"/>
      <c r="FF10" s="95"/>
      <c r="FG10" s="95"/>
      <c r="FH10" s="95"/>
      <c r="FI10" s="95"/>
      <c r="FJ10" s="95"/>
      <c r="FK10" s="95"/>
      <c r="FL10" s="95"/>
      <c r="FM10" s="95"/>
      <c r="FN10" s="95"/>
      <c r="FO10" s="95"/>
      <c r="FP10" s="95"/>
      <c r="FQ10" s="95"/>
      <c r="FR10" s="95"/>
      <c r="FS10" s="95"/>
      <c r="FT10" s="95"/>
      <c r="FU10" s="95"/>
      <c r="FV10" s="95"/>
      <c r="FW10" s="95"/>
      <c r="FX10" s="95"/>
      <c r="FY10" s="95"/>
      <c r="FZ10" s="95"/>
      <c r="GA10" s="95"/>
      <c r="GB10" s="95"/>
      <c r="GC10" s="95"/>
      <c r="GD10" s="95"/>
      <c r="GE10" s="95"/>
      <c r="GF10" s="95"/>
      <c r="GG10" s="95"/>
      <c r="GH10" s="95"/>
      <c r="GI10" s="95"/>
      <c r="GJ10" s="95"/>
      <c r="GK10" s="95"/>
      <c r="GL10" s="95"/>
      <c r="GM10" s="95"/>
      <c r="GN10" s="95"/>
      <c r="GO10" s="95"/>
      <c r="GP10" s="95"/>
      <c r="GQ10" s="95"/>
      <c r="GR10" s="95"/>
      <c r="GS10" s="95"/>
      <c r="GT10" s="95"/>
      <c r="GU10" s="95"/>
      <c r="GV10" s="95"/>
      <c r="GW10" s="95"/>
      <c r="GX10" s="95"/>
      <c r="GY10" s="95"/>
      <c r="GZ10" s="95"/>
      <c r="HA10" s="95"/>
      <c r="HB10" s="95"/>
      <c r="HC10" s="95"/>
      <c r="HD10" s="95"/>
      <c r="HE10" s="95"/>
      <c r="HF10" s="95"/>
      <c r="HG10" s="95"/>
      <c r="HH10" s="95"/>
      <c r="HI10" s="95"/>
      <c r="HJ10" s="95"/>
      <c r="HK10" s="95"/>
      <c r="HL10" s="95"/>
      <c r="HM10" s="95"/>
      <c r="HN10" s="95"/>
      <c r="HO10" s="95"/>
      <c r="HP10" s="95"/>
      <c r="HQ10" s="95"/>
      <c r="HR10" s="95"/>
      <c r="HS10" s="95"/>
      <c r="HT10" s="95"/>
      <c r="HU10" s="95"/>
      <c r="HV10" s="95"/>
      <c r="HW10" s="95"/>
      <c r="HX10" s="95"/>
      <c r="HY10" s="95"/>
      <c r="HZ10" s="95"/>
      <c r="IA10" s="95"/>
      <c r="IB10" s="95"/>
      <c r="IC10" s="95"/>
      <c r="ID10" s="95"/>
      <c r="IE10" s="95"/>
      <c r="IF10" s="95"/>
      <c r="IG10" s="95"/>
      <c r="IH10" s="95"/>
      <c r="II10" s="95"/>
      <c r="IJ10" s="95"/>
      <c r="IK10" s="95"/>
      <c r="IL10" s="95"/>
      <c r="IM10" s="95"/>
      <c r="IN10" s="95"/>
      <c r="IO10" s="95"/>
      <c r="IP10" s="95"/>
      <c r="IQ10" s="95"/>
      <c r="IR10" s="95"/>
      <c r="IS10" s="95"/>
      <c r="IT10" s="95"/>
      <c r="IU10" s="95"/>
      <c r="IV10" s="95"/>
    </row>
    <row r="11" spans="1:256" ht="16.5" customHeight="1">
      <c r="B11" s="96" t="s">
        <v>8</v>
      </c>
      <c r="C11" s="101" t="s">
        <v>388</v>
      </c>
      <c r="D11" s="56">
        <v>5000000</v>
      </c>
      <c r="E11" s="2">
        <v>0</v>
      </c>
      <c r="F11" s="104">
        <f t="shared" si="8"/>
        <v>5000000</v>
      </c>
      <c r="G11" s="98">
        <f t="shared" si="9"/>
        <v>1000000</v>
      </c>
      <c r="H11" s="99">
        <f t="shared" si="10"/>
        <v>4000000</v>
      </c>
      <c r="I11" s="100" t="s">
        <v>386</v>
      </c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  <c r="DC11" s="95"/>
      <c r="DD11" s="95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95"/>
      <c r="EE11" s="95"/>
      <c r="EF11" s="95"/>
      <c r="EG11" s="95"/>
      <c r="EH11" s="95"/>
      <c r="EI11" s="95"/>
      <c r="EJ11" s="95"/>
      <c r="EK11" s="95"/>
      <c r="EL11" s="95"/>
      <c r="EM11" s="95"/>
      <c r="EN11" s="95"/>
      <c r="EO11" s="95"/>
      <c r="EP11" s="95"/>
      <c r="EQ11" s="95"/>
      <c r="ER11" s="95"/>
      <c r="ES11" s="95"/>
      <c r="ET11" s="95"/>
      <c r="EU11" s="95"/>
      <c r="EV11" s="95"/>
      <c r="EW11" s="95"/>
      <c r="EX11" s="95"/>
      <c r="EY11" s="95"/>
      <c r="EZ11" s="95"/>
      <c r="FA11" s="95"/>
      <c r="FB11" s="95"/>
      <c r="FC11" s="95"/>
      <c r="FD11" s="95"/>
      <c r="FE11" s="95"/>
      <c r="FF11" s="95"/>
      <c r="FG11" s="95"/>
      <c r="FH11" s="95"/>
      <c r="FI11" s="95"/>
      <c r="FJ11" s="95"/>
      <c r="FK11" s="95"/>
      <c r="FL11" s="95"/>
      <c r="FM11" s="95"/>
      <c r="FN11" s="95"/>
      <c r="FO11" s="95"/>
      <c r="FP11" s="95"/>
      <c r="FQ11" s="95"/>
      <c r="FR11" s="95"/>
      <c r="FS11" s="95"/>
      <c r="FT11" s="95"/>
      <c r="FU11" s="95"/>
      <c r="FV11" s="95"/>
      <c r="FW11" s="95"/>
      <c r="FX11" s="95"/>
      <c r="FY11" s="95"/>
      <c r="FZ11" s="95"/>
      <c r="GA11" s="95"/>
      <c r="GB11" s="95"/>
      <c r="GC11" s="95"/>
      <c r="GD11" s="95"/>
      <c r="GE11" s="95"/>
      <c r="GF11" s="95"/>
      <c r="GG11" s="95"/>
      <c r="GH11" s="95"/>
      <c r="GI11" s="95"/>
      <c r="GJ11" s="95"/>
      <c r="GK11" s="95"/>
      <c r="GL11" s="95"/>
      <c r="GM11" s="95"/>
      <c r="GN11" s="95"/>
      <c r="GO11" s="95"/>
      <c r="GP11" s="95"/>
      <c r="GQ11" s="95"/>
      <c r="GR11" s="95"/>
      <c r="GS11" s="95"/>
      <c r="GT11" s="95"/>
      <c r="GU11" s="95"/>
      <c r="GV11" s="95"/>
      <c r="GW11" s="95"/>
      <c r="GX11" s="95"/>
      <c r="GY11" s="95"/>
      <c r="GZ11" s="95"/>
      <c r="HA11" s="95"/>
      <c r="HB11" s="95"/>
      <c r="HC11" s="95"/>
      <c r="HD11" s="95"/>
      <c r="HE11" s="95"/>
      <c r="HF11" s="95"/>
      <c r="HG11" s="95"/>
      <c r="HH11" s="95"/>
      <c r="HI11" s="95"/>
      <c r="HJ11" s="95"/>
      <c r="HK11" s="95"/>
      <c r="HL11" s="95"/>
      <c r="HM11" s="95"/>
      <c r="HN11" s="95"/>
      <c r="HO11" s="95"/>
      <c r="HP11" s="95"/>
      <c r="HQ11" s="95"/>
      <c r="HR11" s="95"/>
      <c r="HS11" s="95"/>
      <c r="HT11" s="95"/>
      <c r="HU11" s="95"/>
      <c r="HV11" s="95"/>
      <c r="HW11" s="95"/>
      <c r="HX11" s="95"/>
      <c r="HY11" s="95"/>
      <c r="HZ11" s="95"/>
      <c r="IA11" s="95"/>
      <c r="IB11" s="95"/>
      <c r="IC11" s="95"/>
      <c r="ID11" s="95"/>
      <c r="IE11" s="95"/>
      <c r="IF11" s="95"/>
      <c r="IG11" s="95"/>
      <c r="IH11" s="95"/>
      <c r="II11" s="95"/>
      <c r="IJ11" s="95"/>
      <c r="IK11" s="95"/>
      <c r="IL11" s="95"/>
      <c r="IM11" s="95"/>
      <c r="IN11" s="95"/>
      <c r="IO11" s="95"/>
      <c r="IP11" s="95"/>
      <c r="IQ11" s="95"/>
      <c r="IR11" s="95"/>
      <c r="IS11" s="95"/>
      <c r="IT11" s="95"/>
      <c r="IU11" s="95"/>
      <c r="IV11" s="95"/>
    </row>
    <row r="12" spans="1:256" ht="16.05" customHeight="1">
      <c r="A12" s="95"/>
      <c r="B12" s="6" t="s">
        <v>20</v>
      </c>
      <c r="C12" s="4"/>
      <c r="D12" s="7">
        <f>SUM(D3:D11)</f>
        <v>85300815</v>
      </c>
      <c r="E12" s="7">
        <f>SUM(E3:E11)</f>
        <v>0</v>
      </c>
      <c r="F12" s="7">
        <f>SUM(F3:F11)</f>
        <v>85300815</v>
      </c>
      <c r="G12" s="7">
        <f>SUM(G3:G11)</f>
        <v>17060163</v>
      </c>
      <c r="H12" s="7">
        <f>SUM(H3:H11)</f>
        <v>68240652</v>
      </c>
      <c r="I12" s="7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5"/>
      <c r="DW12" s="95"/>
      <c r="DX12" s="95"/>
      <c r="DY12" s="95"/>
      <c r="DZ12" s="95"/>
      <c r="EA12" s="95"/>
      <c r="EB12" s="95"/>
      <c r="EC12" s="95"/>
      <c r="ED12" s="95"/>
      <c r="EE12" s="95"/>
      <c r="EF12" s="95"/>
      <c r="EG12" s="95"/>
      <c r="EH12" s="95"/>
      <c r="EI12" s="95"/>
      <c r="EJ12" s="95"/>
      <c r="EK12" s="95"/>
      <c r="EL12" s="95"/>
      <c r="EM12" s="95"/>
      <c r="EN12" s="95"/>
      <c r="EO12" s="95"/>
      <c r="EP12" s="95"/>
      <c r="EQ12" s="95"/>
      <c r="ER12" s="95"/>
      <c r="ES12" s="95"/>
      <c r="ET12" s="95"/>
      <c r="EU12" s="95"/>
      <c r="EV12" s="95"/>
      <c r="EW12" s="95"/>
      <c r="EX12" s="95"/>
      <c r="EY12" s="95"/>
      <c r="EZ12" s="95"/>
      <c r="FA12" s="95"/>
      <c r="FB12" s="95"/>
      <c r="FC12" s="95"/>
      <c r="FD12" s="95"/>
      <c r="FE12" s="95"/>
      <c r="FF12" s="95"/>
      <c r="FG12" s="95"/>
      <c r="FH12" s="95"/>
      <c r="FI12" s="95"/>
      <c r="FJ12" s="95"/>
      <c r="FK12" s="95"/>
      <c r="FL12" s="95"/>
      <c r="FM12" s="95"/>
      <c r="FN12" s="95"/>
      <c r="FO12" s="95"/>
      <c r="FP12" s="95"/>
      <c r="FQ12" s="95"/>
      <c r="FR12" s="95"/>
      <c r="FS12" s="95"/>
      <c r="FT12" s="95"/>
      <c r="FU12" s="95"/>
      <c r="FV12" s="95"/>
      <c r="FW12" s="95"/>
      <c r="FX12" s="95"/>
      <c r="FY12" s="95"/>
      <c r="FZ12" s="95"/>
      <c r="GA12" s="95"/>
      <c r="GB12" s="95"/>
      <c r="GC12" s="95"/>
      <c r="GD12" s="95"/>
      <c r="GE12" s="95"/>
      <c r="GF12" s="95"/>
      <c r="GG12" s="95"/>
      <c r="GH12" s="95"/>
      <c r="GI12" s="95"/>
      <c r="GJ12" s="95"/>
      <c r="GK12" s="95"/>
      <c r="GL12" s="95"/>
      <c r="GM12" s="95"/>
      <c r="GN12" s="95"/>
      <c r="GO12" s="95"/>
      <c r="GP12" s="95"/>
      <c r="GQ12" s="95"/>
      <c r="GR12" s="95"/>
      <c r="GS12" s="95"/>
      <c r="GT12" s="95"/>
      <c r="GU12" s="95"/>
      <c r="GV12" s="95"/>
      <c r="GW12" s="95"/>
      <c r="GX12" s="95"/>
      <c r="GY12" s="95"/>
      <c r="GZ12" s="95"/>
      <c r="HA12" s="95"/>
      <c r="HB12" s="95"/>
      <c r="HC12" s="95"/>
      <c r="HD12" s="95"/>
      <c r="HE12" s="95"/>
      <c r="HF12" s="95"/>
      <c r="HG12" s="95"/>
      <c r="HH12" s="95"/>
      <c r="HI12" s="95"/>
      <c r="HJ12" s="95"/>
      <c r="HK12" s="95"/>
      <c r="HL12" s="95"/>
      <c r="HM12" s="95"/>
      <c r="HN12" s="95"/>
      <c r="HO12" s="95"/>
      <c r="HP12" s="95"/>
      <c r="HQ12" s="95"/>
      <c r="HR12" s="95"/>
      <c r="HS12" s="95"/>
      <c r="HT12" s="95"/>
      <c r="HU12" s="95"/>
      <c r="HV12" s="95"/>
      <c r="HW12" s="95"/>
      <c r="HX12" s="95"/>
      <c r="HY12" s="95"/>
      <c r="HZ12" s="95"/>
      <c r="IA12" s="95"/>
      <c r="IB12" s="95"/>
      <c r="IC12" s="95"/>
      <c r="ID12" s="95"/>
      <c r="IE12" s="95"/>
      <c r="IF12" s="95"/>
      <c r="IG12" s="95"/>
      <c r="IH12" s="95"/>
      <c r="II12" s="95"/>
      <c r="IJ12" s="95"/>
      <c r="IK12" s="95"/>
      <c r="IL12" s="95"/>
      <c r="IM12" s="95"/>
      <c r="IN12" s="95"/>
      <c r="IO12" s="95"/>
      <c r="IP12" s="95"/>
      <c r="IQ12" s="95"/>
      <c r="IR12" s="95"/>
      <c r="IS12" s="95"/>
      <c r="IT12" s="95"/>
      <c r="IU12" s="95"/>
      <c r="IV12" s="95"/>
    </row>
    <row r="13" spans="1:256" ht="15.45" customHeight="1">
      <c r="A13" s="95"/>
      <c r="B13" s="102"/>
      <c r="C13" s="102"/>
      <c r="D13" s="102"/>
      <c r="E13" s="102"/>
      <c r="F13" s="102"/>
      <c r="G13" s="103">
        <f>F12*0.2</f>
        <v>17060163</v>
      </c>
      <c r="H13" s="103">
        <f>F12*0.8</f>
        <v>68240652</v>
      </c>
      <c r="I13" s="102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/>
      <c r="DA13" s="95"/>
      <c r="DB13" s="95"/>
      <c r="DC13" s="95"/>
      <c r="DD13" s="95"/>
      <c r="DE13" s="95"/>
      <c r="DF13" s="95"/>
      <c r="DG13" s="95"/>
      <c r="DH13" s="95"/>
      <c r="DI13" s="95"/>
      <c r="DJ13" s="95"/>
      <c r="DK13" s="95"/>
      <c r="DL13" s="95"/>
      <c r="DM13" s="95"/>
      <c r="DN13" s="95"/>
      <c r="DO13" s="95"/>
      <c r="DP13" s="95"/>
      <c r="DQ13" s="95"/>
      <c r="DR13" s="95"/>
      <c r="DS13" s="95"/>
      <c r="DT13" s="95"/>
      <c r="DU13" s="95"/>
      <c r="DV13" s="95"/>
      <c r="DW13" s="95"/>
      <c r="DX13" s="95"/>
      <c r="DY13" s="95"/>
      <c r="DZ13" s="95"/>
      <c r="EA13" s="95"/>
      <c r="EB13" s="95"/>
      <c r="EC13" s="95"/>
      <c r="ED13" s="95"/>
      <c r="EE13" s="95"/>
      <c r="EF13" s="95"/>
      <c r="EG13" s="95"/>
      <c r="EH13" s="95"/>
      <c r="EI13" s="95"/>
      <c r="EJ13" s="95"/>
      <c r="EK13" s="95"/>
      <c r="EL13" s="95"/>
      <c r="EM13" s="95"/>
      <c r="EN13" s="95"/>
      <c r="EO13" s="95"/>
      <c r="EP13" s="95"/>
      <c r="EQ13" s="95"/>
      <c r="ER13" s="95"/>
      <c r="ES13" s="95"/>
      <c r="ET13" s="95"/>
      <c r="EU13" s="95"/>
      <c r="EV13" s="95"/>
      <c r="EW13" s="95"/>
      <c r="EX13" s="95"/>
      <c r="EY13" s="95"/>
      <c r="EZ13" s="95"/>
      <c r="FA13" s="95"/>
      <c r="FB13" s="95"/>
      <c r="FC13" s="95"/>
      <c r="FD13" s="95"/>
      <c r="FE13" s="95"/>
      <c r="FF13" s="95"/>
      <c r="FG13" s="95"/>
      <c r="FH13" s="95"/>
      <c r="FI13" s="95"/>
      <c r="FJ13" s="95"/>
      <c r="FK13" s="95"/>
      <c r="FL13" s="95"/>
      <c r="FM13" s="95"/>
      <c r="FN13" s="95"/>
      <c r="FO13" s="95"/>
      <c r="FP13" s="95"/>
      <c r="FQ13" s="95"/>
      <c r="FR13" s="95"/>
      <c r="FS13" s="95"/>
      <c r="FT13" s="95"/>
      <c r="FU13" s="95"/>
      <c r="FV13" s="95"/>
      <c r="FW13" s="95"/>
      <c r="FX13" s="95"/>
      <c r="FY13" s="95"/>
      <c r="FZ13" s="95"/>
      <c r="GA13" s="95"/>
      <c r="GB13" s="95"/>
      <c r="GC13" s="95"/>
      <c r="GD13" s="95"/>
      <c r="GE13" s="95"/>
      <c r="GF13" s="95"/>
      <c r="GG13" s="95"/>
      <c r="GH13" s="95"/>
      <c r="GI13" s="95"/>
      <c r="GJ13" s="95"/>
      <c r="GK13" s="95"/>
      <c r="GL13" s="95"/>
      <c r="GM13" s="95"/>
      <c r="GN13" s="95"/>
      <c r="GO13" s="95"/>
      <c r="GP13" s="95"/>
      <c r="GQ13" s="95"/>
      <c r="GR13" s="95"/>
      <c r="GS13" s="95"/>
      <c r="GT13" s="95"/>
      <c r="GU13" s="95"/>
      <c r="GV13" s="95"/>
      <c r="GW13" s="95"/>
      <c r="GX13" s="95"/>
      <c r="GY13" s="95"/>
      <c r="GZ13" s="95"/>
      <c r="HA13" s="95"/>
      <c r="HB13" s="95"/>
      <c r="HC13" s="95"/>
      <c r="HD13" s="95"/>
      <c r="HE13" s="95"/>
      <c r="HF13" s="95"/>
      <c r="HG13" s="95"/>
      <c r="HH13" s="95"/>
      <c r="HI13" s="95"/>
      <c r="HJ13" s="95"/>
      <c r="HK13" s="95"/>
      <c r="HL13" s="95"/>
      <c r="HM13" s="95"/>
      <c r="HN13" s="95"/>
      <c r="HO13" s="95"/>
      <c r="HP13" s="95"/>
      <c r="HQ13" s="95"/>
      <c r="HR13" s="95"/>
      <c r="HS13" s="95"/>
      <c r="HT13" s="95"/>
      <c r="HU13" s="95"/>
      <c r="HV13" s="95"/>
      <c r="HW13" s="95"/>
      <c r="HX13" s="95"/>
      <c r="HY13" s="95"/>
      <c r="HZ13" s="95"/>
      <c r="IA13" s="95"/>
      <c r="IB13" s="95"/>
      <c r="IC13" s="95"/>
      <c r="ID13" s="95"/>
      <c r="IE13" s="95"/>
      <c r="IF13" s="95"/>
      <c r="IG13" s="95"/>
      <c r="IH13" s="95"/>
      <c r="II13" s="95"/>
      <c r="IJ13" s="95"/>
      <c r="IK13" s="95"/>
      <c r="IL13" s="95"/>
      <c r="IM13" s="95"/>
      <c r="IN13" s="95"/>
      <c r="IO13" s="95"/>
      <c r="IP13" s="95"/>
      <c r="IQ13" s="95"/>
      <c r="IR13" s="95"/>
      <c r="IS13" s="95"/>
      <c r="IT13" s="95"/>
      <c r="IU13" s="95"/>
      <c r="IV13" s="95"/>
    </row>
    <row r="14" spans="1:256" s="94" customFormat="1" ht="15" customHeight="1"/>
    <row r="15" spans="1:256" s="94" customFormat="1" ht="15" customHeight="1"/>
    <row r="27" ht="13.2" customHeight="1"/>
  </sheetData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36"/>
  <sheetViews>
    <sheetView showGridLines="0" workbookViewId="0">
      <selection activeCell="F9" sqref="F9"/>
    </sheetView>
  </sheetViews>
  <sheetFormatPr defaultColWidth="8.77734375" defaultRowHeight="15.6"/>
  <cols>
    <col min="1" max="1" width="4" style="94" customWidth="1"/>
    <col min="2" max="2" width="13.109375" style="94" customWidth="1"/>
    <col min="3" max="3" width="13.109375" style="94" bestFit="1" customWidth="1"/>
    <col min="4" max="4" width="13.44140625" style="94" customWidth="1"/>
    <col min="5" max="6" width="12.6640625" style="94" customWidth="1"/>
    <col min="7" max="7" width="13.109375" style="94" bestFit="1" customWidth="1"/>
    <col min="8" max="8" width="13.44140625" style="94" customWidth="1"/>
    <col min="9" max="9" width="13.77734375" style="94" customWidth="1"/>
    <col min="10" max="10" width="11.44140625" style="94" hidden="1" customWidth="1"/>
    <col min="11" max="11" width="12.44140625" style="94" hidden="1" customWidth="1"/>
    <col min="12" max="12" width="14.109375" style="94" customWidth="1"/>
    <col min="13" max="19" width="4.5546875" style="94" hidden="1" customWidth="1"/>
    <col min="20" max="20" width="12.33203125" style="94" bestFit="1" customWidth="1"/>
    <col min="21" max="21" width="10" style="94" bestFit="1" customWidth="1"/>
    <col min="22" max="22" width="9.109375" style="94" bestFit="1" customWidth="1"/>
    <col min="23" max="23" width="11.88671875" style="94" bestFit="1" customWidth="1"/>
    <col min="24" max="25" width="14" style="94" bestFit="1" customWidth="1"/>
    <col min="26" max="26" width="11.88671875" style="94" bestFit="1" customWidth="1"/>
    <col min="27" max="27" width="12.33203125" style="94" bestFit="1" customWidth="1"/>
    <col min="28" max="28" width="10" style="94" bestFit="1" customWidth="1"/>
    <col min="29" max="29" width="11.109375" style="94" bestFit="1" customWidth="1"/>
    <col min="30" max="30" width="11.88671875" style="94" bestFit="1" customWidth="1"/>
    <col min="31" max="32" width="14" style="94" bestFit="1" customWidth="1"/>
    <col min="33" max="33" width="11.88671875" style="94" bestFit="1" customWidth="1"/>
    <col min="34" max="34" width="12.44140625" style="94" bestFit="1" customWidth="1"/>
    <col min="35" max="35" width="12.109375" style="94" bestFit="1" customWidth="1"/>
    <col min="36" max="36" width="11.109375" style="94" bestFit="1" customWidth="1"/>
    <col min="37" max="37" width="14" style="94" bestFit="1" customWidth="1"/>
    <col min="38" max="39" width="16.109375" style="94" bestFit="1" customWidth="1"/>
    <col min="40" max="40" width="11.88671875" style="94" bestFit="1" customWidth="1"/>
    <col min="41" max="41" width="21" style="94" bestFit="1" customWidth="1"/>
    <col min="42" max="42" width="14.88671875" style="94" bestFit="1" customWidth="1"/>
    <col min="43" max="43" width="13.77734375" style="94" bestFit="1" customWidth="1"/>
    <col min="44" max="44" width="21" style="94" bestFit="1" customWidth="1"/>
    <col min="45" max="47" width="10.21875" style="94" customWidth="1"/>
    <col min="48" max="256" width="8.77734375" style="94" customWidth="1"/>
    <col min="257" max="16384" width="8.77734375" style="95"/>
  </cols>
  <sheetData>
    <row r="1" spans="1:256" ht="15.45" customHeight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95"/>
      <c r="EM1" s="95"/>
      <c r="EN1" s="95"/>
      <c r="EO1" s="95"/>
      <c r="EP1" s="95"/>
      <c r="EQ1" s="95"/>
      <c r="ER1" s="95"/>
      <c r="ES1" s="95"/>
      <c r="ET1" s="95"/>
      <c r="EU1" s="95"/>
      <c r="EV1" s="95"/>
      <c r="EW1" s="95"/>
      <c r="EX1" s="95"/>
      <c r="EY1" s="95"/>
      <c r="EZ1" s="95"/>
      <c r="FA1" s="95"/>
      <c r="FB1" s="95"/>
      <c r="FC1" s="95"/>
      <c r="FD1" s="95"/>
      <c r="FE1" s="95"/>
      <c r="FF1" s="95"/>
      <c r="FG1" s="95"/>
      <c r="FH1" s="95"/>
      <c r="FI1" s="95"/>
      <c r="FJ1" s="95"/>
      <c r="FK1" s="95"/>
      <c r="FL1" s="95"/>
      <c r="FM1" s="95"/>
      <c r="FN1" s="95"/>
      <c r="FO1" s="95"/>
      <c r="FP1" s="95"/>
      <c r="FQ1" s="95"/>
      <c r="FR1" s="95"/>
      <c r="FS1" s="95"/>
      <c r="FT1" s="95"/>
      <c r="FU1" s="95"/>
      <c r="FV1" s="95"/>
      <c r="FW1" s="95"/>
      <c r="FX1" s="95"/>
      <c r="FY1" s="95"/>
      <c r="FZ1" s="95"/>
      <c r="GA1" s="95"/>
      <c r="GB1" s="95"/>
      <c r="GC1" s="95"/>
      <c r="GD1" s="95"/>
      <c r="GE1" s="95"/>
      <c r="GF1" s="95"/>
      <c r="GG1" s="95"/>
      <c r="GH1" s="95"/>
      <c r="GI1" s="95"/>
      <c r="GJ1" s="95"/>
      <c r="GK1" s="95"/>
      <c r="GL1" s="95"/>
      <c r="GM1" s="95"/>
      <c r="GN1" s="95"/>
      <c r="GO1" s="95"/>
      <c r="GP1" s="95"/>
      <c r="GQ1" s="95"/>
      <c r="GR1" s="95"/>
      <c r="GS1" s="95"/>
      <c r="GT1" s="95"/>
      <c r="GU1" s="95"/>
      <c r="GV1" s="95"/>
      <c r="GW1" s="95"/>
      <c r="GX1" s="95"/>
      <c r="GY1" s="95"/>
      <c r="GZ1" s="95"/>
      <c r="HA1" s="95"/>
      <c r="HB1" s="95"/>
      <c r="HC1" s="95"/>
      <c r="HD1" s="95"/>
      <c r="HE1" s="95"/>
      <c r="HF1" s="95"/>
      <c r="HG1" s="95"/>
      <c r="HH1" s="95"/>
      <c r="HI1" s="95"/>
      <c r="HJ1" s="95"/>
      <c r="HK1" s="95"/>
      <c r="HL1" s="95"/>
      <c r="HM1" s="95"/>
      <c r="HN1" s="95"/>
      <c r="HO1" s="95"/>
      <c r="HP1" s="95"/>
      <c r="HQ1" s="95"/>
      <c r="HR1" s="95"/>
      <c r="HS1" s="95"/>
      <c r="HT1" s="95"/>
      <c r="HU1" s="95"/>
      <c r="HV1" s="95"/>
      <c r="HW1" s="95"/>
      <c r="HX1" s="95"/>
      <c r="HY1" s="95"/>
      <c r="HZ1" s="95"/>
      <c r="IA1" s="95"/>
      <c r="IB1" s="95"/>
      <c r="IC1" s="95"/>
      <c r="ID1" s="95"/>
      <c r="IE1" s="95"/>
      <c r="IF1" s="95"/>
      <c r="IG1" s="95"/>
      <c r="IH1" s="95"/>
      <c r="II1" s="95"/>
      <c r="IJ1" s="95"/>
      <c r="IK1" s="95"/>
      <c r="IL1" s="95"/>
      <c r="IM1" s="95"/>
      <c r="IN1" s="95"/>
      <c r="IO1" s="95"/>
      <c r="IP1" s="95"/>
      <c r="IQ1" s="95"/>
      <c r="IR1" s="95"/>
      <c r="IS1" s="95"/>
      <c r="IT1" s="95"/>
      <c r="IU1" s="95"/>
      <c r="IV1" s="95"/>
    </row>
    <row r="2" spans="1:256" ht="16.05" customHeight="1">
      <c r="A2" s="95"/>
      <c r="B2" s="5" t="s">
        <v>0</v>
      </c>
      <c r="C2" s="5" t="s">
        <v>31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</row>
    <row r="3" spans="1:256" ht="16.05" customHeight="1">
      <c r="A3" s="95"/>
      <c r="B3" s="105" t="s">
        <v>8</v>
      </c>
      <c r="C3" s="101" t="s">
        <v>92</v>
      </c>
      <c r="D3" s="91">
        <f>AG32</f>
        <v>266214</v>
      </c>
      <c r="E3" s="98">
        <f>D3-F3</f>
        <v>113494</v>
      </c>
      <c r="F3" s="8">
        <v>152720</v>
      </c>
      <c r="G3" s="106">
        <f>F3*20%</f>
        <v>30544</v>
      </c>
      <c r="H3" s="107">
        <f>F3*80%</f>
        <v>122176</v>
      </c>
      <c r="I3" s="108" t="s">
        <v>435</v>
      </c>
      <c r="J3" s="109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  <c r="FF3" s="95"/>
      <c r="FG3" s="95"/>
      <c r="FH3" s="95"/>
      <c r="FI3" s="95"/>
      <c r="FJ3" s="95"/>
      <c r="FK3" s="95"/>
      <c r="FL3" s="95"/>
      <c r="FM3" s="95"/>
      <c r="FN3" s="95"/>
      <c r="FO3" s="95"/>
      <c r="FP3" s="95"/>
      <c r="FQ3" s="95"/>
      <c r="FR3" s="95"/>
      <c r="FS3" s="95"/>
      <c r="FT3" s="95"/>
      <c r="FU3" s="95"/>
      <c r="FV3" s="95"/>
      <c r="FW3" s="95"/>
      <c r="FX3" s="95"/>
      <c r="FY3" s="95"/>
      <c r="FZ3" s="95"/>
      <c r="GA3" s="95"/>
      <c r="GB3" s="95"/>
      <c r="GC3" s="95"/>
      <c r="GD3" s="95"/>
      <c r="GE3" s="95"/>
      <c r="GF3" s="95"/>
      <c r="GG3" s="95"/>
      <c r="GH3" s="95"/>
      <c r="GI3" s="95"/>
      <c r="GJ3" s="95"/>
      <c r="GK3" s="95"/>
      <c r="GL3" s="95"/>
      <c r="GM3" s="95"/>
      <c r="GN3" s="95"/>
      <c r="GO3" s="95"/>
      <c r="GP3" s="95"/>
      <c r="GQ3" s="95"/>
      <c r="GR3" s="95"/>
      <c r="GS3" s="95"/>
      <c r="GT3" s="95"/>
      <c r="GU3" s="95"/>
      <c r="GV3" s="95"/>
      <c r="GW3" s="95"/>
      <c r="GX3" s="95"/>
      <c r="GY3" s="95"/>
      <c r="GZ3" s="95"/>
      <c r="HA3" s="95"/>
      <c r="HB3" s="95"/>
      <c r="HC3" s="95"/>
      <c r="HD3" s="95"/>
      <c r="HE3" s="95"/>
      <c r="HF3" s="95"/>
      <c r="HG3" s="95"/>
      <c r="HH3" s="95"/>
      <c r="HI3" s="95"/>
      <c r="HJ3" s="95"/>
      <c r="HK3" s="95"/>
      <c r="HL3" s="95"/>
      <c r="HM3" s="95"/>
      <c r="HN3" s="95"/>
      <c r="HO3" s="95"/>
      <c r="HP3" s="95"/>
      <c r="HQ3" s="95"/>
      <c r="HR3" s="95"/>
      <c r="HS3" s="95"/>
      <c r="HT3" s="95"/>
      <c r="HU3" s="95"/>
      <c r="HV3" s="95"/>
      <c r="HW3" s="95"/>
      <c r="HX3" s="95"/>
      <c r="HY3" s="95"/>
      <c r="HZ3" s="95"/>
      <c r="IA3" s="95"/>
      <c r="IB3" s="95"/>
      <c r="IC3" s="95"/>
      <c r="ID3" s="95"/>
      <c r="IE3" s="95"/>
      <c r="IF3" s="95"/>
      <c r="IG3" s="95"/>
      <c r="IH3" s="95"/>
      <c r="II3" s="95"/>
      <c r="IJ3" s="95"/>
      <c r="IK3" s="95"/>
      <c r="IL3" s="95"/>
      <c r="IM3" s="95"/>
      <c r="IN3" s="95"/>
      <c r="IO3" s="95"/>
      <c r="IP3" s="95"/>
      <c r="IQ3" s="95"/>
      <c r="IR3" s="95"/>
      <c r="IS3" s="95"/>
      <c r="IT3" s="95"/>
      <c r="IU3" s="95"/>
      <c r="IV3" s="95"/>
    </row>
    <row r="4" spans="1:256" ht="16.05" customHeight="1">
      <c r="A4" s="95"/>
      <c r="B4" s="105" t="s">
        <v>8</v>
      </c>
      <c r="C4" s="110" t="s">
        <v>161</v>
      </c>
      <c r="D4" s="92">
        <f>AG21</f>
        <v>4205288</v>
      </c>
      <c r="E4" s="98">
        <f>D4-F4</f>
        <v>1852207</v>
      </c>
      <c r="F4" s="8">
        <v>2353081</v>
      </c>
      <c r="G4" s="106">
        <f t="shared" ref="G4" si="0">F4*20%</f>
        <v>470616.2</v>
      </c>
      <c r="H4" s="107">
        <f t="shared" ref="H4" si="1">F4*80%</f>
        <v>1882464.8</v>
      </c>
      <c r="I4" s="108" t="s">
        <v>435</v>
      </c>
      <c r="J4" s="109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5"/>
      <c r="DE4" s="95"/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5"/>
      <c r="FJ4" s="95"/>
      <c r="FK4" s="95"/>
      <c r="FL4" s="95"/>
      <c r="FM4" s="95"/>
      <c r="FN4" s="95"/>
      <c r="FO4" s="95"/>
      <c r="FP4" s="95"/>
      <c r="FQ4" s="95"/>
      <c r="FR4" s="95"/>
      <c r="FS4" s="95"/>
      <c r="FT4" s="95"/>
      <c r="FU4" s="95"/>
      <c r="FV4" s="95"/>
      <c r="FW4" s="95"/>
      <c r="FX4" s="95"/>
      <c r="FY4" s="95"/>
      <c r="FZ4" s="95"/>
      <c r="GA4" s="95"/>
      <c r="GB4" s="95"/>
      <c r="GC4" s="95"/>
      <c r="GD4" s="95"/>
      <c r="GE4" s="95"/>
      <c r="GF4" s="95"/>
      <c r="GG4" s="95"/>
      <c r="GH4" s="95"/>
      <c r="GI4" s="95"/>
      <c r="GJ4" s="95"/>
      <c r="GK4" s="95"/>
      <c r="GL4" s="95"/>
      <c r="GM4" s="95"/>
      <c r="GN4" s="95"/>
      <c r="GO4" s="95"/>
      <c r="GP4" s="95"/>
      <c r="GQ4" s="95"/>
      <c r="GR4" s="95"/>
      <c r="GS4" s="95"/>
      <c r="GT4" s="95"/>
      <c r="GU4" s="95"/>
      <c r="GV4" s="95"/>
      <c r="GW4" s="95"/>
      <c r="GX4" s="95"/>
      <c r="GY4" s="95"/>
      <c r="GZ4" s="95"/>
      <c r="HA4" s="95"/>
      <c r="HB4" s="95"/>
      <c r="HC4" s="95"/>
      <c r="HD4" s="95"/>
      <c r="HE4" s="95"/>
      <c r="HF4" s="95"/>
      <c r="HG4" s="95"/>
      <c r="HH4" s="95"/>
      <c r="HI4" s="95"/>
      <c r="HJ4" s="95"/>
      <c r="HK4" s="95"/>
      <c r="HL4" s="95"/>
      <c r="HM4" s="95"/>
      <c r="HN4" s="95"/>
      <c r="HO4" s="95"/>
      <c r="HP4" s="95"/>
      <c r="HQ4" s="95"/>
      <c r="HR4" s="95"/>
      <c r="HS4" s="95"/>
      <c r="HT4" s="95"/>
      <c r="HU4" s="95"/>
      <c r="HV4" s="95"/>
      <c r="HW4" s="95"/>
      <c r="HX4" s="95"/>
      <c r="HY4" s="95"/>
      <c r="HZ4" s="95"/>
      <c r="IA4" s="95"/>
      <c r="IB4" s="95"/>
      <c r="IC4" s="95"/>
      <c r="ID4" s="95"/>
      <c r="IE4" s="95"/>
      <c r="IF4" s="95"/>
      <c r="IG4" s="95"/>
      <c r="IH4" s="95"/>
      <c r="II4" s="95"/>
      <c r="IJ4" s="95"/>
      <c r="IK4" s="95"/>
      <c r="IL4" s="95"/>
      <c r="IM4" s="95"/>
      <c r="IN4" s="95"/>
      <c r="IO4" s="95"/>
      <c r="IP4" s="95"/>
      <c r="IQ4" s="95"/>
      <c r="IR4" s="95"/>
      <c r="IS4" s="95"/>
      <c r="IT4" s="95"/>
      <c r="IU4" s="95"/>
      <c r="IV4" s="95"/>
    </row>
    <row r="5" spans="1:256" ht="16.05" customHeight="1">
      <c r="A5" s="95"/>
      <c r="B5" s="105" t="s">
        <v>8</v>
      </c>
      <c r="C5" s="101" t="s">
        <v>213</v>
      </c>
      <c r="D5" s="82">
        <v>5493693</v>
      </c>
      <c r="E5" s="98">
        <f>D5-F5</f>
        <v>1873682</v>
      </c>
      <c r="F5" s="8">
        <v>3620011</v>
      </c>
      <c r="G5" s="106">
        <f t="shared" ref="G5" si="2">F5*20%</f>
        <v>724002.20000000007</v>
      </c>
      <c r="H5" s="107">
        <f t="shared" ref="H5" si="3">F5*80%</f>
        <v>2896008.8000000003</v>
      </c>
      <c r="I5" s="111" t="s">
        <v>436</v>
      </c>
      <c r="J5" s="109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95"/>
      <c r="FK5" s="95"/>
      <c r="FL5" s="95"/>
      <c r="FM5" s="95"/>
      <c r="FN5" s="95"/>
      <c r="FO5" s="95"/>
      <c r="FP5" s="95"/>
      <c r="FQ5" s="95"/>
      <c r="FR5" s="95"/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/>
      <c r="GK5" s="95"/>
      <c r="GL5" s="95"/>
      <c r="GM5" s="95"/>
      <c r="GN5" s="95"/>
      <c r="GO5" s="95"/>
      <c r="GP5" s="95"/>
      <c r="GQ5" s="95"/>
      <c r="GR5" s="95"/>
      <c r="GS5" s="95"/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/>
      <c r="HF5" s="95"/>
      <c r="HG5" s="95"/>
      <c r="HH5" s="95"/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/>
      <c r="HW5" s="95"/>
      <c r="HX5" s="95"/>
      <c r="HY5" s="95"/>
      <c r="HZ5" s="95"/>
      <c r="IA5" s="95"/>
      <c r="IB5" s="95"/>
      <c r="IC5" s="95"/>
      <c r="ID5" s="95"/>
      <c r="IE5" s="95"/>
      <c r="IF5" s="95"/>
      <c r="IG5" s="95"/>
      <c r="IH5" s="95"/>
      <c r="II5" s="95"/>
      <c r="IJ5" s="95"/>
      <c r="IK5" s="95"/>
      <c r="IL5" s="95"/>
      <c r="IM5" s="95"/>
      <c r="IN5" s="95"/>
      <c r="IO5" s="95"/>
      <c r="IP5" s="95"/>
      <c r="IQ5" s="95"/>
      <c r="IR5" s="95"/>
      <c r="IS5" s="95"/>
      <c r="IT5" s="95"/>
      <c r="IU5" s="95"/>
      <c r="IV5" s="95"/>
    </row>
    <row r="6" spans="1:256" ht="16.05" customHeight="1">
      <c r="A6" s="95"/>
      <c r="B6" s="6" t="s">
        <v>20</v>
      </c>
      <c r="C6" s="4"/>
      <c r="D6" s="7">
        <f>SUM(D3:D5)</f>
        <v>9965195</v>
      </c>
      <c r="E6" s="7">
        <f>SUM(E3:E5)</f>
        <v>3839383</v>
      </c>
      <c r="F6" s="7">
        <f>SUM(F3:F5)</f>
        <v>6125812</v>
      </c>
      <c r="G6" s="7">
        <f>SUM(G3:G5)</f>
        <v>1225162.4000000001</v>
      </c>
      <c r="H6" s="7">
        <f>SUM(H3:H5)</f>
        <v>4900649.6000000006</v>
      </c>
      <c r="I6" s="7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5"/>
      <c r="EM6" s="95"/>
      <c r="EN6" s="95"/>
      <c r="EO6" s="95"/>
      <c r="EP6" s="95"/>
      <c r="EQ6" s="95"/>
      <c r="ER6" s="95"/>
      <c r="ES6" s="95"/>
      <c r="ET6" s="95"/>
      <c r="EU6" s="95"/>
      <c r="EV6" s="95"/>
      <c r="EW6" s="95"/>
      <c r="EX6" s="95"/>
      <c r="EY6" s="95"/>
      <c r="EZ6" s="95"/>
      <c r="FA6" s="95"/>
      <c r="FB6" s="95"/>
      <c r="FC6" s="95"/>
      <c r="FD6" s="95"/>
      <c r="FE6" s="95"/>
      <c r="FF6" s="95"/>
      <c r="FG6" s="95"/>
      <c r="FH6" s="95"/>
      <c r="FI6" s="95"/>
      <c r="FJ6" s="95"/>
      <c r="FK6" s="95"/>
      <c r="FL6" s="95"/>
      <c r="FM6" s="95"/>
      <c r="FN6" s="95"/>
      <c r="FO6" s="95"/>
      <c r="FP6" s="95"/>
      <c r="FQ6" s="95"/>
      <c r="FR6" s="95"/>
      <c r="FS6" s="95"/>
      <c r="FT6" s="95"/>
      <c r="FU6" s="95"/>
      <c r="FV6" s="95"/>
      <c r="FW6" s="95"/>
      <c r="FX6" s="95"/>
      <c r="FY6" s="95"/>
      <c r="FZ6" s="95"/>
      <c r="GA6" s="95"/>
      <c r="GB6" s="95"/>
      <c r="GC6" s="95"/>
      <c r="GD6" s="95"/>
      <c r="GE6" s="95"/>
      <c r="GF6" s="95"/>
      <c r="GG6" s="95"/>
      <c r="GH6" s="95"/>
      <c r="GI6" s="95"/>
      <c r="GJ6" s="95"/>
      <c r="GK6" s="95"/>
      <c r="GL6" s="95"/>
      <c r="GM6" s="95"/>
      <c r="GN6" s="95"/>
      <c r="GO6" s="95"/>
      <c r="GP6" s="95"/>
      <c r="GQ6" s="95"/>
      <c r="GR6" s="95"/>
      <c r="GS6" s="95"/>
      <c r="GT6" s="95"/>
      <c r="GU6" s="95"/>
      <c r="GV6" s="95"/>
      <c r="GW6" s="95"/>
      <c r="GX6" s="95"/>
      <c r="GY6" s="95"/>
      <c r="GZ6" s="95"/>
      <c r="HA6" s="95"/>
      <c r="HB6" s="95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</row>
    <row r="7" spans="1:256" ht="15.45" customHeight="1">
      <c r="A7" s="95"/>
      <c r="B7" s="102"/>
      <c r="C7" s="102"/>
      <c r="D7" s="102"/>
      <c r="E7" s="102"/>
      <c r="F7" s="102"/>
      <c r="G7" s="103">
        <f>F6*0.2</f>
        <v>1225162.4000000001</v>
      </c>
      <c r="H7" s="103">
        <f>F6*0.8</f>
        <v>4900649.6000000006</v>
      </c>
      <c r="I7" s="102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95"/>
      <c r="EX7" s="95"/>
      <c r="EY7" s="95"/>
      <c r="EZ7" s="95"/>
      <c r="FA7" s="95"/>
      <c r="FB7" s="95"/>
      <c r="FC7" s="95"/>
      <c r="FD7" s="95"/>
      <c r="FE7" s="95"/>
      <c r="FF7" s="95"/>
      <c r="FG7" s="95"/>
      <c r="FH7" s="95"/>
      <c r="FI7" s="95"/>
      <c r="FJ7" s="95"/>
      <c r="FK7" s="95"/>
      <c r="FL7" s="95"/>
      <c r="FM7" s="95"/>
      <c r="FN7" s="95"/>
      <c r="FO7" s="95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95"/>
      <c r="IA7" s="95"/>
      <c r="IB7" s="95"/>
      <c r="IC7" s="95"/>
      <c r="ID7" s="95"/>
      <c r="IE7" s="95"/>
      <c r="IF7" s="95"/>
      <c r="IG7" s="95"/>
      <c r="IH7" s="95"/>
      <c r="II7" s="95"/>
      <c r="IJ7" s="95"/>
      <c r="IK7" s="95"/>
      <c r="IL7" s="95"/>
      <c r="IM7" s="95"/>
      <c r="IN7" s="95"/>
      <c r="IO7" s="95"/>
      <c r="IP7" s="95"/>
      <c r="IQ7" s="95"/>
      <c r="IR7" s="95"/>
      <c r="IS7" s="95"/>
      <c r="IT7" s="95"/>
      <c r="IU7" s="95"/>
      <c r="IV7" s="95"/>
    </row>
    <row r="8" spans="1:256" ht="15.45" customHeight="1">
      <c r="A8" s="95"/>
      <c r="B8" s="102"/>
      <c r="C8" s="102"/>
      <c r="D8" s="102"/>
      <c r="E8" s="102"/>
      <c r="F8" s="102"/>
      <c r="G8" s="103"/>
      <c r="H8" s="103"/>
      <c r="I8" s="102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/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95"/>
      <c r="IR8" s="95"/>
      <c r="IS8" s="95"/>
      <c r="IT8" s="95"/>
      <c r="IU8" s="95"/>
      <c r="IV8" s="95"/>
    </row>
    <row r="9" spans="1:256" ht="15" customHeight="1">
      <c r="A9" s="95"/>
      <c r="B9" s="102"/>
      <c r="C9" s="102"/>
      <c r="D9" s="102"/>
      <c r="E9" s="102"/>
      <c r="F9" s="102"/>
      <c r="G9" s="103"/>
      <c r="H9" s="103"/>
      <c r="I9" s="102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95"/>
      <c r="IR9" s="95"/>
      <c r="IS9" s="95"/>
      <c r="IT9" s="95"/>
      <c r="IU9" s="95"/>
      <c r="IV9" s="95"/>
    </row>
    <row r="10" spans="1:256" ht="15" customHeight="1">
      <c r="A10" s="95" t="s">
        <v>345</v>
      </c>
      <c r="B10" s="112"/>
      <c r="C10" s="102"/>
      <c r="D10" s="113"/>
      <c r="E10" s="102"/>
      <c r="F10" s="102"/>
      <c r="G10" s="102"/>
      <c r="H10" s="102"/>
      <c r="I10" s="102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  <c r="EF10" s="95"/>
      <c r="EG10" s="95"/>
      <c r="EH10" s="95"/>
      <c r="EI10" s="95"/>
      <c r="EJ10" s="95"/>
      <c r="EK10" s="95"/>
      <c r="EL10" s="95"/>
      <c r="EM10" s="95"/>
      <c r="EN10" s="95"/>
      <c r="EO10" s="95"/>
      <c r="EP10" s="95"/>
      <c r="EQ10" s="95"/>
      <c r="ER10" s="95"/>
      <c r="ES10" s="95"/>
      <c r="ET10" s="95"/>
      <c r="EU10" s="95"/>
      <c r="EV10" s="95"/>
      <c r="EW10" s="95"/>
      <c r="EX10" s="95"/>
      <c r="EY10" s="95"/>
      <c r="EZ10" s="95"/>
      <c r="FA10" s="95"/>
      <c r="FB10" s="95"/>
      <c r="FC10" s="95"/>
      <c r="FD10" s="95"/>
      <c r="FE10" s="95"/>
      <c r="FF10" s="95"/>
      <c r="FG10" s="95"/>
      <c r="FH10" s="95"/>
      <c r="FI10" s="95"/>
      <c r="FJ10" s="95"/>
      <c r="FK10" s="95"/>
      <c r="FL10" s="95"/>
      <c r="FM10" s="95"/>
      <c r="FN10" s="95"/>
      <c r="FO10" s="95"/>
      <c r="FP10" s="95"/>
      <c r="FQ10" s="95"/>
      <c r="FR10" s="95"/>
      <c r="FS10" s="95"/>
      <c r="FT10" s="95"/>
      <c r="FU10" s="95"/>
      <c r="FV10" s="95"/>
      <c r="FW10" s="95"/>
      <c r="FX10" s="95"/>
      <c r="FY10" s="95"/>
      <c r="FZ10" s="95"/>
      <c r="GA10" s="95"/>
      <c r="GB10" s="95"/>
      <c r="GC10" s="95"/>
      <c r="GD10" s="95"/>
      <c r="GE10" s="95"/>
      <c r="GF10" s="95"/>
      <c r="GG10" s="95"/>
      <c r="GH10" s="95"/>
      <c r="GI10" s="95"/>
      <c r="GJ10" s="95"/>
      <c r="GK10" s="95"/>
      <c r="GL10" s="95"/>
      <c r="GM10" s="95"/>
      <c r="GN10" s="95"/>
      <c r="GO10" s="95"/>
      <c r="GP10" s="95"/>
      <c r="GQ10" s="95"/>
      <c r="GR10" s="95"/>
      <c r="GS10" s="95"/>
      <c r="GT10" s="95"/>
      <c r="GU10" s="95"/>
      <c r="GV10" s="95"/>
      <c r="GW10" s="95"/>
      <c r="GX10" s="95"/>
      <c r="GY10" s="95"/>
      <c r="GZ10" s="95"/>
      <c r="HA10" s="95"/>
      <c r="HB10" s="95"/>
      <c r="HC10" s="95"/>
      <c r="HD10" s="95"/>
      <c r="HE10" s="95"/>
      <c r="HF10" s="95"/>
      <c r="HG10" s="95"/>
      <c r="HH10" s="95"/>
      <c r="HI10" s="95"/>
      <c r="HJ10" s="95"/>
      <c r="HK10" s="95"/>
      <c r="HL10" s="95"/>
      <c r="HM10" s="95"/>
      <c r="HN10" s="95"/>
      <c r="HO10" s="95"/>
      <c r="HP10" s="95"/>
      <c r="HQ10" s="95"/>
      <c r="HR10" s="95"/>
      <c r="HS10" s="95"/>
      <c r="HT10" s="95"/>
      <c r="HU10" s="95"/>
      <c r="HV10" s="95"/>
      <c r="HW10" s="95"/>
      <c r="HX10" s="95"/>
      <c r="HY10" s="95"/>
      <c r="HZ10" s="95"/>
      <c r="IA10" s="95"/>
      <c r="IB10" s="95"/>
      <c r="IC10" s="95"/>
      <c r="ID10" s="95"/>
      <c r="IE10" s="95"/>
      <c r="IF10" s="95"/>
      <c r="IG10" s="95"/>
      <c r="IH10" s="95"/>
      <c r="II10" s="95"/>
      <c r="IJ10" s="95"/>
      <c r="IK10" s="95"/>
      <c r="IL10" s="95"/>
      <c r="IM10" s="95"/>
      <c r="IN10" s="95"/>
      <c r="IO10" s="95"/>
      <c r="IP10" s="95"/>
      <c r="IQ10" s="95"/>
      <c r="IR10" s="95"/>
      <c r="IS10" s="95"/>
      <c r="IT10" s="95"/>
      <c r="IU10" s="95"/>
      <c r="IV10" s="95"/>
    </row>
    <row r="11" spans="1:256" s="93" customFormat="1" ht="16.2" thickBot="1">
      <c r="A11" s="200" t="s">
        <v>94</v>
      </c>
      <c r="B11" s="201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2"/>
      <c r="T11" s="204" t="s">
        <v>306</v>
      </c>
      <c r="U11" s="206"/>
      <c r="V11" s="206"/>
      <c r="W11" s="206"/>
      <c r="X11" s="206"/>
      <c r="Y11" s="206"/>
      <c r="Z11" s="205"/>
      <c r="AA11" s="204" t="s">
        <v>307</v>
      </c>
      <c r="AB11" s="206"/>
      <c r="AC11" s="206"/>
      <c r="AD11" s="206"/>
      <c r="AE11" s="206"/>
      <c r="AF11" s="206"/>
      <c r="AG11" s="205"/>
      <c r="AH11" s="204" t="s">
        <v>308</v>
      </c>
      <c r="AI11" s="206"/>
      <c r="AJ11" s="206"/>
      <c r="AK11" s="206"/>
      <c r="AL11" s="206"/>
      <c r="AM11" s="206"/>
      <c r="AN11" s="205"/>
      <c r="AO11" s="204" t="s">
        <v>309</v>
      </c>
      <c r="AP11" s="206"/>
      <c r="AQ11" s="206"/>
      <c r="AR11" s="205"/>
      <c r="AS11" s="204" t="s">
        <v>310</v>
      </c>
      <c r="AT11" s="206"/>
      <c r="AU11" s="205"/>
    </row>
    <row r="12" spans="1:256" s="93" customFormat="1" ht="16.2" thickTop="1">
      <c r="A12" s="197" t="s">
        <v>41</v>
      </c>
      <c r="B12" s="198" t="s">
        <v>42</v>
      </c>
      <c r="C12" s="198" t="s">
        <v>43</v>
      </c>
      <c r="D12" s="198" t="s">
        <v>44</v>
      </c>
      <c r="E12" s="198" t="s">
        <v>46</v>
      </c>
      <c r="F12" s="198" t="s">
        <v>47</v>
      </c>
      <c r="G12" s="198" t="s">
        <v>45</v>
      </c>
      <c r="H12" s="198" t="s">
        <v>300</v>
      </c>
      <c r="I12" s="198" t="s">
        <v>301</v>
      </c>
      <c r="J12" s="198" t="s">
        <v>302</v>
      </c>
      <c r="K12" s="198" t="s">
        <v>48</v>
      </c>
      <c r="L12" s="198" t="s">
        <v>49</v>
      </c>
      <c r="M12" s="198" t="s">
        <v>303</v>
      </c>
      <c r="N12" s="198" t="s">
        <v>304</v>
      </c>
      <c r="O12" s="198" t="s">
        <v>305</v>
      </c>
      <c r="P12" s="198" t="s">
        <v>50</v>
      </c>
      <c r="Q12" s="198" t="s">
        <v>36</v>
      </c>
      <c r="R12" s="198" t="s">
        <v>51</v>
      </c>
      <c r="S12" s="198" t="s">
        <v>52</v>
      </c>
      <c r="T12" s="198" t="s">
        <v>311</v>
      </c>
      <c r="U12" s="198" t="s">
        <v>312</v>
      </c>
      <c r="V12" s="198" t="s">
        <v>313</v>
      </c>
      <c r="W12" s="198" t="s">
        <v>314</v>
      </c>
      <c r="X12" s="198" t="s">
        <v>315</v>
      </c>
      <c r="Y12" s="198" t="s">
        <v>316</v>
      </c>
      <c r="Z12" s="198" t="s">
        <v>317</v>
      </c>
      <c r="AA12" s="198" t="s">
        <v>318</v>
      </c>
      <c r="AB12" s="198" t="s">
        <v>319</v>
      </c>
      <c r="AC12" s="198" t="s">
        <v>320</v>
      </c>
      <c r="AD12" s="198" t="s">
        <v>321</v>
      </c>
      <c r="AE12" s="198" t="s">
        <v>322</v>
      </c>
      <c r="AF12" s="198" t="s">
        <v>323</v>
      </c>
      <c r="AG12" s="199" t="s">
        <v>324</v>
      </c>
      <c r="AH12" s="198" t="s">
        <v>325</v>
      </c>
      <c r="AI12" s="198" t="s">
        <v>326</v>
      </c>
      <c r="AJ12" s="198" t="s">
        <v>327</v>
      </c>
      <c r="AK12" s="198" t="s">
        <v>328</v>
      </c>
      <c r="AL12" s="198" t="s">
        <v>329</v>
      </c>
      <c r="AM12" s="198" t="s">
        <v>330</v>
      </c>
      <c r="AN12" s="198" t="s">
        <v>317</v>
      </c>
      <c r="AO12" s="198" t="s">
        <v>331</v>
      </c>
      <c r="AP12" s="198" t="s">
        <v>332</v>
      </c>
      <c r="AQ12" s="198" t="s">
        <v>333</v>
      </c>
      <c r="AR12" s="198" t="s">
        <v>334</v>
      </c>
      <c r="AS12" s="199" t="s">
        <v>53</v>
      </c>
      <c r="AT12" s="198" t="s">
        <v>57</v>
      </c>
      <c r="AU12" s="198" t="s">
        <v>335</v>
      </c>
    </row>
    <row r="13" spans="1:256" s="93" customFormat="1">
      <c r="A13" s="114" t="s">
        <v>437</v>
      </c>
      <c r="B13" s="114" t="s">
        <v>438</v>
      </c>
      <c r="C13" s="114">
        <v>2618118972</v>
      </c>
      <c r="D13" s="114" t="s">
        <v>40</v>
      </c>
      <c r="E13" s="114" t="s">
        <v>439</v>
      </c>
      <c r="F13" s="114" t="s">
        <v>440</v>
      </c>
      <c r="G13" s="114">
        <v>1222</v>
      </c>
      <c r="H13" s="114" t="s">
        <v>451</v>
      </c>
      <c r="I13" s="114" t="s">
        <v>442</v>
      </c>
      <c r="J13" s="114" t="s">
        <v>443</v>
      </c>
      <c r="K13" s="114">
        <v>50744771</v>
      </c>
      <c r="L13" s="114" t="s">
        <v>452</v>
      </c>
      <c r="M13" s="196">
        <v>43118</v>
      </c>
      <c r="N13" s="196"/>
      <c r="O13" s="114"/>
      <c r="P13" s="114"/>
      <c r="Q13" s="114" t="s">
        <v>453</v>
      </c>
      <c r="R13" s="115" t="s">
        <v>446</v>
      </c>
      <c r="S13" s="115" t="s">
        <v>447</v>
      </c>
      <c r="T13" s="115">
        <v>42720</v>
      </c>
      <c r="U13" s="115">
        <v>14830</v>
      </c>
      <c r="V13" s="115">
        <v>2100</v>
      </c>
      <c r="W13" s="115">
        <v>79950</v>
      </c>
      <c r="X13" s="115">
        <v>59650</v>
      </c>
      <c r="Y13" s="115">
        <v>79950</v>
      </c>
      <c r="Z13" s="115">
        <v>139600</v>
      </c>
      <c r="AA13" s="115">
        <v>51264</v>
      </c>
      <c r="AB13" s="115">
        <v>14830</v>
      </c>
      <c r="AC13" s="115">
        <v>2520</v>
      </c>
      <c r="AD13" s="115">
        <v>79950</v>
      </c>
      <c r="AE13" s="115">
        <v>68614</v>
      </c>
      <c r="AF13" s="115">
        <v>79950</v>
      </c>
      <c r="AG13" s="115">
        <v>148564</v>
      </c>
      <c r="AH13" s="115">
        <v>46138</v>
      </c>
      <c r="AI13" s="115">
        <v>14385</v>
      </c>
      <c r="AJ13" s="115">
        <v>1764</v>
      </c>
      <c r="AK13" s="115">
        <v>71955</v>
      </c>
      <c r="AL13" s="115">
        <v>62287</v>
      </c>
      <c r="AM13" s="115">
        <v>71955</v>
      </c>
      <c r="AN13" s="115">
        <v>134242</v>
      </c>
      <c r="AO13" s="115">
        <v>70</v>
      </c>
      <c r="AP13" s="207">
        <v>70</v>
      </c>
      <c r="AQ13" s="208">
        <v>70</v>
      </c>
      <c r="AR13" s="208">
        <v>70</v>
      </c>
      <c r="AS13" s="209">
        <v>85428</v>
      </c>
      <c r="AT13" s="209">
        <v>8542</v>
      </c>
      <c r="AU13" s="209">
        <v>93970</v>
      </c>
    </row>
    <row r="14" spans="1:256" s="93" customFormat="1">
      <c r="A14" s="114" t="s">
        <v>437</v>
      </c>
      <c r="B14" s="114" t="s">
        <v>438</v>
      </c>
      <c r="C14" s="114">
        <v>2618118972</v>
      </c>
      <c r="D14" s="114" t="s">
        <v>40</v>
      </c>
      <c r="E14" s="114" t="s">
        <v>439</v>
      </c>
      <c r="F14" s="114" t="s">
        <v>440</v>
      </c>
      <c r="G14" s="114">
        <v>1222</v>
      </c>
      <c r="H14" s="114" t="s">
        <v>451</v>
      </c>
      <c r="I14" s="114" t="s">
        <v>442</v>
      </c>
      <c r="J14" s="114" t="s">
        <v>443</v>
      </c>
      <c r="K14" s="114">
        <v>50744771</v>
      </c>
      <c r="L14" s="114" t="s">
        <v>452</v>
      </c>
      <c r="M14" s="196">
        <v>43118</v>
      </c>
      <c r="N14" s="196"/>
      <c r="O14" s="114"/>
      <c r="P14" s="114"/>
      <c r="Q14" s="114" t="s">
        <v>453</v>
      </c>
      <c r="R14" s="115" t="s">
        <v>446</v>
      </c>
      <c r="S14" s="115" t="s">
        <v>448</v>
      </c>
      <c r="T14" s="115">
        <v>69400</v>
      </c>
      <c r="U14" s="115">
        <v>43770</v>
      </c>
      <c r="V14" s="115">
        <v>800</v>
      </c>
      <c r="W14" s="115">
        <v>27630</v>
      </c>
      <c r="X14" s="115">
        <v>113970</v>
      </c>
      <c r="Y14" s="115">
        <v>27630</v>
      </c>
      <c r="Z14" s="115">
        <v>141600</v>
      </c>
      <c r="AA14" s="115">
        <v>83280</v>
      </c>
      <c r="AB14" s="115">
        <v>43770</v>
      </c>
      <c r="AC14" s="115">
        <v>960</v>
      </c>
      <c r="AD14" s="115">
        <v>27630</v>
      </c>
      <c r="AE14" s="115">
        <v>128010</v>
      </c>
      <c r="AF14" s="115">
        <v>27630</v>
      </c>
      <c r="AG14" s="115">
        <v>155640</v>
      </c>
      <c r="AH14" s="115">
        <v>74952</v>
      </c>
      <c r="AI14" s="115">
        <v>42457</v>
      </c>
      <c r="AJ14" s="115">
        <v>672</v>
      </c>
      <c r="AK14" s="115">
        <v>24867</v>
      </c>
      <c r="AL14" s="115">
        <v>118081</v>
      </c>
      <c r="AM14" s="115">
        <v>24867</v>
      </c>
      <c r="AN14" s="115">
        <v>142948</v>
      </c>
      <c r="AO14" s="115">
        <v>70</v>
      </c>
      <c r="AP14" s="207">
        <v>70</v>
      </c>
      <c r="AQ14" s="208">
        <v>70</v>
      </c>
      <c r="AR14" s="208">
        <v>70</v>
      </c>
      <c r="AS14" s="209">
        <v>90966</v>
      </c>
      <c r="AT14" s="209">
        <v>9097</v>
      </c>
      <c r="AU14" s="209">
        <v>100063</v>
      </c>
    </row>
    <row r="15" spans="1:256" s="93" customFormat="1">
      <c r="A15" s="114" t="s">
        <v>437</v>
      </c>
      <c r="B15" s="114" t="s">
        <v>438</v>
      </c>
      <c r="C15" s="114">
        <v>2618118972</v>
      </c>
      <c r="D15" s="114" t="s">
        <v>40</v>
      </c>
      <c r="E15" s="114" t="s">
        <v>439</v>
      </c>
      <c r="F15" s="114" t="s">
        <v>440</v>
      </c>
      <c r="G15" s="114">
        <v>1222</v>
      </c>
      <c r="H15" s="114" t="s">
        <v>451</v>
      </c>
      <c r="I15" s="114" t="s">
        <v>442</v>
      </c>
      <c r="J15" s="114" t="s">
        <v>443</v>
      </c>
      <c r="K15" s="114">
        <v>50744771</v>
      </c>
      <c r="L15" s="114" t="s">
        <v>452</v>
      </c>
      <c r="M15" s="196">
        <v>43118</v>
      </c>
      <c r="N15" s="196"/>
      <c r="O15" s="114"/>
      <c r="P15" s="114"/>
      <c r="Q15" s="114" t="s">
        <v>453</v>
      </c>
      <c r="R15" s="115" t="s">
        <v>446</v>
      </c>
      <c r="S15" s="115" t="s">
        <v>448</v>
      </c>
      <c r="T15" s="115">
        <v>76880</v>
      </c>
      <c r="U15" s="115">
        <v>23920</v>
      </c>
      <c r="V15" s="115">
        <v>0</v>
      </c>
      <c r="W15" s="115">
        <v>0</v>
      </c>
      <c r="X15" s="115">
        <v>100800</v>
      </c>
      <c r="Y15" s="115">
        <v>0</v>
      </c>
      <c r="Z15" s="115">
        <v>100800</v>
      </c>
      <c r="AA15" s="115">
        <v>92256</v>
      </c>
      <c r="AB15" s="115">
        <v>23920</v>
      </c>
      <c r="AC15" s="115">
        <v>0</v>
      </c>
      <c r="AD15" s="115">
        <v>0</v>
      </c>
      <c r="AE15" s="115">
        <v>116176</v>
      </c>
      <c r="AF15" s="115">
        <v>0</v>
      </c>
      <c r="AG15" s="115">
        <v>116176</v>
      </c>
      <c r="AH15" s="115">
        <v>83030</v>
      </c>
      <c r="AI15" s="115">
        <v>23202</v>
      </c>
      <c r="AJ15" s="115">
        <v>0</v>
      </c>
      <c r="AK15" s="115">
        <v>0</v>
      </c>
      <c r="AL15" s="115">
        <v>106233</v>
      </c>
      <c r="AM15" s="115">
        <v>0</v>
      </c>
      <c r="AN15" s="115">
        <v>106233</v>
      </c>
      <c r="AO15" s="115">
        <v>70</v>
      </c>
      <c r="AP15" s="207">
        <v>70</v>
      </c>
      <c r="AQ15" s="208">
        <v>70</v>
      </c>
      <c r="AR15" s="208">
        <v>70</v>
      </c>
      <c r="AS15" s="209">
        <v>67602</v>
      </c>
      <c r="AT15" s="209">
        <v>6761</v>
      </c>
      <c r="AU15" s="209">
        <v>74363</v>
      </c>
    </row>
    <row r="16" spans="1:256" s="93" customFormat="1">
      <c r="A16" s="114" t="s">
        <v>437</v>
      </c>
      <c r="B16" s="114" t="s">
        <v>438</v>
      </c>
      <c r="C16" s="114">
        <v>2618118972</v>
      </c>
      <c r="D16" s="114" t="s">
        <v>40</v>
      </c>
      <c r="E16" s="114" t="s">
        <v>439</v>
      </c>
      <c r="F16" s="114" t="s">
        <v>440</v>
      </c>
      <c r="G16" s="114">
        <v>1222</v>
      </c>
      <c r="H16" s="114" t="s">
        <v>451</v>
      </c>
      <c r="I16" s="114" t="s">
        <v>442</v>
      </c>
      <c r="J16" s="114" t="s">
        <v>443</v>
      </c>
      <c r="K16" s="114">
        <v>50744771</v>
      </c>
      <c r="L16" s="114" t="s">
        <v>452</v>
      </c>
      <c r="M16" s="196">
        <v>43118</v>
      </c>
      <c r="N16" s="196"/>
      <c r="O16" s="114"/>
      <c r="P16" s="114"/>
      <c r="Q16" s="114" t="s">
        <v>453</v>
      </c>
      <c r="R16" s="115" t="s">
        <v>446</v>
      </c>
      <c r="S16" s="115" t="s">
        <v>448</v>
      </c>
      <c r="T16" s="115">
        <v>162000</v>
      </c>
      <c r="U16" s="115">
        <v>18200</v>
      </c>
      <c r="V16" s="115">
        <v>31520</v>
      </c>
      <c r="W16" s="115">
        <v>15080</v>
      </c>
      <c r="X16" s="115">
        <v>211720</v>
      </c>
      <c r="Y16" s="115">
        <v>15080</v>
      </c>
      <c r="Z16" s="115">
        <v>226800</v>
      </c>
      <c r="AA16" s="115">
        <v>194400</v>
      </c>
      <c r="AB16" s="115">
        <v>18200</v>
      </c>
      <c r="AC16" s="115">
        <v>37824</v>
      </c>
      <c r="AD16" s="115">
        <v>15080</v>
      </c>
      <c r="AE16" s="115">
        <v>250424</v>
      </c>
      <c r="AF16" s="115">
        <v>15080</v>
      </c>
      <c r="AG16" s="115">
        <v>265504</v>
      </c>
      <c r="AH16" s="115">
        <v>174960</v>
      </c>
      <c r="AI16" s="115">
        <v>17654</v>
      </c>
      <c r="AJ16" s="115">
        <v>26477</v>
      </c>
      <c r="AK16" s="115">
        <v>13572</v>
      </c>
      <c r="AL16" s="115">
        <v>219091</v>
      </c>
      <c r="AM16" s="115">
        <v>13572</v>
      </c>
      <c r="AN16" s="115">
        <v>232663</v>
      </c>
      <c r="AO16" s="115">
        <v>70</v>
      </c>
      <c r="AP16" s="207">
        <v>70</v>
      </c>
      <c r="AQ16" s="208">
        <v>70</v>
      </c>
      <c r="AR16" s="208">
        <v>70</v>
      </c>
      <c r="AS16" s="209">
        <v>148058</v>
      </c>
      <c r="AT16" s="209">
        <v>14806</v>
      </c>
      <c r="AU16" s="209">
        <v>162864</v>
      </c>
    </row>
    <row r="17" spans="1:256" s="93" customFormat="1">
      <c r="A17" s="114" t="s">
        <v>437</v>
      </c>
      <c r="B17" s="114" t="s">
        <v>438</v>
      </c>
      <c r="C17" s="114">
        <v>2618118972</v>
      </c>
      <c r="D17" s="114" t="s">
        <v>40</v>
      </c>
      <c r="E17" s="114" t="s">
        <v>439</v>
      </c>
      <c r="F17" s="114" t="s">
        <v>440</v>
      </c>
      <c r="G17" s="114">
        <v>1222</v>
      </c>
      <c r="H17" s="114" t="s">
        <v>451</v>
      </c>
      <c r="I17" s="114" t="s">
        <v>442</v>
      </c>
      <c r="J17" s="114" t="s">
        <v>443</v>
      </c>
      <c r="K17" s="114">
        <v>50744771</v>
      </c>
      <c r="L17" s="114" t="s">
        <v>452</v>
      </c>
      <c r="M17" s="196">
        <v>43118</v>
      </c>
      <c r="N17" s="196"/>
      <c r="O17" s="114"/>
      <c r="P17" s="114"/>
      <c r="Q17" s="114" t="s">
        <v>453</v>
      </c>
      <c r="R17" s="115" t="s">
        <v>446</v>
      </c>
      <c r="S17" s="115" t="s">
        <v>449</v>
      </c>
      <c r="T17" s="115">
        <v>275050</v>
      </c>
      <c r="U17" s="115">
        <v>174510</v>
      </c>
      <c r="V17" s="115">
        <v>184810</v>
      </c>
      <c r="W17" s="115">
        <v>460630</v>
      </c>
      <c r="X17" s="115">
        <v>634370</v>
      </c>
      <c r="Y17" s="115">
        <v>460630</v>
      </c>
      <c r="Z17" s="115">
        <v>1095000</v>
      </c>
      <c r="AA17" s="115">
        <v>330060</v>
      </c>
      <c r="AB17" s="115">
        <v>174510</v>
      </c>
      <c r="AC17" s="115">
        <v>221432</v>
      </c>
      <c r="AD17" s="115">
        <v>460630</v>
      </c>
      <c r="AE17" s="115">
        <v>726002</v>
      </c>
      <c r="AF17" s="115">
        <v>460630</v>
      </c>
      <c r="AG17" s="115">
        <v>1186632</v>
      </c>
      <c r="AH17" s="115">
        <v>297054</v>
      </c>
      <c r="AI17" s="115">
        <v>169275</v>
      </c>
      <c r="AJ17" s="115">
        <v>155002</v>
      </c>
      <c r="AK17" s="115">
        <v>414567</v>
      </c>
      <c r="AL17" s="115">
        <v>621331</v>
      </c>
      <c r="AM17" s="115">
        <v>414567</v>
      </c>
      <c r="AN17" s="115">
        <v>1035898</v>
      </c>
      <c r="AO17" s="115">
        <v>70</v>
      </c>
      <c r="AP17" s="207">
        <v>70</v>
      </c>
      <c r="AQ17" s="208">
        <v>70</v>
      </c>
      <c r="AR17" s="208">
        <v>70</v>
      </c>
      <c r="AS17" s="209">
        <v>659208</v>
      </c>
      <c r="AT17" s="209">
        <v>65921</v>
      </c>
      <c r="AU17" s="209">
        <v>725129</v>
      </c>
    </row>
    <row r="18" spans="1:256" s="93" customFormat="1">
      <c r="A18" s="114" t="s">
        <v>437</v>
      </c>
      <c r="B18" s="114" t="s">
        <v>438</v>
      </c>
      <c r="C18" s="114">
        <v>2618118972</v>
      </c>
      <c r="D18" s="114" t="s">
        <v>40</v>
      </c>
      <c r="E18" s="114" t="s">
        <v>439</v>
      </c>
      <c r="F18" s="114" t="s">
        <v>440</v>
      </c>
      <c r="G18" s="114">
        <v>1222</v>
      </c>
      <c r="H18" s="114" t="s">
        <v>451</v>
      </c>
      <c r="I18" s="114" t="s">
        <v>442</v>
      </c>
      <c r="J18" s="114" t="s">
        <v>443</v>
      </c>
      <c r="K18" s="114">
        <v>50744771</v>
      </c>
      <c r="L18" s="114" t="s">
        <v>452</v>
      </c>
      <c r="M18" s="196">
        <v>43118</v>
      </c>
      <c r="N18" s="196"/>
      <c r="O18" s="114"/>
      <c r="P18" s="114"/>
      <c r="Q18" s="114" t="s">
        <v>453</v>
      </c>
      <c r="R18" s="115" t="s">
        <v>446</v>
      </c>
      <c r="S18" s="115" t="s">
        <v>450</v>
      </c>
      <c r="T18" s="115">
        <v>195340</v>
      </c>
      <c r="U18" s="115">
        <v>189860</v>
      </c>
      <c r="V18" s="115">
        <v>75370</v>
      </c>
      <c r="W18" s="115">
        <v>233230</v>
      </c>
      <c r="X18" s="115">
        <v>460570</v>
      </c>
      <c r="Y18" s="115">
        <v>233230</v>
      </c>
      <c r="Z18" s="115">
        <v>693800</v>
      </c>
      <c r="AA18" s="115">
        <v>234408</v>
      </c>
      <c r="AB18" s="115">
        <v>189860</v>
      </c>
      <c r="AC18" s="115">
        <v>90084</v>
      </c>
      <c r="AD18" s="115">
        <v>233230</v>
      </c>
      <c r="AE18" s="115">
        <v>514352</v>
      </c>
      <c r="AF18" s="115">
        <v>233230</v>
      </c>
      <c r="AG18" s="115">
        <v>747582</v>
      </c>
      <c r="AH18" s="115">
        <v>210967</v>
      </c>
      <c r="AI18" s="115">
        <v>184164</v>
      </c>
      <c r="AJ18" s="115">
        <v>63059</v>
      </c>
      <c r="AK18" s="115">
        <v>209907</v>
      </c>
      <c r="AL18" s="115">
        <v>458190</v>
      </c>
      <c r="AM18" s="115">
        <v>209907</v>
      </c>
      <c r="AN18" s="115">
        <v>668097</v>
      </c>
      <c r="AO18" s="115">
        <v>70</v>
      </c>
      <c r="AP18" s="207">
        <v>70</v>
      </c>
      <c r="AQ18" s="208">
        <v>70</v>
      </c>
      <c r="AR18" s="208">
        <v>70</v>
      </c>
      <c r="AS18" s="209">
        <v>425152</v>
      </c>
      <c r="AT18" s="209">
        <v>42516</v>
      </c>
      <c r="AU18" s="209">
        <v>467668</v>
      </c>
    </row>
    <row r="19" spans="1:256" s="93" customFormat="1">
      <c r="A19" s="114" t="s">
        <v>437</v>
      </c>
      <c r="B19" s="114" t="s">
        <v>438</v>
      </c>
      <c r="C19" s="114">
        <v>2618118972</v>
      </c>
      <c r="D19" s="114" t="s">
        <v>40</v>
      </c>
      <c r="E19" s="114" t="s">
        <v>439</v>
      </c>
      <c r="F19" s="114" t="s">
        <v>440</v>
      </c>
      <c r="G19" s="114">
        <v>1222</v>
      </c>
      <c r="H19" s="114" t="s">
        <v>451</v>
      </c>
      <c r="I19" s="114" t="s">
        <v>442</v>
      </c>
      <c r="J19" s="114" t="s">
        <v>443</v>
      </c>
      <c r="K19" s="114">
        <v>50744771</v>
      </c>
      <c r="L19" s="114" t="s">
        <v>452</v>
      </c>
      <c r="M19" s="196">
        <v>43118</v>
      </c>
      <c r="N19" s="196"/>
      <c r="O19" s="114"/>
      <c r="P19" s="114"/>
      <c r="Q19" s="114" t="s">
        <v>453</v>
      </c>
      <c r="R19" s="115" t="s">
        <v>446</v>
      </c>
      <c r="S19" s="115" t="s">
        <v>450</v>
      </c>
      <c r="T19" s="115">
        <v>108140</v>
      </c>
      <c r="U19" s="115">
        <v>136030</v>
      </c>
      <c r="V19" s="115">
        <v>56640</v>
      </c>
      <c r="W19" s="115">
        <v>119190</v>
      </c>
      <c r="X19" s="115">
        <v>300810</v>
      </c>
      <c r="Y19" s="115">
        <v>119190</v>
      </c>
      <c r="Z19" s="115">
        <v>420000</v>
      </c>
      <c r="AA19" s="115">
        <v>129768</v>
      </c>
      <c r="AB19" s="115">
        <v>136030</v>
      </c>
      <c r="AC19" s="115">
        <v>67618</v>
      </c>
      <c r="AD19" s="115">
        <v>119190</v>
      </c>
      <c r="AE19" s="115">
        <v>333416</v>
      </c>
      <c r="AF19" s="115">
        <v>119190</v>
      </c>
      <c r="AG19" s="115">
        <v>452606</v>
      </c>
      <c r="AH19" s="115">
        <v>116791</v>
      </c>
      <c r="AI19" s="115">
        <v>131949</v>
      </c>
      <c r="AJ19" s="115">
        <v>47333</v>
      </c>
      <c r="AK19" s="115">
        <v>107271</v>
      </c>
      <c r="AL19" s="115">
        <v>296073</v>
      </c>
      <c r="AM19" s="115">
        <v>107271</v>
      </c>
      <c r="AN19" s="115">
        <v>403344</v>
      </c>
      <c r="AO19" s="115">
        <v>70</v>
      </c>
      <c r="AP19" s="207">
        <v>70</v>
      </c>
      <c r="AQ19" s="208">
        <v>70</v>
      </c>
      <c r="AR19" s="208">
        <v>70</v>
      </c>
      <c r="AS19" s="209">
        <v>256674</v>
      </c>
      <c r="AT19" s="209">
        <v>25667</v>
      </c>
      <c r="AU19" s="209">
        <v>282341</v>
      </c>
    </row>
    <row r="20" spans="1:256" s="93" customFormat="1">
      <c r="A20" s="114" t="s">
        <v>437</v>
      </c>
      <c r="B20" s="114" t="s">
        <v>438</v>
      </c>
      <c r="C20" s="114">
        <v>2618118972</v>
      </c>
      <c r="D20" s="114" t="s">
        <v>40</v>
      </c>
      <c r="E20" s="114" t="s">
        <v>439</v>
      </c>
      <c r="F20" s="114" t="s">
        <v>440</v>
      </c>
      <c r="G20" s="114">
        <v>1222</v>
      </c>
      <c r="H20" s="114" t="s">
        <v>451</v>
      </c>
      <c r="I20" s="114" t="s">
        <v>442</v>
      </c>
      <c r="J20" s="114" t="s">
        <v>443</v>
      </c>
      <c r="K20" s="114">
        <v>50744771</v>
      </c>
      <c r="L20" s="114" t="s">
        <v>452</v>
      </c>
      <c r="M20" s="196">
        <v>43118</v>
      </c>
      <c r="N20" s="196"/>
      <c r="O20" s="114"/>
      <c r="P20" s="114"/>
      <c r="Q20" s="114" t="s">
        <v>453</v>
      </c>
      <c r="R20" s="115" t="s">
        <v>446</v>
      </c>
      <c r="S20" s="115" t="s">
        <v>450</v>
      </c>
      <c r="T20" s="115">
        <v>329070</v>
      </c>
      <c r="U20" s="115">
        <v>317880</v>
      </c>
      <c r="V20" s="115">
        <v>280550</v>
      </c>
      <c r="W20" s="115">
        <v>83300</v>
      </c>
      <c r="X20" s="115">
        <v>927500</v>
      </c>
      <c r="Y20" s="115">
        <v>83300</v>
      </c>
      <c r="Z20" s="115">
        <v>1010800</v>
      </c>
      <c r="AA20" s="115">
        <v>394884</v>
      </c>
      <c r="AB20" s="115">
        <v>317880</v>
      </c>
      <c r="AC20" s="115">
        <v>336520</v>
      </c>
      <c r="AD20" s="115">
        <v>83300</v>
      </c>
      <c r="AE20" s="115">
        <v>1049284</v>
      </c>
      <c r="AF20" s="115">
        <v>83300</v>
      </c>
      <c r="AG20" s="115">
        <v>1132584</v>
      </c>
      <c r="AH20" s="115">
        <v>355396</v>
      </c>
      <c r="AI20" s="115">
        <v>308344</v>
      </c>
      <c r="AJ20" s="115">
        <v>235564</v>
      </c>
      <c r="AK20" s="115">
        <v>74970</v>
      </c>
      <c r="AL20" s="115">
        <v>899303</v>
      </c>
      <c r="AM20" s="115">
        <v>74970</v>
      </c>
      <c r="AN20" s="115">
        <v>974273</v>
      </c>
      <c r="AO20" s="115">
        <v>70</v>
      </c>
      <c r="AP20" s="207">
        <v>70</v>
      </c>
      <c r="AQ20" s="208">
        <v>70</v>
      </c>
      <c r="AR20" s="208">
        <v>70</v>
      </c>
      <c r="AS20" s="209">
        <v>619993</v>
      </c>
      <c r="AT20" s="209">
        <v>61999</v>
      </c>
      <c r="AU20" s="209">
        <v>681992</v>
      </c>
    </row>
    <row r="21" spans="1:256">
      <c r="AD21" s="116"/>
      <c r="AG21" s="217">
        <f>SUM(AG13:AG20)</f>
        <v>4205288</v>
      </c>
      <c r="AN21" s="116"/>
      <c r="AP21" s="95"/>
      <c r="AQ21" s="95"/>
      <c r="AR21" s="95"/>
      <c r="AS21" s="116">
        <f>SUM(AS13:AS20)</f>
        <v>2353081</v>
      </c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5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5"/>
      <c r="GE21" s="95"/>
      <c r="GF21" s="95"/>
      <c r="GG21" s="95"/>
      <c r="GH21" s="95"/>
      <c r="GI21" s="95"/>
      <c r="GJ21" s="95"/>
      <c r="GK21" s="95"/>
      <c r="GL21" s="95"/>
      <c r="GM21" s="95"/>
      <c r="GN21" s="95"/>
      <c r="GO21" s="95"/>
      <c r="GP21" s="95"/>
      <c r="GQ21" s="95"/>
      <c r="GR21" s="95"/>
      <c r="GS21" s="95"/>
      <c r="GT21" s="95"/>
      <c r="GU21" s="95"/>
      <c r="GV21" s="95"/>
      <c r="GW21" s="95"/>
      <c r="GX21" s="95"/>
      <c r="GY21" s="95"/>
      <c r="GZ21" s="95"/>
      <c r="HA21" s="95"/>
      <c r="HB21" s="95"/>
      <c r="HC21" s="95"/>
      <c r="HD21" s="95"/>
      <c r="HE21" s="95"/>
      <c r="HF21" s="95"/>
      <c r="HG21" s="95"/>
      <c r="HH21" s="95"/>
      <c r="HI21" s="95"/>
      <c r="HJ21" s="95"/>
      <c r="HK21" s="95"/>
      <c r="HL21" s="95"/>
      <c r="HM21" s="95"/>
      <c r="HN21" s="95"/>
      <c r="HO21" s="95"/>
      <c r="HP21" s="95"/>
      <c r="HQ21" s="95"/>
      <c r="HR21" s="95"/>
      <c r="HS21" s="95"/>
      <c r="HT21" s="95"/>
      <c r="HU21" s="95"/>
      <c r="HV21" s="95"/>
      <c r="HW21" s="95"/>
      <c r="HX21" s="95"/>
      <c r="HY21" s="95"/>
      <c r="HZ21" s="95"/>
      <c r="IA21" s="95"/>
      <c r="IB21" s="95"/>
      <c r="IC21" s="95"/>
      <c r="ID21" s="95"/>
      <c r="IE21" s="95"/>
      <c r="IF21" s="95"/>
      <c r="IG21" s="95"/>
      <c r="IH21" s="95"/>
      <c r="II21" s="95"/>
      <c r="IJ21" s="95"/>
      <c r="IK21" s="95"/>
      <c r="IL21" s="95"/>
      <c r="IM21" s="95"/>
      <c r="IN21" s="95"/>
      <c r="IO21" s="95"/>
      <c r="IP21" s="95"/>
      <c r="IQ21" s="95"/>
      <c r="IR21" s="95"/>
      <c r="IS21" s="95"/>
      <c r="IT21" s="95"/>
      <c r="IU21" s="95"/>
      <c r="IV21" s="95"/>
    </row>
    <row r="22" spans="1:256">
      <c r="AD22" s="116"/>
      <c r="AN22" s="116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V22" s="95"/>
      <c r="DW22" s="95"/>
      <c r="DX22" s="95"/>
      <c r="DY22" s="95"/>
      <c r="DZ22" s="95"/>
      <c r="EA22" s="95"/>
      <c r="EB22" s="95"/>
      <c r="EC22" s="95"/>
      <c r="ED22" s="95"/>
      <c r="EE22" s="95"/>
      <c r="EF22" s="95"/>
      <c r="EG22" s="95"/>
      <c r="EH22" s="95"/>
      <c r="EI22" s="95"/>
      <c r="EJ22" s="95"/>
      <c r="EK22" s="95"/>
      <c r="EL22" s="95"/>
      <c r="EM22" s="95"/>
      <c r="EN22" s="95"/>
      <c r="EO22" s="95"/>
      <c r="EP22" s="95"/>
      <c r="EQ22" s="95"/>
      <c r="ER22" s="95"/>
      <c r="ES22" s="95"/>
      <c r="ET22" s="95"/>
      <c r="EU22" s="95"/>
      <c r="EV22" s="95"/>
      <c r="EW22" s="95"/>
      <c r="EX22" s="95"/>
      <c r="EY22" s="95"/>
      <c r="EZ22" s="95"/>
      <c r="FA22" s="95"/>
      <c r="FB22" s="95"/>
      <c r="FC22" s="95"/>
      <c r="FD22" s="95"/>
      <c r="FE22" s="95"/>
      <c r="FF22" s="95"/>
      <c r="FG22" s="95"/>
      <c r="FH22" s="95"/>
      <c r="FI22" s="95"/>
      <c r="FJ22" s="95"/>
      <c r="FK22" s="95"/>
      <c r="FL22" s="95"/>
      <c r="FM22" s="95"/>
      <c r="FN22" s="95"/>
      <c r="FO22" s="95"/>
      <c r="FP22" s="95"/>
      <c r="FQ22" s="95"/>
      <c r="FR22" s="95"/>
      <c r="FS22" s="95"/>
      <c r="FT22" s="95"/>
      <c r="FU22" s="95"/>
      <c r="FV22" s="95"/>
      <c r="FW22" s="95"/>
      <c r="FX22" s="95"/>
      <c r="FY22" s="95"/>
      <c r="FZ22" s="95"/>
      <c r="GA22" s="95"/>
      <c r="GB22" s="95"/>
      <c r="GC22" s="95"/>
      <c r="GD22" s="95"/>
      <c r="GE22" s="95"/>
      <c r="GF22" s="95"/>
      <c r="GG22" s="95"/>
      <c r="GH22" s="95"/>
      <c r="GI22" s="95"/>
      <c r="GJ22" s="95"/>
      <c r="GK22" s="95"/>
      <c r="GL22" s="95"/>
      <c r="GM22" s="95"/>
      <c r="GN22" s="95"/>
      <c r="GO22" s="95"/>
      <c r="GP22" s="95"/>
      <c r="GQ22" s="95"/>
      <c r="GR22" s="95"/>
      <c r="GS22" s="95"/>
      <c r="GT22" s="95"/>
      <c r="GU22" s="95"/>
      <c r="GV22" s="95"/>
      <c r="GW22" s="95"/>
      <c r="GX22" s="95"/>
      <c r="GY22" s="95"/>
      <c r="GZ22" s="95"/>
      <c r="HA22" s="95"/>
      <c r="HB22" s="95"/>
      <c r="HC22" s="95"/>
      <c r="HD22" s="95"/>
      <c r="HE22" s="95"/>
      <c r="HF22" s="95"/>
      <c r="HG22" s="95"/>
      <c r="HH22" s="95"/>
      <c r="HI22" s="95"/>
      <c r="HJ22" s="95"/>
      <c r="HK22" s="95"/>
      <c r="HL22" s="95"/>
      <c r="HM22" s="95"/>
      <c r="HN22" s="95"/>
      <c r="HO22" s="95"/>
      <c r="HP22" s="95"/>
      <c r="HQ22" s="95"/>
      <c r="HR22" s="95"/>
      <c r="HS22" s="95"/>
      <c r="HT22" s="95"/>
      <c r="HU22" s="95"/>
      <c r="HV22" s="95"/>
      <c r="HW22" s="95"/>
      <c r="HX22" s="95"/>
      <c r="HY22" s="95"/>
      <c r="HZ22" s="95"/>
      <c r="IA22" s="95"/>
      <c r="IB22" s="95"/>
      <c r="IC22" s="95"/>
      <c r="ID22" s="95"/>
      <c r="IE22" s="95"/>
      <c r="IF22" s="95"/>
      <c r="IG22" s="95"/>
      <c r="IH22" s="95"/>
      <c r="II22" s="95"/>
      <c r="IJ22" s="95"/>
      <c r="IK22" s="95"/>
      <c r="IL22" s="95"/>
      <c r="IM22" s="95"/>
      <c r="IN22" s="95"/>
      <c r="IO22" s="95"/>
      <c r="IP22" s="95"/>
      <c r="IQ22" s="95"/>
      <c r="IR22" s="95"/>
      <c r="IS22" s="95"/>
      <c r="IT22" s="95"/>
      <c r="IU22" s="95"/>
      <c r="IV22" s="95"/>
    </row>
    <row r="23" spans="1:256">
      <c r="A23" s="95" t="s">
        <v>346</v>
      </c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DZ23" s="95"/>
      <c r="EA23" s="95"/>
      <c r="EB23" s="95"/>
      <c r="EC23" s="95"/>
      <c r="ED23" s="95"/>
      <c r="EE23" s="95"/>
      <c r="EF23" s="95"/>
      <c r="EG23" s="95"/>
      <c r="EH23" s="95"/>
      <c r="EI23" s="95"/>
      <c r="EJ23" s="95"/>
      <c r="EK23" s="95"/>
      <c r="EL23" s="95"/>
      <c r="EM23" s="95"/>
      <c r="EN23" s="95"/>
      <c r="EO23" s="95"/>
      <c r="EP23" s="95"/>
      <c r="EQ23" s="95"/>
      <c r="ER23" s="95"/>
      <c r="ES23" s="95"/>
      <c r="ET23" s="95"/>
      <c r="EU23" s="95"/>
      <c r="EV23" s="95"/>
      <c r="EW23" s="95"/>
      <c r="EX23" s="95"/>
      <c r="EY23" s="95"/>
      <c r="EZ23" s="95"/>
      <c r="FA23" s="95"/>
      <c r="FB23" s="95"/>
      <c r="FC23" s="95"/>
      <c r="FD23" s="95"/>
      <c r="FE23" s="95"/>
      <c r="FF23" s="95"/>
      <c r="FG23" s="95"/>
      <c r="FH23" s="95"/>
      <c r="FI23" s="95"/>
      <c r="FJ23" s="95"/>
      <c r="FK23" s="95"/>
      <c r="FL23" s="95"/>
      <c r="FM23" s="95"/>
      <c r="FN23" s="95"/>
      <c r="FO23" s="95"/>
      <c r="FP23" s="95"/>
      <c r="FQ23" s="95"/>
      <c r="FR23" s="95"/>
      <c r="FS23" s="95"/>
      <c r="FT23" s="95"/>
      <c r="FU23" s="95"/>
      <c r="FV23" s="95"/>
      <c r="FW23" s="95"/>
      <c r="FX23" s="95"/>
      <c r="FY23" s="95"/>
      <c r="FZ23" s="95"/>
      <c r="GA23" s="95"/>
      <c r="GB23" s="95"/>
      <c r="GC23" s="95"/>
      <c r="GD23" s="95"/>
      <c r="GE23" s="95"/>
      <c r="GF23" s="95"/>
      <c r="GG23" s="95"/>
      <c r="GH23" s="95"/>
      <c r="GI23" s="95"/>
      <c r="GJ23" s="95"/>
      <c r="GK23" s="95"/>
      <c r="GL23" s="95"/>
      <c r="GM23" s="95"/>
      <c r="GN23" s="95"/>
      <c r="GO23" s="95"/>
      <c r="GP23" s="95"/>
      <c r="GQ23" s="95"/>
      <c r="GR23" s="95"/>
      <c r="GS23" s="95"/>
      <c r="GT23" s="95"/>
      <c r="GU23" s="95"/>
      <c r="GV23" s="95"/>
      <c r="GW23" s="95"/>
      <c r="GX23" s="95"/>
      <c r="GY23" s="95"/>
      <c r="GZ23" s="95"/>
      <c r="HA23" s="95"/>
      <c r="HB23" s="95"/>
      <c r="HC23" s="95"/>
      <c r="HD23" s="95"/>
      <c r="HE23" s="95"/>
      <c r="HF23" s="95"/>
      <c r="HG23" s="95"/>
      <c r="HH23" s="95"/>
      <c r="HI23" s="95"/>
      <c r="HJ23" s="95"/>
      <c r="HK23" s="95"/>
      <c r="HL23" s="95"/>
      <c r="HM23" s="95"/>
      <c r="HN23" s="95"/>
      <c r="HO23" s="95"/>
      <c r="HP23" s="95"/>
      <c r="HQ23" s="95"/>
      <c r="HR23" s="95"/>
      <c r="HS23" s="95"/>
      <c r="HT23" s="95"/>
      <c r="HU23" s="95"/>
      <c r="HV23" s="95"/>
      <c r="HW23" s="95"/>
      <c r="HX23" s="95"/>
      <c r="HY23" s="95"/>
      <c r="HZ23" s="95"/>
      <c r="IA23" s="95"/>
      <c r="IB23" s="95"/>
      <c r="IC23" s="95"/>
      <c r="ID23" s="95"/>
      <c r="IE23" s="95"/>
      <c r="IF23" s="95"/>
      <c r="IG23" s="95"/>
      <c r="IH23" s="95"/>
      <c r="II23" s="95"/>
      <c r="IJ23" s="95"/>
      <c r="IK23" s="95"/>
      <c r="IL23" s="95"/>
      <c r="IM23" s="95"/>
      <c r="IN23" s="95"/>
      <c r="IO23" s="95"/>
      <c r="IP23" s="95"/>
      <c r="IQ23" s="95"/>
      <c r="IR23" s="95"/>
      <c r="IS23" s="95"/>
      <c r="IT23" s="95"/>
      <c r="IU23" s="95"/>
      <c r="IV23" s="95"/>
    </row>
    <row r="24" spans="1:256" s="93" customFormat="1" ht="16.2" thickBot="1">
      <c r="A24" s="200" t="s">
        <v>94</v>
      </c>
      <c r="B24" s="201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2"/>
      <c r="T24" s="204" t="s">
        <v>306</v>
      </c>
      <c r="U24" s="206"/>
      <c r="V24" s="206"/>
      <c r="W24" s="206"/>
      <c r="X24" s="206"/>
      <c r="Y24" s="206"/>
      <c r="Z24" s="205"/>
      <c r="AA24" s="204" t="s">
        <v>307</v>
      </c>
      <c r="AB24" s="206"/>
      <c r="AC24" s="206"/>
      <c r="AD24" s="206"/>
      <c r="AE24" s="206"/>
      <c r="AF24" s="206"/>
      <c r="AG24" s="205"/>
      <c r="AH24" s="204" t="s">
        <v>308</v>
      </c>
      <c r="AI24" s="206"/>
      <c r="AJ24" s="206"/>
      <c r="AK24" s="206"/>
      <c r="AL24" s="206"/>
      <c r="AM24" s="206"/>
      <c r="AN24" s="205"/>
      <c r="AO24" s="204" t="s">
        <v>309</v>
      </c>
      <c r="AP24" s="206"/>
      <c r="AQ24" s="206"/>
      <c r="AR24" s="205"/>
      <c r="AS24" s="204" t="s">
        <v>310</v>
      </c>
      <c r="AT24" s="206"/>
      <c r="AU24" s="205"/>
    </row>
    <row r="25" spans="1:256" s="93" customFormat="1" ht="16.2" thickTop="1">
      <c r="A25" s="197" t="s">
        <v>41</v>
      </c>
      <c r="B25" s="198" t="s">
        <v>42</v>
      </c>
      <c r="C25" s="198" t="s">
        <v>43</v>
      </c>
      <c r="D25" s="198" t="s">
        <v>44</v>
      </c>
      <c r="E25" s="198" t="s">
        <v>46</v>
      </c>
      <c r="F25" s="198" t="s">
        <v>47</v>
      </c>
      <c r="G25" s="198" t="s">
        <v>45</v>
      </c>
      <c r="H25" s="198" t="s">
        <v>300</v>
      </c>
      <c r="I25" s="198" t="s">
        <v>301</v>
      </c>
      <c r="J25" s="198" t="s">
        <v>302</v>
      </c>
      <c r="K25" s="198" t="s">
        <v>48</v>
      </c>
      <c r="L25" s="198" t="s">
        <v>49</v>
      </c>
      <c r="M25" s="198" t="s">
        <v>303</v>
      </c>
      <c r="N25" s="198" t="s">
        <v>304</v>
      </c>
      <c r="O25" s="198" t="s">
        <v>305</v>
      </c>
      <c r="P25" s="198" t="s">
        <v>50</v>
      </c>
      <c r="Q25" s="198" t="s">
        <v>36</v>
      </c>
      <c r="R25" s="198" t="s">
        <v>51</v>
      </c>
      <c r="S25" s="198" t="s">
        <v>52</v>
      </c>
      <c r="T25" s="198" t="s">
        <v>311</v>
      </c>
      <c r="U25" s="198" t="s">
        <v>312</v>
      </c>
      <c r="V25" s="198" t="s">
        <v>313</v>
      </c>
      <c r="W25" s="198" t="s">
        <v>314</v>
      </c>
      <c r="X25" s="198" t="s">
        <v>315</v>
      </c>
      <c r="Y25" s="198" t="s">
        <v>316</v>
      </c>
      <c r="Z25" s="198" t="s">
        <v>317</v>
      </c>
      <c r="AA25" s="198" t="s">
        <v>318</v>
      </c>
      <c r="AB25" s="198" t="s">
        <v>319</v>
      </c>
      <c r="AC25" s="198" t="s">
        <v>320</v>
      </c>
      <c r="AD25" s="198" t="s">
        <v>321</v>
      </c>
      <c r="AE25" s="198" t="s">
        <v>322</v>
      </c>
      <c r="AF25" s="198" t="s">
        <v>323</v>
      </c>
      <c r="AG25" s="199" t="s">
        <v>324</v>
      </c>
      <c r="AH25" s="198" t="s">
        <v>325</v>
      </c>
      <c r="AI25" s="198" t="s">
        <v>326</v>
      </c>
      <c r="AJ25" s="198" t="s">
        <v>327</v>
      </c>
      <c r="AK25" s="198" t="s">
        <v>328</v>
      </c>
      <c r="AL25" s="198" t="s">
        <v>329</v>
      </c>
      <c r="AM25" s="198" t="s">
        <v>330</v>
      </c>
      <c r="AN25" s="198" t="s">
        <v>317</v>
      </c>
      <c r="AO25" s="198" t="s">
        <v>331</v>
      </c>
      <c r="AP25" s="198" t="s">
        <v>332</v>
      </c>
      <c r="AQ25" s="198" t="s">
        <v>333</v>
      </c>
      <c r="AR25" s="198" t="s">
        <v>334</v>
      </c>
      <c r="AS25" s="199" t="s">
        <v>53</v>
      </c>
      <c r="AT25" s="198" t="s">
        <v>57</v>
      </c>
      <c r="AU25" s="198" t="s">
        <v>335</v>
      </c>
    </row>
    <row r="26" spans="1:256" s="93" customFormat="1">
      <c r="A26" s="114" t="s">
        <v>437</v>
      </c>
      <c r="B26" s="114" t="s">
        <v>438</v>
      </c>
      <c r="C26" s="114">
        <v>2618118972</v>
      </c>
      <c r="D26" s="114" t="s">
        <v>40</v>
      </c>
      <c r="E26" s="114" t="s">
        <v>439</v>
      </c>
      <c r="F26" s="114" t="s">
        <v>440</v>
      </c>
      <c r="G26" s="114">
        <v>1246</v>
      </c>
      <c r="H26" s="114" t="s">
        <v>441</v>
      </c>
      <c r="I26" s="114" t="s">
        <v>442</v>
      </c>
      <c r="J26" s="114" t="s">
        <v>443</v>
      </c>
      <c r="K26" s="114">
        <v>53067806</v>
      </c>
      <c r="L26" s="114" t="s">
        <v>444</v>
      </c>
      <c r="M26" s="196">
        <v>43676</v>
      </c>
      <c r="N26" s="114"/>
      <c r="O26" s="114"/>
      <c r="P26" s="114"/>
      <c r="Q26" s="114" t="s">
        <v>445</v>
      </c>
      <c r="R26" s="115" t="s">
        <v>446</v>
      </c>
      <c r="S26" s="115" t="s">
        <v>447</v>
      </c>
      <c r="T26" s="115">
        <v>1200</v>
      </c>
      <c r="U26" s="115">
        <v>400</v>
      </c>
      <c r="V26" s="115">
        <v>0</v>
      </c>
      <c r="W26" s="115">
        <v>2800</v>
      </c>
      <c r="X26" s="115">
        <v>1600</v>
      </c>
      <c r="Y26" s="115">
        <v>2800</v>
      </c>
      <c r="Z26" s="115">
        <v>4400</v>
      </c>
      <c r="AA26" s="115">
        <v>1440</v>
      </c>
      <c r="AB26" s="115">
        <v>400</v>
      </c>
      <c r="AC26" s="115">
        <v>0</v>
      </c>
      <c r="AD26" s="115">
        <v>2800</v>
      </c>
      <c r="AE26" s="115">
        <v>1840</v>
      </c>
      <c r="AF26" s="115">
        <v>2800</v>
      </c>
      <c r="AG26" s="115">
        <v>4640</v>
      </c>
      <c r="AH26" s="115">
        <v>1296</v>
      </c>
      <c r="AI26" s="115">
        <v>388</v>
      </c>
      <c r="AJ26" s="115">
        <v>0</v>
      </c>
      <c r="AK26" s="115">
        <v>2520</v>
      </c>
      <c r="AL26" s="115">
        <v>1684</v>
      </c>
      <c r="AM26" s="115">
        <v>2520</v>
      </c>
      <c r="AN26" s="115">
        <v>4204</v>
      </c>
      <c r="AO26" s="115">
        <v>70</v>
      </c>
      <c r="AP26" s="207">
        <v>70</v>
      </c>
      <c r="AQ26" s="208">
        <v>70</v>
      </c>
      <c r="AR26" s="208">
        <v>70</v>
      </c>
      <c r="AS26" s="209">
        <v>2676</v>
      </c>
      <c r="AT26" s="208">
        <v>267</v>
      </c>
      <c r="AU26" s="209">
        <v>2943</v>
      </c>
    </row>
    <row r="27" spans="1:256" s="93" customFormat="1">
      <c r="A27" s="114" t="s">
        <v>437</v>
      </c>
      <c r="B27" s="114" t="s">
        <v>438</v>
      </c>
      <c r="C27" s="114">
        <v>2618118972</v>
      </c>
      <c r="D27" s="114" t="s">
        <v>40</v>
      </c>
      <c r="E27" s="114" t="s">
        <v>439</v>
      </c>
      <c r="F27" s="114" t="s">
        <v>440</v>
      </c>
      <c r="G27" s="114">
        <v>1246</v>
      </c>
      <c r="H27" s="114" t="s">
        <v>441</v>
      </c>
      <c r="I27" s="114" t="s">
        <v>442</v>
      </c>
      <c r="J27" s="114" t="s">
        <v>443</v>
      </c>
      <c r="K27" s="114">
        <v>53067806</v>
      </c>
      <c r="L27" s="114" t="s">
        <v>444</v>
      </c>
      <c r="M27" s="196">
        <v>43676</v>
      </c>
      <c r="N27" s="114"/>
      <c r="O27" s="114"/>
      <c r="P27" s="114"/>
      <c r="Q27" s="114" t="s">
        <v>445</v>
      </c>
      <c r="R27" s="115" t="s">
        <v>446</v>
      </c>
      <c r="S27" s="115" t="s">
        <v>448</v>
      </c>
      <c r="T27" s="115">
        <v>7200</v>
      </c>
      <c r="U27" s="115">
        <v>-800</v>
      </c>
      <c r="V27" s="115">
        <v>0</v>
      </c>
      <c r="W27" s="115">
        <v>0</v>
      </c>
      <c r="X27" s="115">
        <v>6400</v>
      </c>
      <c r="Y27" s="115">
        <v>0</v>
      </c>
      <c r="Z27" s="115">
        <v>6400</v>
      </c>
      <c r="AA27" s="115">
        <v>8640</v>
      </c>
      <c r="AB27" s="115">
        <v>-800</v>
      </c>
      <c r="AC27" s="115">
        <v>0</v>
      </c>
      <c r="AD27" s="115">
        <v>0</v>
      </c>
      <c r="AE27" s="115">
        <v>7840</v>
      </c>
      <c r="AF27" s="115">
        <v>0</v>
      </c>
      <c r="AG27" s="115">
        <v>7840</v>
      </c>
      <c r="AH27" s="115">
        <v>7776</v>
      </c>
      <c r="AI27" s="115">
        <v>-776</v>
      </c>
      <c r="AJ27" s="115">
        <v>0</v>
      </c>
      <c r="AK27" s="115">
        <v>0</v>
      </c>
      <c r="AL27" s="115">
        <v>7000</v>
      </c>
      <c r="AM27" s="115">
        <v>0</v>
      </c>
      <c r="AN27" s="115">
        <v>7000</v>
      </c>
      <c r="AO27" s="115">
        <v>70</v>
      </c>
      <c r="AP27" s="207">
        <v>70</v>
      </c>
      <c r="AQ27" s="208">
        <v>70</v>
      </c>
      <c r="AR27" s="208">
        <v>70</v>
      </c>
      <c r="AS27" s="209">
        <v>4454</v>
      </c>
      <c r="AT27" s="209">
        <v>446</v>
      </c>
      <c r="AU27" s="209">
        <v>4900</v>
      </c>
    </row>
    <row r="28" spans="1:256" s="93" customFormat="1">
      <c r="A28" s="114" t="s">
        <v>437</v>
      </c>
      <c r="B28" s="114" t="s">
        <v>438</v>
      </c>
      <c r="C28" s="114">
        <v>2618118972</v>
      </c>
      <c r="D28" s="114" t="s">
        <v>40</v>
      </c>
      <c r="E28" s="114" t="s">
        <v>439</v>
      </c>
      <c r="F28" s="114" t="s">
        <v>440</v>
      </c>
      <c r="G28" s="114">
        <v>1246</v>
      </c>
      <c r="H28" s="114" t="s">
        <v>441</v>
      </c>
      <c r="I28" s="114" t="s">
        <v>442</v>
      </c>
      <c r="J28" s="114" t="s">
        <v>443</v>
      </c>
      <c r="K28" s="114">
        <v>53067806</v>
      </c>
      <c r="L28" s="114" t="s">
        <v>444</v>
      </c>
      <c r="M28" s="196">
        <v>43676</v>
      </c>
      <c r="N28" s="114"/>
      <c r="O28" s="114"/>
      <c r="P28" s="114"/>
      <c r="Q28" s="114" t="s">
        <v>445</v>
      </c>
      <c r="R28" s="115" t="s">
        <v>446</v>
      </c>
      <c r="S28" s="115" t="s">
        <v>448</v>
      </c>
      <c r="T28" s="115">
        <v>14400</v>
      </c>
      <c r="U28" s="115">
        <v>0</v>
      </c>
      <c r="V28" s="115">
        <v>0</v>
      </c>
      <c r="W28" s="115">
        <v>0</v>
      </c>
      <c r="X28" s="115">
        <v>14400</v>
      </c>
      <c r="Y28" s="115">
        <v>0</v>
      </c>
      <c r="Z28" s="115">
        <v>14400</v>
      </c>
      <c r="AA28" s="115">
        <v>17280</v>
      </c>
      <c r="AB28" s="115">
        <v>0</v>
      </c>
      <c r="AC28" s="115">
        <v>0</v>
      </c>
      <c r="AD28" s="115">
        <v>0</v>
      </c>
      <c r="AE28" s="115">
        <v>17280</v>
      </c>
      <c r="AF28" s="115">
        <v>0</v>
      </c>
      <c r="AG28" s="115">
        <v>17280</v>
      </c>
      <c r="AH28" s="115">
        <v>15552</v>
      </c>
      <c r="AI28" s="115">
        <v>0</v>
      </c>
      <c r="AJ28" s="115">
        <v>0</v>
      </c>
      <c r="AK28" s="115">
        <v>0</v>
      </c>
      <c r="AL28" s="115">
        <v>15552</v>
      </c>
      <c r="AM28" s="115">
        <v>0</v>
      </c>
      <c r="AN28" s="115">
        <v>15552</v>
      </c>
      <c r="AO28" s="115">
        <v>70</v>
      </c>
      <c r="AP28" s="207">
        <v>70</v>
      </c>
      <c r="AQ28" s="208">
        <v>70</v>
      </c>
      <c r="AR28" s="208">
        <v>70</v>
      </c>
      <c r="AS28" s="209">
        <v>9896</v>
      </c>
      <c r="AT28" s="209">
        <v>990</v>
      </c>
      <c r="AU28" s="209">
        <v>10886</v>
      </c>
    </row>
    <row r="29" spans="1:256" s="93" customFormat="1">
      <c r="A29" s="114" t="s">
        <v>437</v>
      </c>
      <c r="B29" s="114" t="s">
        <v>438</v>
      </c>
      <c r="C29" s="114">
        <v>2618118972</v>
      </c>
      <c r="D29" s="114" t="s">
        <v>40</v>
      </c>
      <c r="E29" s="114" t="s">
        <v>439</v>
      </c>
      <c r="F29" s="114" t="s">
        <v>440</v>
      </c>
      <c r="G29" s="114">
        <v>1246</v>
      </c>
      <c r="H29" s="114" t="s">
        <v>441</v>
      </c>
      <c r="I29" s="114" t="s">
        <v>442</v>
      </c>
      <c r="J29" s="114" t="s">
        <v>443</v>
      </c>
      <c r="K29" s="114">
        <v>53067806</v>
      </c>
      <c r="L29" s="114" t="s">
        <v>444</v>
      </c>
      <c r="M29" s="196">
        <v>43676</v>
      </c>
      <c r="N29" s="114"/>
      <c r="O29" s="114"/>
      <c r="P29" s="114"/>
      <c r="Q29" s="114" t="s">
        <v>445</v>
      </c>
      <c r="R29" s="115" t="s">
        <v>446</v>
      </c>
      <c r="S29" s="115" t="s">
        <v>449</v>
      </c>
      <c r="T29" s="115">
        <v>29170</v>
      </c>
      <c r="U29" s="115">
        <v>29770</v>
      </c>
      <c r="V29" s="115">
        <v>18600</v>
      </c>
      <c r="W29" s="115">
        <v>41460</v>
      </c>
      <c r="X29" s="115">
        <v>77540</v>
      </c>
      <c r="Y29" s="115">
        <v>41460</v>
      </c>
      <c r="Z29" s="115">
        <v>119000</v>
      </c>
      <c r="AA29" s="115">
        <v>35004</v>
      </c>
      <c r="AB29" s="115">
        <v>29770</v>
      </c>
      <c r="AC29" s="115">
        <v>22320</v>
      </c>
      <c r="AD29" s="115">
        <v>41460</v>
      </c>
      <c r="AE29" s="115">
        <v>87094</v>
      </c>
      <c r="AF29" s="115">
        <v>41460</v>
      </c>
      <c r="AG29" s="115">
        <v>128554</v>
      </c>
      <c r="AH29" s="115">
        <v>31504</v>
      </c>
      <c r="AI29" s="115">
        <v>28877</v>
      </c>
      <c r="AJ29" s="115">
        <v>15624</v>
      </c>
      <c r="AK29" s="115">
        <v>37314</v>
      </c>
      <c r="AL29" s="115">
        <v>76005</v>
      </c>
      <c r="AM29" s="115">
        <v>37314</v>
      </c>
      <c r="AN29" s="115">
        <v>113319</v>
      </c>
      <c r="AO29" s="115">
        <v>70</v>
      </c>
      <c r="AP29" s="207">
        <v>70</v>
      </c>
      <c r="AQ29" s="208">
        <v>70</v>
      </c>
      <c r="AR29" s="208">
        <v>70</v>
      </c>
      <c r="AS29" s="209">
        <v>72112</v>
      </c>
      <c r="AT29" s="209">
        <v>7212</v>
      </c>
      <c r="AU29" s="209">
        <v>79324</v>
      </c>
    </row>
    <row r="30" spans="1:256" s="93" customFormat="1">
      <c r="A30" s="114" t="s">
        <v>437</v>
      </c>
      <c r="B30" s="114" t="s">
        <v>438</v>
      </c>
      <c r="C30" s="114">
        <v>2618118972</v>
      </c>
      <c r="D30" s="114" t="s">
        <v>40</v>
      </c>
      <c r="E30" s="114" t="s">
        <v>439</v>
      </c>
      <c r="F30" s="114" t="s">
        <v>440</v>
      </c>
      <c r="G30" s="114">
        <v>1246</v>
      </c>
      <c r="H30" s="114" t="s">
        <v>441</v>
      </c>
      <c r="I30" s="114" t="s">
        <v>442</v>
      </c>
      <c r="J30" s="114" t="s">
        <v>443</v>
      </c>
      <c r="K30" s="114">
        <v>53067806</v>
      </c>
      <c r="L30" s="114" t="s">
        <v>444</v>
      </c>
      <c r="M30" s="196">
        <v>43676</v>
      </c>
      <c r="N30" s="114"/>
      <c r="O30" s="114"/>
      <c r="P30" s="114"/>
      <c r="Q30" s="114" t="s">
        <v>445</v>
      </c>
      <c r="R30" s="115" t="s">
        <v>446</v>
      </c>
      <c r="S30" s="115" t="s">
        <v>450</v>
      </c>
      <c r="T30" s="115">
        <v>16100</v>
      </c>
      <c r="U30" s="115">
        <v>8500</v>
      </c>
      <c r="V30" s="115">
        <v>0</v>
      </c>
      <c r="W30" s="115">
        <v>14200</v>
      </c>
      <c r="X30" s="115">
        <v>24600</v>
      </c>
      <c r="Y30" s="115">
        <v>14200</v>
      </c>
      <c r="Z30" s="115">
        <v>38800</v>
      </c>
      <c r="AA30" s="115">
        <v>19320</v>
      </c>
      <c r="AB30" s="115">
        <v>8500</v>
      </c>
      <c r="AC30" s="115">
        <v>0</v>
      </c>
      <c r="AD30" s="115">
        <v>14200</v>
      </c>
      <c r="AE30" s="115">
        <v>27820</v>
      </c>
      <c r="AF30" s="115">
        <v>14200</v>
      </c>
      <c r="AG30" s="115">
        <v>42020</v>
      </c>
      <c r="AH30" s="115">
        <v>17388</v>
      </c>
      <c r="AI30" s="115">
        <v>8245</v>
      </c>
      <c r="AJ30" s="115">
        <v>0</v>
      </c>
      <c r="AK30" s="115">
        <v>12780</v>
      </c>
      <c r="AL30" s="115">
        <v>25633</v>
      </c>
      <c r="AM30" s="115">
        <v>12780</v>
      </c>
      <c r="AN30" s="115">
        <v>38413</v>
      </c>
      <c r="AO30" s="115">
        <v>70</v>
      </c>
      <c r="AP30" s="207">
        <v>70</v>
      </c>
      <c r="AQ30" s="208">
        <v>70</v>
      </c>
      <c r="AR30" s="208">
        <v>70</v>
      </c>
      <c r="AS30" s="209">
        <v>24445</v>
      </c>
      <c r="AT30" s="209">
        <v>2445</v>
      </c>
      <c r="AU30" s="209">
        <v>26890</v>
      </c>
    </row>
    <row r="31" spans="1:256" s="93" customFormat="1">
      <c r="A31" s="114" t="s">
        <v>437</v>
      </c>
      <c r="B31" s="114" t="s">
        <v>438</v>
      </c>
      <c r="C31" s="114">
        <v>2618118972</v>
      </c>
      <c r="D31" s="114" t="s">
        <v>40</v>
      </c>
      <c r="E31" s="114" t="s">
        <v>439</v>
      </c>
      <c r="F31" s="114" t="s">
        <v>440</v>
      </c>
      <c r="G31" s="114">
        <v>1246</v>
      </c>
      <c r="H31" s="114" t="s">
        <v>441</v>
      </c>
      <c r="I31" s="114" t="s">
        <v>442</v>
      </c>
      <c r="J31" s="114" t="s">
        <v>443</v>
      </c>
      <c r="K31" s="114">
        <v>53067806</v>
      </c>
      <c r="L31" s="114" t="s">
        <v>444</v>
      </c>
      <c r="M31" s="196">
        <v>43676</v>
      </c>
      <c r="N31" s="114"/>
      <c r="O31" s="114"/>
      <c r="P31" s="114"/>
      <c r="Q31" s="114" t="s">
        <v>445</v>
      </c>
      <c r="R31" s="115" t="s">
        <v>446</v>
      </c>
      <c r="S31" s="115" t="s">
        <v>450</v>
      </c>
      <c r="T31" s="115">
        <v>25400</v>
      </c>
      <c r="U31" s="115">
        <v>31600</v>
      </c>
      <c r="V31" s="115">
        <v>0</v>
      </c>
      <c r="W31" s="115">
        <v>3800</v>
      </c>
      <c r="X31" s="115">
        <v>57000</v>
      </c>
      <c r="Y31" s="115">
        <v>3800</v>
      </c>
      <c r="Z31" s="115">
        <v>60800</v>
      </c>
      <c r="AA31" s="115">
        <v>30480</v>
      </c>
      <c r="AB31" s="115">
        <v>31600</v>
      </c>
      <c r="AC31" s="115">
        <v>0</v>
      </c>
      <c r="AD31" s="115">
        <v>3800</v>
      </c>
      <c r="AE31" s="115">
        <v>62080</v>
      </c>
      <c r="AF31" s="115">
        <v>3800</v>
      </c>
      <c r="AG31" s="115">
        <v>65880</v>
      </c>
      <c r="AH31" s="115">
        <v>27432</v>
      </c>
      <c r="AI31" s="115">
        <v>30652</v>
      </c>
      <c r="AJ31" s="115">
        <v>0</v>
      </c>
      <c r="AK31" s="115">
        <v>3420</v>
      </c>
      <c r="AL31" s="115">
        <v>58084</v>
      </c>
      <c r="AM31" s="115">
        <v>3420</v>
      </c>
      <c r="AN31" s="115">
        <v>61504</v>
      </c>
      <c r="AO31" s="115">
        <v>70</v>
      </c>
      <c r="AP31" s="207">
        <v>70</v>
      </c>
      <c r="AQ31" s="208">
        <v>70</v>
      </c>
      <c r="AR31" s="208">
        <v>70</v>
      </c>
      <c r="AS31" s="209">
        <v>39137</v>
      </c>
      <c r="AT31" s="209">
        <v>3915</v>
      </c>
      <c r="AU31" s="209">
        <v>43052</v>
      </c>
    </row>
    <row r="32" spans="1:256">
      <c r="AD32" s="116"/>
      <c r="AG32" s="217">
        <f>SUM(AG26:AG31)</f>
        <v>266214</v>
      </c>
      <c r="AP32" s="95"/>
      <c r="AQ32" s="95"/>
      <c r="AR32" s="95"/>
      <c r="AS32" s="116">
        <f>SUM(AS26:AS31)</f>
        <v>152720</v>
      </c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EK32" s="95"/>
      <c r="EL32" s="95"/>
      <c r="EM32" s="95"/>
      <c r="EN32" s="95"/>
      <c r="EO32" s="95"/>
      <c r="EP32" s="95"/>
      <c r="EQ32" s="95"/>
      <c r="ER32" s="95"/>
      <c r="ES32" s="95"/>
      <c r="ET32" s="95"/>
      <c r="EU32" s="95"/>
      <c r="EV32" s="95"/>
      <c r="EW32" s="95"/>
      <c r="EX32" s="95"/>
      <c r="EY32" s="95"/>
      <c r="EZ32" s="95"/>
      <c r="FA32" s="95"/>
      <c r="FB32" s="95"/>
      <c r="FC32" s="95"/>
      <c r="FD32" s="95"/>
      <c r="FE32" s="95"/>
      <c r="FF32" s="95"/>
      <c r="FG32" s="95"/>
      <c r="FH32" s="95"/>
      <c r="FI32" s="95"/>
      <c r="FJ32" s="95"/>
      <c r="FK32" s="95"/>
      <c r="FL32" s="95"/>
      <c r="FM32" s="95"/>
      <c r="FN32" s="95"/>
      <c r="FO32" s="95"/>
      <c r="FP32" s="95"/>
      <c r="FQ32" s="95"/>
      <c r="FR32" s="95"/>
      <c r="FS32" s="95"/>
      <c r="FT32" s="95"/>
      <c r="FU32" s="95"/>
      <c r="FV32" s="95"/>
      <c r="FW32" s="95"/>
      <c r="FX32" s="95"/>
      <c r="FY32" s="95"/>
      <c r="FZ32" s="95"/>
      <c r="GA32" s="95"/>
      <c r="GB32" s="95"/>
      <c r="GC32" s="95"/>
      <c r="GD32" s="95"/>
      <c r="GE32" s="95"/>
      <c r="GF32" s="95"/>
      <c r="GG32" s="95"/>
      <c r="GH32" s="95"/>
      <c r="GI32" s="95"/>
      <c r="GJ32" s="95"/>
      <c r="GK32" s="95"/>
      <c r="GL32" s="95"/>
      <c r="GM32" s="95"/>
      <c r="GN32" s="95"/>
      <c r="GO32" s="95"/>
      <c r="GP32" s="95"/>
      <c r="GQ32" s="95"/>
      <c r="GR32" s="95"/>
      <c r="GS32" s="95"/>
      <c r="GT32" s="95"/>
      <c r="GU32" s="95"/>
      <c r="GV32" s="95"/>
      <c r="GW32" s="95"/>
      <c r="GX32" s="95"/>
      <c r="GY32" s="95"/>
      <c r="GZ32" s="95"/>
      <c r="HA32" s="95"/>
      <c r="HB32" s="95"/>
      <c r="HC32" s="95"/>
      <c r="HD32" s="95"/>
      <c r="HE32" s="95"/>
      <c r="HF32" s="95"/>
      <c r="HG32" s="95"/>
      <c r="HH32" s="95"/>
      <c r="HI32" s="95"/>
      <c r="HJ32" s="95"/>
      <c r="HK32" s="95"/>
      <c r="HL32" s="95"/>
      <c r="HM32" s="95"/>
      <c r="HN32" s="95"/>
      <c r="HO32" s="95"/>
      <c r="HP32" s="95"/>
      <c r="HQ32" s="95"/>
      <c r="HR32" s="95"/>
      <c r="HS32" s="95"/>
      <c r="HT32" s="95"/>
      <c r="HU32" s="95"/>
      <c r="HV32" s="95"/>
      <c r="HW32" s="95"/>
      <c r="HX32" s="95"/>
      <c r="HY32" s="95"/>
      <c r="HZ32" s="95"/>
      <c r="IA32" s="95"/>
      <c r="IB32" s="95"/>
      <c r="IC32" s="95"/>
      <c r="ID32" s="95"/>
      <c r="IE32" s="95"/>
      <c r="IF32" s="95"/>
      <c r="IG32" s="95"/>
      <c r="IH32" s="95"/>
      <c r="II32" s="95"/>
      <c r="IJ32" s="95"/>
      <c r="IK32" s="95"/>
      <c r="IL32" s="95"/>
      <c r="IM32" s="95"/>
      <c r="IN32" s="95"/>
      <c r="IO32" s="95"/>
      <c r="IP32" s="95"/>
      <c r="IQ32" s="95"/>
      <c r="IR32" s="95"/>
      <c r="IS32" s="95"/>
      <c r="IT32" s="95"/>
      <c r="IU32" s="95"/>
      <c r="IV32" s="95"/>
    </row>
    <row r="33" spans="1:256">
      <c r="AD33" s="116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  <c r="EC33" s="95"/>
      <c r="ED33" s="95"/>
      <c r="EE33" s="95"/>
      <c r="EF33" s="95"/>
      <c r="EG33" s="95"/>
      <c r="EH33" s="95"/>
      <c r="EI33" s="95"/>
      <c r="EJ33" s="95"/>
      <c r="EK33" s="95"/>
      <c r="EL33" s="95"/>
      <c r="EM33" s="95"/>
      <c r="EN33" s="95"/>
      <c r="EO33" s="95"/>
      <c r="EP33" s="95"/>
      <c r="EQ33" s="95"/>
      <c r="ER33" s="95"/>
      <c r="ES33" s="95"/>
      <c r="ET33" s="95"/>
      <c r="EU33" s="95"/>
      <c r="EV33" s="95"/>
      <c r="EW33" s="95"/>
      <c r="EX33" s="95"/>
      <c r="EY33" s="95"/>
      <c r="EZ33" s="95"/>
      <c r="FA33" s="95"/>
      <c r="FB33" s="95"/>
      <c r="FC33" s="95"/>
      <c r="FD33" s="95"/>
      <c r="FE33" s="95"/>
      <c r="FF33" s="95"/>
      <c r="FG33" s="95"/>
      <c r="FH33" s="95"/>
      <c r="FI33" s="95"/>
      <c r="FJ33" s="95"/>
      <c r="FK33" s="95"/>
      <c r="FL33" s="95"/>
      <c r="FM33" s="95"/>
      <c r="FN33" s="95"/>
      <c r="FO33" s="95"/>
      <c r="FP33" s="95"/>
      <c r="FQ33" s="95"/>
      <c r="FR33" s="95"/>
      <c r="FS33" s="95"/>
      <c r="FT33" s="95"/>
      <c r="FU33" s="95"/>
      <c r="FV33" s="95"/>
      <c r="FW33" s="95"/>
      <c r="FX33" s="95"/>
      <c r="FY33" s="95"/>
      <c r="FZ33" s="95"/>
      <c r="GA33" s="95"/>
      <c r="GB33" s="95"/>
      <c r="GC33" s="95"/>
      <c r="GD33" s="95"/>
      <c r="GE33" s="95"/>
      <c r="GF33" s="95"/>
      <c r="GG33" s="95"/>
      <c r="GH33" s="95"/>
      <c r="GI33" s="95"/>
      <c r="GJ33" s="95"/>
      <c r="GK33" s="95"/>
      <c r="GL33" s="95"/>
      <c r="GM33" s="95"/>
      <c r="GN33" s="95"/>
      <c r="GO33" s="95"/>
      <c r="GP33" s="95"/>
      <c r="GQ33" s="95"/>
      <c r="GR33" s="95"/>
      <c r="GS33" s="95"/>
      <c r="GT33" s="95"/>
      <c r="GU33" s="95"/>
      <c r="GV33" s="95"/>
      <c r="GW33" s="95"/>
      <c r="GX33" s="95"/>
      <c r="GY33" s="95"/>
      <c r="GZ33" s="95"/>
      <c r="HA33" s="95"/>
      <c r="HB33" s="95"/>
      <c r="HC33" s="95"/>
      <c r="HD33" s="95"/>
      <c r="HE33" s="95"/>
      <c r="HF33" s="95"/>
      <c r="HG33" s="95"/>
      <c r="HH33" s="95"/>
      <c r="HI33" s="95"/>
      <c r="HJ33" s="95"/>
      <c r="HK33" s="95"/>
      <c r="HL33" s="95"/>
      <c r="HM33" s="95"/>
      <c r="HN33" s="95"/>
      <c r="HO33" s="95"/>
      <c r="HP33" s="95"/>
      <c r="HQ33" s="95"/>
      <c r="HR33" s="95"/>
      <c r="HS33" s="95"/>
      <c r="HT33" s="95"/>
      <c r="HU33" s="95"/>
      <c r="HV33" s="95"/>
      <c r="HW33" s="95"/>
      <c r="HX33" s="95"/>
      <c r="HY33" s="95"/>
      <c r="HZ33" s="95"/>
      <c r="IA33" s="95"/>
      <c r="IB33" s="95"/>
      <c r="IC33" s="95"/>
      <c r="ID33" s="95"/>
      <c r="IE33" s="95"/>
      <c r="IF33" s="95"/>
      <c r="IG33" s="95"/>
      <c r="IH33" s="95"/>
      <c r="II33" s="95"/>
      <c r="IJ33" s="95"/>
      <c r="IK33" s="95"/>
      <c r="IL33" s="95"/>
      <c r="IM33" s="95"/>
      <c r="IN33" s="95"/>
      <c r="IO33" s="95"/>
      <c r="IP33" s="95"/>
      <c r="IQ33" s="95"/>
      <c r="IR33" s="95"/>
      <c r="IS33" s="95"/>
      <c r="IT33" s="95"/>
      <c r="IU33" s="95"/>
      <c r="IV33" s="95"/>
    </row>
    <row r="34" spans="1:256">
      <c r="A34" s="94" t="s">
        <v>281</v>
      </c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DZ34" s="95"/>
      <c r="EA34" s="95"/>
      <c r="EB34" s="95"/>
      <c r="EC34" s="95"/>
      <c r="ED34" s="95"/>
      <c r="EE34" s="95"/>
      <c r="EF34" s="95"/>
      <c r="EG34" s="95"/>
      <c r="EH34" s="95"/>
      <c r="EI34" s="95"/>
      <c r="EJ34" s="95"/>
      <c r="EK34" s="95"/>
      <c r="EL34" s="95"/>
      <c r="EM34" s="95"/>
      <c r="EN34" s="95"/>
      <c r="EO34" s="95"/>
      <c r="EP34" s="95"/>
      <c r="EQ34" s="95"/>
      <c r="ER34" s="95"/>
      <c r="ES34" s="95"/>
      <c r="ET34" s="95"/>
      <c r="EU34" s="95"/>
      <c r="EV34" s="95"/>
      <c r="EW34" s="95"/>
      <c r="EX34" s="95"/>
      <c r="EY34" s="95"/>
      <c r="EZ34" s="95"/>
      <c r="FA34" s="95"/>
      <c r="FB34" s="95"/>
      <c r="FC34" s="95"/>
      <c r="FD34" s="95"/>
      <c r="FE34" s="95"/>
      <c r="FF34" s="95"/>
      <c r="FG34" s="95"/>
      <c r="FH34" s="95"/>
      <c r="FI34" s="95"/>
      <c r="FJ34" s="95"/>
      <c r="FK34" s="95"/>
      <c r="FL34" s="95"/>
      <c r="FM34" s="95"/>
      <c r="FN34" s="95"/>
      <c r="FO34" s="95"/>
      <c r="FP34" s="95"/>
      <c r="FQ34" s="95"/>
      <c r="FR34" s="95"/>
      <c r="FS34" s="95"/>
      <c r="FT34" s="95"/>
      <c r="FU34" s="95"/>
      <c r="FV34" s="95"/>
      <c r="FW34" s="95"/>
      <c r="FX34" s="95"/>
      <c r="FY34" s="95"/>
      <c r="FZ34" s="95"/>
      <c r="GA34" s="95"/>
      <c r="GB34" s="95"/>
      <c r="GC34" s="95"/>
      <c r="GD34" s="95"/>
      <c r="GE34" s="95"/>
      <c r="GF34" s="95"/>
      <c r="GG34" s="95"/>
      <c r="GH34" s="95"/>
      <c r="GI34" s="95"/>
      <c r="GJ34" s="95"/>
      <c r="GK34" s="95"/>
      <c r="GL34" s="95"/>
      <c r="GM34" s="95"/>
      <c r="GN34" s="95"/>
      <c r="GO34" s="95"/>
      <c r="GP34" s="95"/>
      <c r="GQ34" s="95"/>
      <c r="GR34" s="95"/>
      <c r="GS34" s="95"/>
      <c r="GT34" s="95"/>
      <c r="GU34" s="95"/>
      <c r="GV34" s="95"/>
      <c r="GW34" s="95"/>
      <c r="GX34" s="95"/>
      <c r="GY34" s="95"/>
      <c r="GZ34" s="95"/>
      <c r="HA34" s="95"/>
      <c r="HB34" s="95"/>
      <c r="HC34" s="95"/>
      <c r="HD34" s="95"/>
      <c r="HE34" s="95"/>
      <c r="HF34" s="95"/>
      <c r="HG34" s="95"/>
      <c r="HH34" s="95"/>
      <c r="HI34" s="95"/>
      <c r="HJ34" s="95"/>
      <c r="HK34" s="95"/>
      <c r="HL34" s="95"/>
      <c r="HM34" s="95"/>
      <c r="HN34" s="95"/>
      <c r="HO34" s="95"/>
      <c r="HP34" s="95"/>
      <c r="HQ34" s="95"/>
      <c r="HR34" s="95"/>
      <c r="HS34" s="95"/>
      <c r="HT34" s="95"/>
      <c r="HU34" s="95"/>
      <c r="HV34" s="95"/>
      <c r="HW34" s="95"/>
      <c r="HX34" s="95"/>
      <c r="HY34" s="95"/>
      <c r="HZ34" s="95"/>
      <c r="IA34" s="95"/>
      <c r="IB34" s="95"/>
      <c r="IC34" s="95"/>
      <c r="ID34" s="95"/>
      <c r="IE34" s="95"/>
      <c r="IF34" s="95"/>
      <c r="IG34" s="95"/>
      <c r="IH34" s="95"/>
      <c r="II34" s="95"/>
      <c r="IJ34" s="95"/>
      <c r="IK34" s="95"/>
      <c r="IL34" s="95"/>
      <c r="IM34" s="95"/>
      <c r="IN34" s="95"/>
      <c r="IO34" s="95"/>
      <c r="IP34" s="95"/>
      <c r="IQ34" s="95"/>
      <c r="IR34" s="95"/>
      <c r="IS34" s="95"/>
      <c r="IT34" s="95"/>
      <c r="IU34" s="95"/>
      <c r="IV34" s="95"/>
    </row>
    <row r="35" spans="1:256">
      <c r="A35" s="117"/>
      <c r="S35" s="116"/>
      <c r="AD35" s="116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DZ35" s="95"/>
      <c r="EA35" s="95"/>
      <c r="EB35" s="95"/>
      <c r="EC35" s="95"/>
      <c r="ED35" s="95"/>
      <c r="EE35" s="95"/>
      <c r="EF35" s="95"/>
      <c r="EG35" s="95"/>
      <c r="EH35" s="95"/>
      <c r="EI35" s="95"/>
      <c r="EJ35" s="95"/>
      <c r="EK35" s="95"/>
      <c r="EL35" s="95"/>
      <c r="EM35" s="95"/>
      <c r="EN35" s="95"/>
      <c r="EO35" s="95"/>
      <c r="EP35" s="95"/>
      <c r="EQ35" s="95"/>
      <c r="ER35" s="95"/>
      <c r="ES35" s="95"/>
      <c r="ET35" s="95"/>
      <c r="EU35" s="95"/>
      <c r="EV35" s="95"/>
      <c r="EW35" s="95"/>
      <c r="EX35" s="95"/>
      <c r="EY35" s="95"/>
      <c r="EZ35" s="95"/>
      <c r="FA35" s="95"/>
      <c r="FB35" s="95"/>
      <c r="FC35" s="95"/>
      <c r="FD35" s="95"/>
      <c r="FE35" s="95"/>
      <c r="FF35" s="95"/>
      <c r="FG35" s="95"/>
      <c r="FH35" s="95"/>
      <c r="FI35" s="95"/>
      <c r="FJ35" s="95"/>
      <c r="FK35" s="95"/>
      <c r="FL35" s="95"/>
      <c r="FM35" s="95"/>
      <c r="FN35" s="95"/>
      <c r="FO35" s="95"/>
      <c r="FP35" s="95"/>
      <c r="FQ35" s="95"/>
      <c r="FR35" s="95"/>
      <c r="FS35" s="95"/>
      <c r="FT35" s="95"/>
      <c r="FU35" s="95"/>
      <c r="FV35" s="95"/>
      <c r="FW35" s="95"/>
      <c r="FX35" s="95"/>
      <c r="FY35" s="95"/>
      <c r="FZ35" s="95"/>
      <c r="GA35" s="95"/>
      <c r="GB35" s="95"/>
      <c r="GC35" s="95"/>
      <c r="GD35" s="95"/>
      <c r="GE35" s="95"/>
      <c r="GF35" s="95"/>
      <c r="GG35" s="95"/>
      <c r="GH35" s="95"/>
      <c r="GI35" s="95"/>
      <c r="GJ35" s="95"/>
      <c r="GK35" s="95"/>
      <c r="GL35" s="95"/>
      <c r="GM35" s="95"/>
      <c r="GN35" s="95"/>
      <c r="GO35" s="95"/>
      <c r="GP35" s="95"/>
      <c r="GQ35" s="95"/>
      <c r="GR35" s="95"/>
      <c r="GS35" s="95"/>
      <c r="GT35" s="95"/>
      <c r="GU35" s="95"/>
      <c r="GV35" s="95"/>
      <c r="GW35" s="95"/>
      <c r="GX35" s="95"/>
      <c r="GY35" s="95"/>
      <c r="GZ35" s="95"/>
      <c r="HA35" s="95"/>
      <c r="HB35" s="95"/>
      <c r="HC35" s="95"/>
      <c r="HD35" s="95"/>
      <c r="HE35" s="95"/>
      <c r="HF35" s="95"/>
      <c r="HG35" s="95"/>
      <c r="HH35" s="95"/>
      <c r="HI35" s="95"/>
      <c r="HJ35" s="95"/>
      <c r="HK35" s="95"/>
      <c r="HL35" s="95"/>
      <c r="HM35" s="95"/>
      <c r="HN35" s="95"/>
      <c r="HO35" s="95"/>
      <c r="HP35" s="95"/>
      <c r="HQ35" s="95"/>
      <c r="HR35" s="95"/>
      <c r="HS35" s="95"/>
      <c r="HT35" s="95"/>
      <c r="HU35" s="95"/>
      <c r="HV35" s="95"/>
      <c r="HW35" s="95"/>
      <c r="HX35" s="95"/>
      <c r="HY35" s="95"/>
      <c r="HZ35" s="95"/>
      <c r="IA35" s="95"/>
      <c r="IB35" s="95"/>
      <c r="IC35" s="95"/>
      <c r="ID35" s="95"/>
      <c r="IE35" s="95"/>
      <c r="IF35" s="95"/>
      <c r="IG35" s="95"/>
      <c r="IH35" s="95"/>
      <c r="II35" s="95"/>
      <c r="IJ35" s="95"/>
      <c r="IK35" s="95"/>
      <c r="IL35" s="95"/>
      <c r="IM35" s="95"/>
      <c r="IN35" s="95"/>
      <c r="IO35" s="95"/>
      <c r="IP35" s="95"/>
      <c r="IQ35" s="95"/>
      <c r="IR35" s="95"/>
      <c r="IS35" s="95"/>
      <c r="IT35" s="95"/>
      <c r="IU35" s="95"/>
      <c r="IV35" s="95"/>
    </row>
    <row r="36" spans="1:256">
      <c r="A36" s="117"/>
    </row>
  </sheetData>
  <phoneticPr fontId="31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16"/>
  <sheetViews>
    <sheetView showGridLines="0" workbookViewId="0">
      <selection activeCell="G33" sqref="G33"/>
    </sheetView>
  </sheetViews>
  <sheetFormatPr defaultColWidth="8.77734375" defaultRowHeight="13.95" customHeight="1"/>
  <cols>
    <col min="1" max="1" width="4" style="117" customWidth="1"/>
    <col min="2" max="2" width="13.109375" style="117" customWidth="1"/>
    <col min="3" max="3" width="14.33203125" style="117" bestFit="1" customWidth="1"/>
    <col min="4" max="4" width="13.44140625" style="117" customWidth="1"/>
    <col min="5" max="5" width="13.6640625" style="117" customWidth="1"/>
    <col min="6" max="7" width="12.6640625" style="117" customWidth="1"/>
    <col min="8" max="8" width="13.44140625" style="117" customWidth="1"/>
    <col min="9" max="9" width="35.33203125" style="117" customWidth="1"/>
    <col min="10" max="256" width="8.77734375" style="117" customWidth="1"/>
    <col min="257" max="16384" width="8.77734375" style="102"/>
  </cols>
  <sheetData>
    <row r="1" spans="1:9" ht="15.45" customHeight="1">
      <c r="A1" s="102"/>
      <c r="B1" s="102"/>
      <c r="C1" s="102"/>
      <c r="D1" s="102"/>
      <c r="E1" s="102"/>
      <c r="F1" s="102"/>
      <c r="G1" s="102"/>
      <c r="H1" s="102"/>
      <c r="I1" s="102"/>
    </row>
    <row r="2" spans="1:9" ht="16.05" customHeight="1">
      <c r="A2" s="102"/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9" ht="16.2" customHeight="1">
      <c r="A3" s="102"/>
      <c r="B3" s="118" t="s">
        <v>59</v>
      </c>
      <c r="C3" s="13" t="s">
        <v>160</v>
      </c>
      <c r="D3" s="53">
        <v>2200000</v>
      </c>
      <c r="E3" s="10">
        <v>0</v>
      </c>
      <c r="F3" s="11">
        <f t="shared" ref="F3" si="0">D3</f>
        <v>2200000</v>
      </c>
      <c r="G3" s="53">
        <f t="shared" ref="G3" si="1">F3*20%</f>
        <v>440000</v>
      </c>
      <c r="H3" s="119">
        <f t="shared" ref="H3" si="2">F3*80%</f>
        <v>1760000</v>
      </c>
      <c r="I3" s="13" t="s">
        <v>454</v>
      </c>
    </row>
    <row r="4" spans="1:9" ht="16.2" customHeight="1">
      <c r="A4" s="102"/>
      <c r="B4" s="118" t="s">
        <v>59</v>
      </c>
      <c r="C4" s="13" t="s">
        <v>162</v>
      </c>
      <c r="D4" s="53">
        <v>2500000</v>
      </c>
      <c r="E4" s="10">
        <v>0</v>
      </c>
      <c r="F4" s="11">
        <f t="shared" ref="F4" si="3">D4</f>
        <v>2500000</v>
      </c>
      <c r="G4" s="53">
        <f t="shared" ref="G4" si="4">F4*20%</f>
        <v>500000</v>
      </c>
      <c r="H4" s="119">
        <f t="shared" ref="H4" si="5">F4*80%</f>
        <v>2000000</v>
      </c>
      <c r="I4" s="13" t="s">
        <v>454</v>
      </c>
    </row>
    <row r="5" spans="1:9" ht="16.2" customHeight="1">
      <c r="A5" s="102"/>
      <c r="B5" s="118" t="s">
        <v>59</v>
      </c>
      <c r="C5" s="215" t="s">
        <v>455</v>
      </c>
      <c r="D5" s="218">
        <v>2000000</v>
      </c>
      <c r="E5" s="10">
        <v>0</v>
      </c>
      <c r="F5" s="11">
        <f t="shared" ref="F5" si="6">D5</f>
        <v>2000000</v>
      </c>
      <c r="G5" s="53">
        <f t="shared" ref="G5" si="7">F5*20%</f>
        <v>400000</v>
      </c>
      <c r="H5" s="119">
        <f t="shared" ref="H5" si="8">F5*80%</f>
        <v>1600000</v>
      </c>
      <c r="I5" s="13" t="s">
        <v>389</v>
      </c>
    </row>
    <row r="6" spans="1:9" ht="16.05" customHeight="1">
      <c r="A6" s="102"/>
      <c r="B6" s="16" t="s">
        <v>20</v>
      </c>
      <c r="C6" s="17"/>
      <c r="D6" s="18">
        <f>SUM(D3:D5)</f>
        <v>6700000</v>
      </c>
      <c r="E6" s="18">
        <f>SUM(E3:E5)</f>
        <v>0</v>
      </c>
      <c r="F6" s="18">
        <f>SUM(F3:F5)</f>
        <v>6700000</v>
      </c>
      <c r="G6" s="18">
        <f>SUM(G3:G5)</f>
        <v>1340000</v>
      </c>
      <c r="H6" s="18">
        <f>SUM(H3:H5)</f>
        <v>5360000</v>
      </c>
      <c r="I6" s="18"/>
    </row>
    <row r="7" spans="1:9" ht="15.45" customHeight="1">
      <c r="A7" s="102"/>
      <c r="B7" s="120"/>
      <c r="C7" s="102"/>
      <c r="D7" s="102"/>
      <c r="E7" s="102"/>
      <c r="F7" s="102"/>
      <c r="G7" s="103">
        <f>F6*0.2</f>
        <v>1340000</v>
      </c>
      <c r="H7" s="103">
        <f>F6*0.8</f>
        <v>5360000</v>
      </c>
      <c r="I7" s="102"/>
    </row>
    <row r="8" spans="1:9" ht="15" customHeight="1">
      <c r="A8" s="102"/>
      <c r="B8" s="102"/>
      <c r="C8" s="102"/>
      <c r="D8" s="102"/>
      <c r="E8" s="102"/>
      <c r="F8" s="102"/>
      <c r="G8" s="121"/>
      <c r="H8" s="102"/>
      <c r="I8" s="102"/>
    </row>
    <row r="9" spans="1:9" ht="15" customHeight="1">
      <c r="A9" s="102"/>
      <c r="B9" s="122"/>
      <c r="C9" s="102"/>
      <c r="D9" s="102"/>
      <c r="E9" s="102"/>
      <c r="F9" s="102"/>
      <c r="G9" s="102"/>
      <c r="H9" s="102"/>
      <c r="I9" s="102"/>
    </row>
    <row r="10" spans="1:9" ht="15" customHeight="1">
      <c r="A10" s="102"/>
      <c r="B10" s="122"/>
      <c r="C10" s="102"/>
      <c r="D10" s="102"/>
      <c r="E10" s="102"/>
      <c r="F10" s="102"/>
      <c r="G10" s="102"/>
      <c r="H10" s="102"/>
      <c r="I10" s="102"/>
    </row>
    <row r="11" spans="1:9" ht="16.05" customHeight="1">
      <c r="A11" s="102"/>
      <c r="B11" s="102"/>
      <c r="C11" s="102"/>
      <c r="D11" s="121"/>
      <c r="E11" s="121"/>
      <c r="F11" s="102"/>
      <c r="G11" s="102"/>
      <c r="H11" s="102"/>
      <c r="I11" s="102"/>
    </row>
    <row r="12" spans="1:9" ht="16.05" customHeight="1">
      <c r="A12" s="102"/>
      <c r="B12" s="102"/>
      <c r="C12" s="102"/>
      <c r="D12" s="123"/>
      <c r="E12" s="102"/>
      <c r="F12" s="102"/>
      <c r="G12" s="102"/>
      <c r="H12" s="102"/>
      <c r="I12" s="102"/>
    </row>
    <row r="13" spans="1:9" ht="16.05" customHeight="1">
      <c r="A13" s="102"/>
      <c r="B13" s="102"/>
      <c r="C13" s="102"/>
      <c r="D13" s="102"/>
      <c r="E13" s="123"/>
      <c r="F13" s="102"/>
      <c r="G13" s="102"/>
      <c r="H13" s="102"/>
      <c r="I13" s="102"/>
    </row>
    <row r="14" spans="1:9" ht="19.95" customHeight="1">
      <c r="A14" s="102"/>
      <c r="B14" s="102"/>
      <c r="C14" s="124"/>
      <c r="D14" s="102"/>
      <c r="E14" s="102"/>
      <c r="F14" s="102"/>
      <c r="G14" s="102"/>
      <c r="H14" s="102"/>
      <c r="I14" s="102"/>
    </row>
    <row r="15" spans="1:9" ht="19.95" customHeight="1">
      <c r="A15" s="102"/>
      <c r="B15" s="102"/>
      <c r="C15" s="124"/>
      <c r="D15" s="102"/>
      <c r="E15" s="102"/>
      <c r="F15" s="102"/>
      <c r="G15" s="102"/>
      <c r="H15" s="102"/>
      <c r="I15" s="102"/>
    </row>
    <row r="16" spans="1:9" ht="16.05" customHeight="1">
      <c r="A16" s="102"/>
      <c r="B16" s="102"/>
      <c r="C16" s="125"/>
      <c r="D16" s="102"/>
      <c r="E16" s="102"/>
      <c r="F16" s="102"/>
      <c r="G16" s="102"/>
      <c r="H16" s="102"/>
    </row>
  </sheetData>
  <phoneticPr fontId="31" type="noConversion"/>
  <pageMargins left="0.7" right="0.7" top="0.75" bottom="0.75" header="0.3" footer="0.3"/>
  <pageSetup paperSize="9" orientation="portrait" horizontalDpi="4294967292" verticalDpi="4294967292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V226"/>
  <sheetViews>
    <sheetView showGridLines="0" workbookViewId="0">
      <selection activeCell="E19" sqref="E19"/>
    </sheetView>
  </sheetViews>
  <sheetFormatPr defaultColWidth="8.77734375" defaultRowHeight="14.7" customHeight="1"/>
  <cols>
    <col min="1" max="1" width="4" style="117" customWidth="1"/>
    <col min="2" max="2" width="12.77734375" style="117" customWidth="1"/>
    <col min="3" max="3" width="27.6640625" style="117" bestFit="1" customWidth="1"/>
    <col min="4" max="4" width="13.44140625" style="117" customWidth="1"/>
    <col min="5" max="5" width="13.77734375" style="117" customWidth="1"/>
    <col min="6" max="6" width="14.77734375" style="117" customWidth="1"/>
    <col min="7" max="7" width="15.109375" style="117" customWidth="1"/>
    <col min="8" max="8" width="13.77734375" style="117" bestFit="1" customWidth="1"/>
    <col min="9" max="9" width="15.6640625" style="117" customWidth="1"/>
    <col min="10" max="256" width="8.77734375" style="117" customWidth="1"/>
    <col min="257" max="16384" width="8.77734375" style="102"/>
  </cols>
  <sheetData>
    <row r="1" spans="1:11" ht="15.45" customHeight="1">
      <c r="A1" s="102"/>
      <c r="B1" s="102"/>
      <c r="C1" s="102"/>
      <c r="D1" s="102"/>
      <c r="E1" s="102"/>
      <c r="F1" s="102"/>
      <c r="G1" s="102"/>
      <c r="H1" s="102"/>
      <c r="I1" s="102"/>
    </row>
    <row r="2" spans="1:11" ht="16.05" customHeight="1">
      <c r="A2" s="102"/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11" ht="16.05" customHeight="1">
      <c r="A3" s="102"/>
      <c r="B3" s="118" t="s">
        <v>59</v>
      </c>
      <c r="C3" s="13" t="s">
        <v>58</v>
      </c>
      <c r="D3" s="213">
        <v>8964615</v>
      </c>
      <c r="E3" s="12" t="s">
        <v>60</v>
      </c>
      <c r="F3" s="9">
        <f>D3</f>
        <v>8964615</v>
      </c>
      <c r="G3" s="126">
        <f t="shared" ref="G3" si="0">F3*20%</f>
        <v>1792923</v>
      </c>
      <c r="H3" s="127">
        <f t="shared" ref="H3" si="1">F3*80%</f>
        <v>7171692</v>
      </c>
      <c r="I3" s="13" t="s">
        <v>456</v>
      </c>
    </row>
    <row r="4" spans="1:11" ht="16.5" customHeight="1">
      <c r="A4" s="102"/>
      <c r="B4" s="118" t="s">
        <v>59</v>
      </c>
      <c r="C4" s="13" t="s">
        <v>163</v>
      </c>
      <c r="D4" s="216">
        <v>82421</v>
      </c>
      <c r="E4" s="12" t="s">
        <v>60</v>
      </c>
      <c r="F4" s="9">
        <f t="shared" ref="F4:F5" si="2">D4</f>
        <v>82421</v>
      </c>
      <c r="G4" s="126">
        <f t="shared" ref="G4:G5" si="3">F4*20%</f>
        <v>16484.2</v>
      </c>
      <c r="H4" s="127">
        <f t="shared" ref="H4:H5" si="4">F4*80%</f>
        <v>65936.800000000003</v>
      </c>
      <c r="I4" s="13" t="s">
        <v>457</v>
      </c>
    </row>
    <row r="5" spans="1:11" ht="16.5" customHeight="1">
      <c r="A5" s="102"/>
      <c r="B5" s="118" t="s">
        <v>59</v>
      </c>
      <c r="C5" s="13" t="s">
        <v>212</v>
      </c>
      <c r="D5" s="216">
        <v>167889</v>
      </c>
      <c r="E5" s="12" t="s">
        <v>60</v>
      </c>
      <c r="F5" s="9">
        <f t="shared" si="2"/>
        <v>167889</v>
      </c>
      <c r="G5" s="126">
        <f t="shared" si="3"/>
        <v>33577.800000000003</v>
      </c>
      <c r="H5" s="127">
        <f t="shared" si="4"/>
        <v>134311.20000000001</v>
      </c>
      <c r="I5" s="13" t="s">
        <v>457</v>
      </c>
    </row>
    <row r="6" spans="1:11" ht="16.5" customHeight="1">
      <c r="A6" s="102"/>
      <c r="B6" s="118" t="s">
        <v>59</v>
      </c>
      <c r="C6" s="284" t="s">
        <v>461</v>
      </c>
      <c r="D6" s="285">
        <v>3921</v>
      </c>
      <c r="E6" s="12" t="s">
        <v>60</v>
      </c>
      <c r="F6" s="9">
        <f>D6</f>
        <v>3921</v>
      </c>
      <c r="G6" s="126">
        <f>F6*20%</f>
        <v>784.2</v>
      </c>
      <c r="H6" s="127">
        <f>F6*80%</f>
        <v>3136.8</v>
      </c>
      <c r="I6" s="284" t="s">
        <v>464</v>
      </c>
    </row>
    <row r="7" spans="1:11" ht="16.5" customHeight="1">
      <c r="A7" s="102"/>
      <c r="B7" s="118" t="s">
        <v>59</v>
      </c>
      <c r="C7" s="284" t="s">
        <v>458</v>
      </c>
      <c r="D7" s="285">
        <v>1167</v>
      </c>
      <c r="E7" s="12" t="s">
        <v>60</v>
      </c>
      <c r="F7" s="9">
        <f t="shared" ref="F7:F8" si="5">D7</f>
        <v>1167</v>
      </c>
      <c r="G7" s="126">
        <f t="shared" ref="G7:G8" si="6">F7*20%</f>
        <v>233.4</v>
      </c>
      <c r="H7" s="127">
        <f t="shared" ref="H7:H8" si="7">F7*80%</f>
        <v>933.6</v>
      </c>
      <c r="I7" s="284" t="s">
        <v>464</v>
      </c>
    </row>
    <row r="8" spans="1:11" ht="16.5" customHeight="1">
      <c r="A8" s="102"/>
      <c r="B8" s="118" t="s">
        <v>59</v>
      </c>
      <c r="C8" s="284" t="s">
        <v>462</v>
      </c>
      <c r="D8" s="285">
        <v>6107</v>
      </c>
      <c r="E8" s="12" t="s">
        <v>60</v>
      </c>
      <c r="F8" s="9">
        <f t="shared" si="5"/>
        <v>6107</v>
      </c>
      <c r="G8" s="126">
        <f t="shared" si="6"/>
        <v>1221.4000000000001</v>
      </c>
      <c r="H8" s="127">
        <f t="shared" si="7"/>
        <v>4885.6000000000004</v>
      </c>
      <c r="I8" s="284" t="s">
        <v>464</v>
      </c>
    </row>
    <row r="9" spans="1:11" ht="16.5" customHeight="1">
      <c r="A9" s="102"/>
      <c r="B9" s="118" t="s">
        <v>59</v>
      </c>
      <c r="C9" s="284" t="s">
        <v>461</v>
      </c>
      <c r="D9" s="285">
        <v>22666</v>
      </c>
      <c r="E9" s="12" t="s">
        <v>60</v>
      </c>
      <c r="F9" s="9">
        <f>D9</f>
        <v>22666</v>
      </c>
      <c r="G9" s="126">
        <f>F9*20%</f>
        <v>4533.2</v>
      </c>
      <c r="H9" s="127">
        <f>F9*80%</f>
        <v>18132.8</v>
      </c>
      <c r="I9" s="284" t="s">
        <v>463</v>
      </c>
    </row>
    <row r="10" spans="1:11" ht="16.5" customHeight="1">
      <c r="A10" s="102"/>
      <c r="B10" s="118" t="s">
        <v>59</v>
      </c>
      <c r="C10" s="284" t="s">
        <v>458</v>
      </c>
      <c r="D10" s="285">
        <v>23356</v>
      </c>
      <c r="E10" s="12" t="s">
        <v>60</v>
      </c>
      <c r="F10" s="9">
        <f t="shared" ref="F10:F11" si="8">D10</f>
        <v>23356</v>
      </c>
      <c r="G10" s="126">
        <f t="shared" ref="G10:G11" si="9">F10*20%</f>
        <v>4671.2</v>
      </c>
      <c r="H10" s="127">
        <f t="shared" ref="H10:H11" si="10">F10*80%</f>
        <v>18684.8</v>
      </c>
      <c r="I10" s="284" t="s">
        <v>463</v>
      </c>
    </row>
    <row r="11" spans="1:11" ht="16.5" customHeight="1">
      <c r="A11" s="102"/>
      <c r="B11" s="118" t="s">
        <v>59</v>
      </c>
      <c r="C11" s="284" t="s">
        <v>462</v>
      </c>
      <c r="D11" s="285">
        <v>201134</v>
      </c>
      <c r="E11" s="12" t="s">
        <v>60</v>
      </c>
      <c r="F11" s="9">
        <f t="shared" si="8"/>
        <v>201134</v>
      </c>
      <c r="G11" s="126">
        <f t="shared" si="9"/>
        <v>40226.800000000003</v>
      </c>
      <c r="H11" s="127">
        <f t="shared" si="10"/>
        <v>160907.20000000001</v>
      </c>
      <c r="I11" s="284" t="s">
        <v>463</v>
      </c>
    </row>
    <row r="12" spans="1:11" ht="16.5" customHeight="1">
      <c r="A12" s="102"/>
      <c r="B12" s="118" t="s">
        <v>59</v>
      </c>
      <c r="C12" s="128" t="s">
        <v>465</v>
      </c>
      <c r="D12" s="23">
        <v>33691553</v>
      </c>
      <c r="E12" s="14">
        <f>D12-F12</f>
        <v>15198751</v>
      </c>
      <c r="F12" s="19">
        <v>18492802</v>
      </c>
      <c r="G12" s="126">
        <f>F12*20%</f>
        <v>3698560.4000000004</v>
      </c>
      <c r="H12" s="127">
        <f>F12*80%</f>
        <v>14794241.600000001</v>
      </c>
      <c r="I12" s="13" t="s">
        <v>390</v>
      </c>
      <c r="K12" s="125"/>
    </row>
    <row r="13" spans="1:11" ht="16.5" customHeight="1">
      <c r="A13" s="102"/>
      <c r="B13" s="118" t="s">
        <v>59</v>
      </c>
      <c r="C13" s="128" t="s">
        <v>466</v>
      </c>
      <c r="D13" s="23">
        <v>194680</v>
      </c>
      <c r="E13" s="14">
        <f t="shared" ref="E13:E33" si="11">D13-F13</f>
        <v>84312</v>
      </c>
      <c r="F13" s="19">
        <v>110368</v>
      </c>
      <c r="G13" s="126">
        <f t="shared" ref="G13:G33" si="12">F13*20%</f>
        <v>22073.600000000002</v>
      </c>
      <c r="H13" s="127">
        <f t="shared" ref="H13:H33" si="13">F13*80%</f>
        <v>88294.400000000009</v>
      </c>
      <c r="I13" s="13" t="s">
        <v>390</v>
      </c>
      <c r="K13" s="125"/>
    </row>
    <row r="14" spans="1:11" ht="16.5" customHeight="1">
      <c r="A14" s="102"/>
      <c r="B14" s="118" t="s">
        <v>59</v>
      </c>
      <c r="C14" s="284" t="s">
        <v>459</v>
      </c>
      <c r="D14" s="285">
        <v>162920</v>
      </c>
      <c r="E14" s="14">
        <f t="shared" si="11"/>
        <v>81959</v>
      </c>
      <c r="F14" s="19">
        <v>80961</v>
      </c>
      <c r="G14" s="126">
        <f t="shared" si="12"/>
        <v>16192.2</v>
      </c>
      <c r="H14" s="127">
        <f t="shared" si="13"/>
        <v>64768.800000000003</v>
      </c>
      <c r="I14" s="13" t="s">
        <v>390</v>
      </c>
      <c r="K14" s="125"/>
    </row>
    <row r="15" spans="1:11" ht="16.5" customHeight="1">
      <c r="A15" s="102"/>
      <c r="B15" s="118" t="s">
        <v>59</v>
      </c>
      <c r="C15" s="284" t="s">
        <v>467</v>
      </c>
      <c r="D15" s="285">
        <v>63819111</v>
      </c>
      <c r="E15" s="14">
        <f t="shared" si="11"/>
        <v>32198012</v>
      </c>
      <c r="F15" s="19">
        <v>31621099</v>
      </c>
      <c r="G15" s="126">
        <f t="shared" si="12"/>
        <v>6324219.8000000007</v>
      </c>
      <c r="H15" s="127">
        <f t="shared" si="13"/>
        <v>25296879.200000003</v>
      </c>
      <c r="I15" s="13" t="s">
        <v>390</v>
      </c>
      <c r="K15" s="125"/>
    </row>
    <row r="16" spans="1:11" ht="16.5" customHeight="1">
      <c r="A16" s="102"/>
      <c r="B16" s="118" t="s">
        <v>59</v>
      </c>
      <c r="C16" s="284" t="s">
        <v>468</v>
      </c>
      <c r="D16" s="285">
        <v>273980</v>
      </c>
      <c r="E16" s="14">
        <f t="shared" si="11"/>
        <v>135484</v>
      </c>
      <c r="F16" s="19">
        <v>138496</v>
      </c>
      <c r="G16" s="126">
        <f t="shared" si="12"/>
        <v>27699.200000000001</v>
      </c>
      <c r="H16" s="127">
        <f t="shared" si="13"/>
        <v>110796.8</v>
      </c>
      <c r="I16" s="13" t="s">
        <v>390</v>
      </c>
      <c r="K16" s="125"/>
    </row>
    <row r="17" spans="1:11" ht="16.5" customHeight="1">
      <c r="A17" s="102"/>
      <c r="B17" s="118" t="s">
        <v>59</v>
      </c>
      <c r="C17" s="284" t="s">
        <v>469</v>
      </c>
      <c r="D17" s="285">
        <v>3065250</v>
      </c>
      <c r="E17" s="14">
        <f t="shared" si="11"/>
        <v>1542289</v>
      </c>
      <c r="F17" s="19">
        <v>1522961</v>
      </c>
      <c r="G17" s="126">
        <f t="shared" si="12"/>
        <v>304592.2</v>
      </c>
      <c r="H17" s="127">
        <f t="shared" si="13"/>
        <v>1218368.8</v>
      </c>
      <c r="I17" s="13" t="s">
        <v>390</v>
      </c>
      <c r="K17" s="125"/>
    </row>
    <row r="18" spans="1:11" ht="16.5" customHeight="1">
      <c r="A18" s="102"/>
      <c r="B18" s="118" t="s">
        <v>59</v>
      </c>
      <c r="C18" s="13" t="s">
        <v>470</v>
      </c>
      <c r="D18" s="14">
        <v>100400</v>
      </c>
      <c r="E18" s="14">
        <f t="shared" si="11"/>
        <v>50097</v>
      </c>
      <c r="F18" s="19">
        <v>50303</v>
      </c>
      <c r="G18" s="126">
        <f t="shared" si="12"/>
        <v>10060.6</v>
      </c>
      <c r="H18" s="127">
        <f t="shared" si="13"/>
        <v>40242.400000000001</v>
      </c>
      <c r="I18" s="13" t="s">
        <v>390</v>
      </c>
    </row>
    <row r="19" spans="1:11" ht="16.5" customHeight="1">
      <c r="A19" s="102"/>
      <c r="B19" s="118" t="s">
        <v>59</v>
      </c>
      <c r="C19" s="128" t="s">
        <v>55</v>
      </c>
      <c r="D19" s="14">
        <v>24760</v>
      </c>
      <c r="E19" s="14">
        <f t="shared" si="11"/>
        <v>12185</v>
      </c>
      <c r="F19" s="19">
        <v>12575</v>
      </c>
      <c r="G19" s="126">
        <f t="shared" si="12"/>
        <v>2515</v>
      </c>
      <c r="H19" s="127">
        <f t="shared" si="13"/>
        <v>10060</v>
      </c>
      <c r="I19" s="13" t="s">
        <v>390</v>
      </c>
    </row>
    <row r="20" spans="1:11" ht="16.5" customHeight="1">
      <c r="A20" s="102"/>
      <c r="B20" s="118" t="s">
        <v>59</v>
      </c>
      <c r="C20" s="128" t="s">
        <v>471</v>
      </c>
      <c r="D20" s="14">
        <v>9240</v>
      </c>
      <c r="E20" s="14">
        <f t="shared" si="11"/>
        <v>4551</v>
      </c>
      <c r="F20" s="19">
        <v>4689</v>
      </c>
      <c r="G20" s="126">
        <f t="shared" si="12"/>
        <v>937.80000000000007</v>
      </c>
      <c r="H20" s="127">
        <f t="shared" si="13"/>
        <v>3751.2000000000003</v>
      </c>
      <c r="I20" s="13" t="s">
        <v>390</v>
      </c>
    </row>
    <row r="21" spans="1:11" ht="16.5" customHeight="1">
      <c r="A21" s="102"/>
      <c r="B21" s="118" t="s">
        <v>59</v>
      </c>
      <c r="C21" s="128" t="s">
        <v>54</v>
      </c>
      <c r="D21" s="14">
        <v>36816</v>
      </c>
      <c r="E21" s="14">
        <f t="shared" si="11"/>
        <v>18104</v>
      </c>
      <c r="F21" s="19">
        <v>18712</v>
      </c>
      <c r="G21" s="126">
        <f t="shared" si="12"/>
        <v>3742.4</v>
      </c>
      <c r="H21" s="127">
        <f t="shared" si="13"/>
        <v>14969.6</v>
      </c>
      <c r="I21" s="13" t="s">
        <v>390</v>
      </c>
    </row>
    <row r="22" spans="1:11" ht="16.5" customHeight="1">
      <c r="A22" s="102"/>
      <c r="B22" s="118" t="s">
        <v>59</v>
      </c>
      <c r="C22" s="128" t="s">
        <v>472</v>
      </c>
      <c r="D22" s="14">
        <v>1700</v>
      </c>
      <c r="E22" s="14">
        <f t="shared" si="11"/>
        <v>834</v>
      </c>
      <c r="F22" s="19">
        <v>866</v>
      </c>
      <c r="G22" s="126">
        <f t="shared" si="12"/>
        <v>173.20000000000002</v>
      </c>
      <c r="H22" s="127">
        <f t="shared" si="13"/>
        <v>692.80000000000007</v>
      </c>
      <c r="I22" s="13" t="s">
        <v>390</v>
      </c>
    </row>
    <row r="23" spans="1:11" ht="16.5" customHeight="1">
      <c r="A23" s="102"/>
      <c r="B23" s="118" t="s">
        <v>59</v>
      </c>
      <c r="C23" s="13" t="s">
        <v>473</v>
      </c>
      <c r="D23" s="14">
        <v>614940</v>
      </c>
      <c r="E23" s="14">
        <f t="shared" si="11"/>
        <v>259368</v>
      </c>
      <c r="F23" s="19">
        <v>355572</v>
      </c>
      <c r="G23" s="126">
        <f t="shared" si="12"/>
        <v>71114.400000000009</v>
      </c>
      <c r="H23" s="127">
        <f t="shared" si="13"/>
        <v>284457.60000000003</v>
      </c>
      <c r="I23" s="13" t="s">
        <v>390</v>
      </c>
    </row>
    <row r="24" spans="1:11" ht="16.5" customHeight="1">
      <c r="A24" s="102"/>
      <c r="B24" s="118" t="s">
        <v>59</v>
      </c>
      <c r="C24" s="13" t="s">
        <v>474</v>
      </c>
      <c r="D24" s="14">
        <v>8420</v>
      </c>
      <c r="E24" s="14">
        <f t="shared" si="11"/>
        <v>3630</v>
      </c>
      <c r="F24" s="19">
        <v>4790</v>
      </c>
      <c r="G24" s="126">
        <f t="shared" si="12"/>
        <v>958</v>
      </c>
      <c r="H24" s="127">
        <f t="shared" si="13"/>
        <v>3832</v>
      </c>
      <c r="I24" s="13" t="s">
        <v>390</v>
      </c>
    </row>
    <row r="25" spans="1:11" ht="16.5" customHeight="1">
      <c r="A25" s="102"/>
      <c r="B25" s="118" t="s">
        <v>59</v>
      </c>
      <c r="C25" s="128" t="s">
        <v>158</v>
      </c>
      <c r="D25" s="23">
        <v>23698295</v>
      </c>
      <c r="E25" s="14">
        <f t="shared" si="11"/>
        <v>10694445</v>
      </c>
      <c r="F25" s="19">
        <v>13003850</v>
      </c>
      <c r="G25" s="126">
        <f t="shared" si="12"/>
        <v>2600770</v>
      </c>
      <c r="H25" s="127">
        <f t="shared" si="13"/>
        <v>10403080</v>
      </c>
      <c r="I25" s="13" t="s">
        <v>475</v>
      </c>
      <c r="K25" s="125"/>
    </row>
    <row r="26" spans="1:11" ht="16.5" customHeight="1">
      <c r="A26" s="102"/>
      <c r="B26" s="118" t="s">
        <v>59</v>
      </c>
      <c r="C26" s="128" t="s">
        <v>159</v>
      </c>
      <c r="D26" s="23">
        <v>141940</v>
      </c>
      <c r="E26" s="14">
        <f t="shared" si="11"/>
        <v>61273</v>
      </c>
      <c r="F26" s="19">
        <v>80667</v>
      </c>
      <c r="G26" s="126">
        <f t="shared" si="12"/>
        <v>16133.400000000001</v>
      </c>
      <c r="H26" s="127">
        <f t="shared" si="13"/>
        <v>64533.600000000006</v>
      </c>
      <c r="I26" s="13" t="s">
        <v>475</v>
      </c>
      <c r="K26" s="125"/>
    </row>
    <row r="27" spans="1:11" ht="16.5" customHeight="1">
      <c r="A27" s="102"/>
      <c r="B27" s="118" t="s">
        <v>59</v>
      </c>
      <c r="C27" s="13" t="s">
        <v>460</v>
      </c>
      <c r="D27" s="14">
        <v>114560</v>
      </c>
      <c r="E27" s="14">
        <f t="shared" si="11"/>
        <v>61668</v>
      </c>
      <c r="F27" s="19">
        <v>52892</v>
      </c>
      <c r="G27" s="126">
        <f t="shared" si="12"/>
        <v>10578.400000000001</v>
      </c>
      <c r="H27" s="127">
        <f t="shared" si="13"/>
        <v>42313.600000000006</v>
      </c>
      <c r="I27" s="13" t="s">
        <v>475</v>
      </c>
    </row>
    <row r="28" spans="1:11" ht="16.5" customHeight="1">
      <c r="A28" s="102"/>
      <c r="B28" s="118" t="s">
        <v>59</v>
      </c>
      <c r="C28" s="128" t="s">
        <v>97</v>
      </c>
      <c r="D28" s="14">
        <v>69010402</v>
      </c>
      <c r="E28" s="14">
        <f t="shared" si="11"/>
        <v>34781980</v>
      </c>
      <c r="F28" s="19">
        <v>34228422</v>
      </c>
      <c r="G28" s="126">
        <f t="shared" si="12"/>
        <v>6845684.4000000004</v>
      </c>
      <c r="H28" s="127">
        <f t="shared" si="13"/>
        <v>27382737.600000001</v>
      </c>
      <c r="I28" s="13" t="s">
        <v>475</v>
      </c>
    </row>
    <row r="29" spans="1:11" ht="16.5" customHeight="1">
      <c r="A29" s="102"/>
      <c r="B29" s="118" t="s">
        <v>59</v>
      </c>
      <c r="C29" s="128" t="s">
        <v>98</v>
      </c>
      <c r="D29" s="14">
        <v>310867</v>
      </c>
      <c r="E29" s="14">
        <f t="shared" si="11"/>
        <v>153516</v>
      </c>
      <c r="F29" s="19">
        <v>157351</v>
      </c>
      <c r="G29" s="126">
        <f t="shared" si="12"/>
        <v>31470.2</v>
      </c>
      <c r="H29" s="127">
        <f t="shared" si="13"/>
        <v>125880.8</v>
      </c>
      <c r="I29" s="13" t="s">
        <v>475</v>
      </c>
    </row>
    <row r="30" spans="1:11" ht="16.5" customHeight="1">
      <c r="A30" s="102"/>
      <c r="B30" s="118" t="s">
        <v>59</v>
      </c>
      <c r="C30" s="128" t="s">
        <v>95</v>
      </c>
      <c r="D30" s="14">
        <v>3153258</v>
      </c>
      <c r="E30" s="14">
        <f t="shared" si="11"/>
        <v>1588904</v>
      </c>
      <c r="F30" s="19">
        <v>1564354</v>
      </c>
      <c r="G30" s="126">
        <f t="shared" si="12"/>
        <v>312870.8</v>
      </c>
      <c r="H30" s="127">
        <f t="shared" si="13"/>
        <v>1251483.2</v>
      </c>
      <c r="I30" s="13" t="s">
        <v>475</v>
      </c>
    </row>
    <row r="31" spans="1:11" ht="16.5" customHeight="1">
      <c r="A31" s="102"/>
      <c r="B31" s="118" t="s">
        <v>59</v>
      </c>
      <c r="C31" s="128" t="s">
        <v>96</v>
      </c>
      <c r="D31" s="14">
        <v>47340</v>
      </c>
      <c r="E31" s="14">
        <f t="shared" si="11"/>
        <v>23239</v>
      </c>
      <c r="F31" s="19">
        <v>24101</v>
      </c>
      <c r="G31" s="126">
        <f t="shared" si="12"/>
        <v>4820.2</v>
      </c>
      <c r="H31" s="127">
        <f t="shared" si="13"/>
        <v>19280.8</v>
      </c>
      <c r="I31" s="13" t="s">
        <v>475</v>
      </c>
    </row>
    <row r="32" spans="1:11" ht="16.5" customHeight="1">
      <c r="A32" s="102"/>
      <c r="B32" s="118" t="s">
        <v>59</v>
      </c>
      <c r="C32" s="13" t="s">
        <v>55</v>
      </c>
      <c r="D32" s="14">
        <v>17280</v>
      </c>
      <c r="E32" s="14">
        <f t="shared" si="11"/>
        <v>8513</v>
      </c>
      <c r="F32" s="19">
        <v>8767</v>
      </c>
      <c r="G32" s="126">
        <f t="shared" si="12"/>
        <v>1753.4</v>
      </c>
      <c r="H32" s="127">
        <f t="shared" si="13"/>
        <v>7013.6</v>
      </c>
      <c r="I32" s="13" t="s">
        <v>475</v>
      </c>
    </row>
    <row r="33" spans="1:256" ht="16.5" customHeight="1">
      <c r="A33" s="102"/>
      <c r="B33" s="118" t="s">
        <v>59</v>
      </c>
      <c r="C33" s="13" t="s">
        <v>54</v>
      </c>
      <c r="D33" s="14">
        <v>18740</v>
      </c>
      <c r="E33" s="14">
        <f t="shared" si="11"/>
        <v>9413</v>
      </c>
      <c r="F33" s="19">
        <v>9327</v>
      </c>
      <c r="G33" s="126">
        <f t="shared" si="12"/>
        <v>1865.4</v>
      </c>
      <c r="H33" s="127">
        <f t="shared" si="13"/>
        <v>7461.6</v>
      </c>
      <c r="I33" s="13" t="s">
        <v>475</v>
      </c>
    </row>
    <row r="34" spans="1:256" ht="16.5" customHeight="1">
      <c r="A34" s="102"/>
      <c r="B34" s="118" t="s">
        <v>59</v>
      </c>
      <c r="C34" s="13" t="s">
        <v>291</v>
      </c>
      <c r="D34" s="14">
        <v>654526</v>
      </c>
      <c r="E34" s="14">
        <f t="shared" ref="E34:E35" si="14">D34-F34</f>
        <v>277799</v>
      </c>
      <c r="F34" s="19">
        <v>376727</v>
      </c>
      <c r="G34" s="126">
        <f t="shared" ref="G34:G35" si="15">F34*20%</f>
        <v>75345.400000000009</v>
      </c>
      <c r="H34" s="127">
        <f t="shared" ref="H34:H35" si="16">F34*80%</f>
        <v>301381.60000000003</v>
      </c>
      <c r="I34" s="13" t="s">
        <v>475</v>
      </c>
    </row>
    <row r="35" spans="1:256" ht="16.5" customHeight="1">
      <c r="A35" s="102"/>
      <c r="B35" s="118" t="s">
        <v>59</v>
      </c>
      <c r="C35" s="13" t="s">
        <v>292</v>
      </c>
      <c r="D35" s="14">
        <v>25840</v>
      </c>
      <c r="E35" s="14">
        <f t="shared" si="14"/>
        <v>9465</v>
      </c>
      <c r="F35" s="19">
        <v>16375</v>
      </c>
      <c r="G35" s="126">
        <f t="shared" si="15"/>
        <v>3275</v>
      </c>
      <c r="H35" s="127">
        <f t="shared" si="16"/>
        <v>13100</v>
      </c>
      <c r="I35" s="13" t="s">
        <v>475</v>
      </c>
    </row>
    <row r="36" spans="1:256" ht="16.05" customHeight="1">
      <c r="A36" s="102"/>
      <c r="B36" s="16" t="s">
        <v>20</v>
      </c>
      <c r="C36" s="17"/>
      <c r="D36" s="18">
        <f>SUM(D3:D35)</f>
        <v>208670094</v>
      </c>
      <c r="E36" s="18">
        <f>SUM(E3:E35)</f>
        <v>97259791</v>
      </c>
      <c r="F36" s="18">
        <f>SUM(F3:F35)</f>
        <v>111410303</v>
      </c>
      <c r="G36" s="18">
        <f>SUM(G3:G35)</f>
        <v>22282060.599999994</v>
      </c>
      <c r="H36" s="18">
        <f>SUM(H3:H35)</f>
        <v>89128242.399999976</v>
      </c>
      <c r="I36" s="18"/>
    </row>
    <row r="37" spans="1:256" ht="15.45" customHeight="1">
      <c r="A37" s="102"/>
      <c r="B37" s="120"/>
      <c r="C37" s="102"/>
      <c r="D37" s="102"/>
      <c r="E37" s="102"/>
      <c r="F37" s="102"/>
      <c r="G37" s="103">
        <f>F36*0.2</f>
        <v>22282060.600000001</v>
      </c>
      <c r="H37" s="103">
        <f>F36*0.8</f>
        <v>89128242.400000006</v>
      </c>
      <c r="I37" s="102"/>
    </row>
    <row r="38" spans="1:256" ht="15.45" customHeight="1">
      <c r="A38" s="102"/>
      <c r="B38" s="120"/>
      <c r="C38" s="102"/>
      <c r="D38" s="102"/>
      <c r="E38" s="102"/>
      <c r="F38" s="102"/>
      <c r="G38" s="103"/>
      <c r="H38" s="103"/>
      <c r="I38" s="102"/>
    </row>
    <row r="39" spans="1:256" ht="15.45" customHeight="1">
      <c r="A39" s="102"/>
      <c r="B39" s="120"/>
      <c r="C39" s="102"/>
      <c r="D39" s="102"/>
      <c r="E39" s="102"/>
      <c r="F39" s="102"/>
      <c r="G39" s="103"/>
      <c r="H39" s="103"/>
      <c r="I39" s="102"/>
    </row>
    <row r="40" spans="1:256" ht="14.7" customHeight="1">
      <c r="A40" s="102" t="s">
        <v>282</v>
      </c>
      <c r="B40" s="102"/>
      <c r="C40" s="102"/>
      <c r="D40" s="102"/>
      <c r="E40" s="102"/>
      <c r="F40" s="102"/>
      <c r="H40" s="102"/>
      <c r="I40" s="102"/>
    </row>
    <row r="41" spans="1:256" s="131" customFormat="1" ht="14.7" customHeight="1">
      <c r="A41" s="129"/>
      <c r="B41" s="130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29"/>
      <c r="CB41" s="129"/>
      <c r="CC41" s="129"/>
      <c r="CD41" s="129"/>
      <c r="CE41" s="129"/>
      <c r="CF41" s="129"/>
      <c r="CG41" s="129"/>
      <c r="CH41" s="129"/>
      <c r="CI41" s="129"/>
      <c r="CJ41" s="129"/>
      <c r="CK41" s="129"/>
      <c r="CL41" s="129"/>
      <c r="CM41" s="129"/>
      <c r="CN41" s="129"/>
      <c r="CO41" s="129"/>
      <c r="CP41" s="129"/>
      <c r="CQ41" s="129"/>
      <c r="CR41" s="129"/>
      <c r="CS41" s="129"/>
      <c r="CT41" s="129"/>
      <c r="CU41" s="129"/>
      <c r="CV41" s="129"/>
      <c r="CW41" s="129"/>
      <c r="CX41" s="129"/>
      <c r="CY41" s="129"/>
      <c r="CZ41" s="129"/>
      <c r="DA41" s="129"/>
      <c r="DB41" s="129"/>
      <c r="DC41" s="129"/>
      <c r="DD41" s="129"/>
      <c r="DE41" s="129"/>
      <c r="DF41" s="129"/>
      <c r="DG41" s="129"/>
      <c r="DH41" s="129"/>
      <c r="DI41" s="129"/>
      <c r="DJ41" s="129"/>
      <c r="DK41" s="129"/>
      <c r="DL41" s="129"/>
      <c r="DM41" s="129"/>
      <c r="DN41" s="129"/>
      <c r="DO41" s="129"/>
      <c r="DP41" s="129"/>
      <c r="DQ41" s="129"/>
      <c r="DR41" s="129"/>
      <c r="DS41" s="129"/>
      <c r="DT41" s="129"/>
      <c r="DU41" s="129"/>
      <c r="DV41" s="129"/>
      <c r="DW41" s="129"/>
      <c r="DX41" s="129"/>
      <c r="DY41" s="129"/>
      <c r="DZ41" s="129"/>
      <c r="EA41" s="129"/>
      <c r="EB41" s="129"/>
      <c r="EC41" s="129"/>
      <c r="ED41" s="129"/>
      <c r="EE41" s="129"/>
      <c r="EF41" s="129"/>
      <c r="EG41" s="129"/>
      <c r="EH41" s="129"/>
      <c r="EI41" s="129"/>
      <c r="EJ41" s="129"/>
      <c r="EK41" s="129"/>
      <c r="EL41" s="129"/>
      <c r="EM41" s="129"/>
      <c r="EN41" s="129"/>
      <c r="EO41" s="129"/>
      <c r="EP41" s="129"/>
      <c r="EQ41" s="129"/>
      <c r="ER41" s="129"/>
      <c r="ES41" s="129"/>
      <c r="ET41" s="129"/>
      <c r="EU41" s="129"/>
      <c r="EV41" s="129"/>
      <c r="EW41" s="129"/>
      <c r="EX41" s="129"/>
      <c r="EY41" s="129"/>
      <c r="EZ41" s="129"/>
      <c r="FA41" s="129"/>
      <c r="FB41" s="129"/>
      <c r="FC41" s="129"/>
      <c r="FD41" s="129"/>
      <c r="FE41" s="129"/>
      <c r="FF41" s="129"/>
      <c r="FG41" s="129"/>
      <c r="FH41" s="129"/>
      <c r="FI41" s="129"/>
      <c r="FJ41" s="129"/>
      <c r="FK41" s="129"/>
      <c r="FL41" s="129"/>
      <c r="FM41" s="129"/>
      <c r="FN41" s="129"/>
      <c r="FO41" s="129"/>
      <c r="FP41" s="129"/>
      <c r="FQ41" s="129"/>
      <c r="FR41" s="129"/>
      <c r="FS41" s="129"/>
      <c r="FT41" s="129"/>
      <c r="FU41" s="129"/>
      <c r="FV41" s="129"/>
      <c r="FW41" s="129"/>
      <c r="FX41" s="129"/>
      <c r="FY41" s="129"/>
      <c r="FZ41" s="129"/>
      <c r="GA41" s="129"/>
      <c r="GB41" s="129"/>
      <c r="GC41" s="129"/>
      <c r="GD41" s="129"/>
      <c r="GE41" s="129"/>
      <c r="GF41" s="129"/>
      <c r="GG41" s="129"/>
      <c r="GH41" s="129"/>
      <c r="GI41" s="129"/>
      <c r="GJ41" s="129"/>
      <c r="GK41" s="129"/>
      <c r="GL41" s="129"/>
      <c r="GM41" s="129"/>
      <c r="GN41" s="129"/>
      <c r="GO41" s="129"/>
      <c r="GP41" s="129"/>
      <c r="GQ41" s="129"/>
      <c r="GR41" s="129"/>
      <c r="GS41" s="129"/>
      <c r="GT41" s="129"/>
      <c r="GU41" s="129"/>
      <c r="GV41" s="129"/>
      <c r="GW41" s="129"/>
      <c r="GX41" s="129"/>
      <c r="GY41" s="129"/>
      <c r="GZ41" s="129"/>
      <c r="HA41" s="129"/>
      <c r="HB41" s="129"/>
      <c r="HC41" s="129"/>
      <c r="HD41" s="129"/>
      <c r="HE41" s="129"/>
      <c r="HF41" s="129"/>
      <c r="HG41" s="129"/>
      <c r="HH41" s="129"/>
      <c r="HI41" s="129"/>
      <c r="HJ41" s="129"/>
      <c r="HK41" s="129"/>
      <c r="HL41" s="129"/>
      <c r="HM41" s="129"/>
      <c r="HN41" s="129"/>
      <c r="HO41" s="129"/>
      <c r="HP41" s="129"/>
      <c r="HQ41" s="129"/>
      <c r="HR41" s="129"/>
      <c r="HS41" s="129"/>
      <c r="HT41" s="129"/>
      <c r="HU41" s="129"/>
      <c r="HV41" s="129"/>
      <c r="HW41" s="129"/>
      <c r="HX41" s="129"/>
      <c r="HY41" s="129"/>
      <c r="HZ41" s="129"/>
      <c r="IA41" s="129"/>
      <c r="IB41" s="129"/>
      <c r="IC41" s="129"/>
      <c r="ID41" s="129"/>
      <c r="IE41" s="129"/>
      <c r="IF41" s="129"/>
      <c r="IG41" s="129"/>
      <c r="IH41" s="129"/>
      <c r="II41" s="129"/>
      <c r="IJ41" s="129"/>
      <c r="IK41" s="129"/>
      <c r="IL41" s="129"/>
      <c r="IM41" s="129"/>
      <c r="IN41" s="129"/>
      <c r="IO41" s="129"/>
      <c r="IP41" s="129"/>
      <c r="IQ41" s="129"/>
      <c r="IR41" s="129"/>
      <c r="IS41" s="129"/>
      <c r="IT41" s="129"/>
      <c r="IU41" s="129"/>
      <c r="IV41" s="129"/>
    </row>
    <row r="42" spans="1:256" ht="14.7" customHeight="1">
      <c r="A42" s="102"/>
      <c r="B42" s="102"/>
      <c r="C42" s="102"/>
      <c r="D42" s="102"/>
      <c r="E42" s="102"/>
      <c r="F42" s="102"/>
      <c r="G42" s="102"/>
      <c r="H42" s="102"/>
      <c r="I42" s="102"/>
    </row>
    <row r="43" spans="1:256" ht="14.7" customHeight="1">
      <c r="A43" s="102"/>
      <c r="B43" s="102"/>
      <c r="C43" s="102"/>
      <c r="D43" s="102"/>
      <c r="E43" s="102"/>
      <c r="F43" s="102"/>
      <c r="G43" s="102"/>
      <c r="H43" s="102"/>
      <c r="I43" s="102"/>
    </row>
    <row r="44" spans="1:256" ht="14.7" customHeight="1">
      <c r="A44" s="102"/>
      <c r="B44" s="102"/>
      <c r="C44" s="102"/>
      <c r="D44" s="102"/>
      <c r="E44" s="102"/>
      <c r="F44" s="102"/>
      <c r="G44" s="102"/>
      <c r="H44" s="102"/>
      <c r="I44" s="102"/>
    </row>
    <row r="45" spans="1:256" ht="14.7" customHeight="1">
      <c r="A45" s="102"/>
      <c r="B45" s="102"/>
      <c r="C45" s="102"/>
      <c r="D45" s="102"/>
      <c r="E45" s="102"/>
      <c r="F45" s="102"/>
      <c r="G45" s="102"/>
      <c r="H45" s="102"/>
      <c r="I45" s="102"/>
    </row>
    <row r="46" spans="1:256" ht="14.7" customHeight="1">
      <c r="A46" s="102"/>
      <c r="B46" s="102"/>
      <c r="C46" s="125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102"/>
      <c r="IP46" s="102"/>
      <c r="IQ46" s="102"/>
      <c r="IR46" s="102"/>
      <c r="IS46" s="102"/>
      <c r="IT46" s="102"/>
      <c r="IU46" s="102"/>
      <c r="IV46" s="102"/>
    </row>
    <row r="47" spans="1:256" ht="14.7" customHeight="1">
      <c r="A47" s="102"/>
      <c r="B47" s="102"/>
      <c r="C47" s="125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  <c r="IK47" s="102"/>
      <c r="IL47" s="102"/>
      <c r="IM47" s="102"/>
      <c r="IN47" s="102"/>
      <c r="IO47" s="102"/>
      <c r="IP47" s="102"/>
      <c r="IQ47" s="102"/>
      <c r="IR47" s="102"/>
      <c r="IS47" s="102"/>
      <c r="IT47" s="102"/>
      <c r="IU47" s="102"/>
      <c r="IV47" s="102"/>
    </row>
    <row r="48" spans="1:256" ht="14.7" customHeight="1">
      <c r="A48" s="102"/>
      <c r="B48" s="102"/>
      <c r="C48" s="125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02"/>
      <c r="GG48" s="102"/>
      <c r="GH48" s="102"/>
      <c r="GI48" s="102"/>
      <c r="GJ48" s="102"/>
      <c r="GK48" s="102"/>
      <c r="GL48" s="102"/>
      <c r="GM48" s="10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102"/>
      <c r="HR48" s="102"/>
      <c r="HS48" s="102"/>
      <c r="HT48" s="102"/>
      <c r="HU48" s="102"/>
      <c r="HV48" s="102"/>
      <c r="HW48" s="102"/>
      <c r="HX48" s="102"/>
      <c r="HY48" s="102"/>
      <c r="HZ48" s="102"/>
      <c r="IA48" s="102"/>
      <c r="IB48" s="102"/>
      <c r="IC48" s="102"/>
      <c r="ID48" s="102"/>
      <c r="IE48" s="102"/>
      <c r="IF48" s="102"/>
      <c r="IG48" s="102"/>
      <c r="IH48" s="102"/>
      <c r="II48" s="102"/>
      <c r="IJ48" s="102"/>
      <c r="IK48" s="102"/>
      <c r="IL48" s="102"/>
      <c r="IM48" s="102"/>
      <c r="IN48" s="102"/>
      <c r="IO48" s="102"/>
      <c r="IP48" s="102"/>
      <c r="IQ48" s="102"/>
      <c r="IR48" s="102"/>
      <c r="IS48" s="102"/>
      <c r="IT48" s="102"/>
      <c r="IU48" s="102"/>
      <c r="IV48" s="102"/>
    </row>
    <row r="49" spans="3:3" s="102" customFormat="1" ht="14.7" customHeight="1">
      <c r="C49" s="125"/>
    </row>
    <row r="50" spans="3:3" s="102" customFormat="1" ht="14.7" customHeight="1">
      <c r="C50" s="125"/>
    </row>
    <row r="51" spans="3:3" s="102" customFormat="1" ht="14.7" customHeight="1">
      <c r="C51" s="125"/>
    </row>
    <row r="52" spans="3:3" s="102" customFormat="1" ht="14.7" customHeight="1">
      <c r="C52" s="125"/>
    </row>
    <row r="53" spans="3:3" s="102" customFormat="1" ht="14.7" customHeight="1">
      <c r="C53" s="125"/>
    </row>
    <row r="54" spans="3:3" s="102" customFormat="1" ht="13.95" customHeight="1">
      <c r="C54" s="125"/>
    </row>
    <row r="55" spans="3:3" s="102" customFormat="1" ht="14.7" customHeight="1"/>
    <row r="56" spans="3:3" s="102" customFormat="1" ht="14.7" customHeight="1">
      <c r="C56" s="125"/>
    </row>
    <row r="57" spans="3:3" s="102" customFormat="1" ht="14.7" customHeight="1"/>
    <row r="58" spans="3:3" s="102" customFormat="1" ht="14.7" customHeight="1"/>
    <row r="59" spans="3:3" s="102" customFormat="1" ht="14.7" customHeight="1"/>
    <row r="76" spans="6:6" s="102" customFormat="1" ht="14.7" customHeight="1">
      <c r="F76" s="132"/>
    </row>
    <row r="126" spans="1:1" ht="14.7" customHeight="1">
      <c r="A126" s="102"/>
    </row>
    <row r="226" spans="1:1" ht="14.7" customHeight="1">
      <c r="A226" s="117" t="s">
        <v>476</v>
      </c>
    </row>
  </sheetData>
  <phoneticPr fontId="31" type="noConversion"/>
  <pageMargins left="0.75" right="0.75" top="1" bottom="1" header="0.5" footer="0.5"/>
  <pageSetup paperSize="9" orientation="portrait" horizontalDpi="4294967292" verticalDpi="4294967292"/>
  <headerFooter>
    <oddFooter>&amp;C&amp;"Helvetica Neue,Regular"&amp;12&amp;K000000&amp;P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>
      <selection activeCell="G22" sqref="G22"/>
    </sheetView>
  </sheetViews>
  <sheetFormatPr defaultColWidth="11.44140625" defaultRowHeight="15.6"/>
  <cols>
    <col min="1" max="1" width="5.44140625" style="133" customWidth="1"/>
    <col min="2" max="2" width="13.109375" style="133" customWidth="1"/>
    <col min="3" max="3" width="20.109375" style="133" customWidth="1"/>
    <col min="4" max="4" width="13.77734375" style="133" bestFit="1" customWidth="1"/>
    <col min="5" max="5" width="13.109375" style="133" bestFit="1" customWidth="1"/>
    <col min="6" max="6" width="14.21875" style="133" customWidth="1"/>
    <col min="7" max="8" width="13.77734375" style="133" bestFit="1" customWidth="1"/>
    <col min="9" max="9" width="12" style="133" customWidth="1"/>
    <col min="10" max="16384" width="11.44140625" style="133"/>
  </cols>
  <sheetData>
    <row r="1" spans="1:9" ht="15.45" customHeight="1"/>
    <row r="2" spans="1:9">
      <c r="B2" s="24" t="s">
        <v>0</v>
      </c>
      <c r="C2" s="24" t="s">
        <v>31</v>
      </c>
      <c r="D2" s="24" t="s">
        <v>1</v>
      </c>
      <c r="E2" s="24" t="s">
        <v>2</v>
      </c>
      <c r="F2" s="24" t="s">
        <v>3</v>
      </c>
      <c r="G2" s="24" t="s">
        <v>4</v>
      </c>
      <c r="H2" s="24" t="s">
        <v>5</v>
      </c>
      <c r="I2" s="24" t="s">
        <v>6</v>
      </c>
    </row>
    <row r="3" spans="1:9" ht="16.5" customHeight="1">
      <c r="B3" s="134" t="s">
        <v>147</v>
      </c>
      <c r="C3" s="134" t="s">
        <v>148</v>
      </c>
      <c r="D3" s="135"/>
      <c r="E3" s="135">
        <f>D3-F3</f>
        <v>0</v>
      </c>
      <c r="F3" s="25"/>
      <c r="G3" s="135">
        <f t="shared" ref="G3" si="0">F3*20%</f>
        <v>0</v>
      </c>
      <c r="H3" s="136">
        <f t="shared" ref="H3" si="1">F3*80%</f>
        <v>0</v>
      </c>
      <c r="I3" s="101" t="s">
        <v>349</v>
      </c>
    </row>
    <row r="4" spans="1:9">
      <c r="B4" s="26" t="s">
        <v>20</v>
      </c>
      <c r="C4" s="27"/>
      <c r="D4" s="28">
        <f>SUM(D3:D3)</f>
        <v>0</v>
      </c>
      <c r="E4" s="28">
        <f>SUM(E3:E3)</f>
        <v>0</v>
      </c>
      <c r="F4" s="28">
        <f>SUM(F3:F3)</f>
        <v>0</v>
      </c>
      <c r="G4" s="28">
        <f>SUM(G3:G3)</f>
        <v>0</v>
      </c>
      <c r="H4" s="28">
        <f>SUM(H3:H3)</f>
        <v>0</v>
      </c>
      <c r="I4" s="28"/>
    </row>
    <row r="5" spans="1:9" ht="15.45" customHeight="1">
      <c r="G5" s="103">
        <f>F4*0.2</f>
        <v>0</v>
      </c>
      <c r="H5" s="103">
        <f>F4*0.8</f>
        <v>0</v>
      </c>
    </row>
    <row r="6" spans="1:9" ht="15" customHeight="1">
      <c r="B6" s="137"/>
    </row>
    <row r="7" spans="1:9" ht="15" customHeight="1">
      <c r="B7" s="137"/>
    </row>
    <row r="8" spans="1:9" ht="15" customHeight="1">
      <c r="A8" s="133" t="s">
        <v>284</v>
      </c>
    </row>
    <row r="9" spans="1:9" s="20" customFormat="1" ht="37.5" hidden="1" customHeight="1">
      <c r="B9" s="300" t="s">
        <v>391</v>
      </c>
      <c r="C9" s="301"/>
      <c r="D9" s="301"/>
      <c r="E9" s="301"/>
      <c r="F9" s="301"/>
      <c r="G9" s="301"/>
    </row>
    <row r="10" spans="1:9" s="29" customFormat="1" ht="16.5" hidden="1" customHeight="1">
      <c r="B10" s="30"/>
      <c r="C10" s="30"/>
      <c r="D10" s="30"/>
      <c r="E10" s="30"/>
      <c r="F10" s="30"/>
      <c r="G10" s="30"/>
    </row>
    <row r="11" spans="1:9" s="20" customFormat="1" ht="17.399999999999999" hidden="1">
      <c r="C11" s="31"/>
      <c r="D11" s="31"/>
      <c r="E11" s="31"/>
      <c r="F11" s="31"/>
      <c r="G11" s="32" t="s">
        <v>297</v>
      </c>
    </row>
    <row r="12" spans="1:9" s="20" customFormat="1" ht="62.4" hidden="1">
      <c r="B12" s="33" t="s">
        <v>151</v>
      </c>
      <c r="C12" s="33" t="s">
        <v>152</v>
      </c>
      <c r="D12" s="34" t="s">
        <v>149</v>
      </c>
      <c r="E12" s="35" t="s">
        <v>153</v>
      </c>
      <c r="F12" s="36" t="s">
        <v>287</v>
      </c>
      <c r="G12" s="138" t="s">
        <v>283</v>
      </c>
    </row>
    <row r="13" spans="1:9" s="20" customFormat="1" ht="34.5" hidden="1" customHeight="1">
      <c r="B13" s="37" t="s">
        <v>288</v>
      </c>
      <c r="C13" s="38"/>
      <c r="D13" s="39"/>
      <c r="E13" s="40"/>
      <c r="F13" s="192">
        <v>0.5</v>
      </c>
      <c r="G13" s="193">
        <f>E13*F13</f>
        <v>0</v>
      </c>
    </row>
    <row r="14" spans="1:9" s="20" customFormat="1" ht="15" hidden="1" customHeight="1">
      <c r="B14" s="41"/>
      <c r="C14" s="31"/>
      <c r="E14" s="42"/>
      <c r="F14" s="42"/>
      <c r="G14" s="43"/>
    </row>
    <row r="15" spans="1:9" s="44" customFormat="1" ht="34.5" hidden="1" customHeight="1">
      <c r="B15" s="45" t="s">
        <v>154</v>
      </c>
      <c r="C15" s="45" t="s">
        <v>155</v>
      </c>
      <c r="D15" s="45" t="s">
        <v>156</v>
      </c>
      <c r="E15" s="46"/>
      <c r="F15" s="46"/>
      <c r="G15" s="46"/>
    </row>
    <row r="16" spans="1:9" s="20" customFormat="1" ht="34.5" hidden="1" customHeight="1">
      <c r="B16" s="37" t="s">
        <v>289</v>
      </c>
      <c r="C16" s="47">
        <f>C13*C17</f>
        <v>0</v>
      </c>
      <c r="D16" s="48">
        <f>C13*D17</f>
        <v>0</v>
      </c>
      <c r="E16" s="49"/>
      <c r="F16" s="49"/>
      <c r="G16" s="49"/>
    </row>
    <row r="17" spans="2:7" s="20" customFormat="1" ht="34.5" hidden="1" customHeight="1">
      <c r="B17" s="37" t="s">
        <v>290</v>
      </c>
      <c r="C17" s="50">
        <v>0.6</v>
      </c>
      <c r="D17" s="51">
        <v>0.4</v>
      </c>
      <c r="E17" s="52"/>
      <c r="F17" s="52"/>
      <c r="G17" s="52"/>
    </row>
  </sheetData>
  <mergeCells count="1">
    <mergeCell ref="B9:G9"/>
  </mergeCells>
  <phoneticPr fontId="3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</sheetPr>
  <dimension ref="A2:AF47"/>
  <sheetViews>
    <sheetView showGridLines="0" workbookViewId="0">
      <selection activeCell="K32" sqref="K32"/>
    </sheetView>
  </sheetViews>
  <sheetFormatPr defaultColWidth="11.44140625" defaultRowHeight="15.6"/>
  <cols>
    <col min="1" max="1" width="5.44140625" style="102" customWidth="1"/>
    <col min="2" max="2" width="12.77734375" style="102" customWidth="1"/>
    <col min="3" max="3" width="20.44140625" style="102" customWidth="1"/>
    <col min="4" max="4" width="13.77734375" style="102" bestFit="1" customWidth="1"/>
    <col min="5" max="6" width="13.109375" style="102" bestFit="1" customWidth="1"/>
    <col min="7" max="7" width="13.77734375" style="102" bestFit="1" customWidth="1"/>
    <col min="8" max="8" width="14.109375" style="102" bestFit="1" customWidth="1"/>
    <col min="9" max="9" width="13.33203125" style="102" customWidth="1"/>
    <col min="10" max="10" width="20.21875" style="102" bestFit="1" customWidth="1"/>
    <col min="11" max="11" width="12.109375" style="102" bestFit="1" customWidth="1"/>
    <col min="12" max="12" width="20.21875" style="102" bestFit="1" customWidth="1"/>
    <col min="13" max="13" width="16" style="102" bestFit="1" customWidth="1"/>
    <col min="14" max="14" width="17.33203125" style="102" bestFit="1" customWidth="1"/>
    <col min="15" max="16384" width="11.44140625" style="102"/>
  </cols>
  <sheetData>
    <row r="2" spans="1:32"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32">
      <c r="B3" s="118" t="s">
        <v>61</v>
      </c>
      <c r="C3" s="118" t="s">
        <v>62</v>
      </c>
      <c r="D3" s="195">
        <f>SUM(Z11,H30)</f>
        <v>11957350</v>
      </c>
      <c r="E3" s="14">
        <f>D3-F3</f>
        <v>6307622</v>
      </c>
      <c r="F3" s="19">
        <v>5649728</v>
      </c>
      <c r="G3" s="14">
        <f t="shared" ref="G3" si="0">F3*20%</f>
        <v>1129945.6000000001</v>
      </c>
      <c r="H3" s="127">
        <f t="shared" ref="H3" si="1">F3*80%</f>
        <v>4519782.4000000004</v>
      </c>
      <c r="I3" s="139" t="s">
        <v>477</v>
      </c>
    </row>
    <row r="4" spans="1:32" hidden="1">
      <c r="B4" s="118" t="s">
        <v>61</v>
      </c>
      <c r="C4" s="214" t="s">
        <v>347</v>
      </c>
      <c r="D4" s="219"/>
      <c r="E4" s="14">
        <f t="shared" ref="E4:E5" si="2">D4-F4</f>
        <v>0</v>
      </c>
      <c r="F4" s="19"/>
      <c r="G4" s="14">
        <f t="shared" ref="G4:G5" si="3">F4*20%</f>
        <v>0</v>
      </c>
      <c r="H4" s="127">
        <f t="shared" ref="H4:H5" si="4">F4*80%</f>
        <v>0</v>
      </c>
      <c r="I4" s="220" t="s">
        <v>392</v>
      </c>
    </row>
    <row r="5" spans="1:32" hidden="1">
      <c r="B5" s="118" t="s">
        <v>61</v>
      </c>
      <c r="C5" s="214" t="s">
        <v>348</v>
      </c>
      <c r="D5" s="219"/>
      <c r="E5" s="14">
        <f t="shared" si="2"/>
        <v>0</v>
      </c>
      <c r="F5" s="19"/>
      <c r="G5" s="14">
        <f t="shared" si="3"/>
        <v>0</v>
      </c>
      <c r="H5" s="127">
        <f t="shared" si="4"/>
        <v>0</v>
      </c>
      <c r="I5" s="220" t="s">
        <v>392</v>
      </c>
    </row>
    <row r="6" spans="1:32">
      <c r="B6" s="16" t="s">
        <v>20</v>
      </c>
      <c r="C6" s="17"/>
      <c r="D6" s="18">
        <f>SUM(D3:D5)</f>
        <v>11957350</v>
      </c>
      <c r="E6" s="18">
        <f t="shared" ref="E6:H6" si="5">SUM(E3:E5)</f>
        <v>6307622</v>
      </c>
      <c r="F6" s="18">
        <f t="shared" si="5"/>
        <v>5649728</v>
      </c>
      <c r="G6" s="18">
        <f t="shared" si="5"/>
        <v>1129945.6000000001</v>
      </c>
      <c r="H6" s="18">
        <f t="shared" si="5"/>
        <v>4519782.4000000004</v>
      </c>
      <c r="I6" s="18"/>
    </row>
    <row r="7" spans="1:32">
      <c r="G7" s="103">
        <f>F6*0.2</f>
        <v>1129945.6000000001</v>
      </c>
      <c r="H7" s="103">
        <f>F6*0.8</f>
        <v>4519782.4000000004</v>
      </c>
    </row>
    <row r="8" spans="1:32">
      <c r="G8" s="103"/>
      <c r="H8" s="103"/>
    </row>
    <row r="10" spans="1:32">
      <c r="A10" s="102" t="s">
        <v>284</v>
      </c>
    </row>
    <row r="11" spans="1:32">
      <c r="B11" s="57" t="s">
        <v>478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9">
        <v>0</v>
      </c>
      <c r="O11" s="60">
        <v>0</v>
      </c>
      <c r="P11" s="60">
        <v>0</v>
      </c>
      <c r="Q11" s="58"/>
      <c r="R11" s="58"/>
      <c r="S11" s="60"/>
      <c r="T11" s="60"/>
      <c r="U11" s="58"/>
      <c r="V11" s="58"/>
      <c r="W11" s="60"/>
      <c r="X11" s="60"/>
      <c r="Y11" s="60">
        <v>2771643</v>
      </c>
      <c r="Z11" s="60">
        <v>6201180</v>
      </c>
      <c r="AA11" s="60"/>
      <c r="AB11" s="60">
        <v>2771643</v>
      </c>
      <c r="AC11" s="60">
        <v>2771643</v>
      </c>
      <c r="AD11" s="59">
        <v>2771643</v>
      </c>
      <c r="AE11" s="60">
        <v>0</v>
      </c>
      <c r="AF11" s="60">
        <v>0</v>
      </c>
    </row>
    <row r="12" spans="1:32">
      <c r="B12" s="61" t="s">
        <v>63</v>
      </c>
      <c r="C12" s="61" t="s">
        <v>35</v>
      </c>
      <c r="D12" s="61" t="s">
        <v>71</v>
      </c>
      <c r="E12" s="61" t="s">
        <v>112</v>
      </c>
      <c r="F12" s="61" t="s">
        <v>113</v>
      </c>
      <c r="G12" s="61" t="s">
        <v>64</v>
      </c>
      <c r="H12" s="61" t="s">
        <v>114</v>
      </c>
      <c r="I12" s="61" t="s">
        <v>115</v>
      </c>
      <c r="J12" s="61" t="s">
        <v>36</v>
      </c>
      <c r="K12" s="62" t="s">
        <v>129</v>
      </c>
      <c r="L12" s="63" t="s">
        <v>35</v>
      </c>
      <c r="M12" s="63" t="s">
        <v>6</v>
      </c>
      <c r="N12" s="64" t="s">
        <v>130</v>
      </c>
      <c r="O12" s="65" t="s">
        <v>131</v>
      </c>
      <c r="P12" s="65" t="s">
        <v>132</v>
      </c>
      <c r="Q12" s="61" t="s">
        <v>65</v>
      </c>
      <c r="R12" s="61" t="s">
        <v>66</v>
      </c>
      <c r="S12" s="64" t="s">
        <v>133</v>
      </c>
      <c r="T12" s="65" t="s">
        <v>134</v>
      </c>
      <c r="U12" s="61" t="s">
        <v>67</v>
      </c>
      <c r="V12" s="61" t="s">
        <v>68</v>
      </c>
      <c r="W12" s="64" t="s">
        <v>135</v>
      </c>
      <c r="X12" s="65" t="s">
        <v>136</v>
      </c>
      <c r="Y12" s="63" t="s">
        <v>137</v>
      </c>
      <c r="Z12" s="63" t="s">
        <v>138</v>
      </c>
      <c r="AA12" s="66" t="s">
        <v>139</v>
      </c>
      <c r="AB12" s="63" t="s">
        <v>140</v>
      </c>
      <c r="AC12" s="63" t="s">
        <v>141</v>
      </c>
      <c r="AD12" s="67" t="s">
        <v>142</v>
      </c>
      <c r="AE12" s="68" t="s">
        <v>143</v>
      </c>
      <c r="AF12" s="69" t="s">
        <v>144</v>
      </c>
    </row>
    <row r="13" spans="1:32">
      <c r="B13" s="61">
        <v>7782</v>
      </c>
      <c r="C13" s="61" t="s">
        <v>69</v>
      </c>
      <c r="D13" s="61">
        <v>6335</v>
      </c>
      <c r="E13" s="61" t="s">
        <v>116</v>
      </c>
      <c r="F13" s="61"/>
      <c r="G13" s="61" t="s">
        <v>70</v>
      </c>
      <c r="H13" s="61" t="s">
        <v>118</v>
      </c>
      <c r="I13" s="70"/>
      <c r="J13" s="61" t="s">
        <v>123</v>
      </c>
      <c r="K13" s="61" t="s">
        <v>40</v>
      </c>
      <c r="L13" s="71" t="s">
        <v>72</v>
      </c>
      <c r="M13" s="71"/>
      <c r="N13" s="72"/>
      <c r="O13" s="73"/>
      <c r="P13" s="73"/>
      <c r="Q13" s="71">
        <v>18</v>
      </c>
      <c r="R13" s="74" t="s">
        <v>479</v>
      </c>
      <c r="S13" s="75">
        <v>3240</v>
      </c>
      <c r="T13" s="75">
        <v>1458</v>
      </c>
      <c r="U13" s="71">
        <v>3</v>
      </c>
      <c r="V13" s="76" t="s">
        <v>480</v>
      </c>
      <c r="W13" s="77">
        <v>540</v>
      </c>
      <c r="X13" s="77">
        <v>189</v>
      </c>
      <c r="Y13" s="77">
        <v>1647</v>
      </c>
      <c r="Z13" s="77">
        <v>3780</v>
      </c>
      <c r="AA13" s="78"/>
      <c r="AB13" s="73">
        <v>1647</v>
      </c>
      <c r="AC13" s="73">
        <v>1647</v>
      </c>
      <c r="AD13" s="79">
        <v>1647</v>
      </c>
      <c r="AE13" s="80" t="s">
        <v>293</v>
      </c>
      <c r="AF13" s="81" t="s">
        <v>293</v>
      </c>
    </row>
    <row r="14" spans="1:32">
      <c r="B14" s="61">
        <v>165</v>
      </c>
      <c r="C14" s="61" t="s">
        <v>69</v>
      </c>
      <c r="D14" s="61">
        <v>20105</v>
      </c>
      <c r="E14" s="61" t="s">
        <v>208</v>
      </c>
      <c r="F14" s="61" t="s">
        <v>209</v>
      </c>
      <c r="G14" s="61" t="s">
        <v>207</v>
      </c>
      <c r="H14" s="61" t="s">
        <v>118</v>
      </c>
      <c r="I14" s="70"/>
      <c r="J14" s="61" t="s">
        <v>210</v>
      </c>
      <c r="K14" s="61" t="s">
        <v>40</v>
      </c>
      <c r="L14" s="71" t="s">
        <v>72</v>
      </c>
      <c r="M14" s="71"/>
      <c r="N14" s="72"/>
      <c r="O14" s="73"/>
      <c r="P14" s="73"/>
      <c r="Q14" s="71">
        <v>10261</v>
      </c>
      <c r="R14" s="74" t="s">
        <v>481</v>
      </c>
      <c r="S14" s="75">
        <v>1846980</v>
      </c>
      <c r="T14" s="75">
        <v>997369</v>
      </c>
      <c r="U14" s="71">
        <v>10487</v>
      </c>
      <c r="V14" s="76" t="s">
        <v>482</v>
      </c>
      <c r="W14" s="77">
        <v>1887660</v>
      </c>
      <c r="X14" s="77">
        <v>792817</v>
      </c>
      <c r="Y14" s="77">
        <v>1790186</v>
      </c>
      <c r="Z14" s="77">
        <v>3734640</v>
      </c>
      <c r="AA14" s="78"/>
      <c r="AB14" s="73">
        <v>1790186</v>
      </c>
      <c r="AC14" s="73">
        <v>1790186</v>
      </c>
      <c r="AD14" s="79">
        <v>1790186</v>
      </c>
      <c r="AE14" s="80" t="s">
        <v>293</v>
      </c>
      <c r="AF14" s="81" t="s">
        <v>293</v>
      </c>
    </row>
    <row r="15" spans="1:32">
      <c r="B15" s="61">
        <v>6023</v>
      </c>
      <c r="C15" s="61" t="s">
        <v>69</v>
      </c>
      <c r="D15" s="61">
        <v>6932</v>
      </c>
      <c r="E15" s="61" t="s">
        <v>120</v>
      </c>
      <c r="F15" s="70"/>
      <c r="G15" s="61" t="s">
        <v>75</v>
      </c>
      <c r="H15" s="61" t="s">
        <v>118</v>
      </c>
      <c r="I15" s="70"/>
      <c r="J15" s="61" t="s">
        <v>128</v>
      </c>
      <c r="K15" s="61" t="s">
        <v>40</v>
      </c>
      <c r="L15" s="71" t="s">
        <v>72</v>
      </c>
      <c r="M15" s="71"/>
      <c r="N15" s="72"/>
      <c r="O15" s="73"/>
      <c r="P15" s="73"/>
      <c r="Q15" s="61" t="s">
        <v>293</v>
      </c>
      <c r="R15" s="74" t="s">
        <v>479</v>
      </c>
      <c r="S15" s="75" t="s">
        <v>293</v>
      </c>
      <c r="T15" s="75" t="s">
        <v>293</v>
      </c>
      <c r="U15" s="61">
        <v>48</v>
      </c>
      <c r="V15" s="76" t="s">
        <v>480</v>
      </c>
      <c r="W15" s="77">
        <v>8640</v>
      </c>
      <c r="X15" s="77">
        <v>3024</v>
      </c>
      <c r="Y15" s="77">
        <v>3024</v>
      </c>
      <c r="Z15" s="77">
        <v>8640</v>
      </c>
      <c r="AA15" s="78"/>
      <c r="AB15" s="73">
        <v>3024</v>
      </c>
      <c r="AC15" s="73">
        <v>3024</v>
      </c>
      <c r="AD15" s="79">
        <v>3024</v>
      </c>
      <c r="AE15" s="80" t="s">
        <v>293</v>
      </c>
      <c r="AF15" s="81" t="s">
        <v>293</v>
      </c>
    </row>
    <row r="16" spans="1:32">
      <c r="B16" s="61">
        <v>10231</v>
      </c>
      <c r="C16" s="61" t="s">
        <v>69</v>
      </c>
      <c r="D16" s="61">
        <v>12145</v>
      </c>
      <c r="E16" s="61" t="s">
        <v>120</v>
      </c>
      <c r="F16" s="70"/>
      <c r="G16" s="61" t="s">
        <v>121</v>
      </c>
      <c r="H16" s="61" t="s">
        <v>118</v>
      </c>
      <c r="I16" s="70"/>
      <c r="J16" s="61" t="s">
        <v>122</v>
      </c>
      <c r="K16" s="61" t="s">
        <v>40</v>
      </c>
      <c r="L16" s="71" t="s">
        <v>72</v>
      </c>
      <c r="M16" s="71"/>
      <c r="N16" s="72"/>
      <c r="O16" s="73"/>
      <c r="P16" s="73"/>
      <c r="Q16" s="61" t="s">
        <v>293</v>
      </c>
      <c r="R16" s="74" t="s">
        <v>481</v>
      </c>
      <c r="S16" s="75" t="s">
        <v>293</v>
      </c>
      <c r="T16" s="75" t="s">
        <v>293</v>
      </c>
      <c r="U16" s="61" t="s">
        <v>293</v>
      </c>
      <c r="V16" s="76" t="s">
        <v>482</v>
      </c>
      <c r="W16" s="77" t="s">
        <v>293</v>
      </c>
      <c r="X16" s="77" t="s">
        <v>293</v>
      </c>
      <c r="Y16" s="77" t="s">
        <v>293</v>
      </c>
      <c r="Z16" s="77"/>
      <c r="AA16" s="78"/>
      <c r="AB16" s="73" t="s">
        <v>293</v>
      </c>
      <c r="AC16" s="73" t="s">
        <v>293</v>
      </c>
      <c r="AD16" s="79" t="s">
        <v>293</v>
      </c>
      <c r="AE16" s="80" t="s">
        <v>293</v>
      </c>
      <c r="AF16" s="81" t="s">
        <v>293</v>
      </c>
    </row>
    <row r="17" spans="2:32">
      <c r="B17" s="61">
        <v>14022</v>
      </c>
      <c r="C17" s="61" t="s">
        <v>69</v>
      </c>
      <c r="D17" s="61">
        <v>8960</v>
      </c>
      <c r="E17" s="61" t="s">
        <v>116</v>
      </c>
      <c r="F17" s="70"/>
      <c r="G17" s="61" t="s">
        <v>483</v>
      </c>
      <c r="H17" s="61" t="s">
        <v>118</v>
      </c>
      <c r="I17" s="70"/>
      <c r="J17" s="61" t="s">
        <v>484</v>
      </c>
      <c r="K17" s="61" t="s">
        <v>40</v>
      </c>
      <c r="L17" s="71" t="s">
        <v>72</v>
      </c>
      <c r="M17" s="71"/>
      <c r="N17" s="72"/>
      <c r="O17" s="73"/>
      <c r="P17" s="73"/>
      <c r="Q17" s="61" t="s">
        <v>293</v>
      </c>
      <c r="R17" s="74" t="s">
        <v>479</v>
      </c>
      <c r="S17" s="75" t="s">
        <v>293</v>
      </c>
      <c r="T17" s="75" t="s">
        <v>293</v>
      </c>
      <c r="U17" s="61" t="s">
        <v>293</v>
      </c>
      <c r="V17" s="76" t="s">
        <v>480</v>
      </c>
      <c r="W17" s="77" t="s">
        <v>293</v>
      </c>
      <c r="X17" s="77" t="s">
        <v>293</v>
      </c>
      <c r="Y17" s="77" t="s">
        <v>293</v>
      </c>
      <c r="Z17" s="77"/>
      <c r="AA17" s="78"/>
      <c r="AB17" s="73" t="s">
        <v>293</v>
      </c>
      <c r="AC17" s="73" t="s">
        <v>293</v>
      </c>
      <c r="AD17" s="79" t="s">
        <v>293</v>
      </c>
      <c r="AE17" s="80" t="s">
        <v>293</v>
      </c>
      <c r="AF17" s="81" t="s">
        <v>293</v>
      </c>
    </row>
    <row r="18" spans="2:32">
      <c r="B18" s="61">
        <v>7779</v>
      </c>
      <c r="C18" s="61" t="s">
        <v>69</v>
      </c>
      <c r="D18" s="61">
        <v>5822</v>
      </c>
      <c r="E18" s="61" t="s">
        <v>120</v>
      </c>
      <c r="F18" s="70"/>
      <c r="G18" s="61" t="s">
        <v>77</v>
      </c>
      <c r="H18" s="61" t="s">
        <v>118</v>
      </c>
      <c r="I18" s="70"/>
      <c r="J18" s="61" t="s">
        <v>125</v>
      </c>
      <c r="K18" s="61" t="s">
        <v>40</v>
      </c>
      <c r="L18" s="71" t="s">
        <v>72</v>
      </c>
      <c r="M18" s="71"/>
      <c r="N18" s="72"/>
      <c r="O18" s="73"/>
      <c r="P18" s="73"/>
      <c r="Q18" s="61">
        <v>10</v>
      </c>
      <c r="R18" s="74" t="s">
        <v>479</v>
      </c>
      <c r="S18" s="75">
        <v>1800</v>
      </c>
      <c r="T18" s="75">
        <v>810</v>
      </c>
      <c r="U18" s="61">
        <v>10</v>
      </c>
      <c r="V18" s="76" t="s">
        <v>480</v>
      </c>
      <c r="W18" s="77">
        <v>1800</v>
      </c>
      <c r="X18" s="77">
        <v>630</v>
      </c>
      <c r="Y18" s="77">
        <v>1440</v>
      </c>
      <c r="Z18" s="77">
        <v>3600</v>
      </c>
      <c r="AA18" s="78"/>
      <c r="AB18" s="73">
        <v>1440</v>
      </c>
      <c r="AC18" s="73">
        <v>1440</v>
      </c>
      <c r="AD18" s="79">
        <v>1440</v>
      </c>
      <c r="AE18" s="80" t="s">
        <v>293</v>
      </c>
      <c r="AF18" s="81" t="s">
        <v>293</v>
      </c>
    </row>
    <row r="19" spans="2:32">
      <c r="B19" s="61">
        <v>13294</v>
      </c>
      <c r="C19" s="61" t="s">
        <v>69</v>
      </c>
      <c r="D19" s="61">
        <v>5455</v>
      </c>
      <c r="E19" s="61" t="s">
        <v>120</v>
      </c>
      <c r="F19" s="70"/>
      <c r="G19" s="61" t="s">
        <v>73</v>
      </c>
      <c r="H19" s="61" t="s">
        <v>118</v>
      </c>
      <c r="I19" s="70"/>
      <c r="J19" s="61" t="s">
        <v>124</v>
      </c>
      <c r="K19" s="61" t="s">
        <v>40</v>
      </c>
      <c r="L19" s="71" t="s">
        <v>72</v>
      </c>
      <c r="M19" s="71"/>
      <c r="N19" s="72"/>
      <c r="O19" s="73"/>
      <c r="P19" s="73"/>
      <c r="Q19" s="61" t="s">
        <v>293</v>
      </c>
      <c r="R19" s="74" t="s">
        <v>479</v>
      </c>
      <c r="S19" s="75" t="s">
        <v>293</v>
      </c>
      <c r="T19" s="75" t="s">
        <v>293</v>
      </c>
      <c r="U19" s="61" t="s">
        <v>293</v>
      </c>
      <c r="V19" s="76" t="s">
        <v>480</v>
      </c>
      <c r="W19" s="77" t="s">
        <v>293</v>
      </c>
      <c r="X19" s="77" t="s">
        <v>293</v>
      </c>
      <c r="Y19" s="77" t="s">
        <v>293</v>
      </c>
      <c r="Z19" s="77"/>
      <c r="AA19" s="78"/>
      <c r="AB19" s="73" t="s">
        <v>293</v>
      </c>
      <c r="AC19" s="73" t="s">
        <v>293</v>
      </c>
      <c r="AD19" s="79" t="s">
        <v>293</v>
      </c>
      <c r="AE19" s="80" t="s">
        <v>293</v>
      </c>
      <c r="AF19" s="81" t="s">
        <v>293</v>
      </c>
    </row>
    <row r="20" spans="2:32">
      <c r="B20" s="61">
        <v>357</v>
      </c>
      <c r="C20" s="61" t="s">
        <v>69</v>
      </c>
      <c r="D20" s="61">
        <v>12853</v>
      </c>
      <c r="E20" s="61" t="s">
        <v>116</v>
      </c>
      <c r="F20" s="70"/>
      <c r="G20" s="61" t="s">
        <v>145</v>
      </c>
      <c r="H20" s="61" t="s">
        <v>118</v>
      </c>
      <c r="I20" s="70"/>
      <c r="J20" s="61" t="s">
        <v>146</v>
      </c>
      <c r="K20" s="61" t="s">
        <v>40</v>
      </c>
      <c r="L20" s="71" t="s">
        <v>72</v>
      </c>
      <c r="M20" s="71"/>
      <c r="N20" s="72"/>
      <c r="O20" s="73"/>
      <c r="P20" s="73"/>
      <c r="Q20" s="71">
        <v>2364</v>
      </c>
      <c r="R20" s="74" t="s">
        <v>479</v>
      </c>
      <c r="S20" s="75">
        <v>425520</v>
      </c>
      <c r="T20" s="75">
        <v>191484</v>
      </c>
      <c r="U20" s="71">
        <v>4716</v>
      </c>
      <c r="V20" s="76" t="s">
        <v>480</v>
      </c>
      <c r="W20" s="77">
        <v>848880</v>
      </c>
      <c r="X20" s="77">
        <v>297108</v>
      </c>
      <c r="Y20" s="77">
        <v>488592</v>
      </c>
      <c r="Z20" s="77">
        <v>1274400</v>
      </c>
      <c r="AA20" s="78"/>
      <c r="AB20" s="73">
        <v>488592</v>
      </c>
      <c r="AC20" s="73">
        <v>488592</v>
      </c>
      <c r="AD20" s="79">
        <v>488592</v>
      </c>
      <c r="AE20" s="80" t="s">
        <v>293</v>
      </c>
      <c r="AF20" s="81" t="s">
        <v>293</v>
      </c>
    </row>
    <row r="21" spans="2:32">
      <c r="B21" s="61">
        <v>5482</v>
      </c>
      <c r="C21" s="61" t="s">
        <v>69</v>
      </c>
      <c r="D21" s="61">
        <v>6732</v>
      </c>
      <c r="E21" s="61" t="s">
        <v>120</v>
      </c>
      <c r="F21" s="70"/>
      <c r="G21" s="61" t="s">
        <v>336</v>
      </c>
      <c r="H21" s="61" t="s">
        <v>118</v>
      </c>
      <c r="I21" s="70"/>
      <c r="J21" s="61" t="s">
        <v>337</v>
      </c>
      <c r="K21" s="61" t="s">
        <v>40</v>
      </c>
      <c r="L21" s="71" t="s">
        <v>72</v>
      </c>
      <c r="M21" s="71"/>
      <c r="N21" s="72"/>
      <c r="O21" s="73"/>
      <c r="P21" s="73"/>
      <c r="Q21" s="61">
        <v>16</v>
      </c>
      <c r="R21" s="74" t="s">
        <v>479</v>
      </c>
      <c r="S21" s="75">
        <v>2880</v>
      </c>
      <c r="T21" s="75">
        <v>1296</v>
      </c>
      <c r="U21" s="61">
        <v>46</v>
      </c>
      <c r="V21" s="76" t="s">
        <v>480</v>
      </c>
      <c r="W21" s="77">
        <v>8280</v>
      </c>
      <c r="X21" s="77">
        <v>2898</v>
      </c>
      <c r="Y21" s="77">
        <v>4194</v>
      </c>
      <c r="Z21" s="77">
        <v>11160</v>
      </c>
      <c r="AA21" s="78"/>
      <c r="AB21" s="73">
        <v>4194</v>
      </c>
      <c r="AC21" s="73">
        <v>4194</v>
      </c>
      <c r="AD21" s="79">
        <v>4194</v>
      </c>
      <c r="AE21" s="80" t="s">
        <v>293</v>
      </c>
      <c r="AF21" s="81" t="s">
        <v>293</v>
      </c>
    </row>
    <row r="22" spans="2:32">
      <c r="B22" s="61">
        <v>421</v>
      </c>
      <c r="C22" s="61" t="s">
        <v>69</v>
      </c>
      <c r="D22" s="61">
        <v>17898</v>
      </c>
      <c r="E22" s="61" t="s">
        <v>116</v>
      </c>
      <c r="F22" s="70"/>
      <c r="G22" s="61" t="s">
        <v>199</v>
      </c>
      <c r="H22" s="61" t="s">
        <v>118</v>
      </c>
      <c r="I22" s="70"/>
      <c r="J22" s="61" t="s">
        <v>119</v>
      </c>
      <c r="K22" s="61" t="s">
        <v>40</v>
      </c>
      <c r="L22" s="71" t="s">
        <v>72</v>
      </c>
      <c r="M22" s="71"/>
      <c r="N22" s="72"/>
      <c r="O22" s="73"/>
      <c r="P22" s="73"/>
      <c r="Q22" s="71">
        <v>3084</v>
      </c>
      <c r="R22" s="74" t="s">
        <v>479</v>
      </c>
      <c r="S22" s="75">
        <v>555120</v>
      </c>
      <c r="T22" s="75">
        <v>249804</v>
      </c>
      <c r="U22" s="71">
        <v>1863</v>
      </c>
      <c r="V22" s="76" t="s">
        <v>480</v>
      </c>
      <c r="W22" s="77">
        <v>335340</v>
      </c>
      <c r="X22" s="77">
        <v>117369</v>
      </c>
      <c r="Y22" s="77">
        <v>367173</v>
      </c>
      <c r="Z22" s="77">
        <v>890460</v>
      </c>
      <c r="AA22" s="78"/>
      <c r="AB22" s="73">
        <v>367173</v>
      </c>
      <c r="AC22" s="73">
        <v>367173</v>
      </c>
      <c r="AD22" s="79">
        <v>367173</v>
      </c>
      <c r="AE22" s="80" t="s">
        <v>293</v>
      </c>
      <c r="AF22" s="81" t="s">
        <v>293</v>
      </c>
    </row>
    <row r="23" spans="2:32">
      <c r="B23" s="61">
        <v>981</v>
      </c>
      <c r="C23" s="61" t="s">
        <v>69</v>
      </c>
      <c r="D23" s="61">
        <v>12179</v>
      </c>
      <c r="E23" s="61" t="s">
        <v>116</v>
      </c>
      <c r="F23" s="70"/>
      <c r="G23" s="61" t="s">
        <v>117</v>
      </c>
      <c r="H23" s="61" t="s">
        <v>118</v>
      </c>
      <c r="I23" s="70"/>
      <c r="J23" s="61" t="s">
        <v>119</v>
      </c>
      <c r="K23" s="61" t="s">
        <v>40</v>
      </c>
      <c r="L23" s="71" t="s">
        <v>72</v>
      </c>
      <c r="M23" s="71"/>
      <c r="N23" s="72"/>
      <c r="O23" s="73"/>
      <c r="P23" s="73"/>
      <c r="Q23" s="71">
        <v>1020</v>
      </c>
      <c r="R23" s="74" t="s">
        <v>479</v>
      </c>
      <c r="S23" s="75">
        <v>183600</v>
      </c>
      <c r="T23" s="75">
        <v>82620</v>
      </c>
      <c r="U23" s="71">
        <v>444</v>
      </c>
      <c r="V23" s="76" t="s">
        <v>480</v>
      </c>
      <c r="W23" s="77">
        <v>79920</v>
      </c>
      <c r="X23" s="77">
        <v>27972</v>
      </c>
      <c r="Y23" s="77">
        <v>110592</v>
      </c>
      <c r="Z23" s="77">
        <v>263520</v>
      </c>
      <c r="AA23" s="78"/>
      <c r="AB23" s="73">
        <v>110592</v>
      </c>
      <c r="AC23" s="73">
        <v>110592</v>
      </c>
      <c r="AD23" s="79">
        <v>110592</v>
      </c>
      <c r="AE23" s="80" t="s">
        <v>293</v>
      </c>
      <c r="AF23" s="81" t="s">
        <v>293</v>
      </c>
    </row>
    <row r="24" spans="2:32">
      <c r="B24" s="61">
        <v>13276</v>
      </c>
      <c r="C24" s="61" t="s">
        <v>69</v>
      </c>
      <c r="D24" s="61">
        <v>5392</v>
      </c>
      <c r="E24" s="61" t="s">
        <v>120</v>
      </c>
      <c r="F24" s="70"/>
      <c r="G24" s="61" t="s">
        <v>74</v>
      </c>
      <c r="H24" s="61" t="s">
        <v>118</v>
      </c>
      <c r="I24" s="70"/>
      <c r="J24" s="61" t="s">
        <v>127</v>
      </c>
      <c r="K24" s="61" t="s">
        <v>40</v>
      </c>
      <c r="L24" s="71" t="s">
        <v>72</v>
      </c>
      <c r="M24" s="71"/>
      <c r="N24" s="72"/>
      <c r="O24" s="73"/>
      <c r="P24" s="73"/>
      <c r="Q24" s="61" t="s">
        <v>293</v>
      </c>
      <c r="R24" s="74" t="s">
        <v>479</v>
      </c>
      <c r="S24" s="75" t="s">
        <v>293</v>
      </c>
      <c r="T24" s="75" t="s">
        <v>293</v>
      </c>
      <c r="U24" s="61" t="s">
        <v>293</v>
      </c>
      <c r="V24" s="76" t="s">
        <v>480</v>
      </c>
      <c r="W24" s="77" t="s">
        <v>293</v>
      </c>
      <c r="X24" s="77" t="s">
        <v>293</v>
      </c>
      <c r="Y24" s="77" t="s">
        <v>293</v>
      </c>
      <c r="Z24" s="77"/>
      <c r="AA24" s="78"/>
      <c r="AB24" s="73" t="s">
        <v>293</v>
      </c>
      <c r="AC24" s="73" t="s">
        <v>293</v>
      </c>
      <c r="AD24" s="79" t="s">
        <v>293</v>
      </c>
      <c r="AE24" s="80" t="s">
        <v>293</v>
      </c>
      <c r="AF24" s="81" t="s">
        <v>293</v>
      </c>
    </row>
    <row r="25" spans="2:32">
      <c r="B25" s="61">
        <v>13517</v>
      </c>
      <c r="C25" s="61" t="s">
        <v>69</v>
      </c>
      <c r="D25" s="61">
        <v>6457</v>
      </c>
      <c r="E25" s="61" t="s">
        <v>120</v>
      </c>
      <c r="F25" s="70"/>
      <c r="G25" s="61" t="s">
        <v>338</v>
      </c>
      <c r="H25" s="61" t="s">
        <v>118</v>
      </c>
      <c r="I25" s="70"/>
      <c r="J25" s="61" t="s">
        <v>339</v>
      </c>
      <c r="K25" s="61" t="s">
        <v>40</v>
      </c>
      <c r="L25" s="71" t="s">
        <v>72</v>
      </c>
      <c r="M25" s="71"/>
      <c r="N25" s="72"/>
      <c r="O25" s="73"/>
      <c r="P25" s="73"/>
      <c r="Q25" s="61" t="s">
        <v>293</v>
      </c>
      <c r="R25" s="74" t="s">
        <v>479</v>
      </c>
      <c r="S25" s="75" t="s">
        <v>293</v>
      </c>
      <c r="T25" s="75" t="s">
        <v>293</v>
      </c>
      <c r="U25" s="61" t="s">
        <v>293</v>
      </c>
      <c r="V25" s="76" t="s">
        <v>480</v>
      </c>
      <c r="W25" s="286" t="s">
        <v>293</v>
      </c>
      <c r="X25" s="286" t="s">
        <v>293</v>
      </c>
      <c r="Y25" s="286" t="s">
        <v>293</v>
      </c>
      <c r="Z25" s="286"/>
      <c r="AA25" s="287"/>
      <c r="AB25" s="73" t="s">
        <v>293</v>
      </c>
      <c r="AC25" s="73" t="s">
        <v>293</v>
      </c>
      <c r="AD25" s="79" t="s">
        <v>293</v>
      </c>
      <c r="AE25" s="80" t="s">
        <v>293</v>
      </c>
      <c r="AF25" s="288" t="s">
        <v>293</v>
      </c>
    </row>
    <row r="26" spans="2:32">
      <c r="B26" s="61">
        <v>5691</v>
      </c>
      <c r="C26" s="61" t="s">
        <v>69</v>
      </c>
      <c r="D26" s="61">
        <v>21065</v>
      </c>
      <c r="E26" s="61" t="s">
        <v>120</v>
      </c>
      <c r="F26" s="70"/>
      <c r="G26" s="61" t="s">
        <v>214</v>
      </c>
      <c r="H26" s="61" t="s">
        <v>118</v>
      </c>
      <c r="I26" s="70"/>
      <c r="J26" s="61" t="s">
        <v>215</v>
      </c>
      <c r="K26" s="61" t="s">
        <v>40</v>
      </c>
      <c r="L26" s="71" t="s">
        <v>72</v>
      </c>
      <c r="M26" s="71"/>
      <c r="N26" s="72"/>
      <c r="O26" s="73"/>
      <c r="P26" s="73"/>
      <c r="Q26" s="61" t="s">
        <v>293</v>
      </c>
      <c r="R26" s="74" t="s">
        <v>481</v>
      </c>
      <c r="S26" s="75" t="s">
        <v>293</v>
      </c>
      <c r="T26" s="75" t="s">
        <v>293</v>
      </c>
      <c r="U26" s="61">
        <v>27</v>
      </c>
      <c r="V26" s="76" t="s">
        <v>482</v>
      </c>
      <c r="W26" s="77">
        <v>4860</v>
      </c>
      <c r="X26" s="77">
        <v>2041</v>
      </c>
      <c r="Y26" s="77">
        <v>2041</v>
      </c>
      <c r="Z26" s="77">
        <v>4860</v>
      </c>
      <c r="AA26" s="78"/>
      <c r="AB26" s="73">
        <v>2041</v>
      </c>
      <c r="AC26" s="73">
        <v>2041</v>
      </c>
      <c r="AD26" s="79">
        <v>2041</v>
      </c>
      <c r="AE26" s="80" t="s">
        <v>293</v>
      </c>
      <c r="AF26" s="81" t="s">
        <v>293</v>
      </c>
    </row>
    <row r="27" spans="2:32">
      <c r="B27" s="61">
        <v>6899</v>
      </c>
      <c r="C27" s="61" t="s">
        <v>69</v>
      </c>
      <c r="D27" s="61">
        <v>5401</v>
      </c>
      <c r="E27" s="61" t="s">
        <v>120</v>
      </c>
      <c r="F27" s="70"/>
      <c r="G27" s="61" t="s">
        <v>76</v>
      </c>
      <c r="H27" s="61" t="s">
        <v>118</v>
      </c>
      <c r="I27" s="70"/>
      <c r="J27" s="61" t="s">
        <v>126</v>
      </c>
      <c r="K27" s="61" t="s">
        <v>40</v>
      </c>
      <c r="L27" s="71" t="s">
        <v>72</v>
      </c>
      <c r="M27" s="71"/>
      <c r="N27" s="72"/>
      <c r="O27" s="73"/>
      <c r="P27" s="73"/>
      <c r="Q27" s="61">
        <v>34</v>
      </c>
      <c r="R27" s="74" t="s">
        <v>479</v>
      </c>
      <c r="S27" s="75">
        <v>6120</v>
      </c>
      <c r="T27" s="75">
        <v>2754</v>
      </c>
      <c r="U27" s="61" t="s">
        <v>293</v>
      </c>
      <c r="V27" s="76" t="s">
        <v>480</v>
      </c>
      <c r="W27" s="77" t="s">
        <v>293</v>
      </c>
      <c r="X27" s="77" t="s">
        <v>293</v>
      </c>
      <c r="Y27" s="77">
        <v>2754</v>
      </c>
      <c r="Z27" s="77">
        <v>6120</v>
      </c>
      <c r="AA27" s="78"/>
      <c r="AB27" s="73">
        <v>2754</v>
      </c>
      <c r="AC27" s="73">
        <v>2754</v>
      </c>
      <c r="AD27" s="79">
        <v>2754</v>
      </c>
      <c r="AE27" s="80" t="s">
        <v>293</v>
      </c>
      <c r="AF27" s="81" t="s">
        <v>293</v>
      </c>
    </row>
    <row r="29" spans="2:32">
      <c r="B29" s="194" t="s">
        <v>294</v>
      </c>
    </row>
    <row r="30" spans="2:32">
      <c r="B30" s="221"/>
      <c r="C30" s="222"/>
      <c r="D30" s="223"/>
      <c r="E30" s="223"/>
      <c r="F30" s="223"/>
      <c r="G30" s="223"/>
      <c r="H30" s="224">
        <v>5756170</v>
      </c>
      <c r="I30" s="224">
        <v>2878085</v>
      </c>
      <c r="J30" s="225"/>
    </row>
    <row r="31" spans="2:32">
      <c r="B31" s="226" t="s">
        <v>202</v>
      </c>
      <c r="C31" s="227" t="s">
        <v>200</v>
      </c>
      <c r="D31" s="226" t="s">
        <v>201</v>
      </c>
      <c r="E31" s="226" t="s">
        <v>203</v>
      </c>
      <c r="F31" s="228" t="s">
        <v>204</v>
      </c>
      <c r="G31" s="229" t="s">
        <v>35</v>
      </c>
      <c r="H31" s="230" t="s">
        <v>56</v>
      </c>
      <c r="I31" s="230" t="s">
        <v>205</v>
      </c>
      <c r="J31" s="231"/>
    </row>
    <row r="32" spans="2:32">
      <c r="B32" s="232" t="s">
        <v>206</v>
      </c>
      <c r="C32" s="233">
        <v>44774</v>
      </c>
      <c r="D32" s="232">
        <v>12853</v>
      </c>
      <c r="E32" s="232" t="s">
        <v>145</v>
      </c>
      <c r="F32" s="232" t="s">
        <v>40</v>
      </c>
      <c r="G32" s="232" t="s">
        <v>72</v>
      </c>
      <c r="H32" s="234">
        <v>5562130</v>
      </c>
      <c r="I32" s="234">
        <v>2781065</v>
      </c>
      <c r="J32" s="225"/>
    </row>
    <row r="33" spans="2:16">
      <c r="B33" s="232" t="s">
        <v>206</v>
      </c>
      <c r="C33" s="233">
        <v>44774</v>
      </c>
      <c r="D33" s="232">
        <v>17898</v>
      </c>
      <c r="E33" s="232" t="s">
        <v>199</v>
      </c>
      <c r="F33" s="232" t="s">
        <v>40</v>
      </c>
      <c r="G33" s="232" t="s">
        <v>72</v>
      </c>
      <c r="H33" s="234">
        <v>136500</v>
      </c>
      <c r="I33" s="234">
        <v>68250</v>
      </c>
      <c r="J33" s="225"/>
    </row>
    <row r="34" spans="2:16">
      <c r="B34" s="232" t="s">
        <v>206</v>
      </c>
      <c r="C34" s="233">
        <v>44774</v>
      </c>
      <c r="D34" s="232">
        <v>12179</v>
      </c>
      <c r="E34" s="232" t="s">
        <v>117</v>
      </c>
      <c r="F34" s="232" t="s">
        <v>40</v>
      </c>
      <c r="G34" s="232" t="s">
        <v>72</v>
      </c>
      <c r="H34" s="234">
        <v>57540</v>
      </c>
      <c r="I34" s="234">
        <v>28770</v>
      </c>
      <c r="J34" s="225"/>
    </row>
    <row r="38" spans="2:16" s="133" customFormat="1">
      <c r="B38" s="302" t="s">
        <v>350</v>
      </c>
      <c r="C38" s="302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</row>
    <row r="39" spans="2:16" s="133" customFormat="1" hidden="1">
      <c r="B39" s="251"/>
      <c r="C39" s="252"/>
      <c r="D39" s="252"/>
      <c r="E39" s="252"/>
      <c r="F39" s="252"/>
      <c r="G39" s="253" t="s">
        <v>361</v>
      </c>
      <c r="H39" s="254">
        <v>43.48</v>
      </c>
      <c r="I39" s="253" t="s">
        <v>362</v>
      </c>
      <c r="J39" s="255">
        <v>44742</v>
      </c>
      <c r="K39" s="253" t="s">
        <v>366</v>
      </c>
      <c r="L39" s="256" t="s">
        <v>372</v>
      </c>
      <c r="M39" s="252"/>
      <c r="N39" s="252"/>
      <c r="O39" s="236"/>
      <c r="P39" s="236"/>
    </row>
    <row r="40" spans="2:16" s="133" customFormat="1" hidden="1">
      <c r="B40" s="257" t="s">
        <v>373</v>
      </c>
      <c r="C40" s="258" t="s">
        <v>351</v>
      </c>
      <c r="D40" s="259" t="s">
        <v>368</v>
      </c>
      <c r="E40" s="259" t="s">
        <v>369</v>
      </c>
      <c r="F40" s="259" t="s">
        <v>370</v>
      </c>
      <c r="G40" s="253" t="s">
        <v>353</v>
      </c>
      <c r="H40" s="253" t="s">
        <v>354</v>
      </c>
      <c r="I40" s="253" t="s">
        <v>355</v>
      </c>
      <c r="J40" s="253" t="s">
        <v>356</v>
      </c>
      <c r="K40" s="260" t="s">
        <v>357</v>
      </c>
      <c r="L40" s="258" t="s">
        <v>358</v>
      </c>
      <c r="M40" s="258" t="s">
        <v>359</v>
      </c>
      <c r="N40" s="258" t="s">
        <v>360</v>
      </c>
      <c r="O40" s="236"/>
      <c r="P40" s="236"/>
    </row>
    <row r="41" spans="2:16" s="133" customFormat="1" hidden="1">
      <c r="B41" s="247"/>
      <c r="C41" s="248"/>
      <c r="D41" s="249"/>
      <c r="E41" s="249"/>
      <c r="F41" s="250"/>
      <c r="G41" s="261"/>
      <c r="H41" s="262"/>
      <c r="I41" s="261"/>
      <c r="J41" s="261"/>
      <c r="K41" s="263"/>
      <c r="L41" s="264"/>
      <c r="M41" s="261"/>
      <c r="N41" s="265"/>
      <c r="O41" s="236"/>
      <c r="P41" s="236"/>
    </row>
    <row r="42" spans="2:16" s="133" customFormat="1" hidden="1">
      <c r="B42" s="304" t="s">
        <v>374</v>
      </c>
      <c r="C42" s="305"/>
      <c r="D42" s="305"/>
      <c r="E42" s="305"/>
      <c r="F42" s="305"/>
      <c r="G42" s="306"/>
      <c r="H42" s="266">
        <f>SUM(H41:H41)</f>
        <v>0</v>
      </c>
      <c r="I42" s="266">
        <f>SUM(I41:I41)</f>
        <v>0</v>
      </c>
      <c r="J42" s="266">
        <f>SUM(J41:J41)</f>
        <v>0</v>
      </c>
      <c r="K42" s="266"/>
      <c r="L42" s="266">
        <f>SUM(L41:L41)</f>
        <v>0</v>
      </c>
      <c r="M42" s="267"/>
      <c r="N42" s="267">
        <f>SUM(N41:N41)</f>
        <v>0</v>
      </c>
    </row>
    <row r="43" spans="2:16" s="133" customFormat="1"/>
    <row r="44" spans="2:16" s="133" customFormat="1">
      <c r="B44" s="303" t="s">
        <v>363</v>
      </c>
      <c r="C44" s="303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5"/>
      <c r="P44" s="235"/>
    </row>
    <row r="45" spans="2:16" hidden="1">
      <c r="B45" s="238"/>
      <c r="C45" s="238"/>
      <c r="D45" s="238"/>
      <c r="E45" s="238"/>
      <c r="F45" s="238"/>
      <c r="G45" s="268" t="s">
        <v>361</v>
      </c>
      <c r="H45" s="269">
        <v>36.729999999999997</v>
      </c>
      <c r="I45" s="268" t="s">
        <v>362</v>
      </c>
      <c r="J45" s="270">
        <v>44742</v>
      </c>
      <c r="K45" s="268" t="s">
        <v>366</v>
      </c>
      <c r="L45" s="271" t="s">
        <v>367</v>
      </c>
      <c r="N45" s="272"/>
      <c r="O45" s="1"/>
      <c r="P45" s="1"/>
    </row>
    <row r="46" spans="2:16" hidden="1">
      <c r="B46" s="239" t="s">
        <v>371</v>
      </c>
      <c r="C46" s="239" t="s">
        <v>351</v>
      </c>
      <c r="D46" s="240" t="s">
        <v>352</v>
      </c>
      <c r="E46" s="240" t="s">
        <v>35</v>
      </c>
      <c r="F46" s="240" t="s">
        <v>139</v>
      </c>
      <c r="G46" s="239" t="s">
        <v>353</v>
      </c>
      <c r="H46" s="239" t="s">
        <v>364</v>
      </c>
      <c r="I46" s="239" t="s">
        <v>365</v>
      </c>
      <c r="J46" s="239" t="s">
        <v>356</v>
      </c>
      <c r="K46" s="239" t="s">
        <v>357</v>
      </c>
      <c r="L46" s="239" t="s">
        <v>358</v>
      </c>
      <c r="M46" s="239" t="s">
        <v>359</v>
      </c>
      <c r="N46" s="239" t="s">
        <v>360</v>
      </c>
      <c r="O46" s="1"/>
      <c r="P46" s="1"/>
    </row>
    <row r="47" spans="2:16" hidden="1">
      <c r="B47" s="241"/>
      <c r="C47" s="242"/>
      <c r="D47" s="242"/>
      <c r="E47" s="242"/>
      <c r="F47" s="242"/>
      <c r="G47" s="242"/>
      <c r="H47" s="243"/>
      <c r="I47" s="242"/>
      <c r="J47" s="243"/>
      <c r="K47" s="244"/>
      <c r="L47" s="245"/>
      <c r="M47" s="243"/>
      <c r="N47" s="246"/>
      <c r="O47" s="1"/>
      <c r="P47" s="1"/>
    </row>
  </sheetData>
  <mergeCells count="3">
    <mergeCell ref="B38:C38"/>
    <mergeCell ref="B44:C44"/>
    <mergeCell ref="B42:G42"/>
  </mergeCells>
  <phoneticPr fontId="31" type="noConversion"/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P77"/>
  <sheetViews>
    <sheetView showGridLines="0" workbookViewId="0">
      <selection activeCell="N3" sqref="N3"/>
    </sheetView>
  </sheetViews>
  <sheetFormatPr defaultColWidth="11.44140625" defaultRowHeight="15.6"/>
  <cols>
    <col min="1" max="1" width="5.44140625" style="102" customWidth="1"/>
    <col min="2" max="2" width="12.77734375" style="102" customWidth="1"/>
    <col min="3" max="3" width="14.33203125" style="102" customWidth="1"/>
    <col min="4" max="4" width="13.77734375" style="102" bestFit="1" customWidth="1"/>
    <col min="5" max="6" width="13.109375" style="102" bestFit="1" customWidth="1"/>
    <col min="7" max="8" width="13.77734375" style="102" bestFit="1" customWidth="1"/>
    <col min="9" max="9" width="17.88671875" style="102" bestFit="1" customWidth="1"/>
    <col min="10" max="13" width="11.44140625" style="102"/>
    <col min="14" max="14" width="12.21875" style="102" bestFit="1" customWidth="1"/>
    <col min="15" max="16384" width="11.44140625" style="102"/>
  </cols>
  <sheetData>
    <row r="2" spans="1:16"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16">
      <c r="B3" s="118" t="s">
        <v>216</v>
      </c>
      <c r="C3" s="118" t="s">
        <v>217</v>
      </c>
      <c r="D3" s="53">
        <v>1034633</v>
      </c>
      <c r="E3" s="10">
        <v>0</v>
      </c>
      <c r="F3" s="11">
        <f t="shared" ref="F3" si="0">D3</f>
        <v>1034633</v>
      </c>
      <c r="G3" s="14">
        <f t="shared" ref="G3" si="1">F3*20%</f>
        <v>206926.6</v>
      </c>
      <c r="H3" s="127">
        <f t="shared" ref="H3" si="2">F3*80%</f>
        <v>827706.4</v>
      </c>
      <c r="I3" s="139" t="s">
        <v>485</v>
      </c>
    </row>
    <row r="4" spans="1:16">
      <c r="B4" s="16" t="s">
        <v>20</v>
      </c>
      <c r="C4" s="17"/>
      <c r="D4" s="18">
        <f>SUM(D3:D3)</f>
        <v>1034633</v>
      </c>
      <c r="E4" s="18">
        <f>SUM(E3:E3)</f>
        <v>0</v>
      </c>
      <c r="F4" s="18">
        <f>SUM(F3:F3)</f>
        <v>1034633</v>
      </c>
      <c r="G4" s="18">
        <f>SUM(G3:G3)</f>
        <v>206926.6</v>
      </c>
      <c r="H4" s="18">
        <f>SUM(H3:H3)</f>
        <v>827706.4</v>
      </c>
      <c r="I4" s="18"/>
    </row>
    <row r="5" spans="1:16">
      <c r="G5" s="103">
        <f>F4*0.2</f>
        <v>206926.6</v>
      </c>
      <c r="H5" s="103">
        <f>F4*0.8</f>
        <v>827706.4</v>
      </c>
    </row>
    <row r="8" spans="1:16">
      <c r="A8" s="102" t="s">
        <v>284</v>
      </c>
      <c r="C8" s="140"/>
    </row>
    <row r="9" spans="1:16" s="20" customFormat="1" ht="17.399999999999999">
      <c r="A9" s="141" t="s">
        <v>218</v>
      </c>
      <c r="B9" s="141" t="s">
        <v>35</v>
      </c>
      <c r="C9" s="141" t="s">
        <v>31</v>
      </c>
      <c r="D9" s="141" t="s">
        <v>219</v>
      </c>
      <c r="E9" s="141" t="s">
        <v>220</v>
      </c>
      <c r="F9" s="141" t="s">
        <v>221</v>
      </c>
      <c r="G9" s="141" t="s">
        <v>222</v>
      </c>
      <c r="H9" s="141" t="s">
        <v>295</v>
      </c>
      <c r="I9" s="141" t="s">
        <v>375</v>
      </c>
      <c r="J9" s="141" t="s">
        <v>376</v>
      </c>
      <c r="K9" s="141" t="s">
        <v>223</v>
      </c>
      <c r="L9" s="141" t="s">
        <v>224</v>
      </c>
      <c r="M9" s="141" t="s">
        <v>225</v>
      </c>
      <c r="N9" s="141" t="s">
        <v>226</v>
      </c>
      <c r="O9" s="141" t="s">
        <v>227</v>
      </c>
      <c r="P9" s="141" t="s">
        <v>228</v>
      </c>
    </row>
    <row r="10" spans="1:16" s="1" customFormat="1">
      <c r="A10" s="83">
        <v>8013</v>
      </c>
      <c r="B10" s="84" t="s">
        <v>254</v>
      </c>
      <c r="C10" s="85" t="s">
        <v>255</v>
      </c>
      <c r="D10" s="89" t="s">
        <v>231</v>
      </c>
      <c r="E10" s="85" t="s">
        <v>232</v>
      </c>
      <c r="F10" s="150">
        <v>0</v>
      </c>
      <c r="G10" s="150">
        <v>0</v>
      </c>
      <c r="H10" s="210"/>
      <c r="I10" s="211" t="s">
        <v>233</v>
      </c>
      <c r="J10" s="211" t="s">
        <v>233</v>
      </c>
      <c r="K10" s="150">
        <v>0</v>
      </c>
      <c r="L10" s="150">
        <v>0</v>
      </c>
      <c r="M10" s="150">
        <v>0</v>
      </c>
      <c r="N10" s="150">
        <v>0</v>
      </c>
      <c r="O10" s="150">
        <v>0</v>
      </c>
      <c r="P10" s="212"/>
    </row>
    <row r="11" spans="1:16" s="1" customFormat="1">
      <c r="A11" s="83">
        <v>8749</v>
      </c>
      <c r="B11" s="84" t="s">
        <v>254</v>
      </c>
      <c r="C11" s="85" t="s">
        <v>256</v>
      </c>
      <c r="D11" s="89" t="s">
        <v>231</v>
      </c>
      <c r="E11" s="85" t="s">
        <v>232</v>
      </c>
      <c r="F11" s="150">
        <v>0</v>
      </c>
      <c r="G11" s="150">
        <v>0</v>
      </c>
      <c r="H11" s="212"/>
      <c r="I11" s="211" t="s">
        <v>233</v>
      </c>
      <c r="J11" s="211" t="s">
        <v>233</v>
      </c>
      <c r="K11" s="150">
        <v>0</v>
      </c>
      <c r="L11" s="150">
        <v>0</v>
      </c>
      <c r="M11" s="150">
        <v>0</v>
      </c>
      <c r="N11" s="150">
        <v>0</v>
      </c>
      <c r="O11" s="150">
        <v>0</v>
      </c>
      <c r="P11" s="212"/>
    </row>
    <row r="12" spans="1:16" s="1" customFormat="1">
      <c r="A12" s="83">
        <v>8896</v>
      </c>
      <c r="B12" s="84" t="s">
        <v>254</v>
      </c>
      <c r="C12" s="85" t="s">
        <v>257</v>
      </c>
      <c r="D12" s="89" t="s">
        <v>231</v>
      </c>
      <c r="E12" s="85" t="s">
        <v>232</v>
      </c>
      <c r="F12" s="150">
        <v>1166</v>
      </c>
      <c r="G12" s="150">
        <v>0</v>
      </c>
      <c r="H12" s="212"/>
      <c r="I12" s="211" t="s">
        <v>233</v>
      </c>
      <c r="J12" s="211" t="s">
        <v>233</v>
      </c>
      <c r="K12" s="150">
        <v>0</v>
      </c>
      <c r="L12" s="150">
        <v>0</v>
      </c>
      <c r="M12" s="150">
        <v>0</v>
      </c>
      <c r="N12" s="150">
        <v>1166</v>
      </c>
      <c r="O12" s="150">
        <v>1166</v>
      </c>
      <c r="P12" s="212"/>
    </row>
    <row r="13" spans="1:16" s="1" customFormat="1">
      <c r="A13" s="83">
        <v>8943</v>
      </c>
      <c r="B13" s="84" t="s">
        <v>254</v>
      </c>
      <c r="C13" s="85" t="s">
        <v>258</v>
      </c>
      <c r="D13" s="89" t="s">
        <v>231</v>
      </c>
      <c r="E13" s="85" t="s">
        <v>232</v>
      </c>
      <c r="F13" s="150">
        <v>0</v>
      </c>
      <c r="G13" s="150">
        <v>0</v>
      </c>
      <c r="H13" s="212"/>
      <c r="I13" s="211" t="s">
        <v>233</v>
      </c>
      <c r="J13" s="211" t="s">
        <v>233</v>
      </c>
      <c r="K13" s="150">
        <v>0</v>
      </c>
      <c r="L13" s="150">
        <v>0</v>
      </c>
      <c r="M13" s="150">
        <v>0</v>
      </c>
      <c r="N13" s="150">
        <v>0</v>
      </c>
      <c r="O13" s="150">
        <v>0</v>
      </c>
      <c r="P13" s="212"/>
    </row>
    <row r="14" spans="1:16" s="1" customFormat="1">
      <c r="A14" s="83">
        <v>8988</v>
      </c>
      <c r="B14" s="84" t="s">
        <v>254</v>
      </c>
      <c r="C14" s="85" t="s">
        <v>259</v>
      </c>
      <c r="D14" s="89" t="s">
        <v>231</v>
      </c>
      <c r="E14" s="85" t="s">
        <v>232</v>
      </c>
      <c r="F14" s="150">
        <v>0</v>
      </c>
      <c r="G14" s="150">
        <v>0</v>
      </c>
      <c r="H14" s="210"/>
      <c r="I14" s="211" t="s">
        <v>233</v>
      </c>
      <c r="J14" s="211" t="s">
        <v>233</v>
      </c>
      <c r="K14" s="150">
        <v>0</v>
      </c>
      <c r="L14" s="150">
        <v>0</v>
      </c>
      <c r="M14" s="150">
        <v>0</v>
      </c>
      <c r="N14" s="150">
        <v>0</v>
      </c>
      <c r="O14" s="150">
        <v>0</v>
      </c>
      <c r="P14" s="212"/>
    </row>
    <row r="15" spans="1:16" s="1" customFormat="1">
      <c r="A15" s="83">
        <v>8989</v>
      </c>
      <c r="B15" s="84" t="s">
        <v>254</v>
      </c>
      <c r="C15" s="85" t="s">
        <v>260</v>
      </c>
      <c r="D15" s="89" t="s">
        <v>231</v>
      </c>
      <c r="E15" s="85" t="s">
        <v>232</v>
      </c>
      <c r="F15" s="150">
        <v>0</v>
      </c>
      <c r="G15" s="150">
        <v>0</v>
      </c>
      <c r="H15" s="212"/>
      <c r="I15" s="211" t="s">
        <v>233</v>
      </c>
      <c r="J15" s="211" t="s">
        <v>233</v>
      </c>
      <c r="K15" s="150">
        <v>0</v>
      </c>
      <c r="L15" s="150">
        <v>0</v>
      </c>
      <c r="M15" s="150">
        <v>0</v>
      </c>
      <c r="N15" s="150">
        <v>0</v>
      </c>
      <c r="O15" s="150">
        <v>0</v>
      </c>
      <c r="P15" s="212"/>
    </row>
    <row r="16" spans="1:16" s="1" customFormat="1">
      <c r="A16" s="83">
        <v>8990</v>
      </c>
      <c r="B16" s="84" t="s">
        <v>254</v>
      </c>
      <c r="C16" s="85" t="s">
        <v>261</v>
      </c>
      <c r="D16" s="89" t="s">
        <v>231</v>
      </c>
      <c r="E16" s="85" t="s">
        <v>232</v>
      </c>
      <c r="F16" s="150">
        <v>0</v>
      </c>
      <c r="G16" s="150">
        <v>0</v>
      </c>
      <c r="H16" s="210"/>
      <c r="I16" s="211" t="s">
        <v>233</v>
      </c>
      <c r="J16" s="211" t="s">
        <v>233</v>
      </c>
      <c r="K16" s="150">
        <v>0</v>
      </c>
      <c r="L16" s="150">
        <v>0</v>
      </c>
      <c r="M16" s="150">
        <v>0</v>
      </c>
      <c r="N16" s="150">
        <v>0</v>
      </c>
      <c r="O16" s="150">
        <v>0</v>
      </c>
      <c r="P16" s="212"/>
    </row>
    <row r="17" spans="1:16" s="1" customFormat="1">
      <c r="A17" s="83">
        <v>8991</v>
      </c>
      <c r="B17" s="84" t="s">
        <v>254</v>
      </c>
      <c r="C17" s="85" t="s">
        <v>262</v>
      </c>
      <c r="D17" s="89" t="s">
        <v>231</v>
      </c>
      <c r="E17" s="85" t="s">
        <v>232</v>
      </c>
      <c r="F17" s="150">
        <v>0</v>
      </c>
      <c r="G17" s="150">
        <v>0</v>
      </c>
      <c r="H17" s="210"/>
      <c r="I17" s="211" t="s">
        <v>233</v>
      </c>
      <c r="J17" s="211" t="s">
        <v>233</v>
      </c>
      <c r="K17" s="150">
        <v>0</v>
      </c>
      <c r="L17" s="150">
        <v>0</v>
      </c>
      <c r="M17" s="150">
        <v>0</v>
      </c>
      <c r="N17" s="150">
        <v>0</v>
      </c>
      <c r="O17" s="150">
        <v>0</v>
      </c>
      <c r="P17" s="212"/>
    </row>
    <row r="18" spans="1:16" s="1" customFormat="1">
      <c r="A18" s="83">
        <v>8992</v>
      </c>
      <c r="B18" s="84" t="s">
        <v>254</v>
      </c>
      <c r="C18" s="85" t="s">
        <v>263</v>
      </c>
      <c r="D18" s="89" t="s">
        <v>231</v>
      </c>
      <c r="E18" s="85" t="s">
        <v>232</v>
      </c>
      <c r="F18" s="150">
        <v>0</v>
      </c>
      <c r="G18" s="150">
        <v>0</v>
      </c>
      <c r="H18" s="210"/>
      <c r="I18" s="211" t="s">
        <v>233</v>
      </c>
      <c r="J18" s="211" t="s">
        <v>233</v>
      </c>
      <c r="K18" s="150">
        <v>0</v>
      </c>
      <c r="L18" s="150">
        <v>0</v>
      </c>
      <c r="M18" s="150">
        <v>0</v>
      </c>
      <c r="N18" s="150">
        <v>0</v>
      </c>
      <c r="O18" s="150">
        <v>0</v>
      </c>
      <c r="P18" s="212"/>
    </row>
    <row r="19" spans="1:16" s="1" customFormat="1">
      <c r="A19" s="83">
        <v>8993</v>
      </c>
      <c r="B19" s="84" t="s">
        <v>254</v>
      </c>
      <c r="C19" s="85" t="s">
        <v>264</v>
      </c>
      <c r="D19" s="89" t="s">
        <v>231</v>
      </c>
      <c r="E19" s="85" t="s">
        <v>232</v>
      </c>
      <c r="F19" s="150">
        <v>0</v>
      </c>
      <c r="G19" s="150">
        <v>0</v>
      </c>
      <c r="H19" s="210"/>
      <c r="I19" s="211" t="s">
        <v>233</v>
      </c>
      <c r="J19" s="211" t="s">
        <v>233</v>
      </c>
      <c r="K19" s="150">
        <v>0</v>
      </c>
      <c r="L19" s="150">
        <v>0</v>
      </c>
      <c r="M19" s="150">
        <v>0</v>
      </c>
      <c r="N19" s="150">
        <v>0</v>
      </c>
      <c r="O19" s="150">
        <v>0</v>
      </c>
      <c r="P19" s="212"/>
    </row>
    <row r="20" spans="1:16" s="1" customFormat="1">
      <c r="A20" s="83">
        <v>8995</v>
      </c>
      <c r="B20" s="86" t="s">
        <v>254</v>
      </c>
      <c r="C20" s="85" t="s">
        <v>265</v>
      </c>
      <c r="D20" s="89" t="s">
        <v>231</v>
      </c>
      <c r="E20" s="85" t="s">
        <v>232</v>
      </c>
      <c r="F20" s="150">
        <v>0</v>
      </c>
      <c r="G20" s="150">
        <v>0</v>
      </c>
      <c r="H20" s="212"/>
      <c r="I20" s="211" t="s">
        <v>233</v>
      </c>
      <c r="J20" s="211" t="s">
        <v>233</v>
      </c>
      <c r="K20" s="150">
        <v>0</v>
      </c>
      <c r="L20" s="150">
        <v>0</v>
      </c>
      <c r="M20" s="150">
        <v>0</v>
      </c>
      <c r="N20" s="150">
        <v>0</v>
      </c>
      <c r="O20" s="150">
        <v>0</v>
      </c>
      <c r="P20" s="212"/>
    </row>
    <row r="21" spans="1:16" s="1" customFormat="1">
      <c r="A21" s="83">
        <v>9030</v>
      </c>
      <c r="B21" s="86" t="s">
        <v>254</v>
      </c>
      <c r="C21" s="85" t="s">
        <v>266</v>
      </c>
      <c r="D21" s="89" t="s">
        <v>231</v>
      </c>
      <c r="E21" s="85" t="s">
        <v>232</v>
      </c>
      <c r="F21" s="150">
        <v>0</v>
      </c>
      <c r="G21" s="150">
        <v>0</v>
      </c>
      <c r="H21" s="212"/>
      <c r="I21" s="211" t="s">
        <v>233</v>
      </c>
      <c r="J21" s="211" t="s">
        <v>233</v>
      </c>
      <c r="K21" s="150">
        <v>0</v>
      </c>
      <c r="L21" s="150">
        <v>0</v>
      </c>
      <c r="M21" s="150">
        <v>0</v>
      </c>
      <c r="N21" s="150">
        <v>0</v>
      </c>
      <c r="O21" s="150">
        <v>0</v>
      </c>
      <c r="P21" s="212"/>
    </row>
    <row r="22" spans="1:16" s="1" customFormat="1">
      <c r="A22" s="83">
        <v>9996</v>
      </c>
      <c r="B22" s="86" t="s">
        <v>254</v>
      </c>
      <c r="C22" s="85" t="s">
        <v>267</v>
      </c>
      <c r="D22" s="89" t="s">
        <v>231</v>
      </c>
      <c r="E22" s="85" t="s">
        <v>232</v>
      </c>
      <c r="F22" s="150">
        <v>137197</v>
      </c>
      <c r="G22" s="150">
        <v>340</v>
      </c>
      <c r="H22" s="212"/>
      <c r="I22" s="211" t="s">
        <v>233</v>
      </c>
      <c r="J22" s="211" t="s">
        <v>233</v>
      </c>
      <c r="K22" s="150">
        <v>0</v>
      </c>
      <c r="L22" s="150">
        <v>0</v>
      </c>
      <c r="M22" s="150">
        <v>0</v>
      </c>
      <c r="N22" s="150">
        <v>137537</v>
      </c>
      <c r="O22" s="150">
        <v>137537</v>
      </c>
      <c r="P22" s="212"/>
    </row>
    <row r="23" spans="1:16" s="1" customFormat="1">
      <c r="A23" s="83">
        <v>10061</v>
      </c>
      <c r="B23" s="86" t="s">
        <v>254</v>
      </c>
      <c r="C23" s="85" t="s">
        <v>268</v>
      </c>
      <c r="D23" s="89" t="s">
        <v>231</v>
      </c>
      <c r="E23" s="85" t="s">
        <v>232</v>
      </c>
      <c r="F23" s="150">
        <v>7290</v>
      </c>
      <c r="G23" s="150">
        <v>680</v>
      </c>
      <c r="H23" s="212"/>
      <c r="I23" s="211" t="s">
        <v>233</v>
      </c>
      <c r="J23" s="211" t="s">
        <v>233</v>
      </c>
      <c r="K23" s="150">
        <v>0</v>
      </c>
      <c r="L23" s="150">
        <v>0</v>
      </c>
      <c r="M23" s="150">
        <v>0</v>
      </c>
      <c r="N23" s="150">
        <v>7970</v>
      </c>
      <c r="O23" s="150">
        <v>7970</v>
      </c>
      <c r="P23" s="212"/>
    </row>
    <row r="24" spans="1:16" s="1" customFormat="1">
      <c r="A24" s="83">
        <v>10062</v>
      </c>
      <c r="B24" s="86" t="s">
        <v>254</v>
      </c>
      <c r="C24" s="85" t="s">
        <v>269</v>
      </c>
      <c r="D24" s="89" t="s">
        <v>231</v>
      </c>
      <c r="E24" s="85" t="s">
        <v>232</v>
      </c>
      <c r="F24" s="150">
        <v>345951</v>
      </c>
      <c r="G24" s="150">
        <v>48825</v>
      </c>
      <c r="H24" s="212"/>
      <c r="I24" s="211" t="s">
        <v>233</v>
      </c>
      <c r="J24" s="211" t="s">
        <v>233</v>
      </c>
      <c r="K24" s="150">
        <v>0</v>
      </c>
      <c r="L24" s="150">
        <v>394776</v>
      </c>
      <c r="M24" s="150">
        <v>0</v>
      </c>
      <c r="N24" s="150">
        <v>0</v>
      </c>
      <c r="O24" s="150">
        <v>0</v>
      </c>
      <c r="P24" s="212"/>
    </row>
    <row r="25" spans="1:16" s="1" customFormat="1">
      <c r="A25" s="83">
        <v>10297</v>
      </c>
      <c r="B25" s="86" t="s">
        <v>254</v>
      </c>
      <c r="C25" s="85" t="s">
        <v>270</v>
      </c>
      <c r="D25" s="89" t="s">
        <v>231</v>
      </c>
      <c r="E25" s="85" t="s">
        <v>232</v>
      </c>
      <c r="F25" s="150">
        <v>55744</v>
      </c>
      <c r="G25" s="150">
        <v>793</v>
      </c>
      <c r="H25" s="212"/>
      <c r="I25" s="211" t="s">
        <v>233</v>
      </c>
      <c r="J25" s="211" t="s">
        <v>233</v>
      </c>
      <c r="K25" s="150">
        <v>0</v>
      </c>
      <c r="L25" s="150">
        <v>0</v>
      </c>
      <c r="M25" s="150">
        <v>0</v>
      </c>
      <c r="N25" s="150">
        <v>56537</v>
      </c>
      <c r="O25" s="150">
        <v>56537</v>
      </c>
      <c r="P25" s="212"/>
    </row>
    <row r="26" spans="1:16" s="1" customFormat="1">
      <c r="A26" s="83">
        <v>10401</v>
      </c>
      <c r="B26" s="86" t="s">
        <v>254</v>
      </c>
      <c r="C26" s="85" t="s">
        <v>271</v>
      </c>
      <c r="D26" s="89" t="s">
        <v>231</v>
      </c>
      <c r="E26" s="85" t="s">
        <v>232</v>
      </c>
      <c r="F26" s="150">
        <v>104392</v>
      </c>
      <c r="G26" s="150">
        <v>5462</v>
      </c>
      <c r="H26" s="212"/>
      <c r="I26" s="211" t="s">
        <v>233</v>
      </c>
      <c r="J26" s="211" t="s">
        <v>233</v>
      </c>
      <c r="K26" s="150">
        <v>0</v>
      </c>
      <c r="L26" s="150">
        <v>0</v>
      </c>
      <c r="M26" s="150">
        <v>0</v>
      </c>
      <c r="N26" s="150">
        <v>109854</v>
      </c>
      <c r="O26" s="150">
        <v>109854</v>
      </c>
      <c r="P26" s="212"/>
    </row>
    <row r="27" spans="1:16" s="1" customFormat="1">
      <c r="A27" s="83">
        <v>1844</v>
      </c>
      <c r="B27" s="86" t="s">
        <v>242</v>
      </c>
      <c r="C27" s="85" t="s">
        <v>243</v>
      </c>
      <c r="D27" s="89" t="s">
        <v>231</v>
      </c>
      <c r="E27" s="85" t="s">
        <v>232</v>
      </c>
      <c r="F27" s="150">
        <v>0</v>
      </c>
      <c r="G27" s="150">
        <v>0</v>
      </c>
      <c r="H27" s="212"/>
      <c r="I27" s="211" t="s">
        <v>233</v>
      </c>
      <c r="J27" s="211" t="s">
        <v>233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212"/>
    </row>
    <row r="28" spans="1:16" s="1" customFormat="1">
      <c r="A28" s="83">
        <v>1845</v>
      </c>
      <c r="B28" s="86" t="s">
        <v>242</v>
      </c>
      <c r="C28" s="85" t="s">
        <v>244</v>
      </c>
      <c r="D28" s="89" t="s">
        <v>231</v>
      </c>
      <c r="E28" s="85" t="s">
        <v>232</v>
      </c>
      <c r="F28" s="150">
        <v>0</v>
      </c>
      <c r="G28" s="150">
        <v>0</v>
      </c>
      <c r="H28" s="212"/>
      <c r="I28" s="211" t="s">
        <v>233</v>
      </c>
      <c r="J28" s="211" t="s">
        <v>233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212"/>
    </row>
    <row r="29" spans="1:16" s="1" customFormat="1">
      <c r="A29" s="83">
        <v>1899</v>
      </c>
      <c r="B29" s="86" t="s">
        <v>242</v>
      </c>
      <c r="C29" s="85" t="s">
        <v>245</v>
      </c>
      <c r="D29" s="89" t="s">
        <v>231</v>
      </c>
      <c r="E29" s="85" t="s">
        <v>232</v>
      </c>
      <c r="F29" s="150">
        <v>0</v>
      </c>
      <c r="G29" s="150">
        <v>0</v>
      </c>
      <c r="H29" s="212"/>
      <c r="I29" s="211" t="s">
        <v>233</v>
      </c>
      <c r="J29" s="211" t="s">
        <v>233</v>
      </c>
      <c r="K29" s="150">
        <v>0</v>
      </c>
      <c r="L29" s="150">
        <v>0</v>
      </c>
      <c r="M29" s="150">
        <v>0</v>
      </c>
      <c r="N29" s="150">
        <v>0</v>
      </c>
      <c r="O29" s="150">
        <v>0</v>
      </c>
      <c r="P29" s="212"/>
    </row>
    <row r="30" spans="1:16" s="1" customFormat="1">
      <c r="A30" s="83">
        <v>1903</v>
      </c>
      <c r="B30" s="86" t="s">
        <v>242</v>
      </c>
      <c r="C30" s="85" t="s">
        <v>246</v>
      </c>
      <c r="D30" s="89" t="s">
        <v>231</v>
      </c>
      <c r="E30" s="85" t="s">
        <v>232</v>
      </c>
      <c r="F30" s="150">
        <v>0</v>
      </c>
      <c r="G30" s="150">
        <v>0</v>
      </c>
      <c r="H30" s="212"/>
      <c r="I30" s="211" t="s">
        <v>233</v>
      </c>
      <c r="J30" s="211" t="s">
        <v>233</v>
      </c>
      <c r="K30" s="150">
        <v>0</v>
      </c>
      <c r="L30" s="150">
        <v>0</v>
      </c>
      <c r="M30" s="150">
        <v>0</v>
      </c>
      <c r="N30" s="150">
        <v>0</v>
      </c>
      <c r="O30" s="150">
        <v>0</v>
      </c>
      <c r="P30" s="212"/>
    </row>
    <row r="31" spans="1:16" s="1" customFormat="1">
      <c r="A31" s="83">
        <v>1909</v>
      </c>
      <c r="B31" s="87" t="s">
        <v>242</v>
      </c>
      <c r="C31" s="85" t="s">
        <v>247</v>
      </c>
      <c r="D31" s="89" t="s">
        <v>231</v>
      </c>
      <c r="E31" s="85" t="s">
        <v>232</v>
      </c>
      <c r="F31" s="150">
        <v>190103</v>
      </c>
      <c r="G31" s="150">
        <v>0</v>
      </c>
      <c r="H31" s="212"/>
      <c r="I31" s="211" t="s">
        <v>233</v>
      </c>
      <c r="J31" s="211" t="s">
        <v>233</v>
      </c>
      <c r="K31" s="150">
        <v>0</v>
      </c>
      <c r="L31" s="150">
        <v>0</v>
      </c>
      <c r="M31" s="150">
        <v>0</v>
      </c>
      <c r="N31" s="150">
        <v>190103</v>
      </c>
      <c r="O31" s="150">
        <v>190103</v>
      </c>
      <c r="P31" s="212"/>
    </row>
    <row r="32" spans="1:16" s="1" customFormat="1">
      <c r="A32" s="83">
        <v>1910</v>
      </c>
      <c r="B32" s="87" t="s">
        <v>242</v>
      </c>
      <c r="C32" s="85" t="s">
        <v>248</v>
      </c>
      <c r="D32" s="89" t="s">
        <v>231</v>
      </c>
      <c r="E32" s="85" t="s">
        <v>232</v>
      </c>
      <c r="F32" s="150">
        <v>64</v>
      </c>
      <c r="G32" s="150">
        <v>0</v>
      </c>
      <c r="H32" s="212"/>
      <c r="I32" s="211" t="s">
        <v>233</v>
      </c>
      <c r="J32" s="211" t="s">
        <v>233</v>
      </c>
      <c r="K32" s="150">
        <v>0</v>
      </c>
      <c r="L32" s="150">
        <v>0</v>
      </c>
      <c r="M32" s="150">
        <v>0</v>
      </c>
      <c r="N32" s="150">
        <v>64</v>
      </c>
      <c r="O32" s="150">
        <v>64</v>
      </c>
      <c r="P32" s="212"/>
    </row>
    <row r="33" spans="1:16" s="1" customFormat="1">
      <c r="A33" s="83">
        <v>1913</v>
      </c>
      <c r="B33" s="87" t="s">
        <v>242</v>
      </c>
      <c r="C33" s="85" t="s">
        <v>249</v>
      </c>
      <c r="D33" s="89" t="s">
        <v>231</v>
      </c>
      <c r="E33" s="85" t="s">
        <v>232</v>
      </c>
      <c r="F33" s="150">
        <v>0</v>
      </c>
      <c r="G33" s="150">
        <v>0</v>
      </c>
      <c r="H33" s="212"/>
      <c r="I33" s="211" t="s">
        <v>233</v>
      </c>
      <c r="J33" s="211" t="s">
        <v>233</v>
      </c>
      <c r="K33" s="150">
        <v>0</v>
      </c>
      <c r="L33" s="150">
        <v>0</v>
      </c>
      <c r="M33" s="150">
        <v>0</v>
      </c>
      <c r="N33" s="150">
        <v>0</v>
      </c>
      <c r="O33" s="150">
        <v>0</v>
      </c>
      <c r="P33" s="212"/>
    </row>
    <row r="34" spans="1:16" s="1" customFormat="1">
      <c r="A34" s="83">
        <v>2011</v>
      </c>
      <c r="B34" s="87" t="s">
        <v>242</v>
      </c>
      <c r="C34" s="85" t="s">
        <v>250</v>
      </c>
      <c r="D34" s="89" t="s">
        <v>231</v>
      </c>
      <c r="E34" s="85" t="s">
        <v>232</v>
      </c>
      <c r="F34" s="150">
        <v>1613</v>
      </c>
      <c r="G34" s="150">
        <v>0</v>
      </c>
      <c r="H34" s="212"/>
      <c r="I34" s="211" t="s">
        <v>233</v>
      </c>
      <c r="J34" s="211" t="s">
        <v>233</v>
      </c>
      <c r="K34" s="150">
        <v>0</v>
      </c>
      <c r="L34" s="150">
        <v>0</v>
      </c>
      <c r="M34" s="150">
        <v>0</v>
      </c>
      <c r="N34" s="150">
        <v>1613</v>
      </c>
      <c r="O34" s="150">
        <v>1613</v>
      </c>
      <c r="P34" s="212"/>
    </row>
    <row r="35" spans="1:16" s="1" customFormat="1">
      <c r="A35" s="83">
        <v>2013</v>
      </c>
      <c r="B35" s="87" t="s">
        <v>242</v>
      </c>
      <c r="C35" s="85" t="s">
        <v>251</v>
      </c>
      <c r="D35" s="89" t="s">
        <v>231</v>
      </c>
      <c r="E35" s="85" t="s">
        <v>232</v>
      </c>
      <c r="F35" s="150">
        <v>64</v>
      </c>
      <c r="G35" s="150">
        <v>0</v>
      </c>
      <c r="H35" s="212"/>
      <c r="I35" s="211" t="s">
        <v>233</v>
      </c>
      <c r="J35" s="211" t="s">
        <v>233</v>
      </c>
      <c r="K35" s="150">
        <v>0</v>
      </c>
      <c r="L35" s="150">
        <v>0</v>
      </c>
      <c r="M35" s="150">
        <v>0</v>
      </c>
      <c r="N35" s="150">
        <v>64</v>
      </c>
      <c r="O35" s="150">
        <v>64</v>
      </c>
      <c r="P35" s="212"/>
    </row>
    <row r="36" spans="1:16" s="1" customFormat="1">
      <c r="A36" s="83">
        <v>2106</v>
      </c>
      <c r="B36" s="87" t="s">
        <v>242</v>
      </c>
      <c r="C36" s="85" t="s">
        <v>252</v>
      </c>
      <c r="D36" s="89" t="s">
        <v>231</v>
      </c>
      <c r="E36" s="85" t="s">
        <v>232</v>
      </c>
      <c r="F36" s="150">
        <v>7659</v>
      </c>
      <c r="G36" s="150">
        <v>0</v>
      </c>
      <c r="H36" s="212"/>
      <c r="I36" s="211" t="s">
        <v>233</v>
      </c>
      <c r="J36" s="211" t="s">
        <v>233</v>
      </c>
      <c r="K36" s="150">
        <v>0</v>
      </c>
      <c r="L36" s="150">
        <v>0</v>
      </c>
      <c r="M36" s="150">
        <v>0</v>
      </c>
      <c r="N36" s="150">
        <v>7659</v>
      </c>
      <c r="O36" s="150">
        <v>7659</v>
      </c>
      <c r="P36" s="212"/>
    </row>
    <row r="37" spans="1:16" s="1" customFormat="1">
      <c r="A37" s="83">
        <v>2165</v>
      </c>
      <c r="B37" s="87" t="s">
        <v>242</v>
      </c>
      <c r="C37" s="85" t="s">
        <v>253</v>
      </c>
      <c r="D37" s="89" t="s">
        <v>231</v>
      </c>
      <c r="E37" s="85" t="s">
        <v>232</v>
      </c>
      <c r="F37" s="150">
        <v>22550</v>
      </c>
      <c r="G37" s="150">
        <v>0</v>
      </c>
      <c r="H37" s="212"/>
      <c r="I37" s="211" t="s">
        <v>233</v>
      </c>
      <c r="J37" s="211" t="s">
        <v>233</v>
      </c>
      <c r="K37" s="150">
        <v>0</v>
      </c>
      <c r="L37" s="150">
        <v>0</v>
      </c>
      <c r="M37" s="150">
        <v>0</v>
      </c>
      <c r="N37" s="150">
        <v>22550</v>
      </c>
      <c r="O37" s="150">
        <v>22550</v>
      </c>
      <c r="P37" s="212"/>
    </row>
    <row r="38" spans="1:16" s="1" customFormat="1">
      <c r="A38" s="83">
        <v>402</v>
      </c>
      <c r="B38" s="87" t="s">
        <v>229</v>
      </c>
      <c r="C38" s="85" t="s">
        <v>230</v>
      </c>
      <c r="D38" s="89" t="s">
        <v>231</v>
      </c>
      <c r="E38" s="85" t="s">
        <v>232</v>
      </c>
      <c r="F38" s="150">
        <v>0</v>
      </c>
      <c r="G38" s="150">
        <v>0</v>
      </c>
      <c r="H38" s="212"/>
      <c r="I38" s="211" t="s">
        <v>233</v>
      </c>
      <c r="J38" s="211" t="s">
        <v>233</v>
      </c>
      <c r="K38" s="150">
        <v>0</v>
      </c>
      <c r="L38" s="150">
        <v>0</v>
      </c>
      <c r="M38" s="150">
        <v>0</v>
      </c>
      <c r="N38" s="150">
        <v>0</v>
      </c>
      <c r="O38" s="150">
        <v>0</v>
      </c>
      <c r="P38" s="212"/>
    </row>
    <row r="39" spans="1:16" s="1" customFormat="1">
      <c r="A39" s="83">
        <v>530</v>
      </c>
      <c r="B39" s="87" t="s">
        <v>229</v>
      </c>
      <c r="C39" s="85" t="s">
        <v>234</v>
      </c>
      <c r="D39" s="89" t="s">
        <v>231</v>
      </c>
      <c r="E39" s="85" t="s">
        <v>232</v>
      </c>
      <c r="F39" s="150">
        <v>0</v>
      </c>
      <c r="G39" s="150">
        <v>0</v>
      </c>
      <c r="H39" s="212"/>
      <c r="I39" s="211" t="s">
        <v>233</v>
      </c>
      <c r="J39" s="211" t="s">
        <v>233</v>
      </c>
      <c r="K39" s="150">
        <v>0</v>
      </c>
      <c r="L39" s="150">
        <v>0</v>
      </c>
      <c r="M39" s="150">
        <v>0</v>
      </c>
      <c r="N39" s="150">
        <v>0</v>
      </c>
      <c r="O39" s="150">
        <v>0</v>
      </c>
      <c r="P39" s="212"/>
    </row>
    <row r="40" spans="1:16" s="1" customFormat="1">
      <c r="A40" s="83">
        <v>570</v>
      </c>
      <c r="B40" s="87" t="s">
        <v>229</v>
      </c>
      <c r="C40" s="85" t="s">
        <v>235</v>
      </c>
      <c r="D40" s="89" t="s">
        <v>231</v>
      </c>
      <c r="E40" s="85" t="s">
        <v>232</v>
      </c>
      <c r="F40" s="150">
        <v>0</v>
      </c>
      <c r="G40" s="150">
        <v>0</v>
      </c>
      <c r="H40" s="212"/>
      <c r="I40" s="211" t="s">
        <v>233</v>
      </c>
      <c r="J40" s="211" t="s">
        <v>233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212"/>
    </row>
    <row r="41" spans="1:16" s="1" customFormat="1">
      <c r="A41" s="83">
        <v>571</v>
      </c>
      <c r="B41" s="87" t="s">
        <v>229</v>
      </c>
      <c r="C41" s="85" t="s">
        <v>236</v>
      </c>
      <c r="D41" s="89" t="s">
        <v>231</v>
      </c>
      <c r="E41" s="85" t="s">
        <v>232</v>
      </c>
      <c r="F41" s="150">
        <v>0</v>
      </c>
      <c r="G41" s="150">
        <v>0</v>
      </c>
      <c r="H41" s="212"/>
      <c r="I41" s="211" t="s">
        <v>233</v>
      </c>
      <c r="J41" s="211" t="s">
        <v>233</v>
      </c>
      <c r="K41" s="150">
        <v>0</v>
      </c>
      <c r="L41" s="150">
        <v>0</v>
      </c>
      <c r="M41" s="150">
        <v>0</v>
      </c>
      <c r="N41" s="150">
        <v>0</v>
      </c>
      <c r="O41" s="150">
        <v>0</v>
      </c>
      <c r="P41" s="212"/>
    </row>
    <row r="42" spans="1:16" s="1" customFormat="1">
      <c r="A42" s="83">
        <v>616</v>
      </c>
      <c r="B42" s="87" t="s">
        <v>229</v>
      </c>
      <c r="C42" s="85" t="s">
        <v>237</v>
      </c>
      <c r="D42" s="89" t="s">
        <v>231</v>
      </c>
      <c r="E42" s="85" t="s">
        <v>232</v>
      </c>
      <c r="F42" s="150">
        <v>83130</v>
      </c>
      <c r="G42" s="150">
        <v>20140</v>
      </c>
      <c r="H42" s="212">
        <v>20654</v>
      </c>
      <c r="I42" s="211" t="s">
        <v>233</v>
      </c>
      <c r="J42" s="211" t="s">
        <v>233</v>
      </c>
      <c r="K42" s="150">
        <v>0</v>
      </c>
      <c r="L42" s="150">
        <v>0</v>
      </c>
      <c r="M42" s="150">
        <v>0</v>
      </c>
      <c r="N42" s="150">
        <v>82616</v>
      </c>
      <c r="O42" s="150">
        <v>82616</v>
      </c>
      <c r="P42" s="212"/>
    </row>
    <row r="43" spans="1:16" s="1" customFormat="1">
      <c r="A43" s="83">
        <v>807</v>
      </c>
      <c r="B43" s="87" t="s">
        <v>229</v>
      </c>
      <c r="C43" s="85" t="s">
        <v>238</v>
      </c>
      <c r="D43" s="89" t="s">
        <v>231</v>
      </c>
      <c r="E43" s="85" t="s">
        <v>232</v>
      </c>
      <c r="F43" s="150">
        <v>0</v>
      </c>
      <c r="G43" s="150">
        <v>0</v>
      </c>
      <c r="H43" s="212"/>
      <c r="I43" s="211" t="s">
        <v>233</v>
      </c>
      <c r="J43" s="211" t="s">
        <v>233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212"/>
    </row>
    <row r="44" spans="1:16" s="1" customFormat="1">
      <c r="A44" s="83">
        <v>833</v>
      </c>
      <c r="B44" s="87" t="s">
        <v>229</v>
      </c>
      <c r="C44" s="85" t="s">
        <v>239</v>
      </c>
      <c r="D44" s="89" t="s">
        <v>231</v>
      </c>
      <c r="E44" s="85" t="s">
        <v>232</v>
      </c>
      <c r="F44" s="150">
        <v>0</v>
      </c>
      <c r="G44" s="150">
        <v>0</v>
      </c>
      <c r="H44" s="212"/>
      <c r="I44" s="211" t="s">
        <v>233</v>
      </c>
      <c r="J44" s="211" t="s">
        <v>233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212"/>
    </row>
    <row r="45" spans="1:16" s="1" customFormat="1">
      <c r="A45" s="83">
        <v>870</v>
      </c>
      <c r="B45" s="87" t="s">
        <v>229</v>
      </c>
      <c r="C45" s="85" t="s">
        <v>285</v>
      </c>
      <c r="D45" s="89" t="s">
        <v>231</v>
      </c>
      <c r="E45" s="85" t="s">
        <v>232</v>
      </c>
      <c r="F45" s="150">
        <v>2632</v>
      </c>
      <c r="G45" s="150">
        <v>0</v>
      </c>
      <c r="H45" s="212">
        <v>526</v>
      </c>
      <c r="I45" s="211" t="s">
        <v>233</v>
      </c>
      <c r="J45" s="211" t="s">
        <v>233</v>
      </c>
      <c r="K45" s="150">
        <v>0</v>
      </c>
      <c r="L45" s="150">
        <v>0</v>
      </c>
      <c r="M45" s="150">
        <v>0</v>
      </c>
      <c r="N45" s="150">
        <v>2106</v>
      </c>
      <c r="O45" s="150">
        <v>2106</v>
      </c>
      <c r="P45" s="212"/>
    </row>
    <row r="46" spans="1:16" s="1" customFormat="1">
      <c r="A46" s="83">
        <v>1017</v>
      </c>
      <c r="B46" s="87" t="s">
        <v>229</v>
      </c>
      <c r="C46" s="85" t="s">
        <v>240</v>
      </c>
      <c r="D46" s="89" t="s">
        <v>231</v>
      </c>
      <c r="E46" s="85" t="s">
        <v>232</v>
      </c>
      <c r="F46" s="150">
        <v>47061</v>
      </c>
      <c r="G46" s="150">
        <v>21654</v>
      </c>
      <c r="H46" s="212">
        <v>13743</v>
      </c>
      <c r="I46" s="211" t="s">
        <v>233</v>
      </c>
      <c r="J46" s="211" t="s">
        <v>233</v>
      </c>
      <c r="K46" s="150">
        <v>0</v>
      </c>
      <c r="L46" s="150">
        <v>0</v>
      </c>
      <c r="M46" s="150">
        <v>0</v>
      </c>
      <c r="N46" s="150">
        <v>54972</v>
      </c>
      <c r="O46" s="150">
        <v>54972</v>
      </c>
      <c r="P46" s="212"/>
    </row>
    <row r="47" spans="1:16" s="1" customFormat="1">
      <c r="A47" s="83">
        <v>1157</v>
      </c>
      <c r="B47" s="87" t="s">
        <v>229</v>
      </c>
      <c r="C47" s="85" t="s">
        <v>241</v>
      </c>
      <c r="D47" s="89" t="s">
        <v>231</v>
      </c>
      <c r="E47" s="85" t="s">
        <v>232</v>
      </c>
      <c r="F47" s="150">
        <v>127401</v>
      </c>
      <c r="G47" s="150">
        <v>84934</v>
      </c>
      <c r="H47" s="212">
        <v>42467</v>
      </c>
      <c r="I47" s="211" t="s">
        <v>233</v>
      </c>
      <c r="J47" s="211" t="s">
        <v>233</v>
      </c>
      <c r="K47" s="150">
        <v>0</v>
      </c>
      <c r="L47" s="150">
        <v>0</v>
      </c>
      <c r="M47" s="150">
        <v>0</v>
      </c>
      <c r="N47" s="150">
        <v>169868</v>
      </c>
      <c r="O47" s="150">
        <v>169868</v>
      </c>
      <c r="P47" s="212"/>
    </row>
    <row r="48" spans="1:16" s="1" customFormat="1">
      <c r="A48" s="83">
        <v>100104</v>
      </c>
      <c r="B48" s="87" t="s">
        <v>272</v>
      </c>
      <c r="C48" s="85" t="s">
        <v>235</v>
      </c>
      <c r="D48" s="89" t="s">
        <v>231</v>
      </c>
      <c r="E48" s="85" t="s">
        <v>232</v>
      </c>
      <c r="F48" s="150">
        <v>8208</v>
      </c>
      <c r="G48" s="150">
        <v>0</v>
      </c>
      <c r="H48" s="212">
        <v>1641</v>
      </c>
      <c r="I48" s="211" t="s">
        <v>233</v>
      </c>
      <c r="J48" s="211" t="s">
        <v>233</v>
      </c>
      <c r="K48" s="150">
        <v>0</v>
      </c>
      <c r="L48" s="150">
        <v>0</v>
      </c>
      <c r="M48" s="150">
        <v>0</v>
      </c>
      <c r="N48" s="150">
        <v>6567</v>
      </c>
      <c r="O48" s="150">
        <v>6567</v>
      </c>
      <c r="P48" s="212"/>
    </row>
    <row r="49" spans="1:16" s="1" customFormat="1">
      <c r="A49" s="83">
        <v>100106</v>
      </c>
      <c r="B49" s="88" t="s">
        <v>272</v>
      </c>
      <c r="C49" s="85" t="s">
        <v>273</v>
      </c>
      <c r="D49" s="89" t="s">
        <v>231</v>
      </c>
      <c r="E49" s="85" t="s">
        <v>232</v>
      </c>
      <c r="F49" s="150">
        <v>0</v>
      </c>
      <c r="G49" s="150">
        <v>0</v>
      </c>
      <c r="H49" s="210"/>
      <c r="I49" s="211" t="s">
        <v>233</v>
      </c>
      <c r="J49" s="211" t="s">
        <v>233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212"/>
    </row>
    <row r="50" spans="1:16" s="1" customFormat="1">
      <c r="A50" s="83">
        <v>100136</v>
      </c>
      <c r="B50" s="88" t="s">
        <v>272</v>
      </c>
      <c r="C50" s="85" t="s">
        <v>298</v>
      </c>
      <c r="D50" s="89" t="s">
        <v>231</v>
      </c>
      <c r="E50" s="85" t="s">
        <v>232</v>
      </c>
      <c r="F50" s="150">
        <v>19634</v>
      </c>
      <c r="G50" s="150">
        <v>0</v>
      </c>
      <c r="H50" s="212">
        <v>3926</v>
      </c>
      <c r="I50" s="211" t="s">
        <v>233</v>
      </c>
      <c r="J50" s="211" t="s">
        <v>233</v>
      </c>
      <c r="K50" s="150">
        <v>0</v>
      </c>
      <c r="L50" s="150">
        <v>0</v>
      </c>
      <c r="M50" s="150">
        <v>0</v>
      </c>
      <c r="N50" s="150">
        <v>15708</v>
      </c>
      <c r="O50" s="150">
        <v>15708</v>
      </c>
      <c r="P50" s="212"/>
    </row>
    <row r="51" spans="1:16" s="1" customFormat="1">
      <c r="A51" s="83">
        <v>100217</v>
      </c>
      <c r="B51" s="88" t="s">
        <v>272</v>
      </c>
      <c r="C51" s="85" t="s">
        <v>274</v>
      </c>
      <c r="D51" s="89" t="s">
        <v>231</v>
      </c>
      <c r="E51" s="85" t="s">
        <v>232</v>
      </c>
      <c r="F51" s="150">
        <v>0</v>
      </c>
      <c r="G51" s="150">
        <v>0</v>
      </c>
      <c r="H51" s="210"/>
      <c r="I51" s="211" t="s">
        <v>233</v>
      </c>
      <c r="J51" s="211" t="s">
        <v>233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212"/>
    </row>
    <row r="52" spans="1:16" s="1" customFormat="1">
      <c r="A52" s="83">
        <v>100254</v>
      </c>
      <c r="B52" s="88" t="s">
        <v>272</v>
      </c>
      <c r="C52" s="85" t="s">
        <v>275</v>
      </c>
      <c r="D52" s="89" t="s">
        <v>231</v>
      </c>
      <c r="E52" s="85" t="s">
        <v>232</v>
      </c>
      <c r="F52" s="150">
        <v>0</v>
      </c>
      <c r="G52" s="150">
        <v>0</v>
      </c>
      <c r="H52" s="210"/>
      <c r="I52" s="211" t="s">
        <v>233</v>
      </c>
      <c r="J52" s="211" t="s">
        <v>233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212"/>
    </row>
    <row r="53" spans="1:16" s="1" customFormat="1">
      <c r="A53" s="83">
        <v>100290</v>
      </c>
      <c r="B53" s="88" t="s">
        <v>272</v>
      </c>
      <c r="C53" s="85" t="s">
        <v>276</v>
      </c>
      <c r="D53" s="89" t="s">
        <v>231</v>
      </c>
      <c r="E53" s="85" t="s">
        <v>232</v>
      </c>
      <c r="F53" s="150">
        <v>0</v>
      </c>
      <c r="G53" s="150">
        <v>0</v>
      </c>
      <c r="H53" s="210"/>
      <c r="I53" s="211" t="s">
        <v>233</v>
      </c>
      <c r="J53" s="211" t="s">
        <v>233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212"/>
    </row>
    <row r="54" spans="1:16" s="1" customFormat="1">
      <c r="A54" s="83">
        <v>100307</v>
      </c>
      <c r="B54" s="88" t="s">
        <v>272</v>
      </c>
      <c r="C54" s="85" t="s">
        <v>277</v>
      </c>
      <c r="D54" s="89" t="s">
        <v>231</v>
      </c>
      <c r="E54" s="85" t="s">
        <v>232</v>
      </c>
      <c r="F54" s="150">
        <v>0</v>
      </c>
      <c r="G54" s="150">
        <v>0</v>
      </c>
      <c r="H54" s="212"/>
      <c r="I54" s="211" t="s">
        <v>233</v>
      </c>
      <c r="J54" s="211" t="s">
        <v>233</v>
      </c>
      <c r="K54" s="150">
        <v>0</v>
      </c>
      <c r="L54" s="150">
        <v>0</v>
      </c>
      <c r="M54" s="150">
        <v>0</v>
      </c>
      <c r="N54" s="150">
        <v>0</v>
      </c>
      <c r="O54" s="150">
        <v>0</v>
      </c>
      <c r="P54" s="212"/>
    </row>
    <row r="55" spans="1:16" s="1" customFormat="1">
      <c r="A55" s="83">
        <v>100308</v>
      </c>
      <c r="B55" s="88" t="s">
        <v>272</v>
      </c>
      <c r="C55" s="85" t="s">
        <v>278</v>
      </c>
      <c r="D55" s="89" t="s">
        <v>231</v>
      </c>
      <c r="E55" s="85" t="s">
        <v>232</v>
      </c>
      <c r="F55" s="150">
        <v>0</v>
      </c>
      <c r="G55" s="150">
        <v>0</v>
      </c>
      <c r="H55" s="212"/>
      <c r="I55" s="211" t="s">
        <v>233</v>
      </c>
      <c r="J55" s="211" t="s">
        <v>233</v>
      </c>
      <c r="K55" s="150">
        <v>0</v>
      </c>
      <c r="L55" s="150">
        <v>0</v>
      </c>
      <c r="M55" s="150">
        <v>0</v>
      </c>
      <c r="N55" s="150">
        <v>0</v>
      </c>
      <c r="O55" s="150">
        <v>0</v>
      </c>
      <c r="P55" s="212"/>
    </row>
    <row r="56" spans="1:16" s="1" customFormat="1">
      <c r="A56" s="83">
        <v>100553</v>
      </c>
      <c r="B56" s="88" t="s">
        <v>272</v>
      </c>
      <c r="C56" s="85" t="s">
        <v>279</v>
      </c>
      <c r="D56" s="89" t="s">
        <v>231</v>
      </c>
      <c r="E56" s="85" t="s">
        <v>232</v>
      </c>
      <c r="F56" s="150">
        <v>90252</v>
      </c>
      <c r="G56" s="150">
        <v>0</v>
      </c>
      <c r="H56" s="210">
        <v>18050</v>
      </c>
      <c r="I56" s="211" t="s">
        <v>233</v>
      </c>
      <c r="J56" s="211" t="s">
        <v>233</v>
      </c>
      <c r="K56" s="150">
        <v>0</v>
      </c>
      <c r="L56" s="150">
        <v>0</v>
      </c>
      <c r="M56" s="150">
        <v>0</v>
      </c>
      <c r="N56" s="150">
        <v>72202</v>
      </c>
      <c r="O56" s="150">
        <v>72202</v>
      </c>
      <c r="P56" s="212"/>
    </row>
    <row r="57" spans="1:16" s="1" customFormat="1">
      <c r="A57" s="83">
        <v>100594</v>
      </c>
      <c r="B57" s="88" t="s">
        <v>272</v>
      </c>
      <c r="C57" s="85" t="s">
        <v>296</v>
      </c>
      <c r="D57" s="89" t="s">
        <v>231</v>
      </c>
      <c r="E57" s="85" t="s">
        <v>232</v>
      </c>
      <c r="F57" s="150">
        <v>6544</v>
      </c>
      <c r="G57" s="150">
        <v>0</v>
      </c>
      <c r="H57" s="210">
        <v>1308</v>
      </c>
      <c r="I57" s="211" t="s">
        <v>233</v>
      </c>
      <c r="J57" s="211" t="s">
        <v>233</v>
      </c>
      <c r="K57" s="150">
        <v>0</v>
      </c>
      <c r="L57" s="150">
        <v>0</v>
      </c>
      <c r="M57" s="150">
        <v>0</v>
      </c>
      <c r="N57" s="150">
        <v>5236</v>
      </c>
      <c r="O57" s="150">
        <v>5236</v>
      </c>
      <c r="P57" s="212"/>
    </row>
    <row r="58" spans="1:16" s="1" customFormat="1">
      <c r="A58" s="83">
        <v>100136</v>
      </c>
      <c r="B58" s="88" t="s">
        <v>377</v>
      </c>
      <c r="C58" s="85" t="s">
        <v>378</v>
      </c>
      <c r="D58" s="89" t="s">
        <v>231</v>
      </c>
      <c r="E58" s="85" t="s">
        <v>232</v>
      </c>
      <c r="F58" s="150">
        <v>10466</v>
      </c>
      <c r="G58" s="150">
        <v>0</v>
      </c>
      <c r="H58" s="210">
        <v>2093</v>
      </c>
      <c r="I58" s="211" t="s">
        <v>233</v>
      </c>
      <c r="J58" s="211" t="s">
        <v>233</v>
      </c>
      <c r="K58" s="150">
        <v>0</v>
      </c>
      <c r="L58" s="150">
        <v>0</v>
      </c>
      <c r="M58" s="150">
        <v>0</v>
      </c>
      <c r="N58" s="150">
        <v>8373</v>
      </c>
      <c r="O58" s="150">
        <v>8373</v>
      </c>
      <c r="P58" s="212"/>
    </row>
    <row r="59" spans="1:16" s="1" customFormat="1">
      <c r="A59" s="83">
        <v>100594</v>
      </c>
      <c r="B59" s="87" t="s">
        <v>377</v>
      </c>
      <c r="C59" s="85" t="s">
        <v>379</v>
      </c>
      <c r="D59" s="90" t="s">
        <v>231</v>
      </c>
      <c r="E59" s="85" t="s">
        <v>232</v>
      </c>
      <c r="F59" s="150">
        <v>8715</v>
      </c>
      <c r="G59" s="150">
        <v>0</v>
      </c>
      <c r="H59" s="212">
        <v>1743</v>
      </c>
      <c r="I59" s="211" t="s">
        <v>233</v>
      </c>
      <c r="J59" s="211" t="s">
        <v>233</v>
      </c>
      <c r="K59" s="150">
        <v>0</v>
      </c>
      <c r="L59" s="150">
        <v>0</v>
      </c>
      <c r="M59" s="150">
        <v>0</v>
      </c>
      <c r="N59" s="150">
        <v>6972</v>
      </c>
      <c r="O59" s="150">
        <v>6972</v>
      </c>
      <c r="P59" s="212"/>
    </row>
    <row r="60" spans="1:16" s="1" customFormat="1">
      <c r="A60" s="83">
        <v>101077</v>
      </c>
      <c r="B60" s="87" t="s">
        <v>377</v>
      </c>
      <c r="C60" s="85" t="s">
        <v>380</v>
      </c>
      <c r="D60" s="90" t="s">
        <v>231</v>
      </c>
      <c r="E60" s="85" t="s">
        <v>232</v>
      </c>
      <c r="F60" s="150">
        <v>29038</v>
      </c>
      <c r="G60" s="150">
        <v>0</v>
      </c>
      <c r="H60" s="212">
        <v>5807</v>
      </c>
      <c r="I60" s="211" t="s">
        <v>233</v>
      </c>
      <c r="J60" s="211" t="s">
        <v>233</v>
      </c>
      <c r="K60" s="150">
        <v>0</v>
      </c>
      <c r="L60" s="150">
        <v>0</v>
      </c>
      <c r="M60" s="150">
        <v>0</v>
      </c>
      <c r="N60" s="150">
        <v>23231</v>
      </c>
      <c r="O60" s="150">
        <v>23231</v>
      </c>
      <c r="P60" s="212"/>
    </row>
    <row r="61" spans="1:16" s="1" customFormat="1">
      <c r="A61" s="83">
        <v>101095</v>
      </c>
      <c r="B61" s="87" t="s">
        <v>377</v>
      </c>
      <c r="C61" s="85" t="s">
        <v>381</v>
      </c>
      <c r="D61" s="90" t="s">
        <v>231</v>
      </c>
      <c r="E61" s="85" t="s">
        <v>232</v>
      </c>
      <c r="F61" s="150">
        <v>1332</v>
      </c>
      <c r="G61" s="150">
        <v>0</v>
      </c>
      <c r="H61" s="212">
        <v>266</v>
      </c>
      <c r="I61" s="211" t="s">
        <v>233</v>
      </c>
      <c r="J61" s="211" t="s">
        <v>233</v>
      </c>
      <c r="K61" s="150">
        <v>0</v>
      </c>
      <c r="L61" s="150">
        <v>0</v>
      </c>
      <c r="M61" s="150">
        <v>0</v>
      </c>
      <c r="N61" s="150">
        <v>1066</v>
      </c>
      <c r="O61" s="150">
        <v>1066</v>
      </c>
      <c r="P61" s="212"/>
    </row>
    <row r="62" spans="1:16" s="1" customFormat="1">
      <c r="A62" s="83">
        <v>101114</v>
      </c>
      <c r="B62" s="87" t="s">
        <v>377</v>
      </c>
      <c r="C62" s="85" t="s">
        <v>382</v>
      </c>
      <c r="D62" s="90" t="s">
        <v>231</v>
      </c>
      <c r="E62" s="85" t="s">
        <v>232</v>
      </c>
      <c r="F62" s="150">
        <v>7611</v>
      </c>
      <c r="G62" s="150">
        <v>0</v>
      </c>
      <c r="H62" s="212">
        <v>1522</v>
      </c>
      <c r="I62" s="211" t="s">
        <v>233</v>
      </c>
      <c r="J62" s="211" t="s">
        <v>233</v>
      </c>
      <c r="K62" s="150">
        <v>0</v>
      </c>
      <c r="L62" s="150">
        <v>0</v>
      </c>
      <c r="M62" s="150">
        <v>0</v>
      </c>
      <c r="N62" s="150">
        <v>6089</v>
      </c>
      <c r="O62" s="150">
        <v>6089</v>
      </c>
      <c r="P62" s="212"/>
    </row>
    <row r="63" spans="1:16" s="1" customFormat="1">
      <c r="A63" s="83">
        <v>101117</v>
      </c>
      <c r="B63" s="87" t="s">
        <v>377</v>
      </c>
      <c r="C63" s="85" t="s">
        <v>383</v>
      </c>
      <c r="D63" s="90" t="s">
        <v>231</v>
      </c>
      <c r="E63" s="85" t="s">
        <v>232</v>
      </c>
      <c r="F63" s="150">
        <v>28620</v>
      </c>
      <c r="G63" s="150">
        <v>0</v>
      </c>
      <c r="H63" s="212">
        <v>5724</v>
      </c>
      <c r="I63" s="211" t="s">
        <v>233</v>
      </c>
      <c r="J63" s="211" t="s">
        <v>233</v>
      </c>
      <c r="K63" s="150">
        <v>0</v>
      </c>
      <c r="L63" s="150">
        <v>0</v>
      </c>
      <c r="M63" s="150">
        <v>0</v>
      </c>
      <c r="N63" s="150">
        <v>22896</v>
      </c>
      <c r="O63" s="150">
        <v>22896</v>
      </c>
      <c r="P63" s="212"/>
    </row>
    <row r="64" spans="1:16" s="1" customFormat="1">
      <c r="A64" s="83">
        <v>101272</v>
      </c>
      <c r="B64" s="87" t="s">
        <v>377</v>
      </c>
      <c r="C64" s="85" t="s">
        <v>384</v>
      </c>
      <c r="D64" s="90" t="s">
        <v>231</v>
      </c>
      <c r="E64" s="85" t="s">
        <v>232</v>
      </c>
      <c r="F64" s="150">
        <v>0</v>
      </c>
      <c r="G64" s="150">
        <v>0</v>
      </c>
      <c r="H64" s="212"/>
      <c r="I64" s="211" t="s">
        <v>233</v>
      </c>
      <c r="J64" s="211" t="s">
        <v>233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212"/>
    </row>
    <row r="65" spans="1:16" s="1" customFormat="1">
      <c r="A65" s="83">
        <v>0</v>
      </c>
      <c r="B65" s="87" t="s">
        <v>254</v>
      </c>
      <c r="C65" s="85" t="s">
        <v>340</v>
      </c>
      <c r="D65" s="90" t="s">
        <v>341</v>
      </c>
      <c r="E65" s="85" t="s">
        <v>232</v>
      </c>
      <c r="F65" s="150">
        <v>2584</v>
      </c>
      <c r="G65" s="150">
        <v>0</v>
      </c>
      <c r="H65" s="212"/>
      <c r="I65" s="211" t="s">
        <v>233</v>
      </c>
      <c r="J65" s="211" t="s">
        <v>233</v>
      </c>
      <c r="K65" s="150">
        <v>0</v>
      </c>
      <c r="L65" s="150">
        <v>0</v>
      </c>
      <c r="M65" s="150">
        <v>0</v>
      </c>
      <c r="N65" s="150">
        <v>2584</v>
      </c>
      <c r="O65" s="150">
        <v>2584</v>
      </c>
      <c r="P65" s="212"/>
    </row>
    <row r="66" spans="1:16" s="1" customFormat="1">
      <c r="A66" s="83">
        <v>0</v>
      </c>
      <c r="B66" s="87" t="s">
        <v>254</v>
      </c>
      <c r="C66" s="85" t="s">
        <v>342</v>
      </c>
      <c r="D66" s="90" t="s">
        <v>341</v>
      </c>
      <c r="E66" s="85" t="s">
        <v>232</v>
      </c>
      <c r="F66" s="150">
        <v>16296</v>
      </c>
      <c r="G66" s="150">
        <v>0</v>
      </c>
      <c r="H66" s="212"/>
      <c r="I66" s="211" t="s">
        <v>233</v>
      </c>
      <c r="J66" s="211" t="s">
        <v>233</v>
      </c>
      <c r="K66" s="150">
        <v>0</v>
      </c>
      <c r="L66" s="150">
        <v>0</v>
      </c>
      <c r="M66" s="150">
        <v>0</v>
      </c>
      <c r="N66" s="150">
        <v>16296</v>
      </c>
      <c r="O66" s="150">
        <v>16296</v>
      </c>
      <c r="P66" s="212"/>
    </row>
    <row r="67" spans="1:16" s="1" customFormat="1">
      <c r="A67" s="83">
        <v>0</v>
      </c>
      <c r="B67" s="87" t="s">
        <v>254</v>
      </c>
      <c r="C67" s="85" t="s">
        <v>343</v>
      </c>
      <c r="D67" s="90" t="s">
        <v>341</v>
      </c>
      <c r="E67" s="85" t="s">
        <v>232</v>
      </c>
      <c r="F67" s="150">
        <v>0</v>
      </c>
      <c r="G67" s="150">
        <v>0</v>
      </c>
      <c r="H67" s="212"/>
      <c r="I67" s="211" t="s">
        <v>233</v>
      </c>
      <c r="J67" s="211" t="s">
        <v>233</v>
      </c>
      <c r="K67" s="150">
        <v>0</v>
      </c>
      <c r="L67" s="150">
        <v>0</v>
      </c>
      <c r="M67" s="150">
        <v>0</v>
      </c>
      <c r="N67" s="150">
        <v>0</v>
      </c>
      <c r="O67" s="150">
        <v>0</v>
      </c>
      <c r="P67" s="212"/>
    </row>
    <row r="68" spans="1:16" s="1" customFormat="1">
      <c r="A68" s="83">
        <v>0</v>
      </c>
      <c r="B68" s="87" t="s">
        <v>254</v>
      </c>
      <c r="C68" s="85" t="s">
        <v>344</v>
      </c>
      <c r="D68" s="90" t="s">
        <v>341</v>
      </c>
      <c r="E68" s="85" t="s">
        <v>232</v>
      </c>
      <c r="F68" s="150">
        <v>2734</v>
      </c>
      <c r="G68" s="150">
        <v>0</v>
      </c>
      <c r="H68" s="212"/>
      <c r="I68" s="211" t="s">
        <v>233</v>
      </c>
      <c r="J68" s="211" t="s">
        <v>233</v>
      </c>
      <c r="K68" s="150">
        <v>0</v>
      </c>
      <c r="L68" s="150">
        <v>0</v>
      </c>
      <c r="M68" s="150">
        <v>0</v>
      </c>
      <c r="N68" s="150">
        <v>2734</v>
      </c>
      <c r="O68" s="150">
        <v>2734</v>
      </c>
      <c r="P68" s="212"/>
    </row>
    <row r="69" spans="1:16">
      <c r="O69" s="140">
        <f>SUM(O10:O68)</f>
        <v>1034633</v>
      </c>
    </row>
    <row r="77" spans="1:16">
      <c r="O77" s="132"/>
    </row>
  </sheetData>
  <phoneticPr fontId="31" type="noConversion"/>
  <pageMargins left="0.75" right="0.75" top="1" bottom="1" header="0.5" footer="0.5"/>
  <pageSetup paperSize="9" orientation="portrait" horizontalDpi="4294967292" vertic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AH172"/>
  <sheetViews>
    <sheetView showGridLines="0" workbookViewId="0">
      <selection activeCell="I7" sqref="I7"/>
    </sheetView>
  </sheetViews>
  <sheetFormatPr defaultColWidth="11.44140625" defaultRowHeight="15.6"/>
  <cols>
    <col min="1" max="1" width="5.44140625" style="102" customWidth="1"/>
    <col min="2" max="2" width="12.77734375" style="102" customWidth="1"/>
    <col min="3" max="3" width="14.33203125" style="102" customWidth="1"/>
    <col min="4" max="4" width="13.77734375" style="102" bestFit="1" customWidth="1"/>
    <col min="5" max="6" width="13.109375" style="102" bestFit="1" customWidth="1"/>
    <col min="7" max="8" width="13.77734375" style="102" bestFit="1" customWidth="1"/>
    <col min="9" max="9" width="17.88671875" style="102" bestFit="1" customWidth="1"/>
    <col min="10" max="13" width="11.44140625" style="102"/>
    <col min="14" max="14" width="12.21875" style="102" bestFit="1" customWidth="1"/>
    <col min="15" max="16384" width="11.44140625" style="102"/>
  </cols>
  <sheetData>
    <row r="2" spans="1:34">
      <c r="B2" s="15" t="s">
        <v>0</v>
      </c>
      <c r="C2" s="15" t="s">
        <v>31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</row>
    <row r="3" spans="1:34">
      <c r="B3" s="118" t="s">
        <v>393</v>
      </c>
      <c r="C3" s="118" t="s">
        <v>429</v>
      </c>
      <c r="D3" s="53">
        <v>11017001</v>
      </c>
      <c r="E3" s="10">
        <v>0</v>
      </c>
      <c r="F3" s="11">
        <f t="shared" ref="F3" si="0">D3</f>
        <v>11017001</v>
      </c>
      <c r="G3" s="14">
        <f t="shared" ref="G3" si="1">F3*20%</f>
        <v>2203400.2000000002</v>
      </c>
      <c r="H3" s="127">
        <f t="shared" ref="H3" si="2">F3*80%</f>
        <v>8813600.8000000007</v>
      </c>
      <c r="I3" s="139" t="s">
        <v>477</v>
      </c>
    </row>
    <row r="4" spans="1:34">
      <c r="B4" s="16" t="s">
        <v>20</v>
      </c>
      <c r="C4" s="17"/>
      <c r="D4" s="18">
        <f>SUM(D3:D3)</f>
        <v>11017001</v>
      </c>
      <c r="E4" s="18">
        <f>SUM(E3:E3)</f>
        <v>0</v>
      </c>
      <c r="F4" s="18">
        <f>SUM(F3:F3)</f>
        <v>11017001</v>
      </c>
      <c r="G4" s="18">
        <f>SUM(G3:G3)</f>
        <v>2203400.2000000002</v>
      </c>
      <c r="H4" s="18">
        <f>SUM(H3:H3)</f>
        <v>8813600.8000000007</v>
      </c>
      <c r="I4" s="18"/>
    </row>
    <row r="5" spans="1:34">
      <c r="G5" s="103">
        <f>F4*0.2</f>
        <v>2203400.2000000002</v>
      </c>
      <c r="H5" s="103">
        <f>F4*0.8</f>
        <v>8813600.8000000007</v>
      </c>
    </row>
    <row r="8" spans="1:34">
      <c r="A8" s="102" t="s">
        <v>284</v>
      </c>
      <c r="C8" s="140"/>
    </row>
    <row r="9" spans="1:34">
      <c r="A9" s="276" t="s">
        <v>49</v>
      </c>
      <c r="B9" s="276" t="s">
        <v>394</v>
      </c>
      <c r="C9" s="276" t="s">
        <v>395</v>
      </c>
      <c r="D9" s="276" t="s">
        <v>396</v>
      </c>
      <c r="E9" s="276" t="s">
        <v>397</v>
      </c>
      <c r="F9" s="276" t="s">
        <v>398</v>
      </c>
      <c r="G9" s="276" t="s">
        <v>399</v>
      </c>
      <c r="H9" s="276" t="s">
        <v>400</v>
      </c>
      <c r="I9" s="276" t="s">
        <v>401</v>
      </c>
      <c r="J9" s="276" t="s">
        <v>402</v>
      </c>
      <c r="K9" s="276" t="s">
        <v>403</v>
      </c>
      <c r="L9" s="276" t="s">
        <v>404</v>
      </c>
      <c r="M9" s="276" t="s">
        <v>405</v>
      </c>
      <c r="N9" s="276" t="s">
        <v>406</v>
      </c>
      <c r="O9" s="276" t="s">
        <v>407</v>
      </c>
      <c r="P9" s="276" t="s">
        <v>408</v>
      </c>
      <c r="Q9" s="276" t="s">
        <v>409</v>
      </c>
      <c r="R9" s="276" t="s">
        <v>410</v>
      </c>
      <c r="S9" s="276" t="s">
        <v>411</v>
      </c>
      <c r="T9" s="276" t="s">
        <v>412</v>
      </c>
      <c r="U9" s="276" t="s">
        <v>413</v>
      </c>
      <c r="V9" s="276" t="s">
        <v>414</v>
      </c>
      <c r="W9" s="276" t="s">
        <v>415</v>
      </c>
      <c r="X9" s="276" t="s">
        <v>416</v>
      </c>
      <c r="Y9" s="276" t="s">
        <v>417</v>
      </c>
      <c r="Z9" s="276" t="s">
        <v>418</v>
      </c>
      <c r="AA9" s="276" t="s">
        <v>419</v>
      </c>
      <c r="AB9" s="276" t="s">
        <v>420</v>
      </c>
      <c r="AC9" s="276" t="s">
        <v>421</v>
      </c>
      <c r="AD9" s="276" t="s">
        <v>422</v>
      </c>
      <c r="AE9" s="276" t="s">
        <v>423</v>
      </c>
      <c r="AF9" s="276" t="s">
        <v>424</v>
      </c>
      <c r="AG9" s="276" t="s">
        <v>425</v>
      </c>
      <c r="AH9" s="276" t="s">
        <v>426</v>
      </c>
    </row>
    <row r="10" spans="1:34">
      <c r="A10" s="277" t="s">
        <v>427</v>
      </c>
      <c r="B10" s="277">
        <v>400</v>
      </c>
      <c r="C10" s="277">
        <v>2800</v>
      </c>
      <c r="D10" s="277">
        <v>7</v>
      </c>
      <c r="E10" s="277">
        <v>0</v>
      </c>
      <c r="F10" s="277">
        <v>10800</v>
      </c>
      <c r="G10" s="277">
        <v>54</v>
      </c>
      <c r="H10" s="277">
        <v>0</v>
      </c>
      <c r="I10" s="277">
        <v>0</v>
      </c>
      <c r="J10" s="277">
        <v>0</v>
      </c>
      <c r="K10" s="277">
        <v>0</v>
      </c>
      <c r="L10" s="277">
        <v>0</v>
      </c>
      <c r="M10" s="277">
        <v>0</v>
      </c>
      <c r="N10" s="277">
        <v>0</v>
      </c>
      <c r="O10" s="277">
        <v>0</v>
      </c>
      <c r="P10" s="277">
        <v>0</v>
      </c>
      <c r="Q10" s="277">
        <v>-400</v>
      </c>
      <c r="R10" s="277">
        <v>2</v>
      </c>
      <c r="S10" s="277">
        <v>0</v>
      </c>
      <c r="T10" s="277">
        <v>0</v>
      </c>
      <c r="U10" s="277">
        <v>0</v>
      </c>
      <c r="V10" s="277">
        <v>0</v>
      </c>
      <c r="W10" s="277">
        <v>0</v>
      </c>
      <c r="X10" s="277">
        <v>0</v>
      </c>
      <c r="Y10" s="277">
        <v>13600</v>
      </c>
      <c r="Z10" s="277">
        <v>61</v>
      </c>
      <c r="AA10" s="277">
        <v>-400</v>
      </c>
      <c r="AB10" s="277">
        <v>2</v>
      </c>
      <c r="AC10" s="277">
        <v>11300</v>
      </c>
      <c r="AD10" s="277">
        <v>-400</v>
      </c>
      <c r="AE10" s="277">
        <v>2758.1</v>
      </c>
      <c r="AF10" s="277">
        <v>-827.43</v>
      </c>
      <c r="AG10" s="277">
        <v>0</v>
      </c>
      <c r="AH10" s="277">
        <v>8981.4699999999993</v>
      </c>
    </row>
    <row r="11" spans="1:34">
      <c r="A11" s="277" t="s">
        <v>427</v>
      </c>
      <c r="B11" s="277">
        <v>400</v>
      </c>
      <c r="C11" s="277">
        <v>2800</v>
      </c>
      <c r="D11" s="277">
        <v>7</v>
      </c>
      <c r="E11" s="277">
        <v>0</v>
      </c>
      <c r="F11" s="277">
        <v>11400</v>
      </c>
      <c r="G11" s="277">
        <v>57</v>
      </c>
      <c r="H11" s="277">
        <v>0</v>
      </c>
      <c r="I11" s="277">
        <v>0</v>
      </c>
      <c r="J11" s="277">
        <v>0</v>
      </c>
      <c r="K11" s="277">
        <v>0</v>
      </c>
      <c r="L11" s="277">
        <v>0</v>
      </c>
      <c r="M11" s="277">
        <v>0</v>
      </c>
      <c r="N11" s="277">
        <v>0</v>
      </c>
      <c r="O11" s="277">
        <v>0</v>
      </c>
      <c r="P11" s="277">
        <v>0</v>
      </c>
      <c r="Q11" s="277">
        <v>0</v>
      </c>
      <c r="R11" s="277">
        <v>0</v>
      </c>
      <c r="S11" s="277">
        <v>0</v>
      </c>
      <c r="T11" s="277">
        <v>0</v>
      </c>
      <c r="U11" s="277">
        <v>0</v>
      </c>
      <c r="V11" s="277">
        <v>0</v>
      </c>
      <c r="W11" s="277">
        <v>0</v>
      </c>
      <c r="X11" s="277">
        <v>0</v>
      </c>
      <c r="Y11" s="277">
        <v>14200</v>
      </c>
      <c r="Z11" s="277">
        <v>64</v>
      </c>
      <c r="AA11" s="277">
        <v>0</v>
      </c>
      <c r="AB11" s="277">
        <v>0</v>
      </c>
      <c r="AC11" s="277">
        <v>12054</v>
      </c>
      <c r="AD11" s="277">
        <v>0</v>
      </c>
      <c r="AE11" s="277">
        <v>2573.3000000000002</v>
      </c>
      <c r="AF11" s="277">
        <v>-771.99</v>
      </c>
      <c r="AG11" s="277">
        <v>0</v>
      </c>
      <c r="AH11" s="277">
        <v>9698.7199999999993</v>
      </c>
    </row>
    <row r="12" spans="1:34">
      <c r="A12" s="277" t="s">
        <v>427</v>
      </c>
      <c r="B12" s="277">
        <v>400</v>
      </c>
      <c r="C12" s="277">
        <v>2800</v>
      </c>
      <c r="D12" s="277">
        <v>7</v>
      </c>
      <c r="E12" s="277">
        <v>0</v>
      </c>
      <c r="F12" s="277">
        <v>10800</v>
      </c>
      <c r="G12" s="277">
        <v>54</v>
      </c>
      <c r="H12" s="277">
        <v>0</v>
      </c>
      <c r="I12" s="277">
        <v>0</v>
      </c>
      <c r="J12" s="277">
        <v>0</v>
      </c>
      <c r="K12" s="277">
        <v>0</v>
      </c>
      <c r="L12" s="277">
        <v>0</v>
      </c>
      <c r="M12" s="277">
        <v>0</v>
      </c>
      <c r="N12" s="277">
        <v>0</v>
      </c>
      <c r="O12" s="277">
        <v>0</v>
      </c>
      <c r="P12" s="277">
        <v>0</v>
      </c>
      <c r="Q12" s="277">
        <v>-400</v>
      </c>
      <c r="R12" s="277">
        <v>2</v>
      </c>
      <c r="S12" s="277">
        <v>0</v>
      </c>
      <c r="T12" s="277">
        <v>0</v>
      </c>
      <c r="U12" s="277">
        <v>0</v>
      </c>
      <c r="V12" s="277">
        <v>0</v>
      </c>
      <c r="W12" s="277">
        <v>0</v>
      </c>
      <c r="X12" s="277">
        <v>0</v>
      </c>
      <c r="Y12" s="277">
        <v>13600</v>
      </c>
      <c r="Z12" s="277">
        <v>61</v>
      </c>
      <c r="AA12" s="277">
        <v>-400</v>
      </c>
      <c r="AB12" s="277">
        <v>2</v>
      </c>
      <c r="AC12" s="277">
        <v>11600</v>
      </c>
      <c r="AD12" s="277">
        <v>-400</v>
      </c>
      <c r="AE12" s="277">
        <v>2398.1</v>
      </c>
      <c r="AF12" s="277">
        <v>-719.43</v>
      </c>
      <c r="AG12" s="277">
        <v>0</v>
      </c>
      <c r="AH12" s="277">
        <v>9015.07</v>
      </c>
    </row>
    <row r="13" spans="1:34">
      <c r="A13" s="277" t="s">
        <v>427</v>
      </c>
      <c r="B13" s="277">
        <v>400</v>
      </c>
      <c r="C13" s="277">
        <v>2400</v>
      </c>
      <c r="D13" s="277">
        <v>6</v>
      </c>
      <c r="E13" s="277">
        <v>0</v>
      </c>
      <c r="F13" s="277">
        <v>9600</v>
      </c>
      <c r="G13" s="277">
        <v>48</v>
      </c>
      <c r="H13" s="277">
        <v>0</v>
      </c>
      <c r="I13" s="277">
        <v>0</v>
      </c>
      <c r="J13" s="277">
        <v>0</v>
      </c>
      <c r="K13" s="277">
        <v>0</v>
      </c>
      <c r="L13" s="277">
        <v>0</v>
      </c>
      <c r="M13" s="277">
        <v>0</v>
      </c>
      <c r="N13" s="277">
        <v>0</v>
      </c>
      <c r="O13" s="277">
        <v>0</v>
      </c>
      <c r="P13" s="277">
        <v>0</v>
      </c>
      <c r="Q13" s="277">
        <v>-200</v>
      </c>
      <c r="R13" s="277">
        <v>1</v>
      </c>
      <c r="S13" s="277">
        <v>0</v>
      </c>
      <c r="T13" s="277">
        <v>0</v>
      </c>
      <c r="U13" s="277">
        <v>0</v>
      </c>
      <c r="V13" s="277">
        <v>0</v>
      </c>
      <c r="W13" s="277">
        <v>0</v>
      </c>
      <c r="X13" s="277">
        <v>0</v>
      </c>
      <c r="Y13" s="277">
        <v>12000</v>
      </c>
      <c r="Z13" s="277">
        <v>54</v>
      </c>
      <c r="AA13" s="277">
        <v>-200</v>
      </c>
      <c r="AB13" s="277">
        <v>1</v>
      </c>
      <c r="AC13" s="277">
        <v>10000</v>
      </c>
      <c r="AD13" s="277">
        <v>-200</v>
      </c>
      <c r="AE13" s="277">
        <v>2398.1</v>
      </c>
      <c r="AF13" s="277">
        <v>-719.43</v>
      </c>
      <c r="AG13" s="277">
        <v>0</v>
      </c>
      <c r="AH13" s="277">
        <v>8035.07</v>
      </c>
    </row>
    <row r="14" spans="1:34">
      <c r="A14" s="277" t="s">
        <v>427</v>
      </c>
      <c r="B14" s="277">
        <v>400</v>
      </c>
      <c r="C14" s="277">
        <v>2400</v>
      </c>
      <c r="D14" s="277">
        <v>6</v>
      </c>
      <c r="E14" s="277">
        <v>0</v>
      </c>
      <c r="F14" s="277">
        <v>7400</v>
      </c>
      <c r="G14" s="277">
        <v>37</v>
      </c>
      <c r="H14" s="277">
        <v>0</v>
      </c>
      <c r="I14" s="277">
        <v>0</v>
      </c>
      <c r="J14" s="277">
        <v>0</v>
      </c>
      <c r="K14" s="277">
        <v>0</v>
      </c>
      <c r="L14" s="277">
        <v>0</v>
      </c>
      <c r="M14" s="277">
        <v>0</v>
      </c>
      <c r="N14" s="277">
        <v>0</v>
      </c>
      <c r="O14" s="277">
        <v>0</v>
      </c>
      <c r="P14" s="277">
        <v>0</v>
      </c>
      <c r="Q14" s="277">
        <v>-200</v>
      </c>
      <c r="R14" s="277">
        <v>1</v>
      </c>
      <c r="S14" s="277">
        <v>0</v>
      </c>
      <c r="T14" s="277">
        <v>0</v>
      </c>
      <c r="U14" s="277">
        <v>0</v>
      </c>
      <c r="V14" s="277">
        <v>0</v>
      </c>
      <c r="W14" s="277">
        <v>0</v>
      </c>
      <c r="X14" s="277">
        <v>0</v>
      </c>
      <c r="Y14" s="277">
        <v>9800</v>
      </c>
      <c r="Z14" s="277">
        <v>43</v>
      </c>
      <c r="AA14" s="277">
        <v>-200</v>
      </c>
      <c r="AB14" s="277">
        <v>1</v>
      </c>
      <c r="AC14" s="277">
        <v>7800</v>
      </c>
      <c r="AD14" s="277">
        <v>-200</v>
      </c>
      <c r="AE14" s="277">
        <v>2398.1</v>
      </c>
      <c r="AF14" s="277">
        <v>-719.43</v>
      </c>
      <c r="AG14" s="277">
        <v>0</v>
      </c>
      <c r="AH14" s="277">
        <v>6495.07</v>
      </c>
    </row>
    <row r="15" spans="1:34">
      <c r="A15" s="277" t="s">
        <v>427</v>
      </c>
      <c r="B15" s="277">
        <v>400</v>
      </c>
      <c r="C15" s="277">
        <v>2400</v>
      </c>
      <c r="D15" s="277">
        <v>6</v>
      </c>
      <c r="E15" s="277">
        <v>0</v>
      </c>
      <c r="F15" s="277">
        <v>6600</v>
      </c>
      <c r="G15" s="277">
        <v>33</v>
      </c>
      <c r="H15" s="277">
        <v>0</v>
      </c>
      <c r="I15" s="277">
        <v>0</v>
      </c>
      <c r="J15" s="277">
        <v>0</v>
      </c>
      <c r="K15" s="277">
        <v>0</v>
      </c>
      <c r="L15" s="277">
        <v>0</v>
      </c>
      <c r="M15" s="277">
        <v>0</v>
      </c>
      <c r="N15" s="277">
        <v>0</v>
      </c>
      <c r="O15" s="277">
        <v>0</v>
      </c>
      <c r="P15" s="277">
        <v>0</v>
      </c>
      <c r="Q15" s="277">
        <v>0</v>
      </c>
      <c r="R15" s="277">
        <v>0</v>
      </c>
      <c r="S15" s="277">
        <v>0</v>
      </c>
      <c r="T15" s="277">
        <v>0</v>
      </c>
      <c r="U15" s="277">
        <v>0</v>
      </c>
      <c r="V15" s="277">
        <v>0</v>
      </c>
      <c r="W15" s="277">
        <v>0</v>
      </c>
      <c r="X15" s="277">
        <v>0</v>
      </c>
      <c r="Y15" s="277">
        <v>9000</v>
      </c>
      <c r="Z15" s="277">
        <v>39</v>
      </c>
      <c r="AA15" s="277">
        <v>0</v>
      </c>
      <c r="AB15" s="277">
        <v>0</v>
      </c>
      <c r="AC15" s="277">
        <v>7200</v>
      </c>
      <c r="AD15" s="277">
        <v>0</v>
      </c>
      <c r="AE15" s="277">
        <v>2158.1</v>
      </c>
      <c r="AF15" s="277">
        <v>-647.42999999999995</v>
      </c>
      <c r="AG15" s="277">
        <v>0</v>
      </c>
      <c r="AH15" s="277">
        <v>6097.47</v>
      </c>
    </row>
    <row r="16" spans="1:34">
      <c r="A16" s="277" t="s">
        <v>427</v>
      </c>
      <c r="B16" s="277">
        <v>400</v>
      </c>
      <c r="C16" s="277">
        <v>2400</v>
      </c>
      <c r="D16" s="277">
        <v>6</v>
      </c>
      <c r="E16" s="277">
        <v>0</v>
      </c>
      <c r="F16" s="277">
        <v>6600</v>
      </c>
      <c r="G16" s="277">
        <v>33</v>
      </c>
      <c r="H16" s="277">
        <v>0</v>
      </c>
      <c r="I16" s="277">
        <v>0</v>
      </c>
      <c r="J16" s="277">
        <v>0</v>
      </c>
      <c r="K16" s="277">
        <v>0</v>
      </c>
      <c r="L16" s="277">
        <v>0</v>
      </c>
      <c r="M16" s="277">
        <v>0</v>
      </c>
      <c r="N16" s="277">
        <v>0</v>
      </c>
      <c r="O16" s="277">
        <v>0</v>
      </c>
      <c r="P16" s="277">
        <v>0</v>
      </c>
      <c r="Q16" s="277">
        <v>0</v>
      </c>
      <c r="R16" s="277">
        <v>0</v>
      </c>
      <c r="S16" s="277">
        <v>0</v>
      </c>
      <c r="T16" s="277">
        <v>0</v>
      </c>
      <c r="U16" s="277">
        <v>0</v>
      </c>
      <c r="V16" s="277">
        <v>0</v>
      </c>
      <c r="W16" s="277">
        <v>0</v>
      </c>
      <c r="X16" s="277">
        <v>0</v>
      </c>
      <c r="Y16" s="277">
        <v>9000</v>
      </c>
      <c r="Z16" s="277">
        <v>39</v>
      </c>
      <c r="AA16" s="277">
        <v>0</v>
      </c>
      <c r="AB16" s="277">
        <v>0</v>
      </c>
      <c r="AC16" s="277">
        <v>7220</v>
      </c>
      <c r="AD16" s="277">
        <v>0</v>
      </c>
      <c r="AE16" s="277">
        <v>2136</v>
      </c>
      <c r="AF16" s="277">
        <v>-640.79999999999995</v>
      </c>
      <c r="AG16" s="277">
        <v>0</v>
      </c>
      <c r="AH16" s="277">
        <v>6100.64</v>
      </c>
    </row>
    <row r="17" spans="1:34">
      <c r="A17" s="277" t="s">
        <v>427</v>
      </c>
      <c r="B17" s="277">
        <v>400</v>
      </c>
      <c r="C17" s="277">
        <v>2400</v>
      </c>
      <c r="D17" s="277">
        <v>6</v>
      </c>
      <c r="E17" s="277">
        <v>0</v>
      </c>
      <c r="F17" s="277">
        <v>5800</v>
      </c>
      <c r="G17" s="277">
        <v>29</v>
      </c>
      <c r="H17" s="277">
        <v>0</v>
      </c>
      <c r="I17" s="277">
        <v>0</v>
      </c>
      <c r="J17" s="277">
        <v>0</v>
      </c>
      <c r="K17" s="277">
        <v>0</v>
      </c>
      <c r="L17" s="277">
        <v>0</v>
      </c>
      <c r="M17" s="277">
        <v>0</v>
      </c>
      <c r="N17" s="277">
        <v>0</v>
      </c>
      <c r="O17" s="277">
        <v>0</v>
      </c>
      <c r="P17" s="277">
        <v>0</v>
      </c>
      <c r="Q17" s="277">
        <v>0</v>
      </c>
      <c r="R17" s="277">
        <v>0</v>
      </c>
      <c r="S17" s="277">
        <v>0</v>
      </c>
      <c r="T17" s="277">
        <v>0</v>
      </c>
      <c r="U17" s="277">
        <v>0</v>
      </c>
      <c r="V17" s="277">
        <v>0</v>
      </c>
      <c r="W17" s="277">
        <v>0</v>
      </c>
      <c r="X17" s="277">
        <v>0</v>
      </c>
      <c r="Y17" s="277">
        <v>8200</v>
      </c>
      <c r="Z17" s="277">
        <v>35</v>
      </c>
      <c r="AA17" s="277">
        <v>0</v>
      </c>
      <c r="AB17" s="277">
        <v>0</v>
      </c>
      <c r="AC17" s="277">
        <v>6800</v>
      </c>
      <c r="AD17" s="277">
        <v>0</v>
      </c>
      <c r="AE17" s="277">
        <v>1680</v>
      </c>
      <c r="AF17" s="277">
        <v>-504</v>
      </c>
      <c r="AG17" s="277">
        <v>0</v>
      </c>
      <c r="AH17" s="277">
        <v>5583.2</v>
      </c>
    </row>
    <row r="18" spans="1:34">
      <c r="A18" s="277" t="s">
        <v>427</v>
      </c>
      <c r="B18" s="277">
        <v>400</v>
      </c>
      <c r="C18" s="277">
        <v>2400</v>
      </c>
      <c r="D18" s="277">
        <v>6</v>
      </c>
      <c r="E18" s="277">
        <v>0</v>
      </c>
      <c r="F18" s="277">
        <v>5400</v>
      </c>
      <c r="G18" s="277">
        <v>27</v>
      </c>
      <c r="H18" s="277">
        <v>0</v>
      </c>
      <c r="I18" s="277">
        <v>0</v>
      </c>
      <c r="J18" s="277">
        <v>0</v>
      </c>
      <c r="K18" s="277">
        <v>0</v>
      </c>
      <c r="L18" s="277">
        <v>0</v>
      </c>
      <c r="M18" s="277">
        <v>0</v>
      </c>
      <c r="N18" s="277">
        <v>0</v>
      </c>
      <c r="O18" s="277">
        <v>0</v>
      </c>
      <c r="P18" s="277">
        <v>0</v>
      </c>
      <c r="Q18" s="277">
        <v>0</v>
      </c>
      <c r="R18" s="277">
        <v>0</v>
      </c>
      <c r="S18" s="277">
        <v>0</v>
      </c>
      <c r="T18" s="277">
        <v>0</v>
      </c>
      <c r="U18" s="277">
        <v>0</v>
      </c>
      <c r="V18" s="277">
        <v>0</v>
      </c>
      <c r="W18" s="277">
        <v>0</v>
      </c>
      <c r="X18" s="277">
        <v>0</v>
      </c>
      <c r="Y18" s="277">
        <v>7800</v>
      </c>
      <c r="Z18" s="277">
        <v>33</v>
      </c>
      <c r="AA18" s="277">
        <v>0</v>
      </c>
      <c r="AB18" s="277">
        <v>0</v>
      </c>
      <c r="AC18" s="277">
        <v>6200</v>
      </c>
      <c r="AD18" s="277">
        <v>0</v>
      </c>
      <c r="AE18" s="277">
        <v>1920</v>
      </c>
      <c r="AF18" s="277">
        <v>-576</v>
      </c>
      <c r="AG18" s="277">
        <v>0</v>
      </c>
      <c r="AH18" s="277">
        <v>5280.8</v>
      </c>
    </row>
    <row r="19" spans="1:34">
      <c r="A19" s="277" t="s">
        <v>427</v>
      </c>
      <c r="B19" s="277">
        <v>400</v>
      </c>
      <c r="C19" s="277">
        <v>2400</v>
      </c>
      <c r="D19" s="277">
        <v>6</v>
      </c>
      <c r="E19" s="277">
        <v>0</v>
      </c>
      <c r="F19" s="277">
        <v>6000</v>
      </c>
      <c r="G19" s="277">
        <v>30</v>
      </c>
      <c r="H19" s="277">
        <v>0</v>
      </c>
      <c r="I19" s="277">
        <v>0</v>
      </c>
      <c r="J19" s="277">
        <v>0</v>
      </c>
      <c r="K19" s="277">
        <v>0</v>
      </c>
      <c r="L19" s="277">
        <v>0</v>
      </c>
      <c r="M19" s="277">
        <v>0</v>
      </c>
      <c r="N19" s="277">
        <v>0</v>
      </c>
      <c r="O19" s="277">
        <v>0</v>
      </c>
      <c r="P19" s="277">
        <v>0</v>
      </c>
      <c r="Q19" s="277">
        <v>0</v>
      </c>
      <c r="R19" s="277">
        <v>0</v>
      </c>
      <c r="S19" s="277">
        <v>0</v>
      </c>
      <c r="T19" s="277">
        <v>0</v>
      </c>
      <c r="U19" s="277">
        <v>0</v>
      </c>
      <c r="V19" s="277">
        <v>0</v>
      </c>
      <c r="W19" s="277">
        <v>0</v>
      </c>
      <c r="X19" s="277">
        <v>0</v>
      </c>
      <c r="Y19" s="277">
        <v>8400</v>
      </c>
      <c r="Z19" s="277">
        <v>36</v>
      </c>
      <c r="AA19" s="277">
        <v>0</v>
      </c>
      <c r="AB19" s="277">
        <v>0</v>
      </c>
      <c r="AC19" s="277">
        <v>6800</v>
      </c>
      <c r="AD19" s="277">
        <v>0</v>
      </c>
      <c r="AE19" s="277">
        <v>1920</v>
      </c>
      <c r="AF19" s="277">
        <v>-576</v>
      </c>
      <c r="AG19" s="277">
        <v>0</v>
      </c>
      <c r="AH19" s="277">
        <v>5700.8</v>
      </c>
    </row>
    <row r="20" spans="1:34">
      <c r="A20" s="277" t="s">
        <v>427</v>
      </c>
      <c r="B20" s="277">
        <v>0</v>
      </c>
      <c r="C20" s="277">
        <v>0</v>
      </c>
      <c r="D20" s="277">
        <v>0</v>
      </c>
      <c r="E20" s="277">
        <v>296</v>
      </c>
      <c r="F20" s="277">
        <v>0</v>
      </c>
      <c r="G20" s="277">
        <v>0</v>
      </c>
      <c r="H20" s="277">
        <v>275</v>
      </c>
      <c r="I20" s="277">
        <v>0</v>
      </c>
      <c r="J20" s="277">
        <v>0</v>
      </c>
      <c r="K20" s="277">
        <v>0</v>
      </c>
      <c r="L20" s="277">
        <v>0</v>
      </c>
      <c r="M20" s="277">
        <v>0</v>
      </c>
      <c r="N20" s="277">
        <v>0</v>
      </c>
      <c r="O20" s="277">
        <v>0</v>
      </c>
      <c r="P20" s="277">
        <v>2</v>
      </c>
      <c r="Q20" s="277">
        <v>0</v>
      </c>
      <c r="R20" s="277">
        <v>2</v>
      </c>
      <c r="S20" s="277">
        <v>0</v>
      </c>
      <c r="T20" s="277">
        <v>0</v>
      </c>
      <c r="U20" s="277">
        <v>0</v>
      </c>
      <c r="V20" s="277">
        <v>0</v>
      </c>
      <c r="W20" s="277">
        <v>0</v>
      </c>
      <c r="X20" s="277">
        <v>0</v>
      </c>
      <c r="Y20" s="277">
        <v>0</v>
      </c>
      <c r="Z20" s="277">
        <v>571</v>
      </c>
      <c r="AA20" s="277">
        <v>0</v>
      </c>
      <c r="AB20" s="277">
        <v>4</v>
      </c>
      <c r="AC20" s="277">
        <v>0</v>
      </c>
      <c r="AD20" s="277">
        <v>0</v>
      </c>
      <c r="AE20" s="277">
        <v>0</v>
      </c>
      <c r="AF20" s="277">
        <v>0</v>
      </c>
      <c r="AG20" s="277">
        <v>0</v>
      </c>
      <c r="AH20" s="277">
        <v>0</v>
      </c>
    </row>
    <row r="21" spans="1:34">
      <c r="A21" s="277" t="s">
        <v>427</v>
      </c>
      <c r="B21" s="277">
        <v>400</v>
      </c>
      <c r="C21" s="277">
        <v>2400</v>
      </c>
      <c r="D21" s="277">
        <v>6</v>
      </c>
      <c r="E21" s="277">
        <v>0</v>
      </c>
      <c r="F21" s="277">
        <v>6200</v>
      </c>
      <c r="G21" s="277">
        <v>31</v>
      </c>
      <c r="H21" s="277">
        <v>0</v>
      </c>
      <c r="I21" s="277">
        <v>0</v>
      </c>
      <c r="J21" s="277">
        <v>0</v>
      </c>
      <c r="K21" s="277">
        <v>0</v>
      </c>
      <c r="L21" s="277">
        <v>0</v>
      </c>
      <c r="M21" s="277">
        <v>0</v>
      </c>
      <c r="N21" s="277">
        <v>0</v>
      </c>
      <c r="O21" s="277">
        <v>0</v>
      </c>
      <c r="P21" s="277">
        <v>0</v>
      </c>
      <c r="Q21" s="277">
        <v>0</v>
      </c>
      <c r="R21" s="277">
        <v>0</v>
      </c>
      <c r="S21" s="277">
        <v>0</v>
      </c>
      <c r="T21" s="277">
        <v>0</v>
      </c>
      <c r="U21" s="277">
        <v>0</v>
      </c>
      <c r="V21" s="277">
        <v>0</v>
      </c>
      <c r="W21" s="277">
        <v>0</v>
      </c>
      <c r="X21" s="277">
        <v>0</v>
      </c>
      <c r="Y21" s="277">
        <v>8600</v>
      </c>
      <c r="Z21" s="277">
        <v>37</v>
      </c>
      <c r="AA21" s="277">
        <v>0</v>
      </c>
      <c r="AB21" s="277">
        <v>0</v>
      </c>
      <c r="AC21" s="277">
        <v>7000</v>
      </c>
      <c r="AD21" s="277">
        <v>0</v>
      </c>
      <c r="AE21" s="277">
        <v>1920</v>
      </c>
      <c r="AF21" s="277">
        <v>-576</v>
      </c>
      <c r="AG21" s="277">
        <v>0</v>
      </c>
      <c r="AH21" s="277">
        <v>5840.8</v>
      </c>
    </row>
    <row r="22" spans="1:34">
      <c r="A22" s="277" t="s">
        <v>427</v>
      </c>
      <c r="B22" s="277">
        <v>400</v>
      </c>
      <c r="C22" s="277">
        <v>2000</v>
      </c>
      <c r="D22" s="277">
        <v>5</v>
      </c>
      <c r="E22" s="277">
        <v>0</v>
      </c>
      <c r="F22" s="277">
        <v>6600</v>
      </c>
      <c r="G22" s="277">
        <v>33</v>
      </c>
      <c r="H22" s="277">
        <v>0</v>
      </c>
      <c r="I22" s="277">
        <v>0</v>
      </c>
      <c r="J22" s="277">
        <v>0</v>
      </c>
      <c r="K22" s="277">
        <v>0</v>
      </c>
      <c r="L22" s="277">
        <v>0</v>
      </c>
      <c r="M22" s="277">
        <v>0</v>
      </c>
      <c r="N22" s="277">
        <v>0</v>
      </c>
      <c r="O22" s="277">
        <v>0</v>
      </c>
      <c r="P22" s="277">
        <v>0</v>
      </c>
      <c r="Q22" s="277">
        <v>0</v>
      </c>
      <c r="R22" s="277">
        <v>0</v>
      </c>
      <c r="S22" s="277">
        <v>0</v>
      </c>
      <c r="T22" s="277">
        <v>0</v>
      </c>
      <c r="U22" s="277">
        <v>0</v>
      </c>
      <c r="V22" s="277">
        <v>0</v>
      </c>
      <c r="W22" s="277">
        <v>0</v>
      </c>
      <c r="X22" s="277">
        <v>0</v>
      </c>
      <c r="Y22" s="277">
        <v>8600</v>
      </c>
      <c r="Z22" s="277">
        <v>38</v>
      </c>
      <c r="AA22" s="277">
        <v>0</v>
      </c>
      <c r="AB22" s="277">
        <v>0</v>
      </c>
      <c r="AC22" s="277">
        <v>7000</v>
      </c>
      <c r="AD22" s="277">
        <v>0</v>
      </c>
      <c r="AE22" s="277">
        <v>1920</v>
      </c>
      <c r="AF22" s="277">
        <v>-576</v>
      </c>
      <c r="AG22" s="277">
        <v>0</v>
      </c>
      <c r="AH22" s="277">
        <v>5840.8</v>
      </c>
    </row>
    <row r="23" spans="1:34">
      <c r="A23" s="277" t="s">
        <v>427</v>
      </c>
      <c r="B23" s="277">
        <v>400</v>
      </c>
      <c r="C23" s="277">
        <v>2000</v>
      </c>
      <c r="D23" s="277">
        <v>5</v>
      </c>
      <c r="E23" s="277">
        <v>0</v>
      </c>
      <c r="F23" s="277">
        <v>6400</v>
      </c>
      <c r="G23" s="277">
        <v>32</v>
      </c>
      <c r="H23" s="277">
        <v>0</v>
      </c>
      <c r="I23" s="277">
        <v>0</v>
      </c>
      <c r="J23" s="277">
        <v>0</v>
      </c>
      <c r="K23" s="277">
        <v>0</v>
      </c>
      <c r="L23" s="277">
        <v>0</v>
      </c>
      <c r="M23" s="277">
        <v>0</v>
      </c>
      <c r="N23" s="277">
        <v>0</v>
      </c>
      <c r="O23" s="277">
        <v>0</v>
      </c>
      <c r="P23" s="277">
        <v>0</v>
      </c>
      <c r="Q23" s="277">
        <v>0</v>
      </c>
      <c r="R23" s="277">
        <v>0</v>
      </c>
      <c r="S23" s="277">
        <v>0</v>
      </c>
      <c r="T23" s="277">
        <v>0</v>
      </c>
      <c r="U23" s="277">
        <v>0</v>
      </c>
      <c r="V23" s="277">
        <v>0</v>
      </c>
      <c r="W23" s="277">
        <v>0</v>
      </c>
      <c r="X23" s="277">
        <v>0</v>
      </c>
      <c r="Y23" s="277">
        <v>8400</v>
      </c>
      <c r="Z23" s="277">
        <v>37</v>
      </c>
      <c r="AA23" s="277">
        <v>0</v>
      </c>
      <c r="AB23" s="277">
        <v>0</v>
      </c>
      <c r="AC23" s="277">
        <v>6800</v>
      </c>
      <c r="AD23" s="277">
        <v>0</v>
      </c>
      <c r="AE23" s="277">
        <v>1920</v>
      </c>
      <c r="AF23" s="277">
        <v>-576</v>
      </c>
      <c r="AG23" s="277">
        <v>0</v>
      </c>
      <c r="AH23" s="277">
        <v>5700.8</v>
      </c>
    </row>
    <row r="24" spans="1:34">
      <c r="A24" s="277" t="s">
        <v>427</v>
      </c>
      <c r="B24" s="277">
        <v>400</v>
      </c>
      <c r="C24" s="277">
        <v>2000</v>
      </c>
      <c r="D24" s="277">
        <v>5</v>
      </c>
      <c r="E24" s="277">
        <v>0</v>
      </c>
      <c r="F24" s="277">
        <v>7000</v>
      </c>
      <c r="G24" s="277">
        <v>35</v>
      </c>
      <c r="H24" s="277">
        <v>0</v>
      </c>
      <c r="I24" s="277">
        <v>0</v>
      </c>
      <c r="J24" s="277">
        <v>0</v>
      </c>
      <c r="K24" s="277">
        <v>0</v>
      </c>
      <c r="L24" s="277">
        <v>0</v>
      </c>
      <c r="M24" s="277">
        <v>0</v>
      </c>
      <c r="N24" s="277">
        <v>0</v>
      </c>
      <c r="O24" s="277">
        <v>0</v>
      </c>
      <c r="P24" s="277">
        <v>0</v>
      </c>
      <c r="Q24" s="277">
        <v>0</v>
      </c>
      <c r="R24" s="277">
        <v>0</v>
      </c>
      <c r="S24" s="277">
        <v>0</v>
      </c>
      <c r="T24" s="277">
        <v>0</v>
      </c>
      <c r="U24" s="277">
        <v>0</v>
      </c>
      <c r="V24" s="277">
        <v>0</v>
      </c>
      <c r="W24" s="277">
        <v>0</v>
      </c>
      <c r="X24" s="277">
        <v>0</v>
      </c>
      <c r="Y24" s="277">
        <v>9000</v>
      </c>
      <c r="Z24" s="277">
        <v>40</v>
      </c>
      <c r="AA24" s="277">
        <v>0</v>
      </c>
      <c r="AB24" s="277">
        <v>0</v>
      </c>
      <c r="AC24" s="277">
        <v>7400</v>
      </c>
      <c r="AD24" s="277">
        <v>0</v>
      </c>
      <c r="AE24" s="277">
        <v>1920</v>
      </c>
      <c r="AF24" s="277">
        <v>-576</v>
      </c>
      <c r="AG24" s="277">
        <v>0</v>
      </c>
      <c r="AH24" s="277">
        <v>6120.8</v>
      </c>
    </row>
    <row r="25" spans="1:34">
      <c r="A25" s="277" t="s">
        <v>427</v>
      </c>
      <c r="B25" s="277">
        <v>400</v>
      </c>
      <c r="C25" s="277">
        <v>2000</v>
      </c>
      <c r="D25" s="277">
        <v>5</v>
      </c>
      <c r="E25" s="277">
        <v>0</v>
      </c>
      <c r="F25" s="277">
        <v>6200</v>
      </c>
      <c r="G25" s="277">
        <v>31</v>
      </c>
      <c r="H25" s="277">
        <v>0</v>
      </c>
      <c r="I25" s="277">
        <v>0</v>
      </c>
      <c r="J25" s="277">
        <v>0</v>
      </c>
      <c r="K25" s="277">
        <v>0</v>
      </c>
      <c r="L25" s="277">
        <v>0</v>
      </c>
      <c r="M25" s="277">
        <v>0</v>
      </c>
      <c r="N25" s="277">
        <v>0</v>
      </c>
      <c r="O25" s="277">
        <v>0</v>
      </c>
      <c r="P25" s="277">
        <v>0</v>
      </c>
      <c r="Q25" s="277">
        <v>0</v>
      </c>
      <c r="R25" s="277">
        <v>0</v>
      </c>
      <c r="S25" s="277">
        <v>0</v>
      </c>
      <c r="T25" s="277">
        <v>0</v>
      </c>
      <c r="U25" s="277">
        <v>0</v>
      </c>
      <c r="V25" s="277">
        <v>0</v>
      </c>
      <c r="W25" s="277">
        <v>0</v>
      </c>
      <c r="X25" s="277">
        <v>0</v>
      </c>
      <c r="Y25" s="277">
        <v>8200</v>
      </c>
      <c r="Z25" s="277">
        <v>36</v>
      </c>
      <c r="AA25" s="277">
        <v>0</v>
      </c>
      <c r="AB25" s="277">
        <v>0</v>
      </c>
      <c r="AC25" s="277">
        <v>6600</v>
      </c>
      <c r="AD25" s="277">
        <v>0</v>
      </c>
      <c r="AE25" s="277">
        <v>1920</v>
      </c>
      <c r="AF25" s="277">
        <v>-576</v>
      </c>
      <c r="AG25" s="277">
        <v>0</v>
      </c>
      <c r="AH25" s="277">
        <v>5560.8</v>
      </c>
    </row>
    <row r="26" spans="1:34">
      <c r="A26" s="277" t="s">
        <v>427</v>
      </c>
      <c r="B26" s="277">
        <v>400</v>
      </c>
      <c r="C26" s="277">
        <v>2000</v>
      </c>
      <c r="D26" s="277">
        <v>5</v>
      </c>
      <c r="E26" s="277">
        <v>0</v>
      </c>
      <c r="F26" s="277">
        <v>5600</v>
      </c>
      <c r="G26" s="277">
        <v>28</v>
      </c>
      <c r="H26" s="277">
        <v>0</v>
      </c>
      <c r="I26" s="277">
        <v>0</v>
      </c>
      <c r="J26" s="277">
        <v>0</v>
      </c>
      <c r="K26" s="277">
        <v>0</v>
      </c>
      <c r="L26" s="277">
        <v>0</v>
      </c>
      <c r="M26" s="277">
        <v>0</v>
      </c>
      <c r="N26" s="277">
        <v>0</v>
      </c>
      <c r="O26" s="277">
        <v>0</v>
      </c>
      <c r="P26" s="277">
        <v>0</v>
      </c>
      <c r="Q26" s="277">
        <v>0</v>
      </c>
      <c r="R26" s="277">
        <v>0</v>
      </c>
      <c r="S26" s="277">
        <v>0</v>
      </c>
      <c r="T26" s="277">
        <v>0</v>
      </c>
      <c r="U26" s="277">
        <v>0</v>
      </c>
      <c r="V26" s="277">
        <v>0</v>
      </c>
      <c r="W26" s="277">
        <v>0</v>
      </c>
      <c r="X26" s="277">
        <v>0</v>
      </c>
      <c r="Y26" s="277">
        <v>7600</v>
      </c>
      <c r="Z26" s="277">
        <v>33</v>
      </c>
      <c r="AA26" s="277">
        <v>0</v>
      </c>
      <c r="AB26" s="277">
        <v>0</v>
      </c>
      <c r="AC26" s="277">
        <v>6000</v>
      </c>
      <c r="AD26" s="277">
        <v>0</v>
      </c>
      <c r="AE26" s="277">
        <v>1920</v>
      </c>
      <c r="AF26" s="277">
        <v>-576</v>
      </c>
      <c r="AG26" s="277">
        <v>0</v>
      </c>
      <c r="AH26" s="277">
        <v>5140.8</v>
      </c>
    </row>
    <row r="27" spans="1:34">
      <c r="A27" s="277" t="s">
        <v>427</v>
      </c>
      <c r="B27" s="277">
        <v>400</v>
      </c>
      <c r="C27" s="277">
        <v>2000</v>
      </c>
      <c r="D27" s="277">
        <v>5</v>
      </c>
      <c r="E27" s="277">
        <v>0</v>
      </c>
      <c r="F27" s="277">
        <v>5200</v>
      </c>
      <c r="G27" s="277">
        <v>26</v>
      </c>
      <c r="H27" s="277">
        <v>0</v>
      </c>
      <c r="I27" s="277">
        <v>0</v>
      </c>
      <c r="J27" s="277">
        <v>0</v>
      </c>
      <c r="K27" s="277">
        <v>0</v>
      </c>
      <c r="L27" s="277">
        <v>0</v>
      </c>
      <c r="M27" s="277">
        <v>0</v>
      </c>
      <c r="N27" s="277">
        <v>0</v>
      </c>
      <c r="O27" s="277">
        <v>0</v>
      </c>
      <c r="P27" s="277">
        <v>0</v>
      </c>
      <c r="Q27" s="277">
        <v>0</v>
      </c>
      <c r="R27" s="277">
        <v>0</v>
      </c>
      <c r="S27" s="277">
        <v>0</v>
      </c>
      <c r="T27" s="277">
        <v>0</v>
      </c>
      <c r="U27" s="277">
        <v>0</v>
      </c>
      <c r="V27" s="277">
        <v>0</v>
      </c>
      <c r="W27" s="277">
        <v>0</v>
      </c>
      <c r="X27" s="277">
        <v>0</v>
      </c>
      <c r="Y27" s="277">
        <v>7200</v>
      </c>
      <c r="Z27" s="277">
        <v>31</v>
      </c>
      <c r="AA27" s="277">
        <v>0</v>
      </c>
      <c r="AB27" s="277">
        <v>0</v>
      </c>
      <c r="AC27" s="277">
        <v>5600</v>
      </c>
      <c r="AD27" s="277">
        <v>0</v>
      </c>
      <c r="AE27" s="277">
        <v>1920</v>
      </c>
      <c r="AF27" s="277">
        <v>-576</v>
      </c>
      <c r="AG27" s="277">
        <v>0</v>
      </c>
      <c r="AH27" s="277">
        <v>4860.8</v>
      </c>
    </row>
    <row r="28" spans="1:34">
      <c r="A28" s="277" t="s">
        <v>427</v>
      </c>
      <c r="B28" s="277">
        <v>400</v>
      </c>
      <c r="C28" s="277">
        <v>2000</v>
      </c>
      <c r="D28" s="277">
        <v>5</v>
      </c>
      <c r="E28" s="277">
        <v>0</v>
      </c>
      <c r="F28" s="277">
        <v>5200</v>
      </c>
      <c r="G28" s="277">
        <v>26</v>
      </c>
      <c r="H28" s="277">
        <v>0</v>
      </c>
      <c r="I28" s="277">
        <v>0</v>
      </c>
      <c r="J28" s="277">
        <v>0</v>
      </c>
      <c r="K28" s="277">
        <v>0</v>
      </c>
      <c r="L28" s="277">
        <v>0</v>
      </c>
      <c r="M28" s="277">
        <v>0</v>
      </c>
      <c r="N28" s="277">
        <v>0</v>
      </c>
      <c r="O28" s="277">
        <v>0</v>
      </c>
      <c r="P28" s="277">
        <v>0</v>
      </c>
      <c r="Q28" s="277">
        <v>0</v>
      </c>
      <c r="R28" s="277">
        <v>0</v>
      </c>
      <c r="S28" s="277">
        <v>0</v>
      </c>
      <c r="T28" s="277">
        <v>0</v>
      </c>
      <c r="U28" s="277">
        <v>0</v>
      </c>
      <c r="V28" s="277">
        <v>0</v>
      </c>
      <c r="W28" s="277">
        <v>0</v>
      </c>
      <c r="X28" s="277">
        <v>0</v>
      </c>
      <c r="Y28" s="277">
        <v>7200</v>
      </c>
      <c r="Z28" s="277">
        <v>31</v>
      </c>
      <c r="AA28" s="277">
        <v>0</v>
      </c>
      <c r="AB28" s="277">
        <v>0</v>
      </c>
      <c r="AC28" s="277">
        <v>5610</v>
      </c>
      <c r="AD28" s="277">
        <v>0</v>
      </c>
      <c r="AE28" s="277">
        <v>1908</v>
      </c>
      <c r="AF28" s="277">
        <v>-572.4</v>
      </c>
      <c r="AG28" s="277">
        <v>0</v>
      </c>
      <c r="AH28" s="277">
        <v>4861.92</v>
      </c>
    </row>
    <row r="29" spans="1:34">
      <c r="A29" s="277" t="s">
        <v>427</v>
      </c>
      <c r="B29" s="277">
        <v>400</v>
      </c>
      <c r="C29" s="277">
        <v>1600</v>
      </c>
      <c r="D29" s="277">
        <v>4</v>
      </c>
      <c r="E29" s="277">
        <v>0</v>
      </c>
      <c r="F29" s="277">
        <v>5400</v>
      </c>
      <c r="G29" s="277">
        <v>27</v>
      </c>
      <c r="H29" s="277">
        <v>0</v>
      </c>
      <c r="I29" s="277">
        <v>0</v>
      </c>
      <c r="J29" s="277">
        <v>0</v>
      </c>
      <c r="K29" s="277">
        <v>0</v>
      </c>
      <c r="L29" s="277">
        <v>0</v>
      </c>
      <c r="M29" s="277">
        <v>0</v>
      </c>
      <c r="N29" s="277">
        <v>0</v>
      </c>
      <c r="O29" s="277">
        <v>0</v>
      </c>
      <c r="P29" s="277">
        <v>0</v>
      </c>
      <c r="Q29" s="277">
        <v>0</v>
      </c>
      <c r="R29" s="277">
        <v>0</v>
      </c>
      <c r="S29" s="277">
        <v>0</v>
      </c>
      <c r="T29" s="277">
        <v>0</v>
      </c>
      <c r="U29" s="277">
        <v>0</v>
      </c>
      <c r="V29" s="277">
        <v>0</v>
      </c>
      <c r="W29" s="277">
        <v>0</v>
      </c>
      <c r="X29" s="277">
        <v>0</v>
      </c>
      <c r="Y29" s="277">
        <v>7000</v>
      </c>
      <c r="Z29" s="277">
        <v>31</v>
      </c>
      <c r="AA29" s="277">
        <v>0</v>
      </c>
      <c r="AB29" s="277">
        <v>0</v>
      </c>
      <c r="AC29" s="277">
        <v>5400</v>
      </c>
      <c r="AD29" s="277">
        <v>0</v>
      </c>
      <c r="AE29" s="277">
        <v>1920</v>
      </c>
      <c r="AF29" s="277">
        <v>-576</v>
      </c>
      <c r="AG29" s="277">
        <v>0</v>
      </c>
      <c r="AH29" s="277">
        <v>4720.8</v>
      </c>
    </row>
    <row r="30" spans="1:34">
      <c r="A30" s="277" t="s">
        <v>427</v>
      </c>
      <c r="B30" s="277">
        <v>400</v>
      </c>
      <c r="C30" s="277">
        <v>2000</v>
      </c>
      <c r="D30" s="277">
        <v>5</v>
      </c>
      <c r="E30" s="277">
        <v>0</v>
      </c>
      <c r="F30" s="277">
        <v>5800</v>
      </c>
      <c r="G30" s="277">
        <v>29</v>
      </c>
      <c r="H30" s="277">
        <v>0</v>
      </c>
      <c r="I30" s="277">
        <v>0</v>
      </c>
      <c r="J30" s="277">
        <v>0</v>
      </c>
      <c r="K30" s="277">
        <v>0</v>
      </c>
      <c r="L30" s="277">
        <v>0</v>
      </c>
      <c r="M30" s="277">
        <v>0</v>
      </c>
      <c r="N30" s="277">
        <v>0</v>
      </c>
      <c r="O30" s="277">
        <v>0</v>
      </c>
      <c r="P30" s="277">
        <v>0</v>
      </c>
      <c r="Q30" s="277">
        <v>0</v>
      </c>
      <c r="R30" s="277">
        <v>0</v>
      </c>
      <c r="S30" s="277">
        <v>0</v>
      </c>
      <c r="T30" s="277">
        <v>0</v>
      </c>
      <c r="U30" s="277">
        <v>0</v>
      </c>
      <c r="V30" s="277">
        <v>0</v>
      </c>
      <c r="W30" s="277">
        <v>0</v>
      </c>
      <c r="X30" s="277">
        <v>0</v>
      </c>
      <c r="Y30" s="277">
        <v>7800</v>
      </c>
      <c r="Z30" s="277">
        <v>34</v>
      </c>
      <c r="AA30" s="277">
        <v>0</v>
      </c>
      <c r="AB30" s="277">
        <v>0</v>
      </c>
      <c r="AC30" s="277">
        <v>6000</v>
      </c>
      <c r="AD30" s="277">
        <v>0</v>
      </c>
      <c r="AE30" s="277">
        <v>2160</v>
      </c>
      <c r="AF30" s="277">
        <v>-648</v>
      </c>
      <c r="AG30" s="277">
        <v>0</v>
      </c>
      <c r="AH30" s="277">
        <v>5258.4</v>
      </c>
    </row>
    <row r="31" spans="1:34">
      <c r="A31" s="277" t="s">
        <v>427</v>
      </c>
      <c r="B31" s="277">
        <v>400</v>
      </c>
      <c r="C31" s="277">
        <v>1600</v>
      </c>
      <c r="D31" s="277">
        <v>4</v>
      </c>
      <c r="E31" s="277">
        <v>0</v>
      </c>
      <c r="F31" s="277">
        <v>126000</v>
      </c>
      <c r="G31" s="277">
        <v>630</v>
      </c>
      <c r="H31" s="277">
        <v>0</v>
      </c>
      <c r="I31" s="277">
        <v>0</v>
      </c>
      <c r="J31" s="277">
        <v>0</v>
      </c>
      <c r="K31" s="277">
        <v>0</v>
      </c>
      <c r="L31" s="277">
        <v>0</v>
      </c>
      <c r="M31" s="277">
        <v>0</v>
      </c>
      <c r="N31" s="277">
        <v>0</v>
      </c>
      <c r="O31" s="277">
        <v>0</v>
      </c>
      <c r="P31" s="277">
        <v>0</v>
      </c>
      <c r="Q31" s="277">
        <v>-3400</v>
      </c>
      <c r="R31" s="277">
        <v>17</v>
      </c>
      <c r="S31" s="277">
        <v>0</v>
      </c>
      <c r="T31" s="277">
        <v>0</v>
      </c>
      <c r="U31" s="277">
        <v>0</v>
      </c>
      <c r="V31" s="277">
        <v>0</v>
      </c>
      <c r="W31" s="277">
        <v>0</v>
      </c>
      <c r="X31" s="277">
        <v>0</v>
      </c>
      <c r="Y31" s="277">
        <v>127600</v>
      </c>
      <c r="Z31" s="277">
        <v>634</v>
      </c>
      <c r="AA31" s="277">
        <v>-3400</v>
      </c>
      <c r="AB31" s="277">
        <v>17</v>
      </c>
      <c r="AC31" s="277">
        <v>127000</v>
      </c>
      <c r="AD31" s="277">
        <v>-3200</v>
      </c>
      <c r="AE31" s="277">
        <v>720</v>
      </c>
      <c r="AF31" s="277">
        <v>-216</v>
      </c>
      <c r="AG31" s="277">
        <v>-168</v>
      </c>
      <c r="AH31" s="277">
        <v>86895.2</v>
      </c>
    </row>
    <row r="32" spans="1:34">
      <c r="A32" s="277" t="s">
        <v>427</v>
      </c>
      <c r="B32" s="277">
        <v>400</v>
      </c>
      <c r="C32" s="277">
        <v>2000</v>
      </c>
      <c r="D32" s="277">
        <v>5</v>
      </c>
      <c r="E32" s="277">
        <v>0</v>
      </c>
      <c r="F32" s="277">
        <v>6200</v>
      </c>
      <c r="G32" s="277">
        <v>31</v>
      </c>
      <c r="H32" s="277">
        <v>0</v>
      </c>
      <c r="I32" s="277">
        <v>0</v>
      </c>
      <c r="J32" s="277">
        <v>0</v>
      </c>
      <c r="K32" s="277">
        <v>0</v>
      </c>
      <c r="L32" s="277">
        <v>0</v>
      </c>
      <c r="M32" s="277">
        <v>0</v>
      </c>
      <c r="N32" s="277">
        <v>0</v>
      </c>
      <c r="O32" s="277">
        <v>0</v>
      </c>
      <c r="P32" s="277">
        <v>0</v>
      </c>
      <c r="Q32" s="277">
        <v>0</v>
      </c>
      <c r="R32" s="277">
        <v>0</v>
      </c>
      <c r="S32" s="277">
        <v>0</v>
      </c>
      <c r="T32" s="277">
        <v>0</v>
      </c>
      <c r="U32" s="277">
        <v>0</v>
      </c>
      <c r="V32" s="277">
        <v>0</v>
      </c>
      <c r="W32" s="277">
        <v>0</v>
      </c>
      <c r="X32" s="277">
        <v>0</v>
      </c>
      <c r="Y32" s="277">
        <v>8200</v>
      </c>
      <c r="Z32" s="277">
        <v>36</v>
      </c>
      <c r="AA32" s="277">
        <v>0</v>
      </c>
      <c r="AB32" s="277">
        <v>0</v>
      </c>
      <c r="AC32" s="277">
        <v>6400</v>
      </c>
      <c r="AD32" s="277">
        <v>0</v>
      </c>
      <c r="AE32" s="277">
        <v>2160</v>
      </c>
      <c r="AF32" s="277">
        <v>-648</v>
      </c>
      <c r="AG32" s="277">
        <v>0</v>
      </c>
      <c r="AH32" s="277">
        <v>5538.4</v>
      </c>
    </row>
    <row r="33" spans="1:34">
      <c r="A33" s="277" t="s">
        <v>427</v>
      </c>
      <c r="B33" s="277">
        <v>400</v>
      </c>
      <c r="C33" s="277">
        <v>2000</v>
      </c>
      <c r="D33" s="277">
        <v>5</v>
      </c>
      <c r="E33" s="277">
        <v>0</v>
      </c>
      <c r="F33" s="277">
        <v>6000</v>
      </c>
      <c r="G33" s="277">
        <v>30</v>
      </c>
      <c r="H33" s="277">
        <v>0</v>
      </c>
      <c r="I33" s="277">
        <v>0</v>
      </c>
      <c r="J33" s="277">
        <v>0</v>
      </c>
      <c r="K33" s="277">
        <v>0</v>
      </c>
      <c r="L33" s="277">
        <v>0</v>
      </c>
      <c r="M33" s="277">
        <v>0</v>
      </c>
      <c r="N33" s="277">
        <v>0</v>
      </c>
      <c r="O33" s="277">
        <v>0</v>
      </c>
      <c r="P33" s="277">
        <v>0</v>
      </c>
      <c r="Q33" s="277">
        <v>0</v>
      </c>
      <c r="R33" s="277">
        <v>0</v>
      </c>
      <c r="S33" s="277">
        <v>0</v>
      </c>
      <c r="T33" s="277">
        <v>0</v>
      </c>
      <c r="U33" s="277">
        <v>0</v>
      </c>
      <c r="V33" s="277">
        <v>0</v>
      </c>
      <c r="W33" s="277">
        <v>0</v>
      </c>
      <c r="X33" s="277">
        <v>0</v>
      </c>
      <c r="Y33" s="277">
        <v>8000</v>
      </c>
      <c r="Z33" s="277">
        <v>35</v>
      </c>
      <c r="AA33" s="277">
        <v>0</v>
      </c>
      <c r="AB33" s="277">
        <v>0</v>
      </c>
      <c r="AC33" s="277">
        <v>6500</v>
      </c>
      <c r="AD33" s="277">
        <v>0</v>
      </c>
      <c r="AE33" s="277">
        <v>1800</v>
      </c>
      <c r="AF33" s="277">
        <v>-540</v>
      </c>
      <c r="AG33" s="277">
        <v>0</v>
      </c>
      <c r="AH33" s="277">
        <v>5432</v>
      </c>
    </row>
    <row r="34" spans="1:34">
      <c r="A34" s="277" t="s">
        <v>427</v>
      </c>
      <c r="B34" s="277">
        <v>400</v>
      </c>
      <c r="C34" s="277">
        <v>2000</v>
      </c>
      <c r="D34" s="277">
        <v>5</v>
      </c>
      <c r="E34" s="277">
        <v>0</v>
      </c>
      <c r="F34" s="277">
        <v>5400</v>
      </c>
      <c r="G34" s="277">
        <v>27</v>
      </c>
      <c r="H34" s="277">
        <v>0</v>
      </c>
      <c r="I34" s="277">
        <v>0</v>
      </c>
      <c r="J34" s="277">
        <v>0</v>
      </c>
      <c r="K34" s="277">
        <v>0</v>
      </c>
      <c r="L34" s="277">
        <v>0</v>
      </c>
      <c r="M34" s="277">
        <v>0</v>
      </c>
      <c r="N34" s="277">
        <v>0</v>
      </c>
      <c r="O34" s="277">
        <v>0</v>
      </c>
      <c r="P34" s="277">
        <v>0</v>
      </c>
      <c r="Q34" s="277">
        <v>0</v>
      </c>
      <c r="R34" s="277">
        <v>0</v>
      </c>
      <c r="S34" s="277">
        <v>0</v>
      </c>
      <c r="T34" s="277">
        <v>0</v>
      </c>
      <c r="U34" s="277">
        <v>0</v>
      </c>
      <c r="V34" s="277">
        <v>0</v>
      </c>
      <c r="W34" s="277">
        <v>0</v>
      </c>
      <c r="X34" s="277">
        <v>0</v>
      </c>
      <c r="Y34" s="277">
        <v>7400</v>
      </c>
      <c r="Z34" s="277">
        <v>32</v>
      </c>
      <c r="AA34" s="277">
        <v>0</v>
      </c>
      <c r="AB34" s="277">
        <v>0</v>
      </c>
      <c r="AC34" s="277">
        <v>5900</v>
      </c>
      <c r="AD34" s="277">
        <v>0</v>
      </c>
      <c r="AE34" s="277">
        <v>1800</v>
      </c>
      <c r="AF34" s="277">
        <v>-540</v>
      </c>
      <c r="AG34" s="277">
        <v>0</v>
      </c>
      <c r="AH34" s="277">
        <v>5012</v>
      </c>
    </row>
    <row r="35" spans="1:34">
      <c r="A35" s="277" t="s">
        <v>427</v>
      </c>
      <c r="B35" s="277">
        <v>400</v>
      </c>
      <c r="C35" s="277">
        <v>2000</v>
      </c>
      <c r="D35" s="277">
        <v>5</v>
      </c>
      <c r="E35" s="277">
        <v>0</v>
      </c>
      <c r="F35" s="277">
        <v>5600</v>
      </c>
      <c r="G35" s="277">
        <v>28</v>
      </c>
      <c r="H35" s="277">
        <v>0</v>
      </c>
      <c r="I35" s="277">
        <v>0</v>
      </c>
      <c r="J35" s="277">
        <v>0</v>
      </c>
      <c r="K35" s="277">
        <v>0</v>
      </c>
      <c r="L35" s="277">
        <v>0</v>
      </c>
      <c r="M35" s="277">
        <v>0</v>
      </c>
      <c r="N35" s="277">
        <v>0</v>
      </c>
      <c r="O35" s="277">
        <v>0</v>
      </c>
      <c r="P35" s="277">
        <v>0</v>
      </c>
      <c r="Q35" s="277">
        <v>0</v>
      </c>
      <c r="R35" s="277">
        <v>0</v>
      </c>
      <c r="S35" s="277">
        <v>0</v>
      </c>
      <c r="T35" s="277">
        <v>0</v>
      </c>
      <c r="U35" s="277">
        <v>0</v>
      </c>
      <c r="V35" s="277">
        <v>0</v>
      </c>
      <c r="W35" s="277">
        <v>0</v>
      </c>
      <c r="X35" s="277">
        <v>0</v>
      </c>
      <c r="Y35" s="277">
        <v>7600</v>
      </c>
      <c r="Z35" s="277">
        <v>33</v>
      </c>
      <c r="AA35" s="277">
        <v>0</v>
      </c>
      <c r="AB35" s="277">
        <v>0</v>
      </c>
      <c r="AC35" s="277">
        <v>6100</v>
      </c>
      <c r="AD35" s="277">
        <v>0</v>
      </c>
      <c r="AE35" s="277">
        <v>1800</v>
      </c>
      <c r="AF35" s="277">
        <v>-540</v>
      </c>
      <c r="AG35" s="277">
        <v>0</v>
      </c>
      <c r="AH35" s="277">
        <v>5152</v>
      </c>
    </row>
    <row r="36" spans="1:34">
      <c r="A36" s="277" t="s">
        <v>427</v>
      </c>
      <c r="B36" s="277">
        <v>400</v>
      </c>
      <c r="C36" s="277">
        <v>2400</v>
      </c>
      <c r="D36" s="277">
        <v>6</v>
      </c>
      <c r="E36" s="277">
        <v>0</v>
      </c>
      <c r="F36" s="277">
        <v>5800</v>
      </c>
      <c r="G36" s="277">
        <v>29</v>
      </c>
      <c r="H36" s="277">
        <v>0</v>
      </c>
      <c r="I36" s="277">
        <v>0</v>
      </c>
      <c r="J36" s="277">
        <v>0</v>
      </c>
      <c r="K36" s="277">
        <v>0</v>
      </c>
      <c r="L36" s="277">
        <v>0</v>
      </c>
      <c r="M36" s="277">
        <v>0</v>
      </c>
      <c r="N36" s="277">
        <v>0</v>
      </c>
      <c r="O36" s="277">
        <v>0</v>
      </c>
      <c r="P36" s="277">
        <v>0</v>
      </c>
      <c r="Q36" s="277">
        <v>0</v>
      </c>
      <c r="R36" s="277">
        <v>0</v>
      </c>
      <c r="S36" s="277">
        <v>0</v>
      </c>
      <c r="T36" s="277">
        <v>0</v>
      </c>
      <c r="U36" s="277">
        <v>0</v>
      </c>
      <c r="V36" s="277">
        <v>0</v>
      </c>
      <c r="W36" s="277">
        <v>0</v>
      </c>
      <c r="X36" s="277">
        <v>0</v>
      </c>
      <c r="Y36" s="277">
        <v>8200</v>
      </c>
      <c r="Z36" s="277">
        <v>35</v>
      </c>
      <c r="AA36" s="277">
        <v>0</v>
      </c>
      <c r="AB36" s="277">
        <v>0</v>
      </c>
      <c r="AC36" s="277">
        <v>6780</v>
      </c>
      <c r="AD36" s="277">
        <v>0</v>
      </c>
      <c r="AE36" s="277">
        <v>1704</v>
      </c>
      <c r="AF36" s="277">
        <v>-511.2</v>
      </c>
      <c r="AG36" s="277">
        <v>0</v>
      </c>
      <c r="AH36" s="277">
        <v>5580.96</v>
      </c>
    </row>
    <row r="37" spans="1:34">
      <c r="A37" s="277" t="s">
        <v>427</v>
      </c>
      <c r="B37" s="277">
        <v>400</v>
      </c>
      <c r="C37" s="277">
        <v>2800</v>
      </c>
      <c r="D37" s="277">
        <v>7</v>
      </c>
      <c r="E37" s="277">
        <v>0</v>
      </c>
      <c r="F37" s="277">
        <v>5400</v>
      </c>
      <c r="G37" s="277">
        <v>27</v>
      </c>
      <c r="H37" s="277">
        <v>0</v>
      </c>
      <c r="I37" s="277">
        <v>0</v>
      </c>
      <c r="J37" s="277">
        <v>0</v>
      </c>
      <c r="K37" s="277">
        <v>0</v>
      </c>
      <c r="L37" s="277">
        <v>0</v>
      </c>
      <c r="M37" s="277">
        <v>0</v>
      </c>
      <c r="N37" s="277">
        <v>0</v>
      </c>
      <c r="O37" s="277">
        <v>0</v>
      </c>
      <c r="P37" s="277">
        <v>0</v>
      </c>
      <c r="Q37" s="277">
        <v>0</v>
      </c>
      <c r="R37" s="277">
        <v>0</v>
      </c>
      <c r="S37" s="277">
        <v>0</v>
      </c>
      <c r="T37" s="277">
        <v>0</v>
      </c>
      <c r="U37" s="277">
        <v>0</v>
      </c>
      <c r="V37" s="277">
        <v>0</v>
      </c>
      <c r="W37" s="277">
        <v>0</v>
      </c>
      <c r="X37" s="277">
        <v>0</v>
      </c>
      <c r="Y37" s="277">
        <v>8200</v>
      </c>
      <c r="Z37" s="277">
        <v>34</v>
      </c>
      <c r="AA37" s="277">
        <v>0</v>
      </c>
      <c r="AB37" s="277">
        <v>0</v>
      </c>
      <c r="AC37" s="277">
        <v>6700</v>
      </c>
      <c r="AD37" s="277">
        <v>0</v>
      </c>
      <c r="AE37" s="277">
        <v>1800</v>
      </c>
      <c r="AF37" s="277">
        <v>-540</v>
      </c>
      <c r="AG37" s="277">
        <v>0</v>
      </c>
      <c r="AH37" s="277">
        <v>5572</v>
      </c>
    </row>
    <row r="38" spans="1:34">
      <c r="A38" s="277" t="s">
        <v>427</v>
      </c>
      <c r="B38" s="277">
        <v>400</v>
      </c>
      <c r="C38" s="277">
        <v>2400</v>
      </c>
      <c r="D38" s="277">
        <v>6</v>
      </c>
      <c r="E38" s="277">
        <v>0</v>
      </c>
      <c r="F38" s="277">
        <v>5600</v>
      </c>
      <c r="G38" s="277">
        <v>28</v>
      </c>
      <c r="H38" s="277">
        <v>0</v>
      </c>
      <c r="I38" s="277">
        <v>0</v>
      </c>
      <c r="J38" s="277">
        <v>0</v>
      </c>
      <c r="K38" s="277">
        <v>0</v>
      </c>
      <c r="L38" s="277">
        <v>0</v>
      </c>
      <c r="M38" s="277">
        <v>0</v>
      </c>
      <c r="N38" s="277">
        <v>0</v>
      </c>
      <c r="O38" s="277">
        <v>0</v>
      </c>
      <c r="P38" s="277">
        <v>0</v>
      </c>
      <c r="Q38" s="277">
        <v>0</v>
      </c>
      <c r="R38" s="277">
        <v>0</v>
      </c>
      <c r="S38" s="277">
        <v>0</v>
      </c>
      <c r="T38" s="277">
        <v>0</v>
      </c>
      <c r="U38" s="277">
        <v>0</v>
      </c>
      <c r="V38" s="277">
        <v>0</v>
      </c>
      <c r="W38" s="277">
        <v>0</v>
      </c>
      <c r="X38" s="277">
        <v>0</v>
      </c>
      <c r="Y38" s="277">
        <v>8000</v>
      </c>
      <c r="Z38" s="277">
        <v>34</v>
      </c>
      <c r="AA38" s="277">
        <v>0</v>
      </c>
      <c r="AB38" s="277">
        <v>0</v>
      </c>
      <c r="AC38" s="277">
        <v>6400</v>
      </c>
      <c r="AD38" s="277">
        <v>0</v>
      </c>
      <c r="AE38" s="277">
        <v>1920</v>
      </c>
      <c r="AF38" s="277">
        <v>-576</v>
      </c>
      <c r="AG38" s="277">
        <v>0</v>
      </c>
      <c r="AH38" s="277">
        <v>5420.8</v>
      </c>
    </row>
    <row r="39" spans="1:34">
      <c r="A39" s="277" t="s">
        <v>427</v>
      </c>
      <c r="B39" s="277">
        <v>400</v>
      </c>
      <c r="C39" s="277">
        <v>2400</v>
      </c>
      <c r="D39" s="277">
        <v>6</v>
      </c>
      <c r="E39" s="277">
        <v>0</v>
      </c>
      <c r="F39" s="277">
        <v>5600</v>
      </c>
      <c r="G39" s="277">
        <v>28</v>
      </c>
      <c r="H39" s="277">
        <v>0</v>
      </c>
      <c r="I39" s="277">
        <v>0</v>
      </c>
      <c r="J39" s="277">
        <v>0</v>
      </c>
      <c r="K39" s="277">
        <v>0</v>
      </c>
      <c r="L39" s="277">
        <v>0</v>
      </c>
      <c r="M39" s="277">
        <v>0</v>
      </c>
      <c r="N39" s="277">
        <v>0</v>
      </c>
      <c r="O39" s="277">
        <v>0</v>
      </c>
      <c r="P39" s="277">
        <v>0</v>
      </c>
      <c r="Q39" s="277">
        <v>-400</v>
      </c>
      <c r="R39" s="277">
        <v>2</v>
      </c>
      <c r="S39" s="277">
        <v>0</v>
      </c>
      <c r="T39" s="277">
        <v>0</v>
      </c>
      <c r="U39" s="277">
        <v>0</v>
      </c>
      <c r="V39" s="277">
        <v>0</v>
      </c>
      <c r="W39" s="277">
        <v>0</v>
      </c>
      <c r="X39" s="277">
        <v>0</v>
      </c>
      <c r="Y39" s="277">
        <v>8000</v>
      </c>
      <c r="Z39" s="277">
        <v>34</v>
      </c>
      <c r="AA39" s="277">
        <v>-400</v>
      </c>
      <c r="AB39" s="277">
        <v>2</v>
      </c>
      <c r="AC39" s="277">
        <v>6540</v>
      </c>
      <c r="AD39" s="277">
        <v>-400</v>
      </c>
      <c r="AE39" s="277">
        <v>1752</v>
      </c>
      <c r="AF39" s="277">
        <v>-525.6</v>
      </c>
      <c r="AG39" s="277">
        <v>0</v>
      </c>
      <c r="AH39" s="277">
        <v>5156.4799999999996</v>
      </c>
    </row>
    <row r="40" spans="1:34">
      <c r="A40" s="277" t="s">
        <v>427</v>
      </c>
      <c r="B40" s="277">
        <v>400</v>
      </c>
      <c r="C40" s="277">
        <v>2400</v>
      </c>
      <c r="D40" s="277">
        <v>6</v>
      </c>
      <c r="E40" s="277">
        <v>0</v>
      </c>
      <c r="F40" s="277">
        <v>5400</v>
      </c>
      <c r="G40" s="277">
        <v>27</v>
      </c>
      <c r="H40" s="277">
        <v>0</v>
      </c>
      <c r="I40" s="277">
        <v>0</v>
      </c>
      <c r="J40" s="277">
        <v>0</v>
      </c>
      <c r="K40" s="277">
        <v>0</v>
      </c>
      <c r="L40" s="277">
        <v>0</v>
      </c>
      <c r="M40" s="277">
        <v>0</v>
      </c>
      <c r="N40" s="277">
        <v>0</v>
      </c>
      <c r="O40" s="277">
        <v>0</v>
      </c>
      <c r="P40" s="277">
        <v>0</v>
      </c>
      <c r="Q40" s="277">
        <v>-400</v>
      </c>
      <c r="R40" s="277">
        <v>2</v>
      </c>
      <c r="S40" s="277">
        <v>0</v>
      </c>
      <c r="T40" s="277">
        <v>0</v>
      </c>
      <c r="U40" s="277">
        <v>0</v>
      </c>
      <c r="V40" s="277">
        <v>0</v>
      </c>
      <c r="W40" s="277">
        <v>0</v>
      </c>
      <c r="X40" s="277">
        <v>0</v>
      </c>
      <c r="Y40" s="277">
        <v>7800</v>
      </c>
      <c r="Z40" s="277">
        <v>33</v>
      </c>
      <c r="AA40" s="277">
        <v>-400</v>
      </c>
      <c r="AB40" s="277">
        <v>2</v>
      </c>
      <c r="AC40" s="277">
        <v>6200</v>
      </c>
      <c r="AD40" s="277">
        <v>-400</v>
      </c>
      <c r="AE40" s="277">
        <v>1920</v>
      </c>
      <c r="AF40" s="277">
        <v>-576</v>
      </c>
      <c r="AG40" s="277">
        <v>0</v>
      </c>
      <c r="AH40" s="277">
        <v>5000.8</v>
      </c>
    </row>
    <row r="41" spans="1:34">
      <c r="A41" s="277" t="s">
        <v>427</v>
      </c>
      <c r="B41" s="277">
        <v>400</v>
      </c>
      <c r="C41" s="277">
        <v>2400</v>
      </c>
      <c r="D41" s="277">
        <v>6</v>
      </c>
      <c r="E41" s="277">
        <v>0</v>
      </c>
      <c r="F41" s="277">
        <v>5000</v>
      </c>
      <c r="G41" s="277">
        <v>25</v>
      </c>
      <c r="H41" s="277">
        <v>0</v>
      </c>
      <c r="I41" s="277">
        <v>0</v>
      </c>
      <c r="J41" s="277">
        <v>0</v>
      </c>
      <c r="K41" s="277">
        <v>0</v>
      </c>
      <c r="L41" s="277">
        <v>0</v>
      </c>
      <c r="M41" s="277">
        <v>0</v>
      </c>
      <c r="N41" s="277">
        <v>0</v>
      </c>
      <c r="O41" s="277">
        <v>0</v>
      </c>
      <c r="P41" s="277">
        <v>0</v>
      </c>
      <c r="Q41" s="277">
        <v>-200</v>
      </c>
      <c r="R41" s="277">
        <v>1</v>
      </c>
      <c r="S41" s="277">
        <v>0</v>
      </c>
      <c r="T41" s="277">
        <v>0</v>
      </c>
      <c r="U41" s="277">
        <v>0</v>
      </c>
      <c r="V41" s="277">
        <v>0</v>
      </c>
      <c r="W41" s="277">
        <v>0</v>
      </c>
      <c r="X41" s="277">
        <v>0</v>
      </c>
      <c r="Y41" s="277">
        <v>7400</v>
      </c>
      <c r="Z41" s="277">
        <v>31</v>
      </c>
      <c r="AA41" s="277">
        <v>-200</v>
      </c>
      <c r="AB41" s="277">
        <v>1</v>
      </c>
      <c r="AC41" s="277">
        <v>5800</v>
      </c>
      <c r="AD41" s="277">
        <v>-200</v>
      </c>
      <c r="AE41" s="277">
        <v>1920</v>
      </c>
      <c r="AF41" s="277">
        <v>-576</v>
      </c>
      <c r="AG41" s="277">
        <v>0</v>
      </c>
      <c r="AH41" s="277">
        <v>4860.8</v>
      </c>
    </row>
    <row r="42" spans="1:34">
      <c r="A42" s="277" t="s">
        <v>427</v>
      </c>
      <c r="B42" s="277">
        <v>400</v>
      </c>
      <c r="C42" s="277">
        <v>3600</v>
      </c>
      <c r="D42" s="277">
        <v>9</v>
      </c>
      <c r="E42" s="277">
        <v>0</v>
      </c>
      <c r="F42" s="277">
        <v>144600</v>
      </c>
      <c r="G42" s="277">
        <v>723</v>
      </c>
      <c r="H42" s="277">
        <v>0</v>
      </c>
      <c r="I42" s="277">
        <v>0</v>
      </c>
      <c r="J42" s="277">
        <v>0</v>
      </c>
      <c r="K42" s="277">
        <v>0</v>
      </c>
      <c r="L42" s="277">
        <v>0</v>
      </c>
      <c r="M42" s="277">
        <v>0</v>
      </c>
      <c r="N42" s="277">
        <v>0</v>
      </c>
      <c r="O42" s="277">
        <v>0</v>
      </c>
      <c r="P42" s="277">
        <v>0</v>
      </c>
      <c r="Q42" s="277">
        <v>-2600</v>
      </c>
      <c r="R42" s="277">
        <v>13</v>
      </c>
      <c r="S42" s="277">
        <v>0</v>
      </c>
      <c r="T42" s="277">
        <v>0</v>
      </c>
      <c r="U42" s="277">
        <v>0</v>
      </c>
      <c r="V42" s="277">
        <v>0</v>
      </c>
      <c r="W42" s="277">
        <v>0</v>
      </c>
      <c r="X42" s="277">
        <v>0</v>
      </c>
      <c r="Y42" s="277">
        <v>148200</v>
      </c>
      <c r="Z42" s="277">
        <v>732</v>
      </c>
      <c r="AA42" s="277">
        <v>-2600</v>
      </c>
      <c r="AB42" s="277">
        <v>13</v>
      </c>
      <c r="AC42" s="277">
        <v>146360</v>
      </c>
      <c r="AD42" s="277">
        <v>-2600</v>
      </c>
      <c r="AE42" s="277">
        <v>2206.1</v>
      </c>
      <c r="AF42" s="277">
        <v>-661.83</v>
      </c>
      <c r="AG42" s="277">
        <v>0</v>
      </c>
      <c r="AH42" s="277">
        <v>101712.99</v>
      </c>
    </row>
    <row r="43" spans="1:34">
      <c r="A43" s="277" t="s">
        <v>427</v>
      </c>
      <c r="B43" s="277">
        <v>400</v>
      </c>
      <c r="C43" s="277">
        <v>2400</v>
      </c>
      <c r="D43" s="277">
        <v>6</v>
      </c>
      <c r="E43" s="277">
        <v>0</v>
      </c>
      <c r="F43" s="277">
        <v>5200</v>
      </c>
      <c r="G43" s="277">
        <v>26</v>
      </c>
      <c r="H43" s="277">
        <v>0</v>
      </c>
      <c r="I43" s="277">
        <v>0</v>
      </c>
      <c r="J43" s="277">
        <v>0</v>
      </c>
      <c r="K43" s="277">
        <v>0</v>
      </c>
      <c r="L43" s="277">
        <v>0</v>
      </c>
      <c r="M43" s="277">
        <v>0</v>
      </c>
      <c r="N43" s="277">
        <v>0</v>
      </c>
      <c r="O43" s="277">
        <v>0</v>
      </c>
      <c r="P43" s="277">
        <v>0</v>
      </c>
      <c r="Q43" s="277">
        <v>-200</v>
      </c>
      <c r="R43" s="277">
        <v>1</v>
      </c>
      <c r="S43" s="277">
        <v>0</v>
      </c>
      <c r="T43" s="277">
        <v>0</v>
      </c>
      <c r="U43" s="277">
        <v>0</v>
      </c>
      <c r="V43" s="277">
        <v>0</v>
      </c>
      <c r="W43" s="277">
        <v>0</v>
      </c>
      <c r="X43" s="277">
        <v>0</v>
      </c>
      <c r="Y43" s="277">
        <v>7600</v>
      </c>
      <c r="Z43" s="277">
        <v>32</v>
      </c>
      <c r="AA43" s="277">
        <v>-200</v>
      </c>
      <c r="AB43" s="277">
        <v>1</v>
      </c>
      <c r="AC43" s="277">
        <v>6000</v>
      </c>
      <c r="AD43" s="277">
        <v>-200</v>
      </c>
      <c r="AE43" s="277">
        <v>1920</v>
      </c>
      <c r="AF43" s="277">
        <v>-576</v>
      </c>
      <c r="AG43" s="277">
        <v>0</v>
      </c>
      <c r="AH43" s="277">
        <v>5000.8</v>
      </c>
    </row>
    <row r="44" spans="1:34">
      <c r="A44" s="277" t="s">
        <v>427</v>
      </c>
      <c r="B44" s="277">
        <v>400</v>
      </c>
      <c r="C44" s="277">
        <v>2400</v>
      </c>
      <c r="D44" s="277">
        <v>6</v>
      </c>
      <c r="E44" s="277">
        <v>0</v>
      </c>
      <c r="F44" s="277">
        <v>5400</v>
      </c>
      <c r="G44" s="277">
        <v>27</v>
      </c>
      <c r="H44" s="277">
        <v>0</v>
      </c>
      <c r="I44" s="277">
        <v>0</v>
      </c>
      <c r="J44" s="277">
        <v>0</v>
      </c>
      <c r="K44" s="277">
        <v>0</v>
      </c>
      <c r="L44" s="277">
        <v>0</v>
      </c>
      <c r="M44" s="277">
        <v>0</v>
      </c>
      <c r="N44" s="277">
        <v>0</v>
      </c>
      <c r="O44" s="277">
        <v>0</v>
      </c>
      <c r="P44" s="277">
        <v>0</v>
      </c>
      <c r="Q44" s="277">
        <v>0</v>
      </c>
      <c r="R44" s="277">
        <v>0</v>
      </c>
      <c r="S44" s="277">
        <v>0</v>
      </c>
      <c r="T44" s="277">
        <v>0</v>
      </c>
      <c r="U44" s="277">
        <v>0</v>
      </c>
      <c r="V44" s="277">
        <v>0</v>
      </c>
      <c r="W44" s="277">
        <v>0</v>
      </c>
      <c r="X44" s="277">
        <v>0</v>
      </c>
      <c r="Y44" s="277">
        <v>7800</v>
      </c>
      <c r="Z44" s="277">
        <v>33</v>
      </c>
      <c r="AA44" s="277">
        <v>0</v>
      </c>
      <c r="AB44" s="277">
        <v>0</v>
      </c>
      <c r="AC44" s="277">
        <v>6200</v>
      </c>
      <c r="AD44" s="277">
        <v>0</v>
      </c>
      <c r="AE44" s="277">
        <v>1920</v>
      </c>
      <c r="AF44" s="277">
        <v>-576</v>
      </c>
      <c r="AG44" s="277">
        <v>0</v>
      </c>
      <c r="AH44" s="277">
        <v>5280.8</v>
      </c>
    </row>
    <row r="45" spans="1:34">
      <c r="A45" s="277" t="s">
        <v>427</v>
      </c>
      <c r="B45" s="277">
        <v>400</v>
      </c>
      <c r="C45" s="277">
        <v>2400</v>
      </c>
      <c r="D45" s="277">
        <v>6</v>
      </c>
      <c r="E45" s="277">
        <v>0</v>
      </c>
      <c r="F45" s="277">
        <v>5600</v>
      </c>
      <c r="G45" s="277">
        <v>28</v>
      </c>
      <c r="H45" s="277">
        <v>0</v>
      </c>
      <c r="I45" s="277">
        <v>0</v>
      </c>
      <c r="J45" s="277">
        <v>0</v>
      </c>
      <c r="K45" s="277">
        <v>0</v>
      </c>
      <c r="L45" s="277">
        <v>0</v>
      </c>
      <c r="M45" s="277">
        <v>0</v>
      </c>
      <c r="N45" s="277">
        <v>0</v>
      </c>
      <c r="O45" s="277">
        <v>0</v>
      </c>
      <c r="P45" s="277">
        <v>0</v>
      </c>
      <c r="Q45" s="277">
        <v>-200</v>
      </c>
      <c r="R45" s="277">
        <v>1</v>
      </c>
      <c r="S45" s="277">
        <v>0</v>
      </c>
      <c r="T45" s="277">
        <v>0</v>
      </c>
      <c r="U45" s="277">
        <v>0</v>
      </c>
      <c r="V45" s="277">
        <v>0</v>
      </c>
      <c r="W45" s="277">
        <v>0</v>
      </c>
      <c r="X45" s="277">
        <v>0</v>
      </c>
      <c r="Y45" s="277">
        <v>8000</v>
      </c>
      <c r="Z45" s="277">
        <v>34</v>
      </c>
      <c r="AA45" s="277">
        <v>-200</v>
      </c>
      <c r="AB45" s="277">
        <v>1</v>
      </c>
      <c r="AC45" s="277">
        <v>6600</v>
      </c>
      <c r="AD45" s="277">
        <v>-200</v>
      </c>
      <c r="AE45" s="277">
        <v>1680</v>
      </c>
      <c r="AF45" s="277">
        <v>-504</v>
      </c>
      <c r="AG45" s="277">
        <v>0</v>
      </c>
      <c r="AH45" s="277">
        <v>5303.2</v>
      </c>
    </row>
    <row r="46" spans="1:34">
      <c r="A46" s="277" t="s">
        <v>427</v>
      </c>
      <c r="B46" s="277">
        <v>400</v>
      </c>
      <c r="C46" s="277">
        <v>2400</v>
      </c>
      <c r="D46" s="277">
        <v>6</v>
      </c>
      <c r="E46" s="277">
        <v>0</v>
      </c>
      <c r="F46" s="277">
        <v>5200</v>
      </c>
      <c r="G46" s="277">
        <v>26</v>
      </c>
      <c r="H46" s="277">
        <v>0</v>
      </c>
      <c r="I46" s="277">
        <v>0</v>
      </c>
      <c r="J46" s="277">
        <v>0</v>
      </c>
      <c r="K46" s="277">
        <v>0</v>
      </c>
      <c r="L46" s="277">
        <v>0</v>
      </c>
      <c r="M46" s="277">
        <v>0</v>
      </c>
      <c r="N46" s="277">
        <v>0</v>
      </c>
      <c r="O46" s="277">
        <v>0</v>
      </c>
      <c r="P46" s="277">
        <v>0</v>
      </c>
      <c r="Q46" s="277">
        <v>-200</v>
      </c>
      <c r="R46" s="277">
        <v>1</v>
      </c>
      <c r="S46" s="277">
        <v>0</v>
      </c>
      <c r="T46" s="277">
        <v>0</v>
      </c>
      <c r="U46" s="277">
        <v>0</v>
      </c>
      <c r="V46" s="277">
        <v>0</v>
      </c>
      <c r="W46" s="277">
        <v>0</v>
      </c>
      <c r="X46" s="277">
        <v>0</v>
      </c>
      <c r="Y46" s="277">
        <v>7600</v>
      </c>
      <c r="Z46" s="277">
        <v>32</v>
      </c>
      <c r="AA46" s="277">
        <v>-200</v>
      </c>
      <c r="AB46" s="277">
        <v>1</v>
      </c>
      <c r="AC46" s="277">
        <v>6300</v>
      </c>
      <c r="AD46" s="277">
        <v>-200</v>
      </c>
      <c r="AE46" s="277">
        <v>1560</v>
      </c>
      <c r="AF46" s="277">
        <v>-468</v>
      </c>
      <c r="AG46" s="277">
        <v>0</v>
      </c>
      <c r="AH46" s="277">
        <v>5034.3999999999996</v>
      </c>
    </row>
    <row r="47" spans="1:34">
      <c r="A47" s="277" t="s">
        <v>427</v>
      </c>
      <c r="B47" s="277">
        <v>400</v>
      </c>
      <c r="C47" s="277">
        <v>2400</v>
      </c>
      <c r="D47" s="277">
        <v>6</v>
      </c>
      <c r="E47" s="277">
        <v>0</v>
      </c>
      <c r="F47" s="277">
        <v>5000</v>
      </c>
      <c r="G47" s="277">
        <v>25</v>
      </c>
      <c r="H47" s="277">
        <v>0</v>
      </c>
      <c r="I47" s="277">
        <v>0</v>
      </c>
      <c r="J47" s="277">
        <v>0</v>
      </c>
      <c r="K47" s="277">
        <v>0</v>
      </c>
      <c r="L47" s="277">
        <v>0</v>
      </c>
      <c r="M47" s="277">
        <v>0</v>
      </c>
      <c r="N47" s="277">
        <v>0</v>
      </c>
      <c r="O47" s="277">
        <v>0</v>
      </c>
      <c r="P47" s="277">
        <v>0</v>
      </c>
      <c r="Q47" s="277">
        <v>-200</v>
      </c>
      <c r="R47" s="277">
        <v>1</v>
      </c>
      <c r="S47" s="277">
        <v>0</v>
      </c>
      <c r="T47" s="277">
        <v>0</v>
      </c>
      <c r="U47" s="277">
        <v>0</v>
      </c>
      <c r="V47" s="277">
        <v>0</v>
      </c>
      <c r="W47" s="277">
        <v>0</v>
      </c>
      <c r="X47" s="277">
        <v>0</v>
      </c>
      <c r="Y47" s="277">
        <v>7400</v>
      </c>
      <c r="Z47" s="277">
        <v>31</v>
      </c>
      <c r="AA47" s="277">
        <v>-200</v>
      </c>
      <c r="AB47" s="277">
        <v>1</v>
      </c>
      <c r="AC47" s="277">
        <v>6000</v>
      </c>
      <c r="AD47" s="277">
        <v>-200</v>
      </c>
      <c r="AE47" s="277">
        <v>1680</v>
      </c>
      <c r="AF47" s="277">
        <v>-504</v>
      </c>
      <c r="AG47" s="277">
        <v>0</v>
      </c>
      <c r="AH47" s="277">
        <v>4883.2</v>
      </c>
    </row>
    <row r="48" spans="1:34">
      <c r="A48" s="277" t="s">
        <v>427</v>
      </c>
      <c r="B48" s="277">
        <v>400</v>
      </c>
      <c r="C48" s="277">
        <v>2400</v>
      </c>
      <c r="D48" s="277">
        <v>6</v>
      </c>
      <c r="E48" s="277">
        <v>0</v>
      </c>
      <c r="F48" s="277">
        <v>5200</v>
      </c>
      <c r="G48" s="277">
        <v>26</v>
      </c>
      <c r="H48" s="277">
        <v>0</v>
      </c>
      <c r="I48" s="277">
        <v>0</v>
      </c>
      <c r="J48" s="277">
        <v>0</v>
      </c>
      <c r="K48" s="277">
        <v>0</v>
      </c>
      <c r="L48" s="277">
        <v>0</v>
      </c>
      <c r="M48" s="277">
        <v>0</v>
      </c>
      <c r="N48" s="277">
        <v>0</v>
      </c>
      <c r="O48" s="277">
        <v>0</v>
      </c>
      <c r="P48" s="277">
        <v>0</v>
      </c>
      <c r="Q48" s="277">
        <v>0</v>
      </c>
      <c r="R48" s="277">
        <v>0</v>
      </c>
      <c r="S48" s="277">
        <v>0</v>
      </c>
      <c r="T48" s="277">
        <v>0</v>
      </c>
      <c r="U48" s="277">
        <v>0</v>
      </c>
      <c r="V48" s="277">
        <v>0</v>
      </c>
      <c r="W48" s="277">
        <v>0</v>
      </c>
      <c r="X48" s="277">
        <v>0</v>
      </c>
      <c r="Y48" s="277">
        <v>7600</v>
      </c>
      <c r="Z48" s="277">
        <v>32</v>
      </c>
      <c r="AA48" s="277">
        <v>0</v>
      </c>
      <c r="AB48" s="277">
        <v>0</v>
      </c>
      <c r="AC48" s="277">
        <v>6200</v>
      </c>
      <c r="AD48" s="277">
        <v>0</v>
      </c>
      <c r="AE48" s="277">
        <v>1680</v>
      </c>
      <c r="AF48" s="277">
        <v>-504</v>
      </c>
      <c r="AG48" s="277">
        <v>0</v>
      </c>
      <c r="AH48" s="277">
        <v>5163.2</v>
      </c>
    </row>
    <row r="49" spans="1:34">
      <c r="A49" s="277" t="s">
        <v>427</v>
      </c>
      <c r="B49" s="277">
        <v>400</v>
      </c>
      <c r="C49" s="277">
        <v>2400</v>
      </c>
      <c r="D49" s="277">
        <v>6</v>
      </c>
      <c r="E49" s="277">
        <v>0</v>
      </c>
      <c r="F49" s="277">
        <v>6000</v>
      </c>
      <c r="G49" s="277">
        <v>30</v>
      </c>
      <c r="H49" s="277">
        <v>0</v>
      </c>
      <c r="I49" s="277">
        <v>0</v>
      </c>
      <c r="J49" s="277">
        <v>0</v>
      </c>
      <c r="K49" s="277">
        <v>0</v>
      </c>
      <c r="L49" s="277">
        <v>0</v>
      </c>
      <c r="M49" s="277">
        <v>0</v>
      </c>
      <c r="N49" s="277">
        <v>0</v>
      </c>
      <c r="O49" s="277">
        <v>0</v>
      </c>
      <c r="P49" s="277">
        <v>0</v>
      </c>
      <c r="Q49" s="277">
        <v>0</v>
      </c>
      <c r="R49" s="277">
        <v>0</v>
      </c>
      <c r="S49" s="277">
        <v>0</v>
      </c>
      <c r="T49" s="277">
        <v>0</v>
      </c>
      <c r="U49" s="277">
        <v>0</v>
      </c>
      <c r="V49" s="277">
        <v>0</v>
      </c>
      <c r="W49" s="277">
        <v>0</v>
      </c>
      <c r="X49" s="277">
        <v>0</v>
      </c>
      <c r="Y49" s="277">
        <v>8400</v>
      </c>
      <c r="Z49" s="277">
        <v>36</v>
      </c>
      <c r="AA49" s="277">
        <v>0</v>
      </c>
      <c r="AB49" s="277">
        <v>0</v>
      </c>
      <c r="AC49" s="277">
        <v>7000</v>
      </c>
      <c r="AD49" s="277">
        <v>0</v>
      </c>
      <c r="AE49" s="277">
        <v>1680</v>
      </c>
      <c r="AF49" s="277">
        <v>-504</v>
      </c>
      <c r="AG49" s="277">
        <v>0</v>
      </c>
      <c r="AH49" s="277">
        <v>5723.2</v>
      </c>
    </row>
    <row r="50" spans="1:34">
      <c r="A50" s="277" t="s">
        <v>427</v>
      </c>
      <c r="B50" s="277">
        <v>400</v>
      </c>
      <c r="C50" s="277">
        <v>2400</v>
      </c>
      <c r="D50" s="277">
        <v>6</v>
      </c>
      <c r="E50" s="277">
        <v>0</v>
      </c>
      <c r="F50" s="277">
        <v>6400</v>
      </c>
      <c r="G50" s="277">
        <v>32</v>
      </c>
      <c r="H50" s="277">
        <v>0</v>
      </c>
      <c r="I50" s="277">
        <v>0</v>
      </c>
      <c r="J50" s="277">
        <v>0</v>
      </c>
      <c r="K50" s="277">
        <v>0</v>
      </c>
      <c r="L50" s="277">
        <v>0</v>
      </c>
      <c r="M50" s="277">
        <v>0</v>
      </c>
      <c r="N50" s="277">
        <v>0</v>
      </c>
      <c r="O50" s="277">
        <v>0</v>
      </c>
      <c r="P50" s="277">
        <v>0</v>
      </c>
      <c r="Q50" s="277">
        <v>0</v>
      </c>
      <c r="R50" s="277">
        <v>0</v>
      </c>
      <c r="S50" s="277">
        <v>0</v>
      </c>
      <c r="T50" s="277">
        <v>0</v>
      </c>
      <c r="U50" s="277">
        <v>0</v>
      </c>
      <c r="V50" s="277">
        <v>0</v>
      </c>
      <c r="W50" s="277">
        <v>0</v>
      </c>
      <c r="X50" s="277">
        <v>0</v>
      </c>
      <c r="Y50" s="277">
        <v>8800</v>
      </c>
      <c r="Z50" s="277">
        <v>38</v>
      </c>
      <c r="AA50" s="277">
        <v>0</v>
      </c>
      <c r="AB50" s="277">
        <v>0</v>
      </c>
      <c r="AC50" s="277">
        <v>7400</v>
      </c>
      <c r="AD50" s="277">
        <v>0</v>
      </c>
      <c r="AE50" s="277">
        <v>1680</v>
      </c>
      <c r="AF50" s="277">
        <v>-504</v>
      </c>
      <c r="AG50" s="277">
        <v>0</v>
      </c>
      <c r="AH50" s="277">
        <v>6003.2</v>
      </c>
    </row>
    <row r="51" spans="1:34">
      <c r="A51" s="277" t="s">
        <v>427</v>
      </c>
      <c r="B51" s="277">
        <v>400</v>
      </c>
      <c r="C51" s="277">
        <v>2400</v>
      </c>
      <c r="D51" s="277">
        <v>6</v>
      </c>
      <c r="E51" s="277">
        <v>0</v>
      </c>
      <c r="F51" s="277">
        <v>6400</v>
      </c>
      <c r="G51" s="277">
        <v>32</v>
      </c>
      <c r="H51" s="277">
        <v>0</v>
      </c>
      <c r="I51" s="277">
        <v>0</v>
      </c>
      <c r="J51" s="277">
        <v>0</v>
      </c>
      <c r="K51" s="277">
        <v>0</v>
      </c>
      <c r="L51" s="277">
        <v>0</v>
      </c>
      <c r="M51" s="277">
        <v>0</v>
      </c>
      <c r="N51" s="277">
        <v>0</v>
      </c>
      <c r="O51" s="277">
        <v>0</v>
      </c>
      <c r="P51" s="277">
        <v>0</v>
      </c>
      <c r="Q51" s="277">
        <v>-200</v>
      </c>
      <c r="R51" s="277">
        <v>1</v>
      </c>
      <c r="S51" s="277">
        <v>0</v>
      </c>
      <c r="T51" s="277">
        <v>0</v>
      </c>
      <c r="U51" s="277">
        <v>0</v>
      </c>
      <c r="V51" s="277">
        <v>0</v>
      </c>
      <c r="W51" s="277">
        <v>0</v>
      </c>
      <c r="X51" s="277">
        <v>0</v>
      </c>
      <c r="Y51" s="277">
        <v>8800</v>
      </c>
      <c r="Z51" s="277">
        <v>38</v>
      </c>
      <c r="AA51" s="277">
        <v>-200</v>
      </c>
      <c r="AB51" s="277">
        <v>1</v>
      </c>
      <c r="AC51" s="277">
        <v>7400</v>
      </c>
      <c r="AD51" s="277">
        <v>-200</v>
      </c>
      <c r="AE51" s="277">
        <v>1680</v>
      </c>
      <c r="AF51" s="277">
        <v>-504</v>
      </c>
      <c r="AG51" s="277">
        <v>0</v>
      </c>
      <c r="AH51" s="277">
        <v>5863.2</v>
      </c>
    </row>
    <row r="52" spans="1:34">
      <c r="A52" s="277" t="s">
        <v>427</v>
      </c>
      <c r="B52" s="277">
        <v>400</v>
      </c>
      <c r="C52" s="277">
        <v>2400</v>
      </c>
      <c r="D52" s="277">
        <v>6</v>
      </c>
      <c r="E52" s="277">
        <v>0</v>
      </c>
      <c r="F52" s="277">
        <v>6600</v>
      </c>
      <c r="G52" s="277">
        <v>33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77">
        <v>0</v>
      </c>
      <c r="Q52" s="277">
        <v>0</v>
      </c>
      <c r="R52" s="277">
        <v>0</v>
      </c>
      <c r="S52" s="277">
        <v>0</v>
      </c>
      <c r="T52" s="277">
        <v>0</v>
      </c>
      <c r="U52" s="277">
        <v>0</v>
      </c>
      <c r="V52" s="277">
        <v>0</v>
      </c>
      <c r="W52" s="277">
        <v>0</v>
      </c>
      <c r="X52" s="277">
        <v>0</v>
      </c>
      <c r="Y52" s="277">
        <v>9000</v>
      </c>
      <c r="Z52" s="277">
        <v>39</v>
      </c>
      <c r="AA52" s="277">
        <v>0</v>
      </c>
      <c r="AB52" s="277">
        <v>0</v>
      </c>
      <c r="AC52" s="277">
        <v>7600</v>
      </c>
      <c r="AD52" s="277">
        <v>0</v>
      </c>
      <c r="AE52" s="277">
        <v>1680</v>
      </c>
      <c r="AF52" s="277">
        <v>-504</v>
      </c>
      <c r="AG52" s="277">
        <v>0</v>
      </c>
      <c r="AH52" s="277">
        <v>6143.2</v>
      </c>
    </row>
    <row r="53" spans="1:34">
      <c r="A53" s="277" t="s">
        <v>427</v>
      </c>
      <c r="B53" s="277">
        <v>400</v>
      </c>
      <c r="C53" s="277">
        <v>3200</v>
      </c>
      <c r="D53" s="277">
        <v>8</v>
      </c>
      <c r="E53" s="277">
        <v>0</v>
      </c>
      <c r="F53" s="277">
        <v>147600</v>
      </c>
      <c r="G53" s="277">
        <v>738</v>
      </c>
      <c r="H53" s="277">
        <v>0</v>
      </c>
      <c r="I53" s="277">
        <v>0</v>
      </c>
      <c r="J53" s="277">
        <v>0</v>
      </c>
      <c r="K53" s="277">
        <v>0</v>
      </c>
      <c r="L53" s="277">
        <v>0</v>
      </c>
      <c r="M53" s="277">
        <v>0</v>
      </c>
      <c r="N53" s="277">
        <v>0</v>
      </c>
      <c r="O53" s="277">
        <v>0</v>
      </c>
      <c r="P53" s="277">
        <v>0</v>
      </c>
      <c r="Q53" s="277">
        <v>-2400</v>
      </c>
      <c r="R53" s="277">
        <v>12</v>
      </c>
      <c r="S53" s="277">
        <v>0</v>
      </c>
      <c r="T53" s="277">
        <v>0</v>
      </c>
      <c r="U53" s="277">
        <v>0</v>
      </c>
      <c r="V53" s="277">
        <v>0</v>
      </c>
      <c r="W53" s="277">
        <v>0</v>
      </c>
      <c r="X53" s="277">
        <v>0</v>
      </c>
      <c r="Y53" s="277">
        <v>150800</v>
      </c>
      <c r="Z53" s="277">
        <v>746</v>
      </c>
      <c r="AA53" s="277">
        <v>-2400</v>
      </c>
      <c r="AB53" s="277">
        <v>12</v>
      </c>
      <c r="AC53" s="277">
        <v>148720</v>
      </c>
      <c r="AD53" s="277">
        <v>-2400</v>
      </c>
      <c r="AE53" s="277">
        <v>2496</v>
      </c>
      <c r="AF53" s="277">
        <v>-748.8</v>
      </c>
      <c r="AG53" s="277">
        <v>0</v>
      </c>
      <c r="AH53" s="277">
        <v>103647.03999999999</v>
      </c>
    </row>
    <row r="54" spans="1:34">
      <c r="A54" s="277" t="s">
        <v>427</v>
      </c>
      <c r="B54" s="277">
        <v>400</v>
      </c>
      <c r="C54" s="277">
        <v>2000</v>
      </c>
      <c r="D54" s="277">
        <v>5</v>
      </c>
      <c r="E54" s="277">
        <v>0</v>
      </c>
      <c r="F54" s="277">
        <v>7000</v>
      </c>
      <c r="G54" s="277">
        <v>35</v>
      </c>
      <c r="H54" s="277">
        <v>0</v>
      </c>
      <c r="I54" s="277">
        <v>0</v>
      </c>
      <c r="J54" s="277">
        <v>0</v>
      </c>
      <c r="K54" s="277">
        <v>0</v>
      </c>
      <c r="L54" s="277">
        <v>0</v>
      </c>
      <c r="M54" s="277">
        <v>0</v>
      </c>
      <c r="N54" s="277">
        <v>0</v>
      </c>
      <c r="O54" s="277">
        <v>0</v>
      </c>
      <c r="P54" s="277">
        <v>0</v>
      </c>
      <c r="Q54" s="277">
        <v>0</v>
      </c>
      <c r="R54" s="277">
        <v>0</v>
      </c>
      <c r="S54" s="277">
        <v>0</v>
      </c>
      <c r="T54" s="277">
        <v>0</v>
      </c>
      <c r="U54" s="277">
        <v>0</v>
      </c>
      <c r="V54" s="277">
        <v>0</v>
      </c>
      <c r="W54" s="277">
        <v>0</v>
      </c>
      <c r="X54" s="277">
        <v>0</v>
      </c>
      <c r="Y54" s="277">
        <v>9000</v>
      </c>
      <c r="Z54" s="277">
        <v>40</v>
      </c>
      <c r="AA54" s="277">
        <v>0</v>
      </c>
      <c r="AB54" s="277">
        <v>0</v>
      </c>
      <c r="AC54" s="277">
        <v>7600</v>
      </c>
      <c r="AD54" s="277">
        <v>0</v>
      </c>
      <c r="AE54" s="277">
        <v>1680</v>
      </c>
      <c r="AF54" s="277">
        <v>-504</v>
      </c>
      <c r="AG54" s="277">
        <v>0</v>
      </c>
      <c r="AH54" s="277">
        <v>6143.2</v>
      </c>
    </row>
    <row r="55" spans="1:34">
      <c r="A55" s="277" t="s">
        <v>427</v>
      </c>
      <c r="B55" s="277">
        <v>400</v>
      </c>
      <c r="C55" s="277">
        <v>2400</v>
      </c>
      <c r="D55" s="277">
        <v>6</v>
      </c>
      <c r="E55" s="277">
        <v>0</v>
      </c>
      <c r="F55" s="277">
        <v>9000</v>
      </c>
      <c r="G55" s="277">
        <v>45</v>
      </c>
      <c r="H55" s="277">
        <v>0</v>
      </c>
      <c r="I55" s="277">
        <v>0</v>
      </c>
      <c r="J55" s="277">
        <v>0</v>
      </c>
      <c r="K55" s="277">
        <v>0</v>
      </c>
      <c r="L55" s="277">
        <v>0</v>
      </c>
      <c r="M55" s="277">
        <v>0</v>
      </c>
      <c r="N55" s="277">
        <v>0</v>
      </c>
      <c r="O55" s="277">
        <v>0</v>
      </c>
      <c r="P55" s="277">
        <v>0</v>
      </c>
      <c r="Q55" s="277">
        <v>-400</v>
      </c>
      <c r="R55" s="277">
        <v>2</v>
      </c>
      <c r="S55" s="277">
        <v>0</v>
      </c>
      <c r="T55" s="277">
        <v>0</v>
      </c>
      <c r="U55" s="277">
        <v>0</v>
      </c>
      <c r="V55" s="277">
        <v>0</v>
      </c>
      <c r="W55" s="277">
        <v>0</v>
      </c>
      <c r="X55" s="277">
        <v>0</v>
      </c>
      <c r="Y55" s="277">
        <v>11400</v>
      </c>
      <c r="Z55" s="277">
        <v>51</v>
      </c>
      <c r="AA55" s="277">
        <v>-400</v>
      </c>
      <c r="AB55" s="277">
        <v>2</v>
      </c>
      <c r="AC55" s="277">
        <v>9910</v>
      </c>
      <c r="AD55" s="277">
        <v>-400</v>
      </c>
      <c r="AE55" s="277">
        <v>1788</v>
      </c>
      <c r="AF55" s="277">
        <v>-536.4</v>
      </c>
      <c r="AG55" s="277">
        <v>0</v>
      </c>
      <c r="AH55" s="277">
        <v>7533.12</v>
      </c>
    </row>
    <row r="56" spans="1:34">
      <c r="A56" s="277" t="s">
        <v>427</v>
      </c>
      <c r="B56" s="277">
        <v>400</v>
      </c>
      <c r="C56" s="277">
        <v>2400</v>
      </c>
      <c r="D56" s="277">
        <v>6</v>
      </c>
      <c r="E56" s="277">
        <v>0</v>
      </c>
      <c r="F56" s="277">
        <v>10200</v>
      </c>
      <c r="G56" s="277">
        <v>51</v>
      </c>
      <c r="H56" s="277">
        <v>0</v>
      </c>
      <c r="I56" s="277">
        <v>0</v>
      </c>
      <c r="J56" s="277">
        <v>0</v>
      </c>
      <c r="K56" s="277">
        <v>0</v>
      </c>
      <c r="L56" s="277">
        <v>0</v>
      </c>
      <c r="M56" s="277">
        <v>0</v>
      </c>
      <c r="N56" s="277">
        <v>0</v>
      </c>
      <c r="O56" s="277">
        <v>0</v>
      </c>
      <c r="P56" s="277">
        <v>0</v>
      </c>
      <c r="Q56" s="277">
        <v>-400</v>
      </c>
      <c r="R56" s="277">
        <v>2</v>
      </c>
      <c r="S56" s="277">
        <v>0</v>
      </c>
      <c r="T56" s="277">
        <v>0</v>
      </c>
      <c r="U56" s="277">
        <v>0</v>
      </c>
      <c r="V56" s="277">
        <v>0</v>
      </c>
      <c r="W56" s="277">
        <v>0</v>
      </c>
      <c r="X56" s="277">
        <v>0</v>
      </c>
      <c r="Y56" s="277">
        <v>12600</v>
      </c>
      <c r="Z56" s="277">
        <v>57</v>
      </c>
      <c r="AA56" s="277">
        <v>-400</v>
      </c>
      <c r="AB56" s="277">
        <v>2</v>
      </c>
      <c r="AC56" s="277">
        <v>11000</v>
      </c>
      <c r="AD56" s="277">
        <v>-400</v>
      </c>
      <c r="AE56" s="277">
        <v>1920</v>
      </c>
      <c r="AF56" s="277">
        <v>-576</v>
      </c>
      <c r="AG56" s="277">
        <v>0</v>
      </c>
      <c r="AH56" s="277">
        <v>8360.7999999999993</v>
      </c>
    </row>
    <row r="57" spans="1:34">
      <c r="A57" s="277" t="s">
        <v>427</v>
      </c>
      <c r="B57" s="277">
        <v>400</v>
      </c>
      <c r="C57" s="277">
        <v>2400</v>
      </c>
      <c r="D57" s="277">
        <v>6</v>
      </c>
      <c r="E57" s="277">
        <v>0</v>
      </c>
      <c r="F57" s="277">
        <v>20800</v>
      </c>
      <c r="G57" s="277">
        <v>104</v>
      </c>
      <c r="H57" s="277">
        <v>0</v>
      </c>
      <c r="I57" s="277">
        <v>0</v>
      </c>
      <c r="J57" s="277">
        <v>0</v>
      </c>
      <c r="K57" s="277">
        <v>0</v>
      </c>
      <c r="L57" s="277">
        <v>0</v>
      </c>
      <c r="M57" s="277">
        <v>0</v>
      </c>
      <c r="N57" s="277">
        <v>0</v>
      </c>
      <c r="O57" s="277">
        <v>0</v>
      </c>
      <c r="P57" s="277">
        <v>0</v>
      </c>
      <c r="Q57" s="277">
        <v>-800</v>
      </c>
      <c r="R57" s="277">
        <v>4</v>
      </c>
      <c r="S57" s="277">
        <v>0</v>
      </c>
      <c r="T57" s="277">
        <v>0</v>
      </c>
      <c r="U57" s="277">
        <v>0</v>
      </c>
      <c r="V57" s="277">
        <v>0</v>
      </c>
      <c r="W57" s="277">
        <v>0</v>
      </c>
      <c r="X57" s="277">
        <v>0</v>
      </c>
      <c r="Y57" s="277">
        <v>23200</v>
      </c>
      <c r="Z57" s="277">
        <v>110</v>
      </c>
      <c r="AA57" s="277">
        <v>-800</v>
      </c>
      <c r="AB57" s="277">
        <v>4</v>
      </c>
      <c r="AC57" s="277">
        <v>21800</v>
      </c>
      <c r="AD57" s="277">
        <v>-800</v>
      </c>
      <c r="AE57" s="277">
        <v>1680</v>
      </c>
      <c r="AF57" s="277">
        <v>-504</v>
      </c>
      <c r="AG57" s="277">
        <v>0</v>
      </c>
      <c r="AH57" s="277">
        <v>15523.2</v>
      </c>
    </row>
    <row r="58" spans="1:34">
      <c r="A58" s="277" t="s">
        <v>427</v>
      </c>
      <c r="B58" s="277">
        <v>400</v>
      </c>
      <c r="C58" s="277">
        <v>2400</v>
      </c>
      <c r="D58" s="277">
        <v>6</v>
      </c>
      <c r="E58" s="277">
        <v>0</v>
      </c>
      <c r="F58" s="277">
        <v>29800</v>
      </c>
      <c r="G58" s="277">
        <v>149</v>
      </c>
      <c r="H58" s="277">
        <v>0</v>
      </c>
      <c r="I58" s="277">
        <v>0</v>
      </c>
      <c r="J58" s="277">
        <v>0</v>
      </c>
      <c r="K58" s="277">
        <v>0</v>
      </c>
      <c r="L58" s="277">
        <v>0</v>
      </c>
      <c r="M58" s="277">
        <v>0</v>
      </c>
      <c r="N58" s="277">
        <v>0</v>
      </c>
      <c r="O58" s="277">
        <v>0</v>
      </c>
      <c r="P58" s="277">
        <v>0</v>
      </c>
      <c r="Q58" s="277">
        <v>-1000</v>
      </c>
      <c r="R58" s="277">
        <v>5</v>
      </c>
      <c r="S58" s="277">
        <v>0</v>
      </c>
      <c r="T58" s="277">
        <v>0</v>
      </c>
      <c r="U58" s="277">
        <v>0</v>
      </c>
      <c r="V58" s="277">
        <v>0</v>
      </c>
      <c r="W58" s="277">
        <v>0</v>
      </c>
      <c r="X58" s="277">
        <v>0</v>
      </c>
      <c r="Y58" s="277">
        <v>32200</v>
      </c>
      <c r="Z58" s="277">
        <v>155</v>
      </c>
      <c r="AA58" s="277">
        <v>-1000</v>
      </c>
      <c r="AB58" s="277">
        <v>5</v>
      </c>
      <c r="AC58" s="277">
        <v>31000</v>
      </c>
      <c r="AD58" s="277">
        <v>-1000</v>
      </c>
      <c r="AE58" s="277">
        <v>1440</v>
      </c>
      <c r="AF58" s="277">
        <v>-432</v>
      </c>
      <c r="AG58" s="277">
        <v>0</v>
      </c>
      <c r="AH58" s="277">
        <v>21705.599999999999</v>
      </c>
    </row>
    <row r="59" spans="1:34">
      <c r="A59" s="277" t="s">
        <v>427</v>
      </c>
      <c r="B59" s="277">
        <v>400</v>
      </c>
      <c r="C59" s="277">
        <v>2400</v>
      </c>
      <c r="D59" s="277">
        <v>6</v>
      </c>
      <c r="E59" s="277">
        <v>0</v>
      </c>
      <c r="F59" s="277">
        <v>29000</v>
      </c>
      <c r="G59" s="277">
        <v>145</v>
      </c>
      <c r="H59" s="277">
        <v>0</v>
      </c>
      <c r="I59" s="277">
        <v>0</v>
      </c>
      <c r="J59" s="277">
        <v>0</v>
      </c>
      <c r="K59" s="277">
        <v>0</v>
      </c>
      <c r="L59" s="277">
        <v>0</v>
      </c>
      <c r="M59" s="277">
        <v>0</v>
      </c>
      <c r="N59" s="277">
        <v>0</v>
      </c>
      <c r="O59" s="277">
        <v>0</v>
      </c>
      <c r="P59" s="277">
        <v>0</v>
      </c>
      <c r="Q59" s="277">
        <v>-600</v>
      </c>
      <c r="R59" s="277">
        <v>3</v>
      </c>
      <c r="S59" s="277">
        <v>0</v>
      </c>
      <c r="T59" s="277">
        <v>0</v>
      </c>
      <c r="U59" s="277">
        <v>0</v>
      </c>
      <c r="V59" s="277">
        <v>0</v>
      </c>
      <c r="W59" s="277">
        <v>0</v>
      </c>
      <c r="X59" s="277">
        <v>0</v>
      </c>
      <c r="Y59" s="277">
        <v>31400</v>
      </c>
      <c r="Z59" s="277">
        <v>151</v>
      </c>
      <c r="AA59" s="277">
        <v>-600</v>
      </c>
      <c r="AB59" s="277">
        <v>3</v>
      </c>
      <c r="AC59" s="277">
        <v>30100</v>
      </c>
      <c r="AD59" s="277">
        <v>-600</v>
      </c>
      <c r="AE59" s="277">
        <v>1560</v>
      </c>
      <c r="AF59" s="277">
        <v>-468</v>
      </c>
      <c r="AG59" s="277">
        <v>0</v>
      </c>
      <c r="AH59" s="277">
        <v>21414.400000000001</v>
      </c>
    </row>
    <row r="60" spans="1:34">
      <c r="A60" s="277" t="s">
        <v>427</v>
      </c>
      <c r="B60" s="277">
        <v>400</v>
      </c>
      <c r="C60" s="277">
        <v>3200</v>
      </c>
      <c r="D60" s="277">
        <v>8</v>
      </c>
      <c r="E60" s="277">
        <v>0</v>
      </c>
      <c r="F60" s="277">
        <v>18400</v>
      </c>
      <c r="G60" s="277">
        <v>92</v>
      </c>
      <c r="H60" s="277">
        <v>0</v>
      </c>
      <c r="I60" s="277">
        <v>0</v>
      </c>
      <c r="J60" s="277">
        <v>0</v>
      </c>
      <c r="K60" s="277">
        <v>0</v>
      </c>
      <c r="L60" s="277">
        <v>0</v>
      </c>
      <c r="M60" s="277">
        <v>0</v>
      </c>
      <c r="N60" s="277">
        <v>0</v>
      </c>
      <c r="O60" s="277">
        <v>0</v>
      </c>
      <c r="P60" s="277">
        <v>0</v>
      </c>
      <c r="Q60" s="277">
        <v>-600</v>
      </c>
      <c r="R60" s="277">
        <v>3</v>
      </c>
      <c r="S60" s="277">
        <v>0</v>
      </c>
      <c r="T60" s="277">
        <v>0</v>
      </c>
      <c r="U60" s="277">
        <v>0</v>
      </c>
      <c r="V60" s="277">
        <v>0</v>
      </c>
      <c r="W60" s="277">
        <v>0</v>
      </c>
      <c r="X60" s="277">
        <v>0</v>
      </c>
      <c r="Y60" s="277">
        <v>21600</v>
      </c>
      <c r="Z60" s="277">
        <v>100</v>
      </c>
      <c r="AA60" s="277">
        <v>-600</v>
      </c>
      <c r="AB60" s="277">
        <v>3</v>
      </c>
      <c r="AC60" s="277">
        <v>20200</v>
      </c>
      <c r="AD60" s="277">
        <v>-600</v>
      </c>
      <c r="AE60" s="277">
        <v>1680</v>
      </c>
      <c r="AF60" s="277">
        <v>-504</v>
      </c>
      <c r="AG60" s="277">
        <v>0</v>
      </c>
      <c r="AH60" s="277">
        <v>14543.2</v>
      </c>
    </row>
    <row r="61" spans="1:34">
      <c r="A61" s="277" t="s">
        <v>427</v>
      </c>
      <c r="B61" s="277">
        <v>400</v>
      </c>
      <c r="C61" s="277">
        <v>2800</v>
      </c>
      <c r="D61" s="277">
        <v>7</v>
      </c>
      <c r="E61" s="277">
        <v>0</v>
      </c>
      <c r="F61" s="277">
        <v>24200</v>
      </c>
      <c r="G61" s="277">
        <v>121</v>
      </c>
      <c r="H61" s="277">
        <v>0</v>
      </c>
      <c r="I61" s="277">
        <v>0</v>
      </c>
      <c r="J61" s="277">
        <v>0</v>
      </c>
      <c r="K61" s="277">
        <v>0</v>
      </c>
      <c r="L61" s="277">
        <v>0</v>
      </c>
      <c r="M61" s="277">
        <v>0</v>
      </c>
      <c r="N61" s="277">
        <v>0</v>
      </c>
      <c r="O61" s="277">
        <v>0</v>
      </c>
      <c r="P61" s="277">
        <v>0</v>
      </c>
      <c r="Q61" s="277">
        <v>-1000</v>
      </c>
      <c r="R61" s="277">
        <v>5</v>
      </c>
      <c r="S61" s="277">
        <v>0</v>
      </c>
      <c r="T61" s="277">
        <v>0</v>
      </c>
      <c r="U61" s="277">
        <v>0</v>
      </c>
      <c r="V61" s="277">
        <v>0</v>
      </c>
      <c r="W61" s="277">
        <v>0</v>
      </c>
      <c r="X61" s="277">
        <v>0</v>
      </c>
      <c r="Y61" s="277">
        <v>27000</v>
      </c>
      <c r="Z61" s="277">
        <v>128</v>
      </c>
      <c r="AA61" s="277">
        <v>-1000</v>
      </c>
      <c r="AB61" s="277">
        <v>5</v>
      </c>
      <c r="AC61" s="277">
        <v>25600</v>
      </c>
      <c r="AD61" s="277">
        <v>-1000</v>
      </c>
      <c r="AE61" s="277">
        <v>1680</v>
      </c>
      <c r="AF61" s="277">
        <v>-504</v>
      </c>
      <c r="AG61" s="277">
        <v>0</v>
      </c>
      <c r="AH61" s="277">
        <v>18043.2</v>
      </c>
    </row>
    <row r="62" spans="1:34">
      <c r="A62" s="277" t="s">
        <v>427</v>
      </c>
      <c r="B62" s="277">
        <v>400</v>
      </c>
      <c r="C62" s="277">
        <v>3200</v>
      </c>
      <c r="D62" s="277">
        <v>8</v>
      </c>
      <c r="E62" s="277">
        <v>0</v>
      </c>
      <c r="F62" s="277">
        <v>101800</v>
      </c>
      <c r="G62" s="277">
        <v>509</v>
      </c>
      <c r="H62" s="277">
        <v>0</v>
      </c>
      <c r="I62" s="277">
        <v>0</v>
      </c>
      <c r="J62" s="277">
        <v>0</v>
      </c>
      <c r="K62" s="277">
        <v>0</v>
      </c>
      <c r="L62" s="277">
        <v>0</v>
      </c>
      <c r="M62" s="277">
        <v>0</v>
      </c>
      <c r="N62" s="277">
        <v>0</v>
      </c>
      <c r="O62" s="277">
        <v>0</v>
      </c>
      <c r="P62" s="277">
        <v>0</v>
      </c>
      <c r="Q62" s="277">
        <v>-2600</v>
      </c>
      <c r="R62" s="277">
        <v>13</v>
      </c>
      <c r="S62" s="277">
        <v>0</v>
      </c>
      <c r="T62" s="277">
        <v>0</v>
      </c>
      <c r="U62" s="277">
        <v>0</v>
      </c>
      <c r="V62" s="277">
        <v>0</v>
      </c>
      <c r="W62" s="277">
        <v>0</v>
      </c>
      <c r="X62" s="277">
        <v>0</v>
      </c>
      <c r="Y62" s="277">
        <v>105000</v>
      </c>
      <c r="Z62" s="277">
        <v>517</v>
      </c>
      <c r="AA62" s="277">
        <v>-2600</v>
      </c>
      <c r="AB62" s="277">
        <v>13</v>
      </c>
      <c r="AC62" s="277">
        <v>103800</v>
      </c>
      <c r="AD62" s="277">
        <v>-2400</v>
      </c>
      <c r="AE62" s="277">
        <v>1440</v>
      </c>
      <c r="AF62" s="277">
        <v>-432</v>
      </c>
      <c r="AG62" s="277">
        <v>-168.57</v>
      </c>
      <c r="AH62" s="277">
        <v>71567.600000000006</v>
      </c>
    </row>
    <row r="63" spans="1:34">
      <c r="A63" s="277" t="s">
        <v>427</v>
      </c>
      <c r="B63" s="277">
        <v>400</v>
      </c>
      <c r="C63" s="277">
        <v>3200</v>
      </c>
      <c r="D63" s="277">
        <v>8</v>
      </c>
      <c r="E63" s="277">
        <v>0</v>
      </c>
      <c r="F63" s="277">
        <v>126600</v>
      </c>
      <c r="G63" s="277">
        <v>633</v>
      </c>
      <c r="H63" s="277">
        <v>0</v>
      </c>
      <c r="I63" s="277">
        <v>0</v>
      </c>
      <c r="J63" s="277">
        <v>0</v>
      </c>
      <c r="K63" s="277">
        <v>0</v>
      </c>
      <c r="L63" s="277">
        <v>0</v>
      </c>
      <c r="M63" s="277">
        <v>0</v>
      </c>
      <c r="N63" s="277">
        <v>0</v>
      </c>
      <c r="O63" s="277">
        <v>0</v>
      </c>
      <c r="P63" s="277">
        <v>0</v>
      </c>
      <c r="Q63" s="277">
        <v>-1800</v>
      </c>
      <c r="R63" s="277">
        <v>9</v>
      </c>
      <c r="S63" s="277">
        <v>0</v>
      </c>
      <c r="T63" s="277">
        <v>0</v>
      </c>
      <c r="U63" s="277">
        <v>0</v>
      </c>
      <c r="V63" s="277">
        <v>0</v>
      </c>
      <c r="W63" s="277">
        <v>0</v>
      </c>
      <c r="X63" s="277">
        <v>0</v>
      </c>
      <c r="Y63" s="277">
        <v>129800</v>
      </c>
      <c r="Z63" s="277">
        <v>641</v>
      </c>
      <c r="AA63" s="277">
        <v>-1800</v>
      </c>
      <c r="AB63" s="277">
        <v>9</v>
      </c>
      <c r="AC63" s="277">
        <v>128480</v>
      </c>
      <c r="AD63" s="277">
        <v>-1800</v>
      </c>
      <c r="AE63" s="277">
        <v>1584</v>
      </c>
      <c r="AF63" s="277">
        <v>-475.2</v>
      </c>
      <c r="AG63" s="277">
        <v>0</v>
      </c>
      <c r="AH63" s="277">
        <v>89452.160000000003</v>
      </c>
    </row>
    <row r="64" spans="1:34">
      <c r="A64" s="277" t="s">
        <v>427</v>
      </c>
      <c r="B64" s="277">
        <v>400</v>
      </c>
      <c r="C64" s="277">
        <v>4000</v>
      </c>
      <c r="D64" s="277">
        <v>10</v>
      </c>
      <c r="E64" s="277">
        <v>0</v>
      </c>
      <c r="F64" s="277">
        <v>36600</v>
      </c>
      <c r="G64" s="277">
        <v>183</v>
      </c>
      <c r="H64" s="277">
        <v>0</v>
      </c>
      <c r="I64" s="277">
        <v>0</v>
      </c>
      <c r="J64" s="277">
        <v>0</v>
      </c>
      <c r="K64" s="277">
        <v>0</v>
      </c>
      <c r="L64" s="277">
        <v>0</v>
      </c>
      <c r="M64" s="277">
        <v>0</v>
      </c>
      <c r="N64" s="277">
        <v>0</v>
      </c>
      <c r="O64" s="277">
        <v>0</v>
      </c>
      <c r="P64" s="277">
        <v>0</v>
      </c>
      <c r="Q64" s="277">
        <v>-600</v>
      </c>
      <c r="R64" s="277">
        <v>3</v>
      </c>
      <c r="S64" s="277">
        <v>0</v>
      </c>
      <c r="T64" s="277">
        <v>0</v>
      </c>
      <c r="U64" s="277">
        <v>0</v>
      </c>
      <c r="V64" s="277">
        <v>0</v>
      </c>
      <c r="W64" s="277">
        <v>0</v>
      </c>
      <c r="X64" s="277">
        <v>0</v>
      </c>
      <c r="Y64" s="277">
        <v>40600</v>
      </c>
      <c r="Z64" s="277">
        <v>193</v>
      </c>
      <c r="AA64" s="277">
        <v>-600</v>
      </c>
      <c r="AB64" s="277">
        <v>3</v>
      </c>
      <c r="AC64" s="277">
        <v>38400</v>
      </c>
      <c r="AD64" s="277">
        <v>-600</v>
      </c>
      <c r="AE64" s="277">
        <v>2640</v>
      </c>
      <c r="AF64" s="277">
        <v>-792</v>
      </c>
      <c r="AG64" s="277">
        <v>0</v>
      </c>
      <c r="AH64" s="277">
        <v>27753.599999999999</v>
      </c>
    </row>
    <row r="65" spans="1:34">
      <c r="A65" s="277" t="s">
        <v>427</v>
      </c>
      <c r="B65" s="277">
        <v>400</v>
      </c>
      <c r="C65" s="277">
        <v>3600</v>
      </c>
      <c r="D65" s="277">
        <v>9</v>
      </c>
      <c r="E65" s="277">
        <v>0</v>
      </c>
      <c r="F65" s="277">
        <v>100800</v>
      </c>
      <c r="G65" s="277">
        <v>504</v>
      </c>
      <c r="H65" s="277">
        <v>0</v>
      </c>
      <c r="I65" s="277">
        <v>0</v>
      </c>
      <c r="J65" s="277">
        <v>0</v>
      </c>
      <c r="K65" s="277">
        <v>0</v>
      </c>
      <c r="L65" s="277">
        <v>0</v>
      </c>
      <c r="M65" s="277">
        <v>0</v>
      </c>
      <c r="N65" s="277">
        <v>0</v>
      </c>
      <c r="O65" s="277">
        <v>0</v>
      </c>
      <c r="P65" s="277">
        <v>0</v>
      </c>
      <c r="Q65" s="277">
        <v>-1400</v>
      </c>
      <c r="R65" s="277">
        <v>7</v>
      </c>
      <c r="S65" s="277">
        <v>0</v>
      </c>
      <c r="T65" s="277">
        <v>0</v>
      </c>
      <c r="U65" s="277">
        <v>0</v>
      </c>
      <c r="V65" s="277">
        <v>0</v>
      </c>
      <c r="W65" s="277">
        <v>0</v>
      </c>
      <c r="X65" s="277">
        <v>0</v>
      </c>
      <c r="Y65" s="277">
        <v>104400</v>
      </c>
      <c r="Z65" s="277">
        <v>513</v>
      </c>
      <c r="AA65" s="277">
        <v>-1400</v>
      </c>
      <c r="AB65" s="277">
        <v>7</v>
      </c>
      <c r="AC65" s="277">
        <v>102200</v>
      </c>
      <c r="AD65" s="277">
        <v>-1400</v>
      </c>
      <c r="AE65" s="277">
        <v>2640</v>
      </c>
      <c r="AF65" s="277">
        <v>-792</v>
      </c>
      <c r="AG65" s="277">
        <v>0</v>
      </c>
      <c r="AH65" s="277">
        <v>71853.600000000006</v>
      </c>
    </row>
    <row r="66" spans="1:34">
      <c r="A66" s="277" t="s">
        <v>427</v>
      </c>
      <c r="B66" s="277">
        <v>400</v>
      </c>
      <c r="C66" s="277">
        <v>3200</v>
      </c>
      <c r="D66" s="277">
        <v>8</v>
      </c>
      <c r="E66" s="277">
        <v>0</v>
      </c>
      <c r="F66" s="277">
        <v>55600</v>
      </c>
      <c r="G66" s="277">
        <v>278</v>
      </c>
      <c r="H66" s="277">
        <v>0</v>
      </c>
      <c r="I66" s="277">
        <v>0</v>
      </c>
      <c r="J66" s="277">
        <v>0</v>
      </c>
      <c r="K66" s="277">
        <v>0</v>
      </c>
      <c r="L66" s="277">
        <v>0</v>
      </c>
      <c r="M66" s="277">
        <v>0</v>
      </c>
      <c r="N66" s="277">
        <v>0</v>
      </c>
      <c r="O66" s="277">
        <v>0</v>
      </c>
      <c r="P66" s="277">
        <v>0</v>
      </c>
      <c r="Q66" s="277">
        <v>-800</v>
      </c>
      <c r="R66" s="277">
        <v>4</v>
      </c>
      <c r="S66" s="277">
        <v>0</v>
      </c>
      <c r="T66" s="277">
        <v>0</v>
      </c>
      <c r="U66" s="277">
        <v>0</v>
      </c>
      <c r="V66" s="277">
        <v>0</v>
      </c>
      <c r="W66" s="277">
        <v>0</v>
      </c>
      <c r="X66" s="277">
        <v>0</v>
      </c>
      <c r="Y66" s="277">
        <v>58800</v>
      </c>
      <c r="Z66" s="277">
        <v>286</v>
      </c>
      <c r="AA66" s="277">
        <v>-800</v>
      </c>
      <c r="AB66" s="277">
        <v>4</v>
      </c>
      <c r="AC66" s="277">
        <v>56620</v>
      </c>
      <c r="AD66" s="277">
        <v>-800</v>
      </c>
      <c r="AE66" s="277">
        <v>2616</v>
      </c>
      <c r="AF66" s="277">
        <v>-784.8</v>
      </c>
      <c r="AG66" s="277">
        <v>0</v>
      </c>
      <c r="AH66" s="277">
        <v>40355.839999999997</v>
      </c>
    </row>
    <row r="67" spans="1:34">
      <c r="A67" s="277" t="s">
        <v>427</v>
      </c>
      <c r="B67" s="277">
        <v>400</v>
      </c>
      <c r="C67" s="277">
        <v>3600</v>
      </c>
      <c r="D67" s="277">
        <v>9</v>
      </c>
      <c r="E67" s="277">
        <v>0</v>
      </c>
      <c r="F67" s="277">
        <v>52000</v>
      </c>
      <c r="G67" s="277">
        <v>260</v>
      </c>
      <c r="H67" s="277">
        <v>0</v>
      </c>
      <c r="I67" s="277">
        <v>0</v>
      </c>
      <c r="J67" s="277">
        <v>0</v>
      </c>
      <c r="K67" s="277">
        <v>0</v>
      </c>
      <c r="L67" s="277">
        <v>0</v>
      </c>
      <c r="M67" s="277">
        <v>0</v>
      </c>
      <c r="N67" s="277">
        <v>0</v>
      </c>
      <c r="O67" s="277">
        <v>0</v>
      </c>
      <c r="P67" s="277">
        <v>0</v>
      </c>
      <c r="Q67" s="277">
        <v>-800</v>
      </c>
      <c r="R67" s="277">
        <v>4</v>
      </c>
      <c r="S67" s="277">
        <v>0</v>
      </c>
      <c r="T67" s="277">
        <v>0</v>
      </c>
      <c r="U67" s="277">
        <v>0</v>
      </c>
      <c r="V67" s="277">
        <v>0</v>
      </c>
      <c r="W67" s="277">
        <v>0</v>
      </c>
      <c r="X67" s="277">
        <v>0</v>
      </c>
      <c r="Y67" s="277">
        <v>55600</v>
      </c>
      <c r="Z67" s="277">
        <v>269</v>
      </c>
      <c r="AA67" s="277">
        <v>-800</v>
      </c>
      <c r="AB67" s="277">
        <v>4</v>
      </c>
      <c r="AC67" s="277">
        <v>53500</v>
      </c>
      <c r="AD67" s="277">
        <v>-800</v>
      </c>
      <c r="AE67" s="277">
        <v>2520</v>
      </c>
      <c r="AF67" s="277">
        <v>-756</v>
      </c>
      <c r="AG67" s="277">
        <v>0</v>
      </c>
      <c r="AH67" s="277">
        <v>38124.800000000003</v>
      </c>
    </row>
    <row r="68" spans="1:34">
      <c r="A68" s="277" t="s">
        <v>427</v>
      </c>
      <c r="B68" s="277">
        <v>400</v>
      </c>
      <c r="C68" s="277">
        <v>3200</v>
      </c>
      <c r="D68" s="277">
        <v>8</v>
      </c>
      <c r="E68" s="277">
        <v>0</v>
      </c>
      <c r="F68" s="277">
        <v>42400</v>
      </c>
      <c r="G68" s="277">
        <v>212</v>
      </c>
      <c r="H68" s="277">
        <v>0</v>
      </c>
      <c r="I68" s="277">
        <v>0</v>
      </c>
      <c r="J68" s="277">
        <v>0</v>
      </c>
      <c r="K68" s="277">
        <v>0</v>
      </c>
      <c r="L68" s="277">
        <v>0</v>
      </c>
      <c r="M68" s="277">
        <v>0</v>
      </c>
      <c r="N68" s="277">
        <v>0</v>
      </c>
      <c r="O68" s="277">
        <v>-400</v>
      </c>
      <c r="P68" s="277">
        <v>1</v>
      </c>
      <c r="Q68" s="277">
        <v>-600</v>
      </c>
      <c r="R68" s="277">
        <v>3</v>
      </c>
      <c r="S68" s="277">
        <v>0</v>
      </c>
      <c r="T68" s="277">
        <v>0</v>
      </c>
      <c r="U68" s="277">
        <v>0</v>
      </c>
      <c r="V68" s="277">
        <v>0</v>
      </c>
      <c r="W68" s="277">
        <v>0</v>
      </c>
      <c r="X68" s="277">
        <v>0</v>
      </c>
      <c r="Y68" s="277">
        <v>45600</v>
      </c>
      <c r="Z68" s="277">
        <v>220</v>
      </c>
      <c r="AA68" s="277">
        <v>-1000</v>
      </c>
      <c r="AB68" s="277">
        <v>4</v>
      </c>
      <c r="AC68" s="277">
        <v>43200</v>
      </c>
      <c r="AD68" s="277">
        <v>-1000</v>
      </c>
      <c r="AE68" s="277">
        <v>2880</v>
      </c>
      <c r="AF68" s="277">
        <v>-864</v>
      </c>
      <c r="AG68" s="277">
        <v>0</v>
      </c>
      <c r="AH68" s="277">
        <v>30951.200000000001</v>
      </c>
    </row>
    <row r="69" spans="1:34">
      <c r="A69" s="277" t="s">
        <v>427</v>
      </c>
      <c r="B69" s="277">
        <v>400</v>
      </c>
      <c r="C69" s="277">
        <v>3200</v>
      </c>
      <c r="D69" s="277">
        <v>8</v>
      </c>
      <c r="E69" s="277">
        <v>0</v>
      </c>
      <c r="F69" s="277">
        <v>13000</v>
      </c>
      <c r="G69" s="277">
        <v>65</v>
      </c>
      <c r="H69" s="277">
        <v>0</v>
      </c>
      <c r="I69" s="277">
        <v>0</v>
      </c>
      <c r="J69" s="277">
        <v>0</v>
      </c>
      <c r="K69" s="277">
        <v>0</v>
      </c>
      <c r="L69" s="277">
        <v>0</v>
      </c>
      <c r="M69" s="277">
        <v>0</v>
      </c>
      <c r="N69" s="277">
        <v>0</v>
      </c>
      <c r="O69" s="277">
        <v>0</v>
      </c>
      <c r="P69" s="277">
        <v>0</v>
      </c>
      <c r="Q69" s="277">
        <v>-400</v>
      </c>
      <c r="R69" s="277">
        <v>2</v>
      </c>
      <c r="S69" s="277">
        <v>0</v>
      </c>
      <c r="T69" s="277">
        <v>0</v>
      </c>
      <c r="U69" s="277">
        <v>0</v>
      </c>
      <c r="V69" s="277">
        <v>0</v>
      </c>
      <c r="W69" s="277">
        <v>0</v>
      </c>
      <c r="X69" s="277">
        <v>0</v>
      </c>
      <c r="Y69" s="277">
        <v>16200</v>
      </c>
      <c r="Z69" s="277">
        <v>73</v>
      </c>
      <c r="AA69" s="277">
        <v>-400</v>
      </c>
      <c r="AB69" s="277">
        <v>2</v>
      </c>
      <c r="AC69" s="277">
        <v>14000</v>
      </c>
      <c r="AD69" s="277">
        <v>-400</v>
      </c>
      <c r="AE69" s="277">
        <v>2638.1</v>
      </c>
      <c r="AF69" s="277">
        <v>-791.43</v>
      </c>
      <c r="AG69" s="277">
        <v>0</v>
      </c>
      <c r="AH69" s="277">
        <v>10812.67</v>
      </c>
    </row>
    <row r="70" spans="1:34">
      <c r="A70" s="277" t="s">
        <v>486</v>
      </c>
      <c r="B70" s="277">
        <v>500</v>
      </c>
      <c r="C70" s="277">
        <v>0</v>
      </c>
      <c r="D70" s="277">
        <v>0</v>
      </c>
      <c r="E70" s="277">
        <v>0</v>
      </c>
      <c r="F70" s="277">
        <v>0</v>
      </c>
      <c r="G70" s="277">
        <v>0</v>
      </c>
      <c r="H70" s="277">
        <v>1</v>
      </c>
      <c r="I70" s="277">
        <v>0</v>
      </c>
      <c r="J70" s="277">
        <v>0</v>
      </c>
      <c r="K70" s="277">
        <v>0</v>
      </c>
      <c r="L70" s="277">
        <v>0</v>
      </c>
      <c r="M70" s="277">
        <v>0</v>
      </c>
      <c r="N70" s="277">
        <v>0</v>
      </c>
      <c r="O70" s="277">
        <v>0</v>
      </c>
      <c r="P70" s="277">
        <v>0</v>
      </c>
      <c r="Q70" s="277">
        <v>0</v>
      </c>
      <c r="R70" s="277">
        <v>0</v>
      </c>
      <c r="S70" s="277">
        <v>0</v>
      </c>
      <c r="T70" s="277">
        <v>0</v>
      </c>
      <c r="U70" s="277">
        <v>0</v>
      </c>
      <c r="V70" s="277">
        <v>0</v>
      </c>
      <c r="W70" s="277">
        <v>0</v>
      </c>
      <c r="X70" s="277">
        <v>0</v>
      </c>
      <c r="Y70" s="277">
        <v>0</v>
      </c>
      <c r="Z70" s="277">
        <v>1</v>
      </c>
      <c r="AA70" s="277">
        <v>0</v>
      </c>
      <c r="AB70" s="277">
        <v>0</v>
      </c>
      <c r="AC70" s="277">
        <v>0</v>
      </c>
      <c r="AD70" s="277">
        <v>0</v>
      </c>
      <c r="AE70" s="277">
        <v>0</v>
      </c>
      <c r="AF70" s="277">
        <v>0</v>
      </c>
      <c r="AG70" s="277">
        <v>0</v>
      </c>
      <c r="AH70" s="277">
        <v>0</v>
      </c>
    </row>
    <row r="71" spans="1:34">
      <c r="A71" s="277" t="s">
        <v>486</v>
      </c>
      <c r="B71" s="277">
        <v>500</v>
      </c>
      <c r="C71" s="277">
        <v>0</v>
      </c>
      <c r="D71" s="277">
        <v>0</v>
      </c>
      <c r="E71" s="277">
        <v>0</v>
      </c>
      <c r="F71" s="277">
        <v>0</v>
      </c>
      <c r="G71" s="277">
        <v>0</v>
      </c>
      <c r="H71" s="277">
        <v>1</v>
      </c>
      <c r="I71" s="277">
        <v>0</v>
      </c>
      <c r="J71" s="277">
        <v>0</v>
      </c>
      <c r="K71" s="277">
        <v>0</v>
      </c>
      <c r="L71" s="277">
        <v>0</v>
      </c>
      <c r="M71" s="277">
        <v>0</v>
      </c>
      <c r="N71" s="277">
        <v>0</v>
      </c>
      <c r="O71" s="277">
        <v>0</v>
      </c>
      <c r="P71" s="277">
        <v>0</v>
      </c>
      <c r="Q71" s="277">
        <v>0</v>
      </c>
      <c r="R71" s="277">
        <v>0</v>
      </c>
      <c r="S71" s="277">
        <v>0</v>
      </c>
      <c r="T71" s="277">
        <v>0</v>
      </c>
      <c r="U71" s="277">
        <v>0</v>
      </c>
      <c r="V71" s="277">
        <v>0</v>
      </c>
      <c r="W71" s="277">
        <v>0</v>
      </c>
      <c r="X71" s="277">
        <v>0</v>
      </c>
      <c r="Y71" s="277">
        <v>0</v>
      </c>
      <c r="Z71" s="277">
        <v>1</v>
      </c>
      <c r="AA71" s="277">
        <v>0</v>
      </c>
      <c r="AB71" s="277">
        <v>0</v>
      </c>
      <c r="AC71" s="277">
        <v>0</v>
      </c>
      <c r="AD71" s="277">
        <v>0</v>
      </c>
      <c r="AE71" s="277">
        <v>0</v>
      </c>
      <c r="AF71" s="277">
        <v>0</v>
      </c>
      <c r="AG71" s="277">
        <v>0</v>
      </c>
      <c r="AH71" s="277">
        <v>0</v>
      </c>
    </row>
    <row r="72" spans="1:34">
      <c r="A72" s="277" t="s">
        <v>487</v>
      </c>
      <c r="B72" s="277">
        <v>0</v>
      </c>
      <c r="C72" s="277">
        <v>0</v>
      </c>
      <c r="D72" s="277">
        <v>0</v>
      </c>
      <c r="E72" s="277">
        <v>1</v>
      </c>
      <c r="F72" s="277">
        <v>0</v>
      </c>
      <c r="G72" s="277">
        <v>0</v>
      </c>
      <c r="H72" s="277">
        <v>0</v>
      </c>
      <c r="I72" s="277">
        <v>0</v>
      </c>
      <c r="J72" s="277">
        <v>0</v>
      </c>
      <c r="K72" s="277">
        <v>0</v>
      </c>
      <c r="L72" s="277">
        <v>0</v>
      </c>
      <c r="M72" s="277">
        <v>0</v>
      </c>
      <c r="N72" s="277">
        <v>0</v>
      </c>
      <c r="O72" s="277">
        <v>0</v>
      </c>
      <c r="P72" s="277">
        <v>0</v>
      </c>
      <c r="Q72" s="277">
        <v>0</v>
      </c>
      <c r="R72" s="277">
        <v>0</v>
      </c>
      <c r="S72" s="277">
        <v>0</v>
      </c>
      <c r="T72" s="277">
        <v>0</v>
      </c>
      <c r="U72" s="277">
        <v>0</v>
      </c>
      <c r="V72" s="277">
        <v>0</v>
      </c>
      <c r="W72" s="277">
        <v>0</v>
      </c>
      <c r="X72" s="277">
        <v>0</v>
      </c>
      <c r="Y72" s="277">
        <v>0</v>
      </c>
      <c r="Z72" s="277">
        <v>1</v>
      </c>
      <c r="AA72" s="277">
        <v>0</v>
      </c>
      <c r="AB72" s="277">
        <v>0</v>
      </c>
      <c r="AC72" s="277">
        <v>0</v>
      </c>
      <c r="AD72" s="277">
        <v>0</v>
      </c>
      <c r="AE72" s="277">
        <v>0</v>
      </c>
      <c r="AF72" s="277">
        <v>0</v>
      </c>
      <c r="AG72" s="277">
        <v>0</v>
      </c>
      <c r="AH72" s="277">
        <v>0</v>
      </c>
    </row>
    <row r="73" spans="1:34">
      <c r="A73" s="277" t="s">
        <v>488</v>
      </c>
      <c r="B73" s="277">
        <v>400</v>
      </c>
      <c r="C73" s="277">
        <v>0</v>
      </c>
      <c r="D73" s="277">
        <v>0</v>
      </c>
      <c r="E73" s="277">
        <v>0</v>
      </c>
      <c r="F73" s="277">
        <v>0</v>
      </c>
      <c r="G73" s="277">
        <v>0</v>
      </c>
      <c r="H73" s="277">
        <v>1</v>
      </c>
      <c r="I73" s="277">
        <v>0</v>
      </c>
      <c r="J73" s="277">
        <v>0</v>
      </c>
      <c r="K73" s="277">
        <v>0</v>
      </c>
      <c r="L73" s="277">
        <v>0</v>
      </c>
      <c r="M73" s="277">
        <v>0</v>
      </c>
      <c r="N73" s="277">
        <v>0</v>
      </c>
      <c r="O73" s="277">
        <v>0</v>
      </c>
      <c r="P73" s="277">
        <v>0</v>
      </c>
      <c r="Q73" s="277">
        <v>0</v>
      </c>
      <c r="R73" s="277">
        <v>0</v>
      </c>
      <c r="S73" s="277">
        <v>0</v>
      </c>
      <c r="T73" s="277">
        <v>0</v>
      </c>
      <c r="U73" s="277">
        <v>0</v>
      </c>
      <c r="V73" s="277">
        <v>0</v>
      </c>
      <c r="W73" s="277">
        <v>0</v>
      </c>
      <c r="X73" s="277">
        <v>0</v>
      </c>
      <c r="Y73" s="277">
        <v>0</v>
      </c>
      <c r="Z73" s="277">
        <v>1</v>
      </c>
      <c r="AA73" s="277">
        <v>0</v>
      </c>
      <c r="AB73" s="277">
        <v>0</v>
      </c>
      <c r="AC73" s="277">
        <v>0</v>
      </c>
      <c r="AD73" s="277">
        <v>0</v>
      </c>
      <c r="AE73" s="277">
        <v>0</v>
      </c>
      <c r="AF73" s="277">
        <v>0</v>
      </c>
      <c r="AG73" s="277">
        <v>0</v>
      </c>
      <c r="AH73" s="277">
        <v>0</v>
      </c>
    </row>
    <row r="74" spans="1:34">
      <c r="A74" s="277" t="s">
        <v>428</v>
      </c>
      <c r="B74" s="277">
        <v>300</v>
      </c>
      <c r="C74" s="277">
        <v>300</v>
      </c>
      <c r="D74" s="277">
        <v>1</v>
      </c>
      <c r="E74" s="277">
        <v>0</v>
      </c>
      <c r="F74" s="277">
        <v>0</v>
      </c>
      <c r="G74" s="277">
        <v>0</v>
      </c>
      <c r="H74" s="277">
        <v>0</v>
      </c>
      <c r="I74" s="277">
        <v>0</v>
      </c>
      <c r="J74" s="277">
        <v>0</v>
      </c>
      <c r="K74" s="277">
        <v>0</v>
      </c>
      <c r="L74" s="277">
        <v>0</v>
      </c>
      <c r="M74" s="277">
        <v>0</v>
      </c>
      <c r="N74" s="277">
        <v>0</v>
      </c>
      <c r="O74" s="277">
        <v>-300</v>
      </c>
      <c r="P74" s="277">
        <v>1</v>
      </c>
      <c r="Q74" s="277">
        <v>0</v>
      </c>
      <c r="R74" s="277">
        <v>0</v>
      </c>
      <c r="S74" s="277">
        <v>0</v>
      </c>
      <c r="T74" s="277">
        <v>0</v>
      </c>
      <c r="U74" s="277">
        <v>0</v>
      </c>
      <c r="V74" s="277">
        <v>0</v>
      </c>
      <c r="W74" s="277">
        <v>0</v>
      </c>
      <c r="X74" s="277">
        <v>0</v>
      </c>
      <c r="Y74" s="277">
        <v>300</v>
      </c>
      <c r="Z74" s="277">
        <v>1</v>
      </c>
      <c r="AA74" s="277">
        <v>-300</v>
      </c>
      <c r="AB74" s="277">
        <v>1</v>
      </c>
      <c r="AC74" s="277">
        <v>300</v>
      </c>
      <c r="AD74" s="277">
        <v>-300</v>
      </c>
      <c r="AE74" s="277">
        <v>0</v>
      </c>
      <c r="AF74" s="277">
        <v>0</v>
      </c>
      <c r="AG74" s="277">
        <v>0</v>
      </c>
      <c r="AH74" s="277">
        <v>0</v>
      </c>
    </row>
    <row r="75" spans="1:34">
      <c r="A75" s="277" t="s">
        <v>428</v>
      </c>
      <c r="B75" s="277">
        <v>300</v>
      </c>
      <c r="C75" s="277">
        <v>300</v>
      </c>
      <c r="D75" s="277">
        <v>1</v>
      </c>
      <c r="E75" s="277">
        <v>0</v>
      </c>
      <c r="F75" s="277">
        <v>0</v>
      </c>
      <c r="G75" s="277">
        <v>0</v>
      </c>
      <c r="H75" s="277">
        <v>0</v>
      </c>
      <c r="I75" s="277">
        <v>0</v>
      </c>
      <c r="J75" s="277">
        <v>0</v>
      </c>
      <c r="K75" s="277">
        <v>0</v>
      </c>
      <c r="L75" s="277">
        <v>0</v>
      </c>
      <c r="M75" s="277">
        <v>0</v>
      </c>
      <c r="N75" s="277">
        <v>0</v>
      </c>
      <c r="O75" s="277">
        <v>0</v>
      </c>
      <c r="P75" s="277">
        <v>0</v>
      </c>
      <c r="Q75" s="277">
        <v>0</v>
      </c>
      <c r="R75" s="277">
        <v>0</v>
      </c>
      <c r="S75" s="277">
        <v>0</v>
      </c>
      <c r="T75" s="277">
        <v>0</v>
      </c>
      <c r="U75" s="277">
        <v>0</v>
      </c>
      <c r="V75" s="277">
        <v>0</v>
      </c>
      <c r="W75" s="277">
        <v>0</v>
      </c>
      <c r="X75" s="277">
        <v>0</v>
      </c>
      <c r="Y75" s="277">
        <v>300</v>
      </c>
      <c r="Z75" s="277">
        <v>1</v>
      </c>
      <c r="AA75" s="277">
        <v>0</v>
      </c>
      <c r="AB75" s="277">
        <v>0</v>
      </c>
      <c r="AC75" s="277">
        <v>300</v>
      </c>
      <c r="AD75" s="277">
        <v>0</v>
      </c>
      <c r="AE75" s="277">
        <v>0</v>
      </c>
      <c r="AF75" s="277">
        <v>0</v>
      </c>
      <c r="AG75" s="277">
        <v>0</v>
      </c>
      <c r="AH75" s="277">
        <v>210</v>
      </c>
    </row>
    <row r="76" spans="1:34">
      <c r="A76" s="277" t="s">
        <v>428</v>
      </c>
      <c r="B76" s="277">
        <v>300</v>
      </c>
      <c r="C76" s="277">
        <v>600</v>
      </c>
      <c r="D76" s="277">
        <v>2</v>
      </c>
      <c r="E76" s="277">
        <v>0</v>
      </c>
      <c r="F76" s="277">
        <v>0</v>
      </c>
      <c r="G76" s="277">
        <v>0</v>
      </c>
      <c r="H76" s="277">
        <v>0</v>
      </c>
      <c r="I76" s="277">
        <v>0</v>
      </c>
      <c r="J76" s="277">
        <v>0</v>
      </c>
      <c r="K76" s="277">
        <v>0</v>
      </c>
      <c r="L76" s="277">
        <v>0</v>
      </c>
      <c r="M76" s="277">
        <v>0</v>
      </c>
      <c r="N76" s="277">
        <v>0</v>
      </c>
      <c r="O76" s="277">
        <v>-600</v>
      </c>
      <c r="P76" s="277">
        <v>2</v>
      </c>
      <c r="Q76" s="277">
        <v>0</v>
      </c>
      <c r="R76" s="277">
        <v>0</v>
      </c>
      <c r="S76" s="277">
        <v>0</v>
      </c>
      <c r="T76" s="277">
        <v>0</v>
      </c>
      <c r="U76" s="277">
        <v>0</v>
      </c>
      <c r="V76" s="277">
        <v>0</v>
      </c>
      <c r="W76" s="277">
        <v>0</v>
      </c>
      <c r="X76" s="277">
        <v>0</v>
      </c>
      <c r="Y76" s="277">
        <v>600</v>
      </c>
      <c r="Z76" s="277">
        <v>2</v>
      </c>
      <c r="AA76" s="277">
        <v>-600</v>
      </c>
      <c r="AB76" s="277">
        <v>2</v>
      </c>
      <c r="AC76" s="277">
        <v>600</v>
      </c>
      <c r="AD76" s="277">
        <v>-600</v>
      </c>
      <c r="AE76" s="277">
        <v>0</v>
      </c>
      <c r="AF76" s="277">
        <v>0</v>
      </c>
      <c r="AG76" s="277">
        <v>0</v>
      </c>
      <c r="AH76" s="277">
        <v>0</v>
      </c>
    </row>
    <row r="77" spans="1:34">
      <c r="A77" s="277" t="s">
        <v>428</v>
      </c>
      <c r="B77" s="277">
        <v>300</v>
      </c>
      <c r="C77" s="277">
        <v>300</v>
      </c>
      <c r="D77" s="277">
        <v>1</v>
      </c>
      <c r="E77" s="277">
        <v>0</v>
      </c>
      <c r="F77" s="277">
        <v>0</v>
      </c>
      <c r="G77" s="277">
        <v>0</v>
      </c>
      <c r="H77" s="277">
        <v>0</v>
      </c>
      <c r="I77" s="277">
        <v>0</v>
      </c>
      <c r="J77" s="277">
        <v>0</v>
      </c>
      <c r="K77" s="277">
        <v>0</v>
      </c>
      <c r="L77" s="277">
        <v>0</v>
      </c>
      <c r="M77" s="277">
        <v>0</v>
      </c>
      <c r="N77" s="277">
        <v>0</v>
      </c>
      <c r="O77" s="277">
        <v>-300</v>
      </c>
      <c r="P77" s="277">
        <v>1</v>
      </c>
      <c r="Q77" s="277">
        <v>0</v>
      </c>
      <c r="R77" s="277">
        <v>0</v>
      </c>
      <c r="S77" s="277">
        <v>0</v>
      </c>
      <c r="T77" s="277">
        <v>0</v>
      </c>
      <c r="U77" s="277">
        <v>0</v>
      </c>
      <c r="V77" s="277">
        <v>0</v>
      </c>
      <c r="W77" s="277">
        <v>0</v>
      </c>
      <c r="X77" s="277">
        <v>0</v>
      </c>
      <c r="Y77" s="277">
        <v>300</v>
      </c>
      <c r="Z77" s="277">
        <v>1</v>
      </c>
      <c r="AA77" s="277">
        <v>-300</v>
      </c>
      <c r="AB77" s="277">
        <v>1</v>
      </c>
      <c r="AC77" s="277">
        <v>300</v>
      </c>
      <c r="AD77" s="277">
        <v>-300</v>
      </c>
      <c r="AE77" s="277">
        <v>0</v>
      </c>
      <c r="AF77" s="277">
        <v>0</v>
      </c>
      <c r="AG77" s="277">
        <v>0</v>
      </c>
      <c r="AH77" s="277">
        <v>0</v>
      </c>
    </row>
    <row r="78" spans="1:34">
      <c r="A78" s="277" t="s">
        <v>428</v>
      </c>
      <c r="B78" s="277">
        <v>300</v>
      </c>
      <c r="C78" s="277">
        <v>300</v>
      </c>
      <c r="D78" s="277">
        <v>1</v>
      </c>
      <c r="E78" s="277">
        <v>0</v>
      </c>
      <c r="F78" s="277">
        <v>0</v>
      </c>
      <c r="G78" s="277">
        <v>0</v>
      </c>
      <c r="H78" s="277">
        <v>0</v>
      </c>
      <c r="I78" s="277">
        <v>0</v>
      </c>
      <c r="J78" s="277">
        <v>0</v>
      </c>
      <c r="K78" s="277">
        <v>0</v>
      </c>
      <c r="L78" s="277">
        <v>0</v>
      </c>
      <c r="M78" s="277">
        <v>0</v>
      </c>
      <c r="N78" s="277">
        <v>0</v>
      </c>
      <c r="O78" s="277">
        <v>-300</v>
      </c>
      <c r="P78" s="277">
        <v>1</v>
      </c>
      <c r="Q78" s="277">
        <v>0</v>
      </c>
      <c r="R78" s="277">
        <v>0</v>
      </c>
      <c r="S78" s="277">
        <v>0</v>
      </c>
      <c r="T78" s="277">
        <v>0</v>
      </c>
      <c r="U78" s="277">
        <v>0</v>
      </c>
      <c r="V78" s="277">
        <v>0</v>
      </c>
      <c r="W78" s="277">
        <v>0</v>
      </c>
      <c r="X78" s="277">
        <v>0</v>
      </c>
      <c r="Y78" s="277">
        <v>300</v>
      </c>
      <c r="Z78" s="277">
        <v>1</v>
      </c>
      <c r="AA78" s="277">
        <v>-300</v>
      </c>
      <c r="AB78" s="277">
        <v>1</v>
      </c>
      <c r="AC78" s="277">
        <v>300</v>
      </c>
      <c r="AD78" s="277">
        <v>-300</v>
      </c>
      <c r="AE78" s="277">
        <v>0</v>
      </c>
      <c r="AF78" s="277">
        <v>0</v>
      </c>
      <c r="AG78" s="277">
        <v>0</v>
      </c>
      <c r="AH78" s="277">
        <v>0</v>
      </c>
    </row>
    <row r="79" spans="1:34">
      <c r="A79" s="277" t="s">
        <v>428</v>
      </c>
      <c r="B79" s="277">
        <v>300</v>
      </c>
      <c r="C79" s="277">
        <v>300</v>
      </c>
      <c r="D79" s="277">
        <v>1</v>
      </c>
      <c r="E79" s="277">
        <v>0</v>
      </c>
      <c r="F79" s="277">
        <v>0</v>
      </c>
      <c r="G79" s="277">
        <v>0</v>
      </c>
      <c r="H79" s="277">
        <v>4</v>
      </c>
      <c r="I79" s="277">
        <v>0</v>
      </c>
      <c r="J79" s="277">
        <v>0</v>
      </c>
      <c r="K79" s="277">
        <v>0</v>
      </c>
      <c r="L79" s="277">
        <v>0</v>
      </c>
      <c r="M79" s="277">
        <v>0</v>
      </c>
      <c r="N79" s="277">
        <v>0</v>
      </c>
      <c r="O79" s="277">
        <v>-300</v>
      </c>
      <c r="P79" s="277">
        <v>1</v>
      </c>
      <c r="Q79" s="277">
        <v>0</v>
      </c>
      <c r="R79" s="277">
        <v>0</v>
      </c>
      <c r="S79" s="277">
        <v>0</v>
      </c>
      <c r="T79" s="277">
        <v>0</v>
      </c>
      <c r="U79" s="277">
        <v>0</v>
      </c>
      <c r="V79" s="277">
        <v>0</v>
      </c>
      <c r="W79" s="277">
        <v>0</v>
      </c>
      <c r="X79" s="277">
        <v>0</v>
      </c>
      <c r="Y79" s="277">
        <v>300</v>
      </c>
      <c r="Z79" s="277">
        <v>5</v>
      </c>
      <c r="AA79" s="277">
        <v>-300</v>
      </c>
      <c r="AB79" s="277">
        <v>1</v>
      </c>
      <c r="AC79" s="277">
        <v>300</v>
      </c>
      <c r="AD79" s="277">
        <v>-300</v>
      </c>
      <c r="AE79" s="277">
        <v>0</v>
      </c>
      <c r="AF79" s="277">
        <v>0</v>
      </c>
      <c r="AG79" s="277">
        <v>0</v>
      </c>
      <c r="AH79" s="277">
        <v>0</v>
      </c>
    </row>
    <row r="80" spans="1:34">
      <c r="A80" s="277" t="s">
        <v>428</v>
      </c>
      <c r="B80" s="277">
        <v>300</v>
      </c>
      <c r="C80" s="277">
        <v>300</v>
      </c>
      <c r="D80" s="277">
        <v>1</v>
      </c>
      <c r="E80" s="277">
        <v>0</v>
      </c>
      <c r="F80" s="277">
        <v>0</v>
      </c>
      <c r="G80" s="277">
        <v>0</v>
      </c>
      <c r="H80" s="277">
        <v>1</v>
      </c>
      <c r="I80" s="277">
        <v>0</v>
      </c>
      <c r="J80" s="277">
        <v>0</v>
      </c>
      <c r="K80" s="277">
        <v>0</v>
      </c>
      <c r="L80" s="277">
        <v>0</v>
      </c>
      <c r="M80" s="277">
        <v>0</v>
      </c>
      <c r="N80" s="277">
        <v>0</v>
      </c>
      <c r="O80" s="277">
        <v>-300</v>
      </c>
      <c r="P80" s="277">
        <v>1</v>
      </c>
      <c r="Q80" s="277">
        <v>0</v>
      </c>
      <c r="R80" s="277">
        <v>0</v>
      </c>
      <c r="S80" s="277">
        <v>0</v>
      </c>
      <c r="T80" s="277">
        <v>0</v>
      </c>
      <c r="U80" s="277">
        <v>0</v>
      </c>
      <c r="V80" s="277">
        <v>0</v>
      </c>
      <c r="W80" s="277">
        <v>0</v>
      </c>
      <c r="X80" s="277">
        <v>0</v>
      </c>
      <c r="Y80" s="277">
        <v>300</v>
      </c>
      <c r="Z80" s="277">
        <v>2</v>
      </c>
      <c r="AA80" s="277">
        <v>-300</v>
      </c>
      <c r="AB80" s="277">
        <v>1</v>
      </c>
      <c r="AC80" s="277">
        <v>300</v>
      </c>
      <c r="AD80" s="277">
        <v>-300</v>
      </c>
      <c r="AE80" s="277">
        <v>0</v>
      </c>
      <c r="AF80" s="277">
        <v>0</v>
      </c>
      <c r="AG80" s="277">
        <v>0</v>
      </c>
      <c r="AH80" s="277">
        <v>0</v>
      </c>
    </row>
    <row r="81" spans="1:34">
      <c r="A81" s="277" t="s">
        <v>489</v>
      </c>
      <c r="B81" s="277">
        <v>400</v>
      </c>
      <c r="C81" s="277">
        <v>0</v>
      </c>
      <c r="D81" s="277">
        <v>0</v>
      </c>
      <c r="E81" s="277">
        <v>0</v>
      </c>
      <c r="F81" s="277">
        <v>0</v>
      </c>
      <c r="G81" s="277">
        <v>0</v>
      </c>
      <c r="H81" s="277">
        <v>1</v>
      </c>
      <c r="I81" s="277">
        <v>0</v>
      </c>
      <c r="J81" s="277">
        <v>0</v>
      </c>
      <c r="K81" s="277">
        <v>0</v>
      </c>
      <c r="L81" s="277">
        <v>0</v>
      </c>
      <c r="M81" s="277">
        <v>0</v>
      </c>
      <c r="N81" s="277">
        <v>0</v>
      </c>
      <c r="O81" s="277">
        <v>0</v>
      </c>
      <c r="P81" s="277">
        <v>0</v>
      </c>
      <c r="Q81" s="277">
        <v>0</v>
      </c>
      <c r="R81" s="277">
        <v>0</v>
      </c>
      <c r="S81" s="277">
        <v>0</v>
      </c>
      <c r="T81" s="277">
        <v>0</v>
      </c>
      <c r="U81" s="277">
        <v>0</v>
      </c>
      <c r="V81" s="277">
        <v>0</v>
      </c>
      <c r="W81" s="277">
        <v>0</v>
      </c>
      <c r="X81" s="277">
        <v>0</v>
      </c>
      <c r="Y81" s="277">
        <v>0</v>
      </c>
      <c r="Z81" s="277">
        <v>1</v>
      </c>
      <c r="AA81" s="277">
        <v>0</v>
      </c>
      <c r="AB81" s="277">
        <v>0</v>
      </c>
      <c r="AC81" s="277">
        <v>0</v>
      </c>
      <c r="AD81" s="277">
        <v>0</v>
      </c>
      <c r="AE81" s="277">
        <v>0</v>
      </c>
      <c r="AF81" s="277">
        <v>0</v>
      </c>
      <c r="AG81" s="277">
        <v>0</v>
      </c>
      <c r="AH81" s="277">
        <v>0</v>
      </c>
    </row>
    <row r="82" spans="1:34">
      <c r="A82" s="277" t="s">
        <v>489</v>
      </c>
      <c r="B82" s="277">
        <v>400</v>
      </c>
      <c r="C82" s="277">
        <v>0</v>
      </c>
      <c r="D82" s="277">
        <v>0</v>
      </c>
      <c r="E82" s="277">
        <v>0</v>
      </c>
      <c r="F82" s="277">
        <v>0</v>
      </c>
      <c r="G82" s="277">
        <v>0</v>
      </c>
      <c r="H82" s="277">
        <v>1</v>
      </c>
      <c r="I82" s="277">
        <v>0</v>
      </c>
      <c r="J82" s="277">
        <v>0</v>
      </c>
      <c r="K82" s="277">
        <v>0</v>
      </c>
      <c r="L82" s="277">
        <v>0</v>
      </c>
      <c r="M82" s="277">
        <v>0</v>
      </c>
      <c r="N82" s="277">
        <v>0</v>
      </c>
      <c r="O82" s="277">
        <v>0</v>
      </c>
      <c r="P82" s="277">
        <v>0</v>
      </c>
      <c r="Q82" s="277">
        <v>0</v>
      </c>
      <c r="R82" s="277">
        <v>0</v>
      </c>
      <c r="S82" s="277">
        <v>0</v>
      </c>
      <c r="T82" s="277">
        <v>0</v>
      </c>
      <c r="U82" s="277">
        <v>0</v>
      </c>
      <c r="V82" s="277">
        <v>0</v>
      </c>
      <c r="W82" s="277">
        <v>0</v>
      </c>
      <c r="X82" s="277">
        <v>0</v>
      </c>
      <c r="Y82" s="277">
        <v>0</v>
      </c>
      <c r="Z82" s="277">
        <v>1</v>
      </c>
      <c r="AA82" s="277">
        <v>0</v>
      </c>
      <c r="AB82" s="277">
        <v>0</v>
      </c>
      <c r="AC82" s="277">
        <v>0</v>
      </c>
      <c r="AD82" s="277">
        <v>0</v>
      </c>
      <c r="AE82" s="277">
        <v>0</v>
      </c>
      <c r="AF82" s="277">
        <v>0</v>
      </c>
      <c r="AG82" s="277">
        <v>0</v>
      </c>
      <c r="AH82" s="277">
        <v>0</v>
      </c>
    </row>
    <row r="83" spans="1:34">
      <c r="A83" s="277" t="s">
        <v>490</v>
      </c>
      <c r="B83" s="277">
        <v>400</v>
      </c>
      <c r="C83" s="277">
        <v>400</v>
      </c>
      <c r="D83" s="277">
        <v>1</v>
      </c>
      <c r="E83" s="277">
        <v>0</v>
      </c>
      <c r="F83" s="277">
        <v>0</v>
      </c>
      <c r="G83" s="277">
        <v>0</v>
      </c>
      <c r="H83" s="277">
        <v>0</v>
      </c>
      <c r="I83" s="277">
        <v>0</v>
      </c>
      <c r="J83" s="277">
        <v>0</v>
      </c>
      <c r="K83" s="277">
        <v>0</v>
      </c>
      <c r="L83" s="277">
        <v>0</v>
      </c>
      <c r="M83" s="277">
        <v>0</v>
      </c>
      <c r="N83" s="277">
        <v>0</v>
      </c>
      <c r="O83" s="277">
        <v>0</v>
      </c>
      <c r="P83" s="277">
        <v>0</v>
      </c>
      <c r="Q83" s="277">
        <v>0</v>
      </c>
      <c r="R83" s="277">
        <v>0</v>
      </c>
      <c r="S83" s="277">
        <v>0</v>
      </c>
      <c r="T83" s="277">
        <v>0</v>
      </c>
      <c r="U83" s="277">
        <v>0</v>
      </c>
      <c r="V83" s="277">
        <v>0</v>
      </c>
      <c r="W83" s="277">
        <v>0</v>
      </c>
      <c r="X83" s="277">
        <v>0</v>
      </c>
      <c r="Y83" s="277">
        <v>400</v>
      </c>
      <c r="Z83" s="277">
        <v>1</v>
      </c>
      <c r="AA83" s="277">
        <v>0</v>
      </c>
      <c r="AB83" s="277">
        <v>0</v>
      </c>
      <c r="AC83" s="277">
        <v>0</v>
      </c>
      <c r="AD83" s="277">
        <v>0</v>
      </c>
      <c r="AE83" s="277">
        <v>480</v>
      </c>
      <c r="AF83" s="277">
        <v>-144</v>
      </c>
      <c r="AG83" s="277">
        <v>0</v>
      </c>
      <c r="AH83" s="277">
        <v>235.2</v>
      </c>
    </row>
    <row r="84" spans="1:34">
      <c r="A84" s="277" t="s">
        <v>490</v>
      </c>
      <c r="B84" s="277">
        <v>400</v>
      </c>
      <c r="C84" s="277">
        <v>400</v>
      </c>
      <c r="D84" s="277">
        <v>1</v>
      </c>
      <c r="E84" s="277">
        <v>0</v>
      </c>
      <c r="F84" s="277">
        <v>0</v>
      </c>
      <c r="G84" s="277">
        <v>0</v>
      </c>
      <c r="H84" s="277">
        <v>0</v>
      </c>
      <c r="I84" s="277">
        <v>0</v>
      </c>
      <c r="J84" s="277">
        <v>0</v>
      </c>
      <c r="K84" s="277">
        <v>0</v>
      </c>
      <c r="L84" s="277">
        <v>0</v>
      </c>
      <c r="M84" s="277">
        <v>0</v>
      </c>
      <c r="N84" s="277">
        <v>0</v>
      </c>
      <c r="O84" s="277">
        <v>0</v>
      </c>
      <c r="P84" s="277">
        <v>0</v>
      </c>
      <c r="Q84" s="277">
        <v>0</v>
      </c>
      <c r="R84" s="277">
        <v>0</v>
      </c>
      <c r="S84" s="277">
        <v>0</v>
      </c>
      <c r="T84" s="277">
        <v>0</v>
      </c>
      <c r="U84" s="277">
        <v>0</v>
      </c>
      <c r="V84" s="277">
        <v>0</v>
      </c>
      <c r="W84" s="277">
        <v>0</v>
      </c>
      <c r="X84" s="277">
        <v>0</v>
      </c>
      <c r="Y84" s="277">
        <v>400</v>
      </c>
      <c r="Z84" s="277">
        <v>1</v>
      </c>
      <c r="AA84" s="277">
        <v>0</v>
      </c>
      <c r="AB84" s="277">
        <v>0</v>
      </c>
      <c r="AC84" s="277">
        <v>0</v>
      </c>
      <c r="AD84" s="277">
        <v>0</v>
      </c>
      <c r="AE84" s="277">
        <v>480</v>
      </c>
      <c r="AF84" s="277">
        <v>-144</v>
      </c>
      <c r="AG84" s="277">
        <v>0</v>
      </c>
      <c r="AH84" s="277">
        <v>235.2</v>
      </c>
    </row>
    <row r="85" spans="1:34">
      <c r="A85" s="277" t="s">
        <v>490</v>
      </c>
      <c r="B85" s="277">
        <v>400</v>
      </c>
      <c r="C85" s="277">
        <v>400</v>
      </c>
      <c r="D85" s="277">
        <v>1</v>
      </c>
      <c r="E85" s="277">
        <v>0</v>
      </c>
      <c r="F85" s="277">
        <v>0</v>
      </c>
      <c r="G85" s="277">
        <v>0</v>
      </c>
      <c r="H85" s="277">
        <v>0</v>
      </c>
      <c r="I85" s="277">
        <v>0</v>
      </c>
      <c r="J85" s="277">
        <v>0</v>
      </c>
      <c r="K85" s="277">
        <v>0</v>
      </c>
      <c r="L85" s="277">
        <v>0</v>
      </c>
      <c r="M85" s="277">
        <v>0</v>
      </c>
      <c r="N85" s="277">
        <v>0</v>
      </c>
      <c r="O85" s="277">
        <v>0</v>
      </c>
      <c r="P85" s="277">
        <v>0</v>
      </c>
      <c r="Q85" s="277">
        <v>0</v>
      </c>
      <c r="R85" s="277">
        <v>0</v>
      </c>
      <c r="S85" s="277">
        <v>0</v>
      </c>
      <c r="T85" s="277">
        <v>0</v>
      </c>
      <c r="U85" s="277">
        <v>0</v>
      </c>
      <c r="V85" s="277">
        <v>0</v>
      </c>
      <c r="W85" s="277">
        <v>0</v>
      </c>
      <c r="X85" s="277">
        <v>0</v>
      </c>
      <c r="Y85" s="277">
        <v>400</v>
      </c>
      <c r="Z85" s="277">
        <v>1</v>
      </c>
      <c r="AA85" s="277">
        <v>0</v>
      </c>
      <c r="AB85" s="277">
        <v>0</v>
      </c>
      <c r="AC85" s="277">
        <v>0</v>
      </c>
      <c r="AD85" s="277">
        <v>0</v>
      </c>
      <c r="AE85" s="277">
        <v>480</v>
      </c>
      <c r="AF85" s="277">
        <v>-144</v>
      </c>
      <c r="AG85" s="277">
        <v>0</v>
      </c>
      <c r="AH85" s="277">
        <v>235.2</v>
      </c>
    </row>
    <row r="86" spans="1:34">
      <c r="A86" s="277" t="s">
        <v>490</v>
      </c>
      <c r="B86" s="277">
        <v>400</v>
      </c>
      <c r="C86" s="277">
        <v>400</v>
      </c>
      <c r="D86" s="277">
        <v>1</v>
      </c>
      <c r="E86" s="277">
        <v>0</v>
      </c>
      <c r="F86" s="277">
        <v>0</v>
      </c>
      <c r="G86" s="277">
        <v>0</v>
      </c>
      <c r="H86" s="277">
        <v>0</v>
      </c>
      <c r="I86" s="277">
        <v>0</v>
      </c>
      <c r="J86" s="277">
        <v>0</v>
      </c>
      <c r="K86" s="277">
        <v>0</v>
      </c>
      <c r="L86" s="277">
        <v>0</v>
      </c>
      <c r="M86" s="277">
        <v>0</v>
      </c>
      <c r="N86" s="277">
        <v>0</v>
      </c>
      <c r="O86" s="277">
        <v>0</v>
      </c>
      <c r="P86" s="277">
        <v>0</v>
      </c>
      <c r="Q86" s="277">
        <v>0</v>
      </c>
      <c r="R86" s="277">
        <v>0</v>
      </c>
      <c r="S86" s="277">
        <v>0</v>
      </c>
      <c r="T86" s="277">
        <v>0</v>
      </c>
      <c r="U86" s="277">
        <v>0</v>
      </c>
      <c r="V86" s="277">
        <v>0</v>
      </c>
      <c r="W86" s="277">
        <v>0</v>
      </c>
      <c r="X86" s="277">
        <v>0</v>
      </c>
      <c r="Y86" s="277">
        <v>400</v>
      </c>
      <c r="Z86" s="277">
        <v>1</v>
      </c>
      <c r="AA86" s="277">
        <v>0</v>
      </c>
      <c r="AB86" s="277">
        <v>0</v>
      </c>
      <c r="AC86" s="277">
        <v>0</v>
      </c>
      <c r="AD86" s="277">
        <v>0</v>
      </c>
      <c r="AE86" s="277">
        <v>480</v>
      </c>
      <c r="AF86" s="277">
        <v>-144</v>
      </c>
      <c r="AG86" s="277">
        <v>0</v>
      </c>
      <c r="AH86" s="277">
        <v>235.2</v>
      </c>
    </row>
    <row r="87" spans="1:34">
      <c r="A87" s="277" t="s">
        <v>490</v>
      </c>
      <c r="B87" s="277">
        <v>400</v>
      </c>
      <c r="C87" s="277">
        <v>400</v>
      </c>
      <c r="D87" s="277">
        <v>1</v>
      </c>
      <c r="E87" s="277">
        <v>0</v>
      </c>
      <c r="F87" s="277">
        <v>0</v>
      </c>
      <c r="G87" s="277">
        <v>0</v>
      </c>
      <c r="H87" s="277">
        <v>0</v>
      </c>
      <c r="I87" s="277">
        <v>0</v>
      </c>
      <c r="J87" s="277">
        <v>0</v>
      </c>
      <c r="K87" s="277">
        <v>0</v>
      </c>
      <c r="L87" s="277">
        <v>0</v>
      </c>
      <c r="M87" s="277">
        <v>0</v>
      </c>
      <c r="N87" s="277">
        <v>0</v>
      </c>
      <c r="O87" s="277">
        <v>0</v>
      </c>
      <c r="P87" s="277">
        <v>0</v>
      </c>
      <c r="Q87" s="277">
        <v>0</v>
      </c>
      <c r="R87" s="277">
        <v>0</v>
      </c>
      <c r="S87" s="277">
        <v>0</v>
      </c>
      <c r="T87" s="277">
        <v>0</v>
      </c>
      <c r="U87" s="277">
        <v>0</v>
      </c>
      <c r="V87" s="277">
        <v>0</v>
      </c>
      <c r="W87" s="277">
        <v>0</v>
      </c>
      <c r="X87" s="277">
        <v>0</v>
      </c>
      <c r="Y87" s="277">
        <v>400</v>
      </c>
      <c r="Z87" s="277">
        <v>1</v>
      </c>
      <c r="AA87" s="277">
        <v>0</v>
      </c>
      <c r="AB87" s="277">
        <v>0</v>
      </c>
      <c r="AC87" s="277">
        <v>0</v>
      </c>
      <c r="AD87" s="277">
        <v>0</v>
      </c>
      <c r="AE87" s="277">
        <v>480</v>
      </c>
      <c r="AF87" s="277">
        <v>-144</v>
      </c>
      <c r="AG87" s="277">
        <v>0</v>
      </c>
      <c r="AH87" s="277">
        <v>235.2</v>
      </c>
    </row>
    <row r="88" spans="1:34">
      <c r="A88" s="277" t="s">
        <v>490</v>
      </c>
      <c r="B88" s="277">
        <v>400</v>
      </c>
      <c r="C88" s="277">
        <v>400</v>
      </c>
      <c r="D88" s="277">
        <v>1</v>
      </c>
      <c r="E88" s="277">
        <v>0</v>
      </c>
      <c r="F88" s="277">
        <v>0</v>
      </c>
      <c r="G88" s="277">
        <v>0</v>
      </c>
      <c r="H88" s="277">
        <v>0</v>
      </c>
      <c r="I88" s="277">
        <v>0</v>
      </c>
      <c r="J88" s="277">
        <v>0</v>
      </c>
      <c r="K88" s="277">
        <v>0</v>
      </c>
      <c r="L88" s="277">
        <v>0</v>
      </c>
      <c r="M88" s="277">
        <v>0</v>
      </c>
      <c r="N88" s="277">
        <v>0</v>
      </c>
      <c r="O88" s="277">
        <v>0</v>
      </c>
      <c r="P88" s="277">
        <v>0</v>
      </c>
      <c r="Q88" s="277">
        <v>0</v>
      </c>
      <c r="R88" s="277">
        <v>0</v>
      </c>
      <c r="S88" s="277">
        <v>0</v>
      </c>
      <c r="T88" s="277">
        <v>0</v>
      </c>
      <c r="U88" s="277">
        <v>0</v>
      </c>
      <c r="V88" s="277">
        <v>0</v>
      </c>
      <c r="W88" s="277">
        <v>0</v>
      </c>
      <c r="X88" s="277">
        <v>0</v>
      </c>
      <c r="Y88" s="277">
        <v>400</v>
      </c>
      <c r="Z88" s="277">
        <v>1</v>
      </c>
      <c r="AA88" s="277">
        <v>0</v>
      </c>
      <c r="AB88" s="277">
        <v>0</v>
      </c>
      <c r="AC88" s="277">
        <v>0</v>
      </c>
      <c r="AD88" s="277">
        <v>0</v>
      </c>
      <c r="AE88" s="277">
        <v>480</v>
      </c>
      <c r="AF88" s="277">
        <v>-144</v>
      </c>
      <c r="AG88" s="277">
        <v>0</v>
      </c>
      <c r="AH88" s="277">
        <v>235.2</v>
      </c>
    </row>
    <row r="89" spans="1:34">
      <c r="A89" s="277" t="s">
        <v>490</v>
      </c>
      <c r="B89" s="277">
        <v>400</v>
      </c>
      <c r="C89" s="277">
        <v>0</v>
      </c>
      <c r="D89" s="277">
        <v>0</v>
      </c>
      <c r="E89" s="277">
        <v>0</v>
      </c>
      <c r="F89" s="277">
        <v>0</v>
      </c>
      <c r="G89" s="277">
        <v>0</v>
      </c>
      <c r="H89" s="277">
        <v>1</v>
      </c>
      <c r="I89" s="277">
        <v>0</v>
      </c>
      <c r="J89" s="277">
        <v>0</v>
      </c>
      <c r="K89" s="277">
        <v>0</v>
      </c>
      <c r="L89" s="277">
        <v>0</v>
      </c>
      <c r="M89" s="277">
        <v>0</v>
      </c>
      <c r="N89" s="277">
        <v>0</v>
      </c>
      <c r="O89" s="277">
        <v>0</v>
      </c>
      <c r="P89" s="277">
        <v>0</v>
      </c>
      <c r="Q89" s="277">
        <v>0</v>
      </c>
      <c r="R89" s="277">
        <v>0</v>
      </c>
      <c r="S89" s="277">
        <v>0</v>
      </c>
      <c r="T89" s="277">
        <v>0</v>
      </c>
      <c r="U89" s="277">
        <v>0</v>
      </c>
      <c r="V89" s="277">
        <v>0</v>
      </c>
      <c r="W89" s="277">
        <v>0</v>
      </c>
      <c r="X89" s="277">
        <v>0</v>
      </c>
      <c r="Y89" s="277">
        <v>0</v>
      </c>
      <c r="Z89" s="277">
        <v>1</v>
      </c>
      <c r="AA89" s="277">
        <v>0</v>
      </c>
      <c r="AB89" s="277">
        <v>0</v>
      </c>
      <c r="AC89" s="277">
        <v>0</v>
      </c>
      <c r="AD89" s="277">
        <v>0</v>
      </c>
      <c r="AE89" s="277">
        <v>0</v>
      </c>
      <c r="AF89" s="277">
        <v>0</v>
      </c>
      <c r="AG89" s="277">
        <v>0</v>
      </c>
      <c r="AH89" s="277">
        <v>0</v>
      </c>
    </row>
    <row r="90" spans="1:34">
      <c r="A90" s="277" t="s">
        <v>490</v>
      </c>
      <c r="B90" s="277">
        <v>400</v>
      </c>
      <c r="C90" s="277">
        <v>0</v>
      </c>
      <c r="D90" s="277">
        <v>0</v>
      </c>
      <c r="E90" s="277">
        <v>0</v>
      </c>
      <c r="F90" s="277">
        <v>0</v>
      </c>
      <c r="G90" s="277">
        <v>0</v>
      </c>
      <c r="H90" s="277">
        <v>1</v>
      </c>
      <c r="I90" s="277">
        <v>0</v>
      </c>
      <c r="J90" s="277">
        <v>0</v>
      </c>
      <c r="K90" s="277">
        <v>0</v>
      </c>
      <c r="L90" s="277">
        <v>0</v>
      </c>
      <c r="M90" s="277">
        <v>0</v>
      </c>
      <c r="N90" s="277">
        <v>0</v>
      </c>
      <c r="O90" s="277">
        <v>0</v>
      </c>
      <c r="P90" s="277">
        <v>0</v>
      </c>
      <c r="Q90" s="277">
        <v>0</v>
      </c>
      <c r="R90" s="277">
        <v>0</v>
      </c>
      <c r="S90" s="277">
        <v>0</v>
      </c>
      <c r="T90" s="277">
        <v>0</v>
      </c>
      <c r="U90" s="277">
        <v>0</v>
      </c>
      <c r="V90" s="277">
        <v>0</v>
      </c>
      <c r="W90" s="277">
        <v>0</v>
      </c>
      <c r="X90" s="277">
        <v>0</v>
      </c>
      <c r="Y90" s="277">
        <v>0</v>
      </c>
      <c r="Z90" s="277">
        <v>1</v>
      </c>
      <c r="AA90" s="277">
        <v>0</v>
      </c>
      <c r="AB90" s="277">
        <v>0</v>
      </c>
      <c r="AC90" s="277">
        <v>0</v>
      </c>
      <c r="AD90" s="277">
        <v>0</v>
      </c>
      <c r="AE90" s="277">
        <v>0</v>
      </c>
      <c r="AF90" s="277">
        <v>0</v>
      </c>
      <c r="AG90" s="277">
        <v>0</v>
      </c>
      <c r="AH90" s="277">
        <v>0</v>
      </c>
    </row>
    <row r="91" spans="1:34">
      <c r="A91" s="277" t="s">
        <v>490</v>
      </c>
      <c r="B91" s="277">
        <v>400</v>
      </c>
      <c r="C91" s="277">
        <v>0</v>
      </c>
      <c r="D91" s="277">
        <v>0</v>
      </c>
      <c r="E91" s="277">
        <v>0</v>
      </c>
      <c r="F91" s="277">
        <v>0</v>
      </c>
      <c r="G91" s="277">
        <v>0</v>
      </c>
      <c r="H91" s="277">
        <v>1</v>
      </c>
      <c r="I91" s="277">
        <v>0</v>
      </c>
      <c r="J91" s="277">
        <v>0</v>
      </c>
      <c r="K91" s="277">
        <v>0</v>
      </c>
      <c r="L91" s="277">
        <v>0</v>
      </c>
      <c r="M91" s="277">
        <v>0</v>
      </c>
      <c r="N91" s="277">
        <v>0</v>
      </c>
      <c r="O91" s="277">
        <v>0</v>
      </c>
      <c r="P91" s="277">
        <v>0</v>
      </c>
      <c r="Q91" s="277">
        <v>0</v>
      </c>
      <c r="R91" s="277">
        <v>0</v>
      </c>
      <c r="S91" s="277">
        <v>0</v>
      </c>
      <c r="T91" s="277">
        <v>0</v>
      </c>
      <c r="U91" s="277">
        <v>0</v>
      </c>
      <c r="V91" s="277">
        <v>0</v>
      </c>
      <c r="W91" s="277">
        <v>0</v>
      </c>
      <c r="X91" s="277">
        <v>0</v>
      </c>
      <c r="Y91" s="277">
        <v>0</v>
      </c>
      <c r="Z91" s="277">
        <v>1</v>
      </c>
      <c r="AA91" s="277">
        <v>0</v>
      </c>
      <c r="AB91" s="277">
        <v>0</v>
      </c>
      <c r="AC91" s="277">
        <v>0</v>
      </c>
      <c r="AD91" s="277">
        <v>0</v>
      </c>
      <c r="AE91" s="277">
        <v>0</v>
      </c>
      <c r="AF91" s="277">
        <v>0</v>
      </c>
      <c r="AG91" s="277">
        <v>0</v>
      </c>
      <c r="AH91" s="277">
        <v>0</v>
      </c>
    </row>
    <row r="92" spans="1:34">
      <c r="A92" s="277" t="s">
        <v>490</v>
      </c>
      <c r="B92" s="277">
        <v>400</v>
      </c>
      <c r="C92" s="277">
        <v>0</v>
      </c>
      <c r="D92" s="277">
        <v>0</v>
      </c>
      <c r="E92" s="277">
        <v>0</v>
      </c>
      <c r="F92" s="277">
        <v>200</v>
      </c>
      <c r="G92" s="277">
        <v>1</v>
      </c>
      <c r="H92" s="277">
        <v>0</v>
      </c>
      <c r="I92" s="277">
        <v>0</v>
      </c>
      <c r="J92" s="277">
        <v>0</v>
      </c>
      <c r="K92" s="277">
        <v>0</v>
      </c>
      <c r="L92" s="277">
        <v>0</v>
      </c>
      <c r="M92" s="277">
        <v>0</v>
      </c>
      <c r="N92" s="277">
        <v>0</v>
      </c>
      <c r="O92" s="277">
        <v>0</v>
      </c>
      <c r="P92" s="277">
        <v>0</v>
      </c>
      <c r="Q92" s="277">
        <v>0</v>
      </c>
      <c r="R92" s="277">
        <v>0</v>
      </c>
      <c r="S92" s="277">
        <v>0</v>
      </c>
      <c r="T92" s="277">
        <v>0</v>
      </c>
      <c r="U92" s="277">
        <v>0</v>
      </c>
      <c r="V92" s="277">
        <v>0</v>
      </c>
      <c r="W92" s="277">
        <v>0</v>
      </c>
      <c r="X92" s="277">
        <v>0</v>
      </c>
      <c r="Y92" s="277">
        <v>200</v>
      </c>
      <c r="Z92" s="277">
        <v>1</v>
      </c>
      <c r="AA92" s="277">
        <v>0</v>
      </c>
      <c r="AB92" s="277">
        <v>0</v>
      </c>
      <c r="AC92" s="277">
        <v>0</v>
      </c>
      <c r="AD92" s="277">
        <v>0</v>
      </c>
      <c r="AE92" s="277">
        <v>240</v>
      </c>
      <c r="AF92" s="277">
        <v>-72</v>
      </c>
      <c r="AG92" s="277">
        <v>0</v>
      </c>
      <c r="AH92" s="277">
        <v>117.6</v>
      </c>
    </row>
    <row r="93" spans="1:34">
      <c r="A93" s="277" t="s">
        <v>490</v>
      </c>
      <c r="B93" s="277">
        <v>400</v>
      </c>
      <c r="C93" s="277">
        <v>400</v>
      </c>
      <c r="D93" s="277">
        <v>1</v>
      </c>
      <c r="E93" s="277">
        <v>0</v>
      </c>
      <c r="F93" s="277">
        <v>0</v>
      </c>
      <c r="G93" s="277">
        <v>0</v>
      </c>
      <c r="H93" s="277">
        <v>0</v>
      </c>
      <c r="I93" s="277">
        <v>0</v>
      </c>
      <c r="J93" s="277">
        <v>0</v>
      </c>
      <c r="K93" s="277">
        <v>0</v>
      </c>
      <c r="L93" s="277">
        <v>0</v>
      </c>
      <c r="M93" s="277">
        <v>0</v>
      </c>
      <c r="N93" s="277">
        <v>0</v>
      </c>
      <c r="O93" s="277">
        <v>0</v>
      </c>
      <c r="P93" s="277">
        <v>0</v>
      </c>
      <c r="Q93" s="277">
        <v>0</v>
      </c>
      <c r="R93" s="277">
        <v>0</v>
      </c>
      <c r="S93" s="277">
        <v>0</v>
      </c>
      <c r="T93" s="277">
        <v>0</v>
      </c>
      <c r="U93" s="277">
        <v>0</v>
      </c>
      <c r="V93" s="277">
        <v>0</v>
      </c>
      <c r="W93" s="277">
        <v>0</v>
      </c>
      <c r="X93" s="277">
        <v>0</v>
      </c>
      <c r="Y93" s="277">
        <v>400</v>
      </c>
      <c r="Z93" s="277">
        <v>1</v>
      </c>
      <c r="AA93" s="277">
        <v>0</v>
      </c>
      <c r="AB93" s="277">
        <v>0</v>
      </c>
      <c r="AC93" s="277">
        <v>0</v>
      </c>
      <c r="AD93" s="277">
        <v>0</v>
      </c>
      <c r="AE93" s="277">
        <v>480</v>
      </c>
      <c r="AF93" s="277">
        <v>-144</v>
      </c>
      <c r="AG93" s="277">
        <v>0</v>
      </c>
      <c r="AH93" s="277">
        <v>235.2</v>
      </c>
    </row>
    <row r="94" spans="1:34">
      <c r="A94" s="277" t="s">
        <v>490</v>
      </c>
      <c r="B94" s="277">
        <v>400</v>
      </c>
      <c r="C94" s="277">
        <v>400</v>
      </c>
      <c r="D94" s="277">
        <v>1</v>
      </c>
      <c r="E94" s="277">
        <v>0</v>
      </c>
      <c r="F94" s="277">
        <v>0</v>
      </c>
      <c r="G94" s="277">
        <v>0</v>
      </c>
      <c r="H94" s="277">
        <v>0</v>
      </c>
      <c r="I94" s="277">
        <v>0</v>
      </c>
      <c r="J94" s="277">
        <v>0</v>
      </c>
      <c r="K94" s="277">
        <v>0</v>
      </c>
      <c r="L94" s="277">
        <v>0</v>
      </c>
      <c r="M94" s="277">
        <v>0</v>
      </c>
      <c r="N94" s="277">
        <v>0</v>
      </c>
      <c r="O94" s="277">
        <v>0</v>
      </c>
      <c r="P94" s="277">
        <v>0</v>
      </c>
      <c r="Q94" s="277">
        <v>0</v>
      </c>
      <c r="R94" s="277">
        <v>0</v>
      </c>
      <c r="S94" s="277">
        <v>0</v>
      </c>
      <c r="T94" s="277">
        <v>0</v>
      </c>
      <c r="U94" s="277">
        <v>0</v>
      </c>
      <c r="V94" s="277">
        <v>0</v>
      </c>
      <c r="W94" s="277">
        <v>0</v>
      </c>
      <c r="X94" s="277">
        <v>0</v>
      </c>
      <c r="Y94" s="277">
        <v>400</v>
      </c>
      <c r="Z94" s="277">
        <v>1</v>
      </c>
      <c r="AA94" s="277">
        <v>0</v>
      </c>
      <c r="AB94" s="277">
        <v>0</v>
      </c>
      <c r="AC94" s="277">
        <v>0</v>
      </c>
      <c r="AD94" s="277">
        <v>0</v>
      </c>
      <c r="AE94" s="277">
        <v>480</v>
      </c>
      <c r="AF94" s="277">
        <v>-144</v>
      </c>
      <c r="AG94" s="277">
        <v>0</v>
      </c>
      <c r="AH94" s="277">
        <v>235.2</v>
      </c>
    </row>
    <row r="95" spans="1:34">
      <c r="A95" s="277" t="s">
        <v>490</v>
      </c>
      <c r="B95" s="277">
        <v>400</v>
      </c>
      <c r="C95" s="277">
        <v>400</v>
      </c>
      <c r="D95" s="277">
        <v>1</v>
      </c>
      <c r="E95" s="277">
        <v>0</v>
      </c>
      <c r="F95" s="277">
        <v>0</v>
      </c>
      <c r="G95" s="277">
        <v>0</v>
      </c>
      <c r="H95" s="277">
        <v>0</v>
      </c>
      <c r="I95" s="277">
        <v>0</v>
      </c>
      <c r="J95" s="277">
        <v>0</v>
      </c>
      <c r="K95" s="277">
        <v>0</v>
      </c>
      <c r="L95" s="277">
        <v>0</v>
      </c>
      <c r="M95" s="277">
        <v>0</v>
      </c>
      <c r="N95" s="277">
        <v>0</v>
      </c>
      <c r="O95" s="277">
        <v>0</v>
      </c>
      <c r="P95" s="277">
        <v>0</v>
      </c>
      <c r="Q95" s="277">
        <v>0</v>
      </c>
      <c r="R95" s="277">
        <v>0</v>
      </c>
      <c r="S95" s="277">
        <v>0</v>
      </c>
      <c r="T95" s="277">
        <v>0</v>
      </c>
      <c r="U95" s="277">
        <v>0</v>
      </c>
      <c r="V95" s="277">
        <v>0</v>
      </c>
      <c r="W95" s="277">
        <v>0</v>
      </c>
      <c r="X95" s="277">
        <v>0</v>
      </c>
      <c r="Y95" s="277">
        <v>400</v>
      </c>
      <c r="Z95" s="277">
        <v>1</v>
      </c>
      <c r="AA95" s="277">
        <v>0</v>
      </c>
      <c r="AB95" s="277">
        <v>0</v>
      </c>
      <c r="AC95" s="277">
        <v>0</v>
      </c>
      <c r="AD95" s="277">
        <v>0</v>
      </c>
      <c r="AE95" s="277">
        <v>480</v>
      </c>
      <c r="AF95" s="277">
        <v>-144</v>
      </c>
      <c r="AG95" s="277">
        <v>0</v>
      </c>
      <c r="AH95" s="277">
        <v>235.2</v>
      </c>
    </row>
    <row r="96" spans="1:34">
      <c r="A96" s="277" t="s">
        <v>490</v>
      </c>
      <c r="B96" s="277">
        <v>400</v>
      </c>
      <c r="C96" s="277">
        <v>400</v>
      </c>
      <c r="D96" s="277">
        <v>1</v>
      </c>
      <c r="E96" s="277">
        <v>0</v>
      </c>
      <c r="F96" s="277">
        <v>0</v>
      </c>
      <c r="G96" s="277">
        <v>0</v>
      </c>
      <c r="H96" s="277">
        <v>0</v>
      </c>
      <c r="I96" s="277">
        <v>0</v>
      </c>
      <c r="J96" s="277">
        <v>0</v>
      </c>
      <c r="K96" s="277">
        <v>0</v>
      </c>
      <c r="L96" s="277">
        <v>0</v>
      </c>
      <c r="M96" s="277">
        <v>0</v>
      </c>
      <c r="N96" s="277">
        <v>0</v>
      </c>
      <c r="O96" s="277">
        <v>0</v>
      </c>
      <c r="P96" s="277">
        <v>0</v>
      </c>
      <c r="Q96" s="277">
        <v>0</v>
      </c>
      <c r="R96" s="277">
        <v>0</v>
      </c>
      <c r="S96" s="277">
        <v>0</v>
      </c>
      <c r="T96" s="277">
        <v>0</v>
      </c>
      <c r="U96" s="277">
        <v>0</v>
      </c>
      <c r="V96" s="277">
        <v>0</v>
      </c>
      <c r="W96" s="277">
        <v>0</v>
      </c>
      <c r="X96" s="277">
        <v>0</v>
      </c>
      <c r="Y96" s="277">
        <v>400</v>
      </c>
      <c r="Z96" s="277">
        <v>1</v>
      </c>
      <c r="AA96" s="277">
        <v>0</v>
      </c>
      <c r="AB96" s="277">
        <v>0</v>
      </c>
      <c r="AC96" s="277">
        <v>0</v>
      </c>
      <c r="AD96" s="277">
        <v>0</v>
      </c>
      <c r="AE96" s="277">
        <v>480</v>
      </c>
      <c r="AF96" s="277">
        <v>-144</v>
      </c>
      <c r="AG96" s="277">
        <v>0</v>
      </c>
      <c r="AH96" s="277">
        <v>235.2</v>
      </c>
    </row>
    <row r="97" spans="1:34">
      <c r="A97" s="277" t="s">
        <v>490</v>
      </c>
      <c r="B97" s="277">
        <v>400</v>
      </c>
      <c r="C97" s="277">
        <v>400</v>
      </c>
      <c r="D97" s="277">
        <v>1</v>
      </c>
      <c r="E97" s="277">
        <v>0</v>
      </c>
      <c r="F97" s="277">
        <v>0</v>
      </c>
      <c r="G97" s="277">
        <v>0</v>
      </c>
      <c r="H97" s="277">
        <v>0</v>
      </c>
      <c r="I97" s="277">
        <v>0</v>
      </c>
      <c r="J97" s="277">
        <v>0</v>
      </c>
      <c r="K97" s="277">
        <v>0</v>
      </c>
      <c r="L97" s="277">
        <v>0</v>
      </c>
      <c r="M97" s="277">
        <v>0</v>
      </c>
      <c r="N97" s="277">
        <v>0</v>
      </c>
      <c r="O97" s="277">
        <v>0</v>
      </c>
      <c r="P97" s="277">
        <v>0</v>
      </c>
      <c r="Q97" s="277">
        <v>0</v>
      </c>
      <c r="R97" s="277">
        <v>0</v>
      </c>
      <c r="S97" s="277">
        <v>0</v>
      </c>
      <c r="T97" s="277">
        <v>0</v>
      </c>
      <c r="U97" s="277">
        <v>0</v>
      </c>
      <c r="V97" s="277">
        <v>0</v>
      </c>
      <c r="W97" s="277">
        <v>0</v>
      </c>
      <c r="X97" s="277">
        <v>0</v>
      </c>
      <c r="Y97" s="277">
        <v>400</v>
      </c>
      <c r="Z97" s="277">
        <v>1</v>
      </c>
      <c r="AA97" s="277">
        <v>0</v>
      </c>
      <c r="AB97" s="277">
        <v>0</v>
      </c>
      <c r="AC97" s="277">
        <v>0</v>
      </c>
      <c r="AD97" s="277">
        <v>0</v>
      </c>
      <c r="AE97" s="277">
        <v>480</v>
      </c>
      <c r="AF97" s="277">
        <v>-144</v>
      </c>
      <c r="AG97" s="277">
        <v>0</v>
      </c>
      <c r="AH97" s="277">
        <v>235.2</v>
      </c>
    </row>
    <row r="98" spans="1:34">
      <c r="A98" s="277" t="s">
        <v>387</v>
      </c>
      <c r="B98" s="277">
        <v>500</v>
      </c>
      <c r="C98" s="277">
        <v>127000</v>
      </c>
      <c r="D98" s="277">
        <v>254</v>
      </c>
      <c r="E98" s="277">
        <v>0</v>
      </c>
      <c r="F98" s="277">
        <v>119100</v>
      </c>
      <c r="G98" s="277">
        <v>397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>
        <v>0</v>
      </c>
      <c r="O98" s="277">
        <v>-500</v>
      </c>
      <c r="P98" s="277">
        <v>1</v>
      </c>
      <c r="Q98" s="277">
        <v>0</v>
      </c>
      <c r="R98" s="277">
        <v>0</v>
      </c>
      <c r="S98" s="277">
        <v>0</v>
      </c>
      <c r="T98" s="277">
        <v>0</v>
      </c>
      <c r="U98" s="277">
        <v>0</v>
      </c>
      <c r="V98" s="277">
        <v>0</v>
      </c>
      <c r="W98" s="277">
        <v>0</v>
      </c>
      <c r="X98" s="277">
        <v>0</v>
      </c>
      <c r="Y98" s="277">
        <v>246100</v>
      </c>
      <c r="Z98" s="277">
        <v>651</v>
      </c>
      <c r="AA98" s="277">
        <v>-500</v>
      </c>
      <c r="AB98" s="277">
        <v>1</v>
      </c>
      <c r="AC98" s="277">
        <v>221931</v>
      </c>
      <c r="AD98" s="277">
        <v>-500</v>
      </c>
      <c r="AE98" s="277">
        <v>29004.46</v>
      </c>
      <c r="AF98" s="277">
        <v>-8701.35</v>
      </c>
      <c r="AG98" s="277">
        <v>0</v>
      </c>
      <c r="AH98" s="277">
        <v>169213.87</v>
      </c>
    </row>
    <row r="99" spans="1:34">
      <c r="A99" s="277" t="s">
        <v>387</v>
      </c>
      <c r="B99" s="277">
        <v>500</v>
      </c>
      <c r="C99" s="277">
        <v>113000</v>
      </c>
      <c r="D99" s="277">
        <v>226</v>
      </c>
      <c r="E99" s="277">
        <v>0</v>
      </c>
      <c r="F99" s="277">
        <v>94200</v>
      </c>
      <c r="G99" s="277">
        <v>314</v>
      </c>
      <c r="H99" s="277">
        <v>0</v>
      </c>
      <c r="I99" s="277">
        <v>0</v>
      </c>
      <c r="J99" s="277">
        <v>0</v>
      </c>
      <c r="K99" s="277">
        <v>0</v>
      </c>
      <c r="L99" s="277">
        <v>0</v>
      </c>
      <c r="M99" s="277">
        <v>0</v>
      </c>
      <c r="N99" s="277">
        <v>0</v>
      </c>
      <c r="O99" s="277">
        <v>-500</v>
      </c>
      <c r="P99" s="277">
        <v>1</v>
      </c>
      <c r="Q99" s="277">
        <v>0</v>
      </c>
      <c r="R99" s="277">
        <v>0</v>
      </c>
      <c r="S99" s="277">
        <v>0</v>
      </c>
      <c r="T99" s="277">
        <v>0</v>
      </c>
      <c r="U99" s="277">
        <v>0</v>
      </c>
      <c r="V99" s="277">
        <v>0</v>
      </c>
      <c r="W99" s="277">
        <v>0</v>
      </c>
      <c r="X99" s="277">
        <v>0</v>
      </c>
      <c r="Y99" s="277">
        <v>207200</v>
      </c>
      <c r="Z99" s="277">
        <v>540</v>
      </c>
      <c r="AA99" s="277">
        <v>-500</v>
      </c>
      <c r="AB99" s="277">
        <v>1</v>
      </c>
      <c r="AC99" s="277">
        <v>187714</v>
      </c>
      <c r="AD99" s="277">
        <v>-500</v>
      </c>
      <c r="AE99" s="277">
        <v>23375.31</v>
      </c>
      <c r="AF99" s="277">
        <v>-7012.61</v>
      </c>
      <c r="AG99" s="277">
        <v>0</v>
      </c>
      <c r="AH99" s="277">
        <v>142503.69</v>
      </c>
    </row>
    <row r="100" spans="1:34">
      <c r="A100" s="277" t="s">
        <v>387</v>
      </c>
      <c r="B100" s="277">
        <v>500</v>
      </c>
      <c r="C100" s="277">
        <v>114000</v>
      </c>
      <c r="D100" s="277">
        <v>228</v>
      </c>
      <c r="E100" s="277">
        <v>0</v>
      </c>
      <c r="F100" s="277">
        <v>95100</v>
      </c>
      <c r="G100" s="277">
        <v>317</v>
      </c>
      <c r="H100" s="277">
        <v>0</v>
      </c>
      <c r="I100" s="277">
        <v>0</v>
      </c>
      <c r="J100" s="277">
        <v>0</v>
      </c>
      <c r="K100" s="277">
        <v>0</v>
      </c>
      <c r="L100" s="277">
        <v>0</v>
      </c>
      <c r="M100" s="277">
        <v>0</v>
      </c>
      <c r="N100" s="277">
        <v>0</v>
      </c>
      <c r="O100" s="277">
        <v>0</v>
      </c>
      <c r="P100" s="277">
        <v>0</v>
      </c>
      <c r="Q100" s="277">
        <v>0</v>
      </c>
      <c r="R100" s="277">
        <v>0</v>
      </c>
      <c r="S100" s="277">
        <v>0</v>
      </c>
      <c r="T100" s="277">
        <v>0</v>
      </c>
      <c r="U100" s="277">
        <v>0</v>
      </c>
      <c r="V100" s="277">
        <v>0</v>
      </c>
      <c r="W100" s="277">
        <v>0</v>
      </c>
      <c r="X100" s="277">
        <v>0</v>
      </c>
      <c r="Y100" s="277">
        <v>209100</v>
      </c>
      <c r="Z100" s="277">
        <v>545</v>
      </c>
      <c r="AA100" s="277">
        <v>0</v>
      </c>
      <c r="AB100" s="277">
        <v>0</v>
      </c>
      <c r="AC100" s="277">
        <v>190704</v>
      </c>
      <c r="AD100" s="277">
        <v>0</v>
      </c>
      <c r="AE100" s="277">
        <v>22070.06</v>
      </c>
      <c r="AF100" s="277">
        <v>-6621.03</v>
      </c>
      <c r="AG100" s="277">
        <v>0</v>
      </c>
      <c r="AH100" s="277">
        <v>144307.12</v>
      </c>
    </row>
    <row r="101" spans="1:34">
      <c r="A101" s="277" t="s">
        <v>387</v>
      </c>
      <c r="B101" s="277">
        <v>500</v>
      </c>
      <c r="C101" s="277">
        <v>126500</v>
      </c>
      <c r="D101" s="277">
        <v>253</v>
      </c>
      <c r="E101" s="277">
        <v>0</v>
      </c>
      <c r="F101" s="277">
        <v>111900</v>
      </c>
      <c r="G101" s="277">
        <v>373</v>
      </c>
      <c r="H101" s="277">
        <v>0</v>
      </c>
      <c r="I101" s="277">
        <v>0</v>
      </c>
      <c r="J101" s="277">
        <v>0</v>
      </c>
      <c r="K101" s="277">
        <v>0</v>
      </c>
      <c r="L101" s="277">
        <v>0</v>
      </c>
      <c r="M101" s="277">
        <v>0</v>
      </c>
      <c r="N101" s="277">
        <v>0</v>
      </c>
      <c r="O101" s="277">
        <v>-500</v>
      </c>
      <c r="P101" s="277">
        <v>1</v>
      </c>
      <c r="Q101" s="277">
        <v>0</v>
      </c>
      <c r="R101" s="277">
        <v>0</v>
      </c>
      <c r="S101" s="277">
        <v>0</v>
      </c>
      <c r="T101" s="277">
        <v>0</v>
      </c>
      <c r="U101" s="277">
        <v>0</v>
      </c>
      <c r="V101" s="277">
        <v>0</v>
      </c>
      <c r="W101" s="277">
        <v>0</v>
      </c>
      <c r="X101" s="277">
        <v>0</v>
      </c>
      <c r="Y101" s="277">
        <v>238400</v>
      </c>
      <c r="Z101" s="277">
        <v>626</v>
      </c>
      <c r="AA101" s="277">
        <v>-500</v>
      </c>
      <c r="AB101" s="277">
        <v>1</v>
      </c>
      <c r="AC101" s="277">
        <v>217069</v>
      </c>
      <c r="AD101" s="277">
        <v>-500</v>
      </c>
      <c r="AE101" s="277">
        <v>25590.44</v>
      </c>
      <c r="AF101" s="277">
        <v>-7677.15</v>
      </c>
      <c r="AG101" s="277">
        <v>0</v>
      </c>
      <c r="AH101" s="277">
        <v>164137.60000000001</v>
      </c>
    </row>
    <row r="102" spans="1:34">
      <c r="A102" s="277" t="s">
        <v>387</v>
      </c>
      <c r="B102" s="277">
        <v>500</v>
      </c>
      <c r="C102" s="277">
        <v>138500</v>
      </c>
      <c r="D102" s="277">
        <v>277</v>
      </c>
      <c r="E102" s="277">
        <v>0</v>
      </c>
      <c r="F102" s="277">
        <v>112800</v>
      </c>
      <c r="G102" s="277">
        <v>376</v>
      </c>
      <c r="H102" s="277">
        <v>0</v>
      </c>
      <c r="I102" s="277">
        <v>0</v>
      </c>
      <c r="J102" s="277">
        <v>0</v>
      </c>
      <c r="K102" s="277">
        <v>0</v>
      </c>
      <c r="L102" s="277">
        <v>0</v>
      </c>
      <c r="M102" s="277">
        <v>0</v>
      </c>
      <c r="N102" s="277">
        <v>0</v>
      </c>
      <c r="O102" s="277">
        <v>-500</v>
      </c>
      <c r="P102" s="277">
        <v>1</v>
      </c>
      <c r="Q102" s="277">
        <v>0</v>
      </c>
      <c r="R102" s="277">
        <v>0</v>
      </c>
      <c r="S102" s="277">
        <v>0</v>
      </c>
      <c r="T102" s="277">
        <v>0</v>
      </c>
      <c r="U102" s="277">
        <v>0</v>
      </c>
      <c r="V102" s="277">
        <v>0</v>
      </c>
      <c r="W102" s="277">
        <v>0</v>
      </c>
      <c r="X102" s="277">
        <v>0</v>
      </c>
      <c r="Y102" s="277">
        <v>251300</v>
      </c>
      <c r="Z102" s="277">
        <v>653</v>
      </c>
      <c r="AA102" s="277">
        <v>-500</v>
      </c>
      <c r="AB102" s="277">
        <v>1</v>
      </c>
      <c r="AC102" s="277">
        <v>228520</v>
      </c>
      <c r="AD102" s="277">
        <v>-500</v>
      </c>
      <c r="AE102" s="277">
        <v>27333.32</v>
      </c>
      <c r="AF102" s="277">
        <v>-8200.01</v>
      </c>
      <c r="AG102" s="277">
        <v>0</v>
      </c>
      <c r="AH102" s="277">
        <v>173007.31</v>
      </c>
    </row>
    <row r="103" spans="1:34">
      <c r="A103" s="277" t="s">
        <v>387</v>
      </c>
      <c r="B103" s="277">
        <v>500</v>
      </c>
      <c r="C103" s="277">
        <v>126000</v>
      </c>
      <c r="D103" s="277">
        <v>252</v>
      </c>
      <c r="E103" s="277">
        <v>0</v>
      </c>
      <c r="F103" s="277">
        <v>107400</v>
      </c>
      <c r="G103" s="277">
        <v>358</v>
      </c>
      <c r="H103" s="277">
        <v>0</v>
      </c>
      <c r="I103" s="277">
        <v>0</v>
      </c>
      <c r="J103" s="277">
        <v>0</v>
      </c>
      <c r="K103" s="277">
        <v>0</v>
      </c>
      <c r="L103" s="277">
        <v>0</v>
      </c>
      <c r="M103" s="277">
        <v>0</v>
      </c>
      <c r="N103" s="277">
        <v>0</v>
      </c>
      <c r="O103" s="277">
        <v>0</v>
      </c>
      <c r="P103" s="277">
        <v>0</v>
      </c>
      <c r="Q103" s="277">
        <v>0</v>
      </c>
      <c r="R103" s="277">
        <v>0</v>
      </c>
      <c r="S103" s="277">
        <v>0</v>
      </c>
      <c r="T103" s="277">
        <v>0</v>
      </c>
      <c r="U103" s="277">
        <v>0</v>
      </c>
      <c r="V103" s="277">
        <v>0</v>
      </c>
      <c r="W103" s="277">
        <v>0</v>
      </c>
      <c r="X103" s="277">
        <v>0</v>
      </c>
      <c r="Y103" s="277">
        <v>233400</v>
      </c>
      <c r="Z103" s="277">
        <v>610</v>
      </c>
      <c r="AA103" s="277">
        <v>0</v>
      </c>
      <c r="AB103" s="277">
        <v>0</v>
      </c>
      <c r="AC103" s="277">
        <v>210270</v>
      </c>
      <c r="AD103" s="277">
        <v>0</v>
      </c>
      <c r="AE103" s="277">
        <v>27750.27</v>
      </c>
      <c r="AF103" s="277">
        <v>-8325.1</v>
      </c>
      <c r="AG103" s="277">
        <v>0</v>
      </c>
      <c r="AH103" s="277">
        <v>160786.60999999999</v>
      </c>
    </row>
    <row r="104" spans="1:34">
      <c r="A104" s="277" t="s">
        <v>387</v>
      </c>
      <c r="B104" s="277">
        <v>500</v>
      </c>
      <c r="C104" s="277">
        <v>115000</v>
      </c>
      <c r="D104" s="277">
        <v>230</v>
      </c>
      <c r="E104" s="277">
        <v>0</v>
      </c>
      <c r="F104" s="277">
        <v>90900</v>
      </c>
      <c r="G104" s="277">
        <v>303</v>
      </c>
      <c r="H104" s="277">
        <v>0</v>
      </c>
      <c r="I104" s="277">
        <v>0</v>
      </c>
      <c r="J104" s="277">
        <v>0</v>
      </c>
      <c r="K104" s="277">
        <v>0</v>
      </c>
      <c r="L104" s="277">
        <v>0</v>
      </c>
      <c r="M104" s="277">
        <v>0</v>
      </c>
      <c r="N104" s="277">
        <v>0</v>
      </c>
      <c r="O104" s="277">
        <v>0</v>
      </c>
      <c r="P104" s="277">
        <v>0</v>
      </c>
      <c r="Q104" s="277">
        <v>0</v>
      </c>
      <c r="R104" s="277">
        <v>0</v>
      </c>
      <c r="S104" s="277">
        <v>0</v>
      </c>
      <c r="T104" s="277">
        <v>0</v>
      </c>
      <c r="U104" s="277">
        <v>0</v>
      </c>
      <c r="V104" s="277">
        <v>0</v>
      </c>
      <c r="W104" s="277">
        <v>0</v>
      </c>
      <c r="X104" s="277">
        <v>0</v>
      </c>
      <c r="Y104" s="277">
        <v>205900</v>
      </c>
      <c r="Z104" s="277">
        <v>533</v>
      </c>
      <c r="AA104" s="277">
        <v>0</v>
      </c>
      <c r="AB104" s="277">
        <v>0</v>
      </c>
      <c r="AC104" s="277">
        <v>187995</v>
      </c>
      <c r="AD104" s="277">
        <v>0</v>
      </c>
      <c r="AE104" s="277">
        <v>21482.09</v>
      </c>
      <c r="AF104" s="277">
        <v>-6444.64</v>
      </c>
      <c r="AG104" s="277">
        <v>0</v>
      </c>
      <c r="AH104" s="277">
        <v>142122.71</v>
      </c>
    </row>
    <row r="105" spans="1:34">
      <c r="A105" s="277" t="s">
        <v>387</v>
      </c>
      <c r="B105" s="277">
        <v>500</v>
      </c>
      <c r="C105" s="277">
        <v>123500</v>
      </c>
      <c r="D105" s="277">
        <v>247</v>
      </c>
      <c r="E105" s="277">
        <v>0</v>
      </c>
      <c r="F105" s="277">
        <v>97800</v>
      </c>
      <c r="G105" s="277">
        <v>326</v>
      </c>
      <c r="H105" s="277">
        <v>0</v>
      </c>
      <c r="I105" s="277">
        <v>0</v>
      </c>
      <c r="J105" s="277">
        <v>0</v>
      </c>
      <c r="K105" s="277">
        <v>0</v>
      </c>
      <c r="L105" s="277">
        <v>0</v>
      </c>
      <c r="M105" s="277">
        <v>0</v>
      </c>
      <c r="N105" s="277">
        <v>0</v>
      </c>
      <c r="O105" s="277">
        <v>-500</v>
      </c>
      <c r="P105" s="277">
        <v>1</v>
      </c>
      <c r="Q105" s="277">
        <v>0</v>
      </c>
      <c r="R105" s="277">
        <v>0</v>
      </c>
      <c r="S105" s="277">
        <v>0</v>
      </c>
      <c r="T105" s="277">
        <v>0</v>
      </c>
      <c r="U105" s="277">
        <v>0</v>
      </c>
      <c r="V105" s="277">
        <v>0</v>
      </c>
      <c r="W105" s="277">
        <v>0</v>
      </c>
      <c r="X105" s="277">
        <v>0</v>
      </c>
      <c r="Y105" s="277">
        <v>221300</v>
      </c>
      <c r="Z105" s="277">
        <v>573</v>
      </c>
      <c r="AA105" s="277">
        <v>-500</v>
      </c>
      <c r="AB105" s="277">
        <v>1</v>
      </c>
      <c r="AC105" s="277">
        <v>202311</v>
      </c>
      <c r="AD105" s="277">
        <v>-500</v>
      </c>
      <c r="AE105" s="277">
        <v>22780.04</v>
      </c>
      <c r="AF105" s="277">
        <v>-6834.03</v>
      </c>
      <c r="AG105" s="277">
        <v>0</v>
      </c>
      <c r="AH105" s="277">
        <v>152429.9</v>
      </c>
    </row>
    <row r="106" spans="1:34">
      <c r="A106" s="277" t="s">
        <v>387</v>
      </c>
      <c r="B106" s="277">
        <v>500</v>
      </c>
      <c r="C106" s="277">
        <v>122000</v>
      </c>
      <c r="D106" s="277">
        <v>244</v>
      </c>
      <c r="E106" s="277">
        <v>0</v>
      </c>
      <c r="F106" s="277">
        <v>88200</v>
      </c>
      <c r="G106" s="277">
        <v>294</v>
      </c>
      <c r="H106" s="277">
        <v>0</v>
      </c>
      <c r="I106" s="277">
        <v>0</v>
      </c>
      <c r="J106" s="277">
        <v>0</v>
      </c>
      <c r="K106" s="277">
        <v>0</v>
      </c>
      <c r="L106" s="277">
        <v>0</v>
      </c>
      <c r="M106" s="277">
        <v>0</v>
      </c>
      <c r="N106" s="277">
        <v>0</v>
      </c>
      <c r="O106" s="277">
        <v>0</v>
      </c>
      <c r="P106" s="277">
        <v>0</v>
      </c>
      <c r="Q106" s="277">
        <v>0</v>
      </c>
      <c r="R106" s="277">
        <v>0</v>
      </c>
      <c r="S106" s="277">
        <v>0</v>
      </c>
      <c r="T106" s="277">
        <v>0</v>
      </c>
      <c r="U106" s="277">
        <v>0</v>
      </c>
      <c r="V106" s="277">
        <v>0</v>
      </c>
      <c r="W106" s="277">
        <v>0</v>
      </c>
      <c r="X106" s="277">
        <v>0</v>
      </c>
      <c r="Y106" s="277">
        <v>210200</v>
      </c>
      <c r="Z106" s="277">
        <v>538</v>
      </c>
      <c r="AA106" s="277">
        <v>0</v>
      </c>
      <c r="AB106" s="277">
        <v>0</v>
      </c>
      <c r="AC106" s="277">
        <v>194389</v>
      </c>
      <c r="AD106" s="277">
        <v>0</v>
      </c>
      <c r="AE106" s="277">
        <v>18974.71</v>
      </c>
      <c r="AF106" s="277">
        <v>-5692.42</v>
      </c>
      <c r="AG106" s="277">
        <v>0</v>
      </c>
      <c r="AH106" s="277">
        <v>145369.9</v>
      </c>
    </row>
    <row r="107" spans="1:34">
      <c r="A107" s="277" t="s">
        <v>387</v>
      </c>
      <c r="B107" s="277">
        <v>500</v>
      </c>
      <c r="C107" s="277">
        <v>117500</v>
      </c>
      <c r="D107" s="277">
        <v>235</v>
      </c>
      <c r="E107" s="277">
        <v>0</v>
      </c>
      <c r="F107" s="277">
        <v>83700</v>
      </c>
      <c r="G107" s="277">
        <v>279</v>
      </c>
      <c r="H107" s="277">
        <v>0</v>
      </c>
      <c r="I107" s="277">
        <v>0</v>
      </c>
      <c r="J107" s="277">
        <v>0</v>
      </c>
      <c r="K107" s="277">
        <v>0</v>
      </c>
      <c r="L107" s="277">
        <v>0</v>
      </c>
      <c r="M107" s="277">
        <v>0</v>
      </c>
      <c r="N107" s="277">
        <v>0</v>
      </c>
      <c r="O107" s="277">
        <v>0</v>
      </c>
      <c r="P107" s="277">
        <v>0</v>
      </c>
      <c r="Q107" s="277">
        <v>0</v>
      </c>
      <c r="R107" s="277">
        <v>0</v>
      </c>
      <c r="S107" s="277">
        <v>0</v>
      </c>
      <c r="T107" s="277">
        <v>0</v>
      </c>
      <c r="U107" s="277">
        <v>0</v>
      </c>
      <c r="V107" s="277">
        <v>0</v>
      </c>
      <c r="W107" s="277">
        <v>0</v>
      </c>
      <c r="X107" s="277">
        <v>0</v>
      </c>
      <c r="Y107" s="277">
        <v>201200</v>
      </c>
      <c r="Z107" s="277">
        <v>514</v>
      </c>
      <c r="AA107" s="277">
        <v>0</v>
      </c>
      <c r="AB107" s="277">
        <v>0</v>
      </c>
      <c r="AC107" s="277">
        <v>186039</v>
      </c>
      <c r="AD107" s="277">
        <v>0</v>
      </c>
      <c r="AE107" s="277">
        <v>18189.23</v>
      </c>
      <c r="AF107" s="277">
        <v>-5456.77</v>
      </c>
      <c r="AG107" s="277">
        <v>0</v>
      </c>
      <c r="AH107" s="277">
        <v>139140.03</v>
      </c>
    </row>
    <row r="108" spans="1:34">
      <c r="A108" s="277" t="s">
        <v>387</v>
      </c>
      <c r="B108" s="277">
        <v>500</v>
      </c>
      <c r="C108" s="277">
        <v>24500</v>
      </c>
      <c r="D108" s="277">
        <v>49</v>
      </c>
      <c r="E108" s="277">
        <v>0</v>
      </c>
      <c r="F108" s="277">
        <v>0</v>
      </c>
      <c r="G108" s="277">
        <v>0</v>
      </c>
      <c r="H108" s="277">
        <v>3947</v>
      </c>
      <c r="I108" s="277">
        <v>0</v>
      </c>
      <c r="J108" s="277">
        <v>0</v>
      </c>
      <c r="K108" s="277">
        <v>0</v>
      </c>
      <c r="L108" s="277">
        <v>0</v>
      </c>
      <c r="M108" s="277">
        <v>0</v>
      </c>
      <c r="N108" s="277">
        <v>0</v>
      </c>
      <c r="O108" s="277">
        <v>-500</v>
      </c>
      <c r="P108" s="277">
        <v>1</v>
      </c>
      <c r="Q108" s="277">
        <v>0</v>
      </c>
      <c r="R108" s="277">
        <v>0</v>
      </c>
      <c r="S108" s="277">
        <v>0</v>
      </c>
      <c r="T108" s="277">
        <v>0</v>
      </c>
      <c r="U108" s="277">
        <v>0</v>
      </c>
      <c r="V108" s="277">
        <v>0</v>
      </c>
      <c r="W108" s="277">
        <v>0</v>
      </c>
      <c r="X108" s="277">
        <v>0</v>
      </c>
      <c r="Y108" s="277">
        <v>24500</v>
      </c>
      <c r="Z108" s="277">
        <v>3996</v>
      </c>
      <c r="AA108" s="277">
        <v>-500</v>
      </c>
      <c r="AB108" s="277">
        <v>1</v>
      </c>
      <c r="AC108" s="277">
        <v>23625</v>
      </c>
      <c r="AD108" s="277">
        <v>-500</v>
      </c>
      <c r="AE108" s="277">
        <v>1050</v>
      </c>
      <c r="AF108" s="277">
        <v>-315</v>
      </c>
      <c r="AG108" s="277">
        <v>0</v>
      </c>
      <c r="AH108" s="277">
        <v>16702</v>
      </c>
    </row>
    <row r="109" spans="1:34">
      <c r="A109" s="277" t="s">
        <v>387</v>
      </c>
      <c r="B109" s="277">
        <v>500</v>
      </c>
      <c r="C109" s="277">
        <v>120000</v>
      </c>
      <c r="D109" s="277">
        <v>240</v>
      </c>
      <c r="E109" s="277">
        <v>0</v>
      </c>
      <c r="F109" s="277">
        <v>80100</v>
      </c>
      <c r="G109" s="277">
        <v>267</v>
      </c>
      <c r="H109" s="277">
        <v>0</v>
      </c>
      <c r="I109" s="277">
        <v>0</v>
      </c>
      <c r="J109" s="277">
        <v>0</v>
      </c>
      <c r="K109" s="277">
        <v>0</v>
      </c>
      <c r="L109" s="277">
        <v>0</v>
      </c>
      <c r="M109" s="277">
        <v>0</v>
      </c>
      <c r="N109" s="277">
        <v>0</v>
      </c>
      <c r="O109" s="277">
        <v>-500</v>
      </c>
      <c r="P109" s="277">
        <v>1</v>
      </c>
      <c r="Q109" s="277">
        <v>0</v>
      </c>
      <c r="R109" s="277">
        <v>0</v>
      </c>
      <c r="S109" s="277">
        <v>0</v>
      </c>
      <c r="T109" s="277">
        <v>0</v>
      </c>
      <c r="U109" s="277">
        <v>0</v>
      </c>
      <c r="V109" s="277">
        <v>0</v>
      </c>
      <c r="W109" s="277">
        <v>0</v>
      </c>
      <c r="X109" s="277">
        <v>0</v>
      </c>
      <c r="Y109" s="277">
        <v>200100</v>
      </c>
      <c r="Z109" s="277">
        <v>507</v>
      </c>
      <c r="AA109" s="277">
        <v>-500</v>
      </c>
      <c r="AB109" s="277">
        <v>1</v>
      </c>
      <c r="AC109" s="277">
        <v>184869</v>
      </c>
      <c r="AD109" s="277">
        <v>-500</v>
      </c>
      <c r="AE109" s="277">
        <v>18273.68</v>
      </c>
      <c r="AF109" s="277">
        <v>-5482.11</v>
      </c>
      <c r="AG109" s="277">
        <v>0</v>
      </c>
      <c r="AH109" s="277">
        <v>138012.4</v>
      </c>
    </row>
    <row r="110" spans="1:34">
      <c r="A110" s="277" t="s">
        <v>387</v>
      </c>
      <c r="B110" s="277">
        <v>500</v>
      </c>
      <c r="C110" s="277">
        <v>122500</v>
      </c>
      <c r="D110" s="277">
        <v>245</v>
      </c>
      <c r="E110" s="277">
        <v>0</v>
      </c>
      <c r="F110" s="277">
        <v>81600</v>
      </c>
      <c r="G110" s="277">
        <v>272</v>
      </c>
      <c r="H110" s="277">
        <v>0</v>
      </c>
      <c r="I110" s="277">
        <v>0</v>
      </c>
      <c r="J110" s="277">
        <v>0</v>
      </c>
      <c r="K110" s="277">
        <v>0</v>
      </c>
      <c r="L110" s="277">
        <v>0</v>
      </c>
      <c r="M110" s="277">
        <v>0</v>
      </c>
      <c r="N110" s="277">
        <v>0</v>
      </c>
      <c r="O110" s="277">
        <v>0</v>
      </c>
      <c r="P110" s="277">
        <v>0</v>
      </c>
      <c r="Q110" s="277">
        <v>0</v>
      </c>
      <c r="R110" s="277">
        <v>0</v>
      </c>
      <c r="S110" s="277">
        <v>0</v>
      </c>
      <c r="T110" s="277">
        <v>0</v>
      </c>
      <c r="U110" s="277">
        <v>0</v>
      </c>
      <c r="V110" s="277">
        <v>0</v>
      </c>
      <c r="W110" s="277">
        <v>0</v>
      </c>
      <c r="X110" s="277">
        <v>0</v>
      </c>
      <c r="Y110" s="277">
        <v>204100</v>
      </c>
      <c r="Z110" s="277">
        <v>517</v>
      </c>
      <c r="AA110" s="277">
        <v>0</v>
      </c>
      <c r="AB110" s="277">
        <v>0</v>
      </c>
      <c r="AC110" s="277">
        <v>187959</v>
      </c>
      <c r="AD110" s="277">
        <v>0</v>
      </c>
      <c r="AE110" s="277">
        <v>19365.68</v>
      </c>
      <c r="AF110" s="277">
        <v>-5809.71</v>
      </c>
      <c r="AG110" s="277">
        <v>0</v>
      </c>
      <c r="AH110" s="277">
        <v>141060.48000000001</v>
      </c>
    </row>
    <row r="111" spans="1:34">
      <c r="A111" s="277" t="s">
        <v>387</v>
      </c>
      <c r="B111" s="277">
        <v>500</v>
      </c>
      <c r="C111" s="277">
        <v>133000</v>
      </c>
      <c r="D111" s="277">
        <v>266</v>
      </c>
      <c r="E111" s="277">
        <v>0</v>
      </c>
      <c r="F111" s="277">
        <v>100200</v>
      </c>
      <c r="G111" s="277">
        <v>334</v>
      </c>
      <c r="H111" s="277">
        <v>0</v>
      </c>
      <c r="I111" s="277">
        <v>0</v>
      </c>
      <c r="J111" s="277">
        <v>0</v>
      </c>
      <c r="K111" s="277">
        <v>0</v>
      </c>
      <c r="L111" s="277">
        <v>0</v>
      </c>
      <c r="M111" s="277">
        <v>0</v>
      </c>
      <c r="N111" s="277">
        <v>0</v>
      </c>
      <c r="O111" s="277">
        <v>0</v>
      </c>
      <c r="P111" s="277">
        <v>0</v>
      </c>
      <c r="Q111" s="277">
        <v>0</v>
      </c>
      <c r="R111" s="277">
        <v>0</v>
      </c>
      <c r="S111" s="277">
        <v>0</v>
      </c>
      <c r="T111" s="277">
        <v>0</v>
      </c>
      <c r="U111" s="277">
        <v>0</v>
      </c>
      <c r="V111" s="277">
        <v>0</v>
      </c>
      <c r="W111" s="277">
        <v>0</v>
      </c>
      <c r="X111" s="277">
        <v>0</v>
      </c>
      <c r="Y111" s="277">
        <v>233200</v>
      </c>
      <c r="Z111" s="277">
        <v>600</v>
      </c>
      <c r="AA111" s="277">
        <v>0</v>
      </c>
      <c r="AB111" s="277">
        <v>0</v>
      </c>
      <c r="AC111" s="277">
        <v>212235</v>
      </c>
      <c r="AD111" s="277">
        <v>0</v>
      </c>
      <c r="AE111" s="277">
        <v>25152.86</v>
      </c>
      <c r="AF111" s="277">
        <v>-7545.87</v>
      </c>
      <c r="AG111" s="277">
        <v>0</v>
      </c>
      <c r="AH111" s="277">
        <v>160889.39000000001</v>
      </c>
    </row>
    <row r="112" spans="1:34">
      <c r="A112" s="277" t="s">
        <v>387</v>
      </c>
      <c r="B112" s="277">
        <v>500</v>
      </c>
      <c r="C112" s="277">
        <v>137000</v>
      </c>
      <c r="D112" s="277">
        <v>274</v>
      </c>
      <c r="E112" s="277">
        <v>0</v>
      </c>
      <c r="F112" s="277">
        <v>92700</v>
      </c>
      <c r="G112" s="277">
        <v>309</v>
      </c>
      <c r="H112" s="277">
        <v>0</v>
      </c>
      <c r="I112" s="277">
        <v>0</v>
      </c>
      <c r="J112" s="277">
        <v>0</v>
      </c>
      <c r="K112" s="277">
        <v>0</v>
      </c>
      <c r="L112" s="277">
        <v>0</v>
      </c>
      <c r="M112" s="277">
        <v>0</v>
      </c>
      <c r="N112" s="277">
        <v>0</v>
      </c>
      <c r="O112" s="277">
        <v>0</v>
      </c>
      <c r="P112" s="277">
        <v>0</v>
      </c>
      <c r="Q112" s="277">
        <v>0</v>
      </c>
      <c r="R112" s="277">
        <v>0</v>
      </c>
      <c r="S112" s="277">
        <v>0</v>
      </c>
      <c r="T112" s="277">
        <v>0</v>
      </c>
      <c r="U112" s="277">
        <v>0</v>
      </c>
      <c r="V112" s="277">
        <v>0</v>
      </c>
      <c r="W112" s="277">
        <v>0</v>
      </c>
      <c r="X112" s="277">
        <v>0</v>
      </c>
      <c r="Y112" s="277">
        <v>229700</v>
      </c>
      <c r="Z112" s="277">
        <v>583</v>
      </c>
      <c r="AA112" s="277">
        <v>0</v>
      </c>
      <c r="AB112" s="277">
        <v>0</v>
      </c>
      <c r="AC112" s="277">
        <v>209415</v>
      </c>
      <c r="AD112" s="277">
        <v>0</v>
      </c>
      <c r="AE112" s="277">
        <v>24344.46</v>
      </c>
      <c r="AF112" s="277">
        <v>-7303.34</v>
      </c>
      <c r="AG112" s="277">
        <v>0</v>
      </c>
      <c r="AH112" s="277">
        <v>158519.28</v>
      </c>
    </row>
    <row r="113" spans="1:34">
      <c r="A113" s="277" t="s">
        <v>387</v>
      </c>
      <c r="B113" s="277">
        <v>500</v>
      </c>
      <c r="C113" s="277">
        <v>134500</v>
      </c>
      <c r="D113" s="277">
        <v>269</v>
      </c>
      <c r="E113" s="277">
        <v>0</v>
      </c>
      <c r="F113" s="277">
        <v>91800</v>
      </c>
      <c r="G113" s="277">
        <v>306</v>
      </c>
      <c r="H113" s="277">
        <v>0</v>
      </c>
      <c r="I113" s="277">
        <v>0</v>
      </c>
      <c r="J113" s="277">
        <v>0</v>
      </c>
      <c r="K113" s="277">
        <v>0</v>
      </c>
      <c r="L113" s="277">
        <v>0</v>
      </c>
      <c r="M113" s="277">
        <v>0</v>
      </c>
      <c r="N113" s="277">
        <v>0</v>
      </c>
      <c r="O113" s="277">
        <v>-500</v>
      </c>
      <c r="P113" s="277">
        <v>1</v>
      </c>
      <c r="Q113" s="277">
        <v>0</v>
      </c>
      <c r="R113" s="277">
        <v>0</v>
      </c>
      <c r="S113" s="277">
        <v>0</v>
      </c>
      <c r="T113" s="277">
        <v>0</v>
      </c>
      <c r="U113" s="277">
        <v>0</v>
      </c>
      <c r="V113" s="277">
        <v>0</v>
      </c>
      <c r="W113" s="277">
        <v>0</v>
      </c>
      <c r="X113" s="277">
        <v>0</v>
      </c>
      <c r="Y113" s="277">
        <v>226300</v>
      </c>
      <c r="Z113" s="277">
        <v>575</v>
      </c>
      <c r="AA113" s="277">
        <v>-500</v>
      </c>
      <c r="AB113" s="277">
        <v>1</v>
      </c>
      <c r="AC113" s="277">
        <v>206995</v>
      </c>
      <c r="AD113" s="277">
        <v>-500</v>
      </c>
      <c r="AE113" s="277">
        <v>23165.61</v>
      </c>
      <c r="AF113" s="277">
        <v>-6949.69</v>
      </c>
      <c r="AG113" s="277">
        <v>0</v>
      </c>
      <c r="AH113" s="277">
        <v>155897.64000000001</v>
      </c>
    </row>
    <row r="114" spans="1:34">
      <c r="A114" s="277" t="s">
        <v>387</v>
      </c>
      <c r="B114" s="277">
        <v>500</v>
      </c>
      <c r="C114" s="277">
        <v>140000</v>
      </c>
      <c r="D114" s="277">
        <v>280</v>
      </c>
      <c r="E114" s="277">
        <v>0</v>
      </c>
      <c r="F114" s="277">
        <v>91800</v>
      </c>
      <c r="G114" s="277">
        <v>306</v>
      </c>
      <c r="H114" s="277">
        <v>0</v>
      </c>
      <c r="I114" s="277">
        <v>0</v>
      </c>
      <c r="J114" s="277">
        <v>0</v>
      </c>
      <c r="K114" s="277">
        <v>0</v>
      </c>
      <c r="L114" s="277">
        <v>0</v>
      </c>
      <c r="M114" s="277">
        <v>0</v>
      </c>
      <c r="N114" s="277">
        <v>0</v>
      </c>
      <c r="O114" s="277">
        <v>-1000</v>
      </c>
      <c r="P114" s="277">
        <v>2</v>
      </c>
      <c r="Q114" s="277">
        <v>0</v>
      </c>
      <c r="R114" s="277">
        <v>0</v>
      </c>
      <c r="S114" s="277">
        <v>0</v>
      </c>
      <c r="T114" s="277">
        <v>0</v>
      </c>
      <c r="U114" s="277">
        <v>0</v>
      </c>
      <c r="V114" s="277">
        <v>0</v>
      </c>
      <c r="W114" s="277">
        <v>0</v>
      </c>
      <c r="X114" s="277">
        <v>0</v>
      </c>
      <c r="Y114" s="277">
        <v>231800</v>
      </c>
      <c r="Z114" s="277">
        <v>586</v>
      </c>
      <c r="AA114" s="277">
        <v>-1000</v>
      </c>
      <c r="AB114" s="277">
        <v>2</v>
      </c>
      <c r="AC114" s="277">
        <v>213495</v>
      </c>
      <c r="AD114" s="277">
        <v>-1000</v>
      </c>
      <c r="AE114" s="277">
        <v>21965.61</v>
      </c>
      <c r="AF114" s="277">
        <v>-6589.69</v>
      </c>
      <c r="AG114" s="277">
        <v>0</v>
      </c>
      <c r="AH114" s="277">
        <v>159509.64000000001</v>
      </c>
    </row>
    <row r="115" spans="1:34">
      <c r="A115" s="277" t="s">
        <v>387</v>
      </c>
      <c r="B115" s="277">
        <v>500</v>
      </c>
      <c r="C115" s="277">
        <v>130000</v>
      </c>
      <c r="D115" s="277">
        <v>260</v>
      </c>
      <c r="E115" s="277">
        <v>0</v>
      </c>
      <c r="F115" s="277">
        <v>81600</v>
      </c>
      <c r="G115" s="277">
        <v>272</v>
      </c>
      <c r="H115" s="277">
        <v>0</v>
      </c>
      <c r="I115" s="277">
        <v>0</v>
      </c>
      <c r="J115" s="277">
        <v>0</v>
      </c>
      <c r="K115" s="277">
        <v>0</v>
      </c>
      <c r="L115" s="277">
        <v>0</v>
      </c>
      <c r="M115" s="277">
        <v>0</v>
      </c>
      <c r="N115" s="277">
        <v>0</v>
      </c>
      <c r="O115" s="277">
        <v>-500</v>
      </c>
      <c r="P115" s="277">
        <v>1</v>
      </c>
      <c r="Q115" s="277">
        <v>0</v>
      </c>
      <c r="R115" s="277">
        <v>0</v>
      </c>
      <c r="S115" s="277">
        <v>0</v>
      </c>
      <c r="T115" s="277">
        <v>0</v>
      </c>
      <c r="U115" s="277">
        <v>0</v>
      </c>
      <c r="V115" s="277">
        <v>0</v>
      </c>
      <c r="W115" s="277">
        <v>0</v>
      </c>
      <c r="X115" s="277">
        <v>0</v>
      </c>
      <c r="Y115" s="277">
        <v>211600</v>
      </c>
      <c r="Z115" s="277">
        <v>532</v>
      </c>
      <c r="AA115" s="277">
        <v>-500</v>
      </c>
      <c r="AB115" s="277">
        <v>1</v>
      </c>
      <c r="AC115" s="277">
        <v>194759</v>
      </c>
      <c r="AD115" s="277">
        <v>-500</v>
      </c>
      <c r="AE115" s="277">
        <v>20205.68</v>
      </c>
      <c r="AF115" s="277">
        <v>-6061.71</v>
      </c>
      <c r="AG115" s="277">
        <v>0</v>
      </c>
      <c r="AH115" s="277">
        <v>145882.07999999999</v>
      </c>
    </row>
    <row r="116" spans="1:34">
      <c r="A116" s="277" t="s">
        <v>387</v>
      </c>
      <c r="B116" s="277">
        <v>500</v>
      </c>
      <c r="C116" s="277">
        <v>130500</v>
      </c>
      <c r="D116" s="277">
        <v>261</v>
      </c>
      <c r="E116" s="277">
        <v>0</v>
      </c>
      <c r="F116" s="277">
        <v>80700</v>
      </c>
      <c r="G116" s="277">
        <v>269</v>
      </c>
      <c r="H116" s="277">
        <v>0</v>
      </c>
      <c r="I116" s="277">
        <v>0</v>
      </c>
      <c r="J116" s="277">
        <v>0</v>
      </c>
      <c r="K116" s="277">
        <v>0</v>
      </c>
      <c r="L116" s="277">
        <v>0</v>
      </c>
      <c r="M116" s="277">
        <v>0</v>
      </c>
      <c r="N116" s="277">
        <v>0</v>
      </c>
      <c r="O116" s="277">
        <v>-500</v>
      </c>
      <c r="P116" s="277">
        <v>1</v>
      </c>
      <c r="Q116" s="277">
        <v>0</v>
      </c>
      <c r="R116" s="277">
        <v>0</v>
      </c>
      <c r="S116" s="277">
        <v>0</v>
      </c>
      <c r="T116" s="277">
        <v>0</v>
      </c>
      <c r="U116" s="277">
        <v>0</v>
      </c>
      <c r="V116" s="277">
        <v>0</v>
      </c>
      <c r="W116" s="277">
        <v>0</v>
      </c>
      <c r="X116" s="277">
        <v>0</v>
      </c>
      <c r="Y116" s="277">
        <v>211200</v>
      </c>
      <c r="Z116" s="277">
        <v>530</v>
      </c>
      <c r="AA116" s="277">
        <v>-500</v>
      </c>
      <c r="AB116" s="277">
        <v>1</v>
      </c>
      <c r="AC116" s="277">
        <v>195059</v>
      </c>
      <c r="AD116" s="277">
        <v>-500</v>
      </c>
      <c r="AE116" s="277">
        <v>19370.43</v>
      </c>
      <c r="AF116" s="277">
        <v>-5811.13</v>
      </c>
      <c r="AG116" s="277">
        <v>0</v>
      </c>
      <c r="AH116" s="277">
        <v>145682.81</v>
      </c>
    </row>
    <row r="117" spans="1:34">
      <c r="A117" s="277" t="s">
        <v>387</v>
      </c>
      <c r="B117" s="277">
        <v>500</v>
      </c>
      <c r="C117" s="277">
        <v>151000</v>
      </c>
      <c r="D117" s="277">
        <v>302</v>
      </c>
      <c r="E117" s="277">
        <v>0</v>
      </c>
      <c r="F117" s="277">
        <v>114600</v>
      </c>
      <c r="G117" s="277">
        <v>382</v>
      </c>
      <c r="H117" s="277">
        <v>0</v>
      </c>
      <c r="I117" s="277">
        <v>0</v>
      </c>
      <c r="J117" s="277">
        <v>0</v>
      </c>
      <c r="K117" s="277">
        <v>0</v>
      </c>
      <c r="L117" s="277">
        <v>0</v>
      </c>
      <c r="M117" s="277">
        <v>0</v>
      </c>
      <c r="N117" s="277">
        <v>0</v>
      </c>
      <c r="O117" s="277">
        <v>-500</v>
      </c>
      <c r="P117" s="277">
        <v>1</v>
      </c>
      <c r="Q117" s="277">
        <v>0</v>
      </c>
      <c r="R117" s="277">
        <v>0</v>
      </c>
      <c r="S117" s="277">
        <v>0</v>
      </c>
      <c r="T117" s="277">
        <v>0</v>
      </c>
      <c r="U117" s="277">
        <v>0</v>
      </c>
      <c r="V117" s="277">
        <v>0</v>
      </c>
      <c r="W117" s="277">
        <v>0</v>
      </c>
      <c r="X117" s="277">
        <v>0</v>
      </c>
      <c r="Y117" s="277">
        <v>265600</v>
      </c>
      <c r="Z117" s="277">
        <v>684</v>
      </c>
      <c r="AA117" s="277">
        <v>-500</v>
      </c>
      <c r="AB117" s="277">
        <v>1</v>
      </c>
      <c r="AC117" s="277">
        <v>242345</v>
      </c>
      <c r="AD117" s="277">
        <v>-500</v>
      </c>
      <c r="AE117" s="277">
        <v>27910.12</v>
      </c>
      <c r="AF117" s="277">
        <v>-8373.0499999999993</v>
      </c>
      <c r="AG117" s="277">
        <v>0</v>
      </c>
      <c r="AH117" s="277">
        <v>182967.44</v>
      </c>
    </row>
    <row r="118" spans="1:34">
      <c r="A118" s="277" t="s">
        <v>387</v>
      </c>
      <c r="B118" s="277">
        <v>500</v>
      </c>
      <c r="C118" s="277">
        <v>142000</v>
      </c>
      <c r="D118" s="277">
        <v>284</v>
      </c>
      <c r="E118" s="277">
        <v>0</v>
      </c>
      <c r="F118" s="277">
        <v>102300</v>
      </c>
      <c r="G118" s="277">
        <v>341</v>
      </c>
      <c r="H118" s="277">
        <v>0</v>
      </c>
      <c r="I118" s="277">
        <v>0</v>
      </c>
      <c r="J118" s="277">
        <v>0</v>
      </c>
      <c r="K118" s="277">
        <v>0</v>
      </c>
      <c r="L118" s="277">
        <v>0</v>
      </c>
      <c r="M118" s="277">
        <v>0</v>
      </c>
      <c r="N118" s="277">
        <v>0</v>
      </c>
      <c r="O118" s="277">
        <v>-500</v>
      </c>
      <c r="P118" s="277">
        <v>1</v>
      </c>
      <c r="Q118" s="277">
        <v>0</v>
      </c>
      <c r="R118" s="277">
        <v>0</v>
      </c>
      <c r="S118" s="277">
        <v>0</v>
      </c>
      <c r="T118" s="277">
        <v>0</v>
      </c>
      <c r="U118" s="277">
        <v>0</v>
      </c>
      <c r="V118" s="277">
        <v>0</v>
      </c>
      <c r="W118" s="277">
        <v>0</v>
      </c>
      <c r="X118" s="277">
        <v>0</v>
      </c>
      <c r="Y118" s="277">
        <v>244300</v>
      </c>
      <c r="Z118" s="277">
        <v>625</v>
      </c>
      <c r="AA118" s="277">
        <v>-500</v>
      </c>
      <c r="AB118" s="277">
        <v>1</v>
      </c>
      <c r="AC118" s="277">
        <v>223785</v>
      </c>
      <c r="AD118" s="277">
        <v>-500</v>
      </c>
      <c r="AE118" s="277">
        <v>24620.07</v>
      </c>
      <c r="AF118" s="277">
        <v>-7386.03</v>
      </c>
      <c r="AG118" s="277">
        <v>0</v>
      </c>
      <c r="AH118" s="277">
        <v>168363.32</v>
      </c>
    </row>
    <row r="119" spans="1:34">
      <c r="A119" s="277" t="s">
        <v>387</v>
      </c>
      <c r="B119" s="277">
        <v>500</v>
      </c>
      <c r="C119" s="277">
        <v>25500</v>
      </c>
      <c r="D119" s="277">
        <v>51</v>
      </c>
      <c r="E119" s="277">
        <v>0</v>
      </c>
      <c r="F119" s="277">
        <v>0</v>
      </c>
      <c r="G119" s="277">
        <v>0</v>
      </c>
      <c r="H119" s="277">
        <v>3267</v>
      </c>
      <c r="I119" s="277">
        <v>0</v>
      </c>
      <c r="J119" s="277">
        <v>0</v>
      </c>
      <c r="K119" s="277">
        <v>0</v>
      </c>
      <c r="L119" s="277">
        <v>0</v>
      </c>
      <c r="M119" s="277">
        <v>0</v>
      </c>
      <c r="N119" s="277">
        <v>0</v>
      </c>
      <c r="O119" s="277">
        <v>-500</v>
      </c>
      <c r="P119" s="277">
        <v>1</v>
      </c>
      <c r="Q119" s="277">
        <v>0</v>
      </c>
      <c r="R119" s="277">
        <v>0</v>
      </c>
      <c r="S119" s="277">
        <v>0</v>
      </c>
      <c r="T119" s="277">
        <v>0</v>
      </c>
      <c r="U119" s="277">
        <v>0</v>
      </c>
      <c r="V119" s="277">
        <v>0</v>
      </c>
      <c r="W119" s="277">
        <v>0</v>
      </c>
      <c r="X119" s="277">
        <v>0</v>
      </c>
      <c r="Y119" s="277">
        <v>25500</v>
      </c>
      <c r="Z119" s="277">
        <v>3318</v>
      </c>
      <c r="AA119" s="277">
        <v>-500</v>
      </c>
      <c r="AB119" s="277">
        <v>1</v>
      </c>
      <c r="AC119" s="277">
        <v>24625</v>
      </c>
      <c r="AD119" s="277">
        <v>-500</v>
      </c>
      <c r="AE119" s="277">
        <v>1050</v>
      </c>
      <c r="AF119" s="277">
        <v>-315</v>
      </c>
      <c r="AG119" s="277">
        <v>0</v>
      </c>
      <c r="AH119" s="277">
        <v>17402</v>
      </c>
    </row>
    <row r="120" spans="1:34">
      <c r="A120" s="277" t="s">
        <v>387</v>
      </c>
      <c r="B120" s="277">
        <v>500</v>
      </c>
      <c r="C120" s="277">
        <v>140000</v>
      </c>
      <c r="D120" s="277">
        <v>280</v>
      </c>
      <c r="E120" s="277">
        <v>0</v>
      </c>
      <c r="F120" s="277">
        <v>89400</v>
      </c>
      <c r="G120" s="277">
        <v>298</v>
      </c>
      <c r="H120" s="277">
        <v>0</v>
      </c>
      <c r="I120" s="277">
        <v>0</v>
      </c>
      <c r="J120" s="277">
        <v>0</v>
      </c>
      <c r="K120" s="277">
        <v>0</v>
      </c>
      <c r="L120" s="277">
        <v>0</v>
      </c>
      <c r="M120" s="277">
        <v>0</v>
      </c>
      <c r="N120" s="277">
        <v>0</v>
      </c>
      <c r="O120" s="277">
        <v>-1500</v>
      </c>
      <c r="P120" s="277">
        <v>3</v>
      </c>
      <c r="Q120" s="277">
        <v>0</v>
      </c>
      <c r="R120" s="277">
        <v>0</v>
      </c>
      <c r="S120" s="277">
        <v>0</v>
      </c>
      <c r="T120" s="277">
        <v>0</v>
      </c>
      <c r="U120" s="277">
        <v>0</v>
      </c>
      <c r="V120" s="277">
        <v>0</v>
      </c>
      <c r="W120" s="277">
        <v>0</v>
      </c>
      <c r="X120" s="277">
        <v>0</v>
      </c>
      <c r="Y120" s="277">
        <v>229400</v>
      </c>
      <c r="Z120" s="277">
        <v>578</v>
      </c>
      <c r="AA120" s="277">
        <v>-1500</v>
      </c>
      <c r="AB120" s="277">
        <v>3</v>
      </c>
      <c r="AC120" s="277">
        <v>212459</v>
      </c>
      <c r="AD120" s="277">
        <v>-1500</v>
      </c>
      <c r="AE120" s="277">
        <v>20330.43</v>
      </c>
      <c r="AF120" s="277">
        <v>-6099.13</v>
      </c>
      <c r="AG120" s="277">
        <v>0</v>
      </c>
      <c r="AH120" s="277">
        <v>157633.21</v>
      </c>
    </row>
    <row r="121" spans="1:34">
      <c r="A121" s="277" t="s">
        <v>387</v>
      </c>
      <c r="B121" s="277">
        <v>500</v>
      </c>
      <c r="C121" s="277">
        <v>152500</v>
      </c>
      <c r="D121" s="277">
        <v>305</v>
      </c>
      <c r="E121" s="277">
        <v>0</v>
      </c>
      <c r="F121" s="277">
        <v>101400</v>
      </c>
      <c r="G121" s="277">
        <v>338</v>
      </c>
      <c r="H121" s="277">
        <v>0</v>
      </c>
      <c r="I121" s="277">
        <v>0</v>
      </c>
      <c r="J121" s="277">
        <v>0</v>
      </c>
      <c r="K121" s="277">
        <v>0</v>
      </c>
      <c r="L121" s="277">
        <v>0</v>
      </c>
      <c r="M121" s="277">
        <v>0</v>
      </c>
      <c r="N121" s="277">
        <v>0</v>
      </c>
      <c r="O121" s="277">
        <v>-1500</v>
      </c>
      <c r="P121" s="277">
        <v>3</v>
      </c>
      <c r="Q121" s="277">
        <v>0</v>
      </c>
      <c r="R121" s="277">
        <v>0</v>
      </c>
      <c r="S121" s="277">
        <v>0</v>
      </c>
      <c r="T121" s="277">
        <v>0</v>
      </c>
      <c r="U121" s="277">
        <v>0</v>
      </c>
      <c r="V121" s="277">
        <v>0</v>
      </c>
      <c r="W121" s="277">
        <v>0</v>
      </c>
      <c r="X121" s="277">
        <v>0</v>
      </c>
      <c r="Y121" s="277">
        <v>253900</v>
      </c>
      <c r="Z121" s="277">
        <v>643</v>
      </c>
      <c r="AA121" s="277">
        <v>-1500</v>
      </c>
      <c r="AB121" s="277">
        <v>3</v>
      </c>
      <c r="AC121" s="277">
        <v>235668</v>
      </c>
      <c r="AD121" s="277">
        <v>-1500</v>
      </c>
      <c r="AE121" s="277">
        <v>21879.63</v>
      </c>
      <c r="AF121" s="277">
        <v>-6563.89</v>
      </c>
      <c r="AG121" s="277">
        <v>0</v>
      </c>
      <c r="AH121" s="277">
        <v>174638.62</v>
      </c>
    </row>
    <row r="122" spans="1:34">
      <c r="A122" s="277" t="s">
        <v>387</v>
      </c>
      <c r="B122" s="277">
        <v>500</v>
      </c>
      <c r="C122" s="277">
        <v>171500</v>
      </c>
      <c r="D122" s="277">
        <v>343</v>
      </c>
      <c r="E122" s="277">
        <v>0</v>
      </c>
      <c r="F122" s="277">
        <v>100800</v>
      </c>
      <c r="G122" s="277">
        <v>336</v>
      </c>
      <c r="H122" s="277">
        <v>0</v>
      </c>
      <c r="I122" s="277">
        <v>0</v>
      </c>
      <c r="J122" s="277">
        <v>0</v>
      </c>
      <c r="K122" s="277">
        <v>0</v>
      </c>
      <c r="L122" s="277">
        <v>0</v>
      </c>
      <c r="M122" s="277">
        <v>0</v>
      </c>
      <c r="N122" s="277">
        <v>0</v>
      </c>
      <c r="O122" s="277">
        <v>-1500</v>
      </c>
      <c r="P122" s="277">
        <v>3</v>
      </c>
      <c r="Q122" s="277">
        <v>0</v>
      </c>
      <c r="R122" s="277">
        <v>0</v>
      </c>
      <c r="S122" s="277">
        <v>0</v>
      </c>
      <c r="T122" s="277">
        <v>0</v>
      </c>
      <c r="U122" s="277">
        <v>0</v>
      </c>
      <c r="V122" s="277">
        <v>0</v>
      </c>
      <c r="W122" s="277">
        <v>0</v>
      </c>
      <c r="X122" s="277">
        <v>0</v>
      </c>
      <c r="Y122" s="277">
        <v>272300</v>
      </c>
      <c r="Z122" s="277">
        <v>679</v>
      </c>
      <c r="AA122" s="277">
        <v>-1500</v>
      </c>
      <c r="AB122" s="277">
        <v>3</v>
      </c>
      <c r="AC122" s="277">
        <v>253215</v>
      </c>
      <c r="AD122" s="277">
        <v>-1500</v>
      </c>
      <c r="AE122" s="277">
        <v>22900.38</v>
      </c>
      <c r="AF122" s="277">
        <v>-6870.12</v>
      </c>
      <c r="AG122" s="277">
        <v>0</v>
      </c>
      <c r="AH122" s="277">
        <v>187421.69</v>
      </c>
    </row>
    <row r="123" spans="1:34">
      <c r="A123" s="277" t="s">
        <v>387</v>
      </c>
      <c r="B123" s="277">
        <v>500</v>
      </c>
      <c r="C123" s="277">
        <v>216500</v>
      </c>
      <c r="D123" s="277">
        <v>433</v>
      </c>
      <c r="E123" s="277">
        <v>0</v>
      </c>
      <c r="F123" s="277">
        <v>118200</v>
      </c>
      <c r="G123" s="277">
        <v>394</v>
      </c>
      <c r="H123" s="277">
        <v>0</v>
      </c>
      <c r="I123" s="277">
        <v>0</v>
      </c>
      <c r="J123" s="277">
        <v>0</v>
      </c>
      <c r="K123" s="277">
        <v>0</v>
      </c>
      <c r="L123" s="277">
        <v>0</v>
      </c>
      <c r="M123" s="277">
        <v>0</v>
      </c>
      <c r="N123" s="277">
        <v>0</v>
      </c>
      <c r="O123" s="277">
        <v>-1000</v>
      </c>
      <c r="P123" s="277">
        <v>2</v>
      </c>
      <c r="Q123" s="277">
        <v>0</v>
      </c>
      <c r="R123" s="277">
        <v>0</v>
      </c>
      <c r="S123" s="277">
        <v>0</v>
      </c>
      <c r="T123" s="277">
        <v>0</v>
      </c>
      <c r="U123" s="277">
        <v>0</v>
      </c>
      <c r="V123" s="277">
        <v>0</v>
      </c>
      <c r="W123" s="277">
        <v>0</v>
      </c>
      <c r="X123" s="277">
        <v>0</v>
      </c>
      <c r="Y123" s="277">
        <v>334700</v>
      </c>
      <c r="Z123" s="277">
        <v>827</v>
      </c>
      <c r="AA123" s="277">
        <v>-1000</v>
      </c>
      <c r="AB123" s="277">
        <v>2</v>
      </c>
      <c r="AC123" s="277">
        <v>313986</v>
      </c>
      <c r="AD123" s="277">
        <v>-1000</v>
      </c>
      <c r="AE123" s="277">
        <v>24859.26</v>
      </c>
      <c r="AF123" s="277">
        <v>-7457.78</v>
      </c>
      <c r="AG123" s="277">
        <v>0</v>
      </c>
      <c r="AH123" s="277">
        <v>231271.24</v>
      </c>
    </row>
    <row r="124" spans="1:34">
      <c r="A124" s="277" t="s">
        <v>387</v>
      </c>
      <c r="B124" s="277">
        <v>500</v>
      </c>
      <c r="C124" s="277">
        <v>348000</v>
      </c>
      <c r="D124" s="277">
        <v>696</v>
      </c>
      <c r="E124" s="277">
        <v>0</v>
      </c>
      <c r="F124" s="277">
        <v>179400</v>
      </c>
      <c r="G124" s="277">
        <v>598</v>
      </c>
      <c r="H124" s="277">
        <v>0</v>
      </c>
      <c r="I124" s="277">
        <v>0</v>
      </c>
      <c r="J124" s="277">
        <v>0</v>
      </c>
      <c r="K124" s="277">
        <v>0</v>
      </c>
      <c r="L124" s="277">
        <v>0</v>
      </c>
      <c r="M124" s="277">
        <v>0</v>
      </c>
      <c r="N124" s="277">
        <v>0</v>
      </c>
      <c r="O124" s="277">
        <v>-1500</v>
      </c>
      <c r="P124" s="277">
        <v>3</v>
      </c>
      <c r="Q124" s="277">
        <v>0</v>
      </c>
      <c r="R124" s="277">
        <v>0</v>
      </c>
      <c r="S124" s="277">
        <v>0</v>
      </c>
      <c r="T124" s="277">
        <v>0</v>
      </c>
      <c r="U124" s="277">
        <v>0</v>
      </c>
      <c r="V124" s="277">
        <v>0</v>
      </c>
      <c r="W124" s="277">
        <v>0</v>
      </c>
      <c r="X124" s="277">
        <v>0</v>
      </c>
      <c r="Y124" s="277">
        <v>527400</v>
      </c>
      <c r="Z124" s="277">
        <v>1294</v>
      </c>
      <c r="AA124" s="277">
        <v>-1500</v>
      </c>
      <c r="AB124" s="277">
        <v>3</v>
      </c>
      <c r="AC124" s="277">
        <v>500637</v>
      </c>
      <c r="AD124" s="277">
        <v>-1500</v>
      </c>
      <c r="AE124" s="277">
        <v>32117.439999999999</v>
      </c>
      <c r="AF124" s="277">
        <v>-9635.24</v>
      </c>
      <c r="AG124" s="277">
        <v>0</v>
      </c>
      <c r="AH124" s="277">
        <v>365133.44</v>
      </c>
    </row>
    <row r="125" spans="1:34">
      <c r="A125" s="278" t="s">
        <v>387</v>
      </c>
      <c r="B125" s="278">
        <v>500</v>
      </c>
      <c r="C125" s="278">
        <v>1277000</v>
      </c>
      <c r="D125" s="278">
        <v>2554</v>
      </c>
      <c r="E125" s="278">
        <v>0</v>
      </c>
      <c r="F125" s="278">
        <v>587400</v>
      </c>
      <c r="G125" s="278">
        <v>1958</v>
      </c>
      <c r="H125" s="278">
        <v>0</v>
      </c>
      <c r="I125" s="278">
        <v>0</v>
      </c>
      <c r="J125" s="278">
        <v>0</v>
      </c>
      <c r="K125" s="278">
        <v>0</v>
      </c>
      <c r="L125" s="278">
        <v>0</v>
      </c>
      <c r="M125" s="278">
        <v>0</v>
      </c>
      <c r="N125" s="278">
        <v>0</v>
      </c>
      <c r="O125" s="278">
        <v>-2500</v>
      </c>
      <c r="P125" s="278">
        <v>5</v>
      </c>
      <c r="Q125" s="278">
        <v>-900</v>
      </c>
      <c r="R125" s="278">
        <v>3</v>
      </c>
      <c r="S125" s="278">
        <v>0</v>
      </c>
      <c r="T125" s="278">
        <v>0</v>
      </c>
      <c r="U125" s="278">
        <v>0</v>
      </c>
      <c r="V125" s="278">
        <v>0</v>
      </c>
      <c r="W125" s="278">
        <v>0</v>
      </c>
      <c r="X125" s="278">
        <v>0</v>
      </c>
      <c r="Y125" s="278">
        <v>1864400</v>
      </c>
      <c r="Z125" s="278">
        <v>4512</v>
      </c>
      <c r="AA125" s="278">
        <v>-3400</v>
      </c>
      <c r="AB125" s="278">
        <v>8</v>
      </c>
      <c r="AC125" s="278">
        <v>1767177</v>
      </c>
      <c r="AD125" s="278">
        <v>-3400</v>
      </c>
      <c r="AE125" s="278">
        <v>116672.1</v>
      </c>
      <c r="AF125" s="278">
        <v>-35001.660000000003</v>
      </c>
      <c r="AG125" s="278">
        <v>0</v>
      </c>
      <c r="AH125" s="278">
        <v>1291813.21</v>
      </c>
    </row>
    <row r="126" spans="1:34">
      <c r="A126" s="278" t="s">
        <v>387</v>
      </c>
      <c r="B126" s="278">
        <v>500</v>
      </c>
      <c r="C126" s="278">
        <v>1147500</v>
      </c>
      <c r="D126" s="278">
        <v>2295</v>
      </c>
      <c r="E126" s="278">
        <v>0</v>
      </c>
      <c r="F126" s="278">
        <v>495300</v>
      </c>
      <c r="G126" s="278">
        <v>1651</v>
      </c>
      <c r="H126" s="278">
        <v>0</v>
      </c>
      <c r="I126" s="278">
        <v>0</v>
      </c>
      <c r="J126" s="278">
        <v>0</v>
      </c>
      <c r="K126" s="278">
        <v>0</v>
      </c>
      <c r="L126" s="278">
        <v>0</v>
      </c>
      <c r="M126" s="278">
        <v>0</v>
      </c>
      <c r="N126" s="278">
        <v>0</v>
      </c>
      <c r="O126" s="278">
        <v>-2000</v>
      </c>
      <c r="P126" s="278">
        <v>4</v>
      </c>
      <c r="Q126" s="278">
        <v>-600</v>
      </c>
      <c r="R126" s="278">
        <v>2</v>
      </c>
      <c r="S126" s="278">
        <v>0</v>
      </c>
      <c r="T126" s="278">
        <v>0</v>
      </c>
      <c r="U126" s="278">
        <v>0</v>
      </c>
      <c r="V126" s="278">
        <v>0</v>
      </c>
      <c r="W126" s="278">
        <v>0</v>
      </c>
      <c r="X126" s="278">
        <v>0</v>
      </c>
      <c r="Y126" s="278">
        <v>1642800</v>
      </c>
      <c r="Z126" s="278">
        <v>3946</v>
      </c>
      <c r="AA126" s="278">
        <v>-2600</v>
      </c>
      <c r="AB126" s="278">
        <v>6</v>
      </c>
      <c r="AC126" s="278">
        <v>1559289</v>
      </c>
      <c r="AD126" s="278">
        <v>-2600</v>
      </c>
      <c r="AE126" s="278">
        <v>100212.46</v>
      </c>
      <c r="AF126" s="278">
        <v>-30063.79</v>
      </c>
      <c r="AG126" s="278">
        <v>0</v>
      </c>
      <c r="AH126" s="278">
        <v>1138786.3500000001</v>
      </c>
    </row>
    <row r="127" spans="1:34">
      <c r="A127" s="278" t="s">
        <v>387</v>
      </c>
      <c r="B127" s="278">
        <v>500</v>
      </c>
      <c r="C127" s="278">
        <v>926500</v>
      </c>
      <c r="D127" s="278">
        <v>1853</v>
      </c>
      <c r="E127" s="278">
        <v>0</v>
      </c>
      <c r="F127" s="278">
        <v>403500</v>
      </c>
      <c r="G127" s="278">
        <v>1345</v>
      </c>
      <c r="H127" s="278">
        <v>0</v>
      </c>
      <c r="I127" s="278">
        <v>0</v>
      </c>
      <c r="J127" s="278">
        <v>0</v>
      </c>
      <c r="K127" s="278">
        <v>0</v>
      </c>
      <c r="L127" s="278">
        <v>0</v>
      </c>
      <c r="M127" s="278">
        <v>0</v>
      </c>
      <c r="N127" s="278">
        <v>0</v>
      </c>
      <c r="O127" s="278">
        <v>-1500</v>
      </c>
      <c r="P127" s="278">
        <v>3</v>
      </c>
      <c r="Q127" s="278">
        <v>0</v>
      </c>
      <c r="R127" s="278">
        <v>0</v>
      </c>
      <c r="S127" s="278">
        <v>0</v>
      </c>
      <c r="T127" s="278">
        <v>0</v>
      </c>
      <c r="U127" s="278">
        <v>0</v>
      </c>
      <c r="V127" s="278">
        <v>0</v>
      </c>
      <c r="W127" s="278">
        <v>0</v>
      </c>
      <c r="X127" s="278">
        <v>0</v>
      </c>
      <c r="Y127" s="278">
        <v>1330000</v>
      </c>
      <c r="Z127" s="278">
        <v>3198</v>
      </c>
      <c r="AA127" s="278">
        <v>-1500</v>
      </c>
      <c r="AB127" s="278">
        <v>3</v>
      </c>
      <c r="AC127" s="278">
        <v>1256705</v>
      </c>
      <c r="AD127" s="278">
        <v>-1500</v>
      </c>
      <c r="AE127" s="278">
        <v>87954.18</v>
      </c>
      <c r="AF127" s="278">
        <v>-26386.33</v>
      </c>
      <c r="AG127" s="278">
        <v>0</v>
      </c>
      <c r="AH127" s="278">
        <v>921740.98</v>
      </c>
    </row>
    <row r="128" spans="1:34">
      <c r="A128" s="278" t="s">
        <v>387</v>
      </c>
      <c r="B128" s="278">
        <v>500</v>
      </c>
      <c r="C128" s="278">
        <v>48000</v>
      </c>
      <c r="D128" s="278">
        <v>96</v>
      </c>
      <c r="E128" s="278">
        <v>0</v>
      </c>
      <c r="F128" s="278">
        <v>12300</v>
      </c>
      <c r="G128" s="278">
        <v>41</v>
      </c>
      <c r="H128" s="278">
        <v>844</v>
      </c>
      <c r="I128" s="278">
        <v>0</v>
      </c>
      <c r="J128" s="278">
        <v>0</v>
      </c>
      <c r="K128" s="278">
        <v>0</v>
      </c>
      <c r="L128" s="278">
        <v>0</v>
      </c>
      <c r="M128" s="278">
        <v>0</v>
      </c>
      <c r="N128" s="278">
        <v>0</v>
      </c>
      <c r="O128" s="278">
        <v>0</v>
      </c>
      <c r="P128" s="278">
        <v>0</v>
      </c>
      <c r="Q128" s="278">
        <v>0</v>
      </c>
      <c r="R128" s="278">
        <v>0</v>
      </c>
      <c r="S128" s="278">
        <v>0</v>
      </c>
      <c r="T128" s="278">
        <v>0</v>
      </c>
      <c r="U128" s="278">
        <v>0</v>
      </c>
      <c r="V128" s="278">
        <v>0</v>
      </c>
      <c r="W128" s="278">
        <v>0</v>
      </c>
      <c r="X128" s="278">
        <v>0</v>
      </c>
      <c r="Y128" s="278">
        <v>60300</v>
      </c>
      <c r="Z128" s="278">
        <v>981</v>
      </c>
      <c r="AA128" s="278">
        <v>0</v>
      </c>
      <c r="AB128" s="278">
        <v>0</v>
      </c>
      <c r="AC128" s="278">
        <v>57725</v>
      </c>
      <c r="AD128" s="278">
        <v>0</v>
      </c>
      <c r="AE128" s="278">
        <v>3090</v>
      </c>
      <c r="AF128" s="278">
        <v>-927</v>
      </c>
      <c r="AG128" s="278">
        <v>0</v>
      </c>
      <c r="AH128" s="278">
        <v>41921.599999999999</v>
      </c>
    </row>
    <row r="129" spans="1:34">
      <c r="A129" s="278" t="s">
        <v>387</v>
      </c>
      <c r="B129" s="278">
        <v>500</v>
      </c>
      <c r="C129" s="278">
        <v>87000</v>
      </c>
      <c r="D129" s="278">
        <v>174</v>
      </c>
      <c r="E129" s="278">
        <v>0</v>
      </c>
      <c r="F129" s="278">
        <v>74400</v>
      </c>
      <c r="G129" s="278">
        <v>248</v>
      </c>
      <c r="H129" s="278">
        <v>1195</v>
      </c>
      <c r="I129" s="278">
        <v>0</v>
      </c>
      <c r="J129" s="278">
        <v>0</v>
      </c>
      <c r="K129" s="278">
        <v>0</v>
      </c>
      <c r="L129" s="278">
        <v>0</v>
      </c>
      <c r="M129" s="278">
        <v>0</v>
      </c>
      <c r="N129" s="278">
        <v>0</v>
      </c>
      <c r="O129" s="278">
        <v>0</v>
      </c>
      <c r="P129" s="278">
        <v>0</v>
      </c>
      <c r="Q129" s="278">
        <v>0</v>
      </c>
      <c r="R129" s="278">
        <v>0</v>
      </c>
      <c r="S129" s="278">
        <v>0</v>
      </c>
      <c r="T129" s="278">
        <v>0</v>
      </c>
      <c r="U129" s="278">
        <v>0</v>
      </c>
      <c r="V129" s="278">
        <v>0</v>
      </c>
      <c r="W129" s="278">
        <v>0</v>
      </c>
      <c r="X129" s="278">
        <v>0</v>
      </c>
      <c r="Y129" s="278">
        <v>161400</v>
      </c>
      <c r="Z129" s="278">
        <v>1617</v>
      </c>
      <c r="AA129" s="278">
        <v>0</v>
      </c>
      <c r="AB129" s="278">
        <v>0</v>
      </c>
      <c r="AC129" s="278">
        <v>147275</v>
      </c>
      <c r="AD129" s="278">
        <v>0</v>
      </c>
      <c r="AE129" s="278">
        <v>16949.61</v>
      </c>
      <c r="AF129" s="278">
        <v>-5084.8900000000003</v>
      </c>
      <c r="AG129" s="278">
        <v>0</v>
      </c>
      <c r="AH129" s="278">
        <v>111397.8</v>
      </c>
    </row>
    <row r="130" spans="1:34">
      <c r="A130" s="278" t="s">
        <v>387</v>
      </c>
      <c r="B130" s="278">
        <v>500</v>
      </c>
      <c r="C130" s="278">
        <v>98000</v>
      </c>
      <c r="D130" s="278">
        <v>196</v>
      </c>
      <c r="E130" s="278">
        <v>0</v>
      </c>
      <c r="F130" s="278">
        <v>79800</v>
      </c>
      <c r="G130" s="278">
        <v>266</v>
      </c>
      <c r="H130" s="278">
        <v>0</v>
      </c>
      <c r="I130" s="278">
        <v>0</v>
      </c>
      <c r="J130" s="278">
        <v>0</v>
      </c>
      <c r="K130" s="278">
        <v>0</v>
      </c>
      <c r="L130" s="278">
        <v>0</v>
      </c>
      <c r="M130" s="278">
        <v>0</v>
      </c>
      <c r="N130" s="278">
        <v>0</v>
      </c>
      <c r="O130" s="278">
        <v>0</v>
      </c>
      <c r="P130" s="278">
        <v>0</v>
      </c>
      <c r="Q130" s="278">
        <v>0</v>
      </c>
      <c r="R130" s="278">
        <v>0</v>
      </c>
      <c r="S130" s="278">
        <v>0</v>
      </c>
      <c r="T130" s="278">
        <v>0</v>
      </c>
      <c r="U130" s="278">
        <v>0</v>
      </c>
      <c r="V130" s="278">
        <v>0</v>
      </c>
      <c r="W130" s="278">
        <v>0</v>
      </c>
      <c r="X130" s="278">
        <v>0</v>
      </c>
      <c r="Y130" s="278">
        <v>177800</v>
      </c>
      <c r="Z130" s="278">
        <v>462</v>
      </c>
      <c r="AA130" s="278">
        <v>0</v>
      </c>
      <c r="AB130" s="278">
        <v>0</v>
      </c>
      <c r="AC130" s="278">
        <v>162915</v>
      </c>
      <c r="AD130" s="278">
        <v>0</v>
      </c>
      <c r="AE130" s="278">
        <v>17858.759999999998</v>
      </c>
      <c r="AF130" s="278">
        <v>-5357.64</v>
      </c>
      <c r="AG130" s="278">
        <v>0</v>
      </c>
      <c r="AH130" s="278">
        <v>122791.28</v>
      </c>
    </row>
    <row r="131" spans="1:34">
      <c r="A131" s="278" t="s">
        <v>387</v>
      </c>
      <c r="B131" s="278">
        <v>500</v>
      </c>
      <c r="C131" s="278">
        <v>123500</v>
      </c>
      <c r="D131" s="278">
        <v>247</v>
      </c>
      <c r="E131" s="278">
        <v>0</v>
      </c>
      <c r="F131" s="278">
        <v>120000</v>
      </c>
      <c r="G131" s="278">
        <v>400</v>
      </c>
      <c r="H131" s="278">
        <v>0</v>
      </c>
      <c r="I131" s="278">
        <v>0</v>
      </c>
      <c r="J131" s="278">
        <v>0</v>
      </c>
      <c r="K131" s="278">
        <v>0</v>
      </c>
      <c r="L131" s="278">
        <v>0</v>
      </c>
      <c r="M131" s="278">
        <v>0</v>
      </c>
      <c r="N131" s="278">
        <v>0</v>
      </c>
      <c r="O131" s="278">
        <v>-500</v>
      </c>
      <c r="P131" s="278">
        <v>1</v>
      </c>
      <c r="Q131" s="278">
        <v>0</v>
      </c>
      <c r="R131" s="278">
        <v>0</v>
      </c>
      <c r="S131" s="278">
        <v>0</v>
      </c>
      <c r="T131" s="278">
        <v>0</v>
      </c>
      <c r="U131" s="278">
        <v>0</v>
      </c>
      <c r="V131" s="278">
        <v>0</v>
      </c>
      <c r="W131" s="278">
        <v>0</v>
      </c>
      <c r="X131" s="278">
        <v>0</v>
      </c>
      <c r="Y131" s="278">
        <v>243500</v>
      </c>
      <c r="Z131" s="278">
        <v>647</v>
      </c>
      <c r="AA131" s="278">
        <v>-500</v>
      </c>
      <c r="AB131" s="278">
        <v>1</v>
      </c>
      <c r="AC131" s="278">
        <v>218476</v>
      </c>
      <c r="AD131" s="278">
        <v>-500</v>
      </c>
      <c r="AE131" s="278">
        <v>30029.82</v>
      </c>
      <c r="AF131" s="278">
        <v>-9008.9599999999991</v>
      </c>
      <c r="AG131" s="278">
        <v>0</v>
      </c>
      <c r="AH131" s="278">
        <v>167297.79</v>
      </c>
    </row>
    <row r="132" spans="1:34">
      <c r="A132" s="278" t="s">
        <v>387</v>
      </c>
      <c r="B132" s="278">
        <v>500</v>
      </c>
      <c r="C132" s="278">
        <v>117000</v>
      </c>
      <c r="D132" s="278">
        <v>234</v>
      </c>
      <c r="E132" s="278">
        <v>0</v>
      </c>
      <c r="F132" s="278">
        <v>100500</v>
      </c>
      <c r="G132" s="278">
        <v>335</v>
      </c>
      <c r="H132" s="278">
        <v>0</v>
      </c>
      <c r="I132" s="278">
        <v>0</v>
      </c>
      <c r="J132" s="278">
        <v>0</v>
      </c>
      <c r="K132" s="278">
        <v>0</v>
      </c>
      <c r="L132" s="278">
        <v>0</v>
      </c>
      <c r="M132" s="278">
        <v>0</v>
      </c>
      <c r="N132" s="278">
        <v>0</v>
      </c>
      <c r="O132" s="278">
        <v>0</v>
      </c>
      <c r="P132" s="278">
        <v>0</v>
      </c>
      <c r="Q132" s="278">
        <v>0</v>
      </c>
      <c r="R132" s="278">
        <v>0</v>
      </c>
      <c r="S132" s="278">
        <v>0</v>
      </c>
      <c r="T132" s="278">
        <v>0</v>
      </c>
      <c r="U132" s="278">
        <v>0</v>
      </c>
      <c r="V132" s="278">
        <v>0</v>
      </c>
      <c r="W132" s="278">
        <v>0</v>
      </c>
      <c r="X132" s="278">
        <v>0</v>
      </c>
      <c r="Y132" s="278">
        <v>217500</v>
      </c>
      <c r="Z132" s="278">
        <v>569</v>
      </c>
      <c r="AA132" s="278">
        <v>0</v>
      </c>
      <c r="AB132" s="278">
        <v>0</v>
      </c>
      <c r="AC132" s="278">
        <v>197636</v>
      </c>
      <c r="AD132" s="278">
        <v>0</v>
      </c>
      <c r="AE132" s="278">
        <v>23839.69</v>
      </c>
      <c r="AF132" s="278">
        <v>-7151.92</v>
      </c>
      <c r="AG132" s="278">
        <v>0</v>
      </c>
      <c r="AH132" s="278">
        <v>150026.63</v>
      </c>
    </row>
    <row r="133" spans="1:34">
      <c r="A133" s="278" t="s">
        <v>387</v>
      </c>
      <c r="B133" s="278">
        <v>500</v>
      </c>
      <c r="C133" s="278">
        <v>118000</v>
      </c>
      <c r="D133" s="278">
        <v>236</v>
      </c>
      <c r="E133" s="278">
        <v>0</v>
      </c>
      <c r="F133" s="278">
        <v>104400</v>
      </c>
      <c r="G133" s="278">
        <v>348</v>
      </c>
      <c r="H133" s="278">
        <v>0</v>
      </c>
      <c r="I133" s="278">
        <v>0</v>
      </c>
      <c r="J133" s="278">
        <v>0</v>
      </c>
      <c r="K133" s="278">
        <v>0</v>
      </c>
      <c r="L133" s="278">
        <v>0</v>
      </c>
      <c r="M133" s="278">
        <v>0</v>
      </c>
      <c r="N133" s="278">
        <v>0</v>
      </c>
      <c r="O133" s="278">
        <v>0</v>
      </c>
      <c r="P133" s="278">
        <v>0</v>
      </c>
      <c r="Q133" s="278">
        <v>0</v>
      </c>
      <c r="R133" s="278">
        <v>0</v>
      </c>
      <c r="S133" s="278">
        <v>0</v>
      </c>
      <c r="T133" s="278">
        <v>0</v>
      </c>
      <c r="U133" s="278">
        <v>0</v>
      </c>
      <c r="V133" s="278">
        <v>0</v>
      </c>
      <c r="W133" s="278">
        <v>0</v>
      </c>
      <c r="X133" s="278">
        <v>0</v>
      </c>
      <c r="Y133" s="278">
        <v>222400</v>
      </c>
      <c r="Z133" s="278">
        <v>584</v>
      </c>
      <c r="AA133" s="278">
        <v>0</v>
      </c>
      <c r="AB133" s="278">
        <v>0</v>
      </c>
      <c r="AC133" s="278">
        <v>200581</v>
      </c>
      <c r="AD133" s="278">
        <v>0</v>
      </c>
      <c r="AE133" s="278">
        <v>26181.74</v>
      </c>
      <c r="AF133" s="278">
        <v>-7854.53</v>
      </c>
      <c r="AG133" s="278">
        <v>0</v>
      </c>
      <c r="AH133" s="278">
        <v>153235.74</v>
      </c>
    </row>
    <row r="134" spans="1:34">
      <c r="A134" s="278" t="s">
        <v>387</v>
      </c>
      <c r="B134" s="278">
        <v>500</v>
      </c>
      <c r="C134" s="278">
        <v>119500</v>
      </c>
      <c r="D134" s="278">
        <v>239</v>
      </c>
      <c r="E134" s="278">
        <v>0</v>
      </c>
      <c r="F134" s="278">
        <v>112500</v>
      </c>
      <c r="G134" s="278">
        <v>375</v>
      </c>
      <c r="H134" s="278">
        <v>0</v>
      </c>
      <c r="I134" s="278">
        <v>0</v>
      </c>
      <c r="J134" s="278">
        <v>0</v>
      </c>
      <c r="K134" s="278">
        <v>0</v>
      </c>
      <c r="L134" s="278">
        <v>0</v>
      </c>
      <c r="M134" s="278">
        <v>0</v>
      </c>
      <c r="N134" s="278">
        <v>0</v>
      </c>
      <c r="O134" s="278">
        <v>-500</v>
      </c>
      <c r="P134" s="278">
        <v>1</v>
      </c>
      <c r="Q134" s="278">
        <v>0</v>
      </c>
      <c r="R134" s="278">
        <v>0</v>
      </c>
      <c r="S134" s="278">
        <v>0</v>
      </c>
      <c r="T134" s="278">
        <v>0</v>
      </c>
      <c r="U134" s="278">
        <v>0</v>
      </c>
      <c r="V134" s="278">
        <v>0</v>
      </c>
      <c r="W134" s="278">
        <v>0</v>
      </c>
      <c r="X134" s="278">
        <v>0</v>
      </c>
      <c r="Y134" s="278">
        <v>232000</v>
      </c>
      <c r="Z134" s="278">
        <v>614</v>
      </c>
      <c r="AA134" s="278">
        <v>-500</v>
      </c>
      <c r="AB134" s="278">
        <v>1</v>
      </c>
      <c r="AC134" s="278">
        <v>208781</v>
      </c>
      <c r="AD134" s="278">
        <v>-500</v>
      </c>
      <c r="AE134" s="278">
        <v>27858.89</v>
      </c>
      <c r="AF134" s="278">
        <v>-8357.68</v>
      </c>
      <c r="AG134" s="278">
        <v>0</v>
      </c>
      <c r="AH134" s="278">
        <v>159447.54</v>
      </c>
    </row>
    <row r="135" spans="1:34">
      <c r="A135" s="278" t="s">
        <v>491</v>
      </c>
      <c r="B135" s="278">
        <v>400</v>
      </c>
      <c r="C135" s="278">
        <v>69600</v>
      </c>
      <c r="D135" s="278">
        <v>174</v>
      </c>
      <c r="E135" s="278">
        <v>0</v>
      </c>
      <c r="F135" s="278">
        <v>142000</v>
      </c>
      <c r="G135" s="278">
        <v>710</v>
      </c>
      <c r="H135" s="278">
        <v>0</v>
      </c>
      <c r="I135" s="278">
        <v>0</v>
      </c>
      <c r="J135" s="278">
        <v>0</v>
      </c>
      <c r="K135" s="278">
        <v>0</v>
      </c>
      <c r="L135" s="278">
        <v>0</v>
      </c>
      <c r="M135" s="278">
        <v>0</v>
      </c>
      <c r="N135" s="278">
        <v>0</v>
      </c>
      <c r="O135" s="278">
        <v>0</v>
      </c>
      <c r="P135" s="278">
        <v>0</v>
      </c>
      <c r="Q135" s="278">
        <v>0</v>
      </c>
      <c r="R135" s="278">
        <v>0</v>
      </c>
      <c r="S135" s="278">
        <v>0</v>
      </c>
      <c r="T135" s="278">
        <v>0</v>
      </c>
      <c r="U135" s="278">
        <v>0</v>
      </c>
      <c r="V135" s="278">
        <v>0</v>
      </c>
      <c r="W135" s="278">
        <v>0</v>
      </c>
      <c r="X135" s="278">
        <v>0</v>
      </c>
      <c r="Y135" s="278">
        <v>211600</v>
      </c>
      <c r="Z135" s="278">
        <v>884</v>
      </c>
      <c r="AA135" s="278">
        <v>0</v>
      </c>
      <c r="AB135" s="278">
        <v>0</v>
      </c>
      <c r="AC135" s="278">
        <v>158222</v>
      </c>
      <c r="AD135" s="278">
        <v>0</v>
      </c>
      <c r="AE135" s="278">
        <v>64041.74</v>
      </c>
      <c r="AF135" s="278">
        <v>-19212.57</v>
      </c>
      <c r="AG135" s="278">
        <v>0</v>
      </c>
      <c r="AH135" s="278">
        <v>86389.08</v>
      </c>
    </row>
    <row r="136" spans="1:34">
      <c r="A136" s="278" t="s">
        <v>491</v>
      </c>
      <c r="B136" s="278">
        <v>400</v>
      </c>
      <c r="C136" s="278">
        <v>60000</v>
      </c>
      <c r="D136" s="278">
        <v>150</v>
      </c>
      <c r="E136" s="278">
        <v>0</v>
      </c>
      <c r="F136" s="278">
        <v>116800</v>
      </c>
      <c r="G136" s="278">
        <v>584</v>
      </c>
      <c r="H136" s="278">
        <v>0</v>
      </c>
      <c r="I136" s="278">
        <v>0</v>
      </c>
      <c r="J136" s="278">
        <v>0</v>
      </c>
      <c r="K136" s="278">
        <v>0</v>
      </c>
      <c r="L136" s="278">
        <v>0</v>
      </c>
      <c r="M136" s="278">
        <v>0</v>
      </c>
      <c r="N136" s="278">
        <v>0</v>
      </c>
      <c r="O136" s="278">
        <v>0</v>
      </c>
      <c r="P136" s="278">
        <v>0</v>
      </c>
      <c r="Q136" s="278">
        <v>0</v>
      </c>
      <c r="R136" s="278">
        <v>0</v>
      </c>
      <c r="S136" s="278">
        <v>0</v>
      </c>
      <c r="T136" s="278">
        <v>0</v>
      </c>
      <c r="U136" s="278">
        <v>0</v>
      </c>
      <c r="V136" s="278">
        <v>0</v>
      </c>
      <c r="W136" s="278">
        <v>0</v>
      </c>
      <c r="X136" s="278">
        <v>0</v>
      </c>
      <c r="Y136" s="278">
        <v>176800</v>
      </c>
      <c r="Z136" s="278">
        <v>734</v>
      </c>
      <c r="AA136" s="278">
        <v>0</v>
      </c>
      <c r="AB136" s="278">
        <v>0</v>
      </c>
      <c r="AC136" s="278">
        <v>130538</v>
      </c>
      <c r="AD136" s="278">
        <v>0</v>
      </c>
      <c r="AE136" s="278">
        <v>55508.08</v>
      </c>
      <c r="AF136" s="278">
        <v>-16652.47</v>
      </c>
      <c r="AG136" s="278">
        <v>0</v>
      </c>
      <c r="AH136" s="278">
        <v>72115.210000000006</v>
      </c>
    </row>
    <row r="137" spans="1:34">
      <c r="A137" s="278" t="s">
        <v>491</v>
      </c>
      <c r="B137" s="278">
        <v>400</v>
      </c>
      <c r="C137" s="278">
        <v>49600</v>
      </c>
      <c r="D137" s="278">
        <v>124</v>
      </c>
      <c r="E137" s="278">
        <v>0</v>
      </c>
      <c r="F137" s="278">
        <v>92600</v>
      </c>
      <c r="G137" s="278">
        <v>463</v>
      </c>
      <c r="H137" s="278">
        <v>0</v>
      </c>
      <c r="I137" s="278">
        <v>0</v>
      </c>
      <c r="J137" s="278">
        <v>0</v>
      </c>
      <c r="K137" s="278">
        <v>0</v>
      </c>
      <c r="L137" s="278">
        <v>0</v>
      </c>
      <c r="M137" s="278">
        <v>0</v>
      </c>
      <c r="N137" s="278">
        <v>0</v>
      </c>
      <c r="O137" s="278">
        <v>0</v>
      </c>
      <c r="P137" s="278">
        <v>0</v>
      </c>
      <c r="Q137" s="278">
        <v>0</v>
      </c>
      <c r="R137" s="278">
        <v>0</v>
      </c>
      <c r="S137" s="278">
        <v>0</v>
      </c>
      <c r="T137" s="278">
        <v>0</v>
      </c>
      <c r="U137" s="278">
        <v>0</v>
      </c>
      <c r="V137" s="278">
        <v>0</v>
      </c>
      <c r="W137" s="278">
        <v>0</v>
      </c>
      <c r="X137" s="278">
        <v>0</v>
      </c>
      <c r="Y137" s="278">
        <v>142200</v>
      </c>
      <c r="Z137" s="278">
        <v>587</v>
      </c>
      <c r="AA137" s="278">
        <v>0</v>
      </c>
      <c r="AB137" s="278">
        <v>0</v>
      </c>
      <c r="AC137" s="278">
        <v>102064</v>
      </c>
      <c r="AD137" s="278">
        <v>0</v>
      </c>
      <c r="AE137" s="278">
        <v>48154.55</v>
      </c>
      <c r="AF137" s="278">
        <v>-14446.4</v>
      </c>
      <c r="AG137" s="278">
        <v>0</v>
      </c>
      <c r="AH137" s="278">
        <v>57882.48</v>
      </c>
    </row>
    <row r="138" spans="1:34">
      <c r="A138" s="278" t="s">
        <v>491</v>
      </c>
      <c r="B138" s="278">
        <v>400</v>
      </c>
      <c r="C138" s="278">
        <v>48000</v>
      </c>
      <c r="D138" s="278">
        <v>120</v>
      </c>
      <c r="E138" s="278">
        <v>0</v>
      </c>
      <c r="F138" s="278">
        <v>108400</v>
      </c>
      <c r="G138" s="278">
        <v>542</v>
      </c>
      <c r="H138" s="278">
        <v>0</v>
      </c>
      <c r="I138" s="278">
        <v>0</v>
      </c>
      <c r="J138" s="278">
        <v>0</v>
      </c>
      <c r="K138" s="278">
        <v>0</v>
      </c>
      <c r="L138" s="278">
        <v>0</v>
      </c>
      <c r="M138" s="278">
        <v>0</v>
      </c>
      <c r="N138" s="278">
        <v>0</v>
      </c>
      <c r="O138" s="278">
        <v>0</v>
      </c>
      <c r="P138" s="278">
        <v>0</v>
      </c>
      <c r="Q138" s="278">
        <v>-400</v>
      </c>
      <c r="R138" s="278">
        <v>2</v>
      </c>
      <c r="S138" s="278">
        <v>0</v>
      </c>
      <c r="T138" s="278">
        <v>0</v>
      </c>
      <c r="U138" s="278">
        <v>0</v>
      </c>
      <c r="V138" s="278">
        <v>0</v>
      </c>
      <c r="W138" s="278">
        <v>0</v>
      </c>
      <c r="X138" s="278">
        <v>0</v>
      </c>
      <c r="Y138" s="278">
        <v>156400</v>
      </c>
      <c r="Z138" s="278">
        <v>662</v>
      </c>
      <c r="AA138" s="278">
        <v>-400</v>
      </c>
      <c r="AB138" s="278">
        <v>2</v>
      </c>
      <c r="AC138" s="278">
        <v>118565</v>
      </c>
      <c r="AD138" s="278">
        <v>-400</v>
      </c>
      <c r="AE138" s="278">
        <v>45393.87</v>
      </c>
      <c r="AF138" s="278">
        <v>-13618.18</v>
      </c>
      <c r="AG138" s="278">
        <v>0</v>
      </c>
      <c r="AH138" s="278">
        <v>63751.13</v>
      </c>
    </row>
    <row r="139" spans="1:34">
      <c r="A139" s="278" t="s">
        <v>491</v>
      </c>
      <c r="B139" s="278">
        <v>400</v>
      </c>
      <c r="C139" s="278">
        <v>45200</v>
      </c>
      <c r="D139" s="278">
        <v>113</v>
      </c>
      <c r="E139" s="278">
        <v>0</v>
      </c>
      <c r="F139" s="278">
        <v>115400</v>
      </c>
      <c r="G139" s="278">
        <v>577</v>
      </c>
      <c r="H139" s="278">
        <v>0</v>
      </c>
      <c r="I139" s="278">
        <v>0</v>
      </c>
      <c r="J139" s="278">
        <v>0</v>
      </c>
      <c r="K139" s="278">
        <v>0</v>
      </c>
      <c r="L139" s="278">
        <v>0</v>
      </c>
      <c r="M139" s="278">
        <v>0</v>
      </c>
      <c r="N139" s="278">
        <v>0</v>
      </c>
      <c r="O139" s="278">
        <v>0</v>
      </c>
      <c r="P139" s="278">
        <v>0</v>
      </c>
      <c r="Q139" s="278">
        <v>0</v>
      </c>
      <c r="R139" s="278">
        <v>0</v>
      </c>
      <c r="S139" s="278">
        <v>0</v>
      </c>
      <c r="T139" s="278">
        <v>0</v>
      </c>
      <c r="U139" s="278">
        <v>0</v>
      </c>
      <c r="V139" s="278">
        <v>0</v>
      </c>
      <c r="W139" s="278">
        <v>0</v>
      </c>
      <c r="X139" s="278">
        <v>0</v>
      </c>
      <c r="Y139" s="278">
        <v>160600</v>
      </c>
      <c r="Z139" s="278">
        <v>690</v>
      </c>
      <c r="AA139" s="278">
        <v>0</v>
      </c>
      <c r="AB139" s="278">
        <v>0</v>
      </c>
      <c r="AC139" s="278">
        <v>122928</v>
      </c>
      <c r="AD139" s="278">
        <v>0</v>
      </c>
      <c r="AE139" s="278">
        <v>45195.040000000001</v>
      </c>
      <c r="AF139" s="278">
        <v>-13558.54</v>
      </c>
      <c r="AG139" s="278">
        <v>0</v>
      </c>
      <c r="AH139" s="278">
        <v>65681.81</v>
      </c>
    </row>
    <row r="140" spans="1:34">
      <c r="A140" s="278" t="s">
        <v>491</v>
      </c>
      <c r="B140" s="278">
        <v>400</v>
      </c>
      <c r="C140" s="278">
        <v>35600</v>
      </c>
      <c r="D140" s="278">
        <v>89</v>
      </c>
      <c r="E140" s="278">
        <v>0</v>
      </c>
      <c r="F140" s="278">
        <v>76000</v>
      </c>
      <c r="G140" s="278">
        <v>380</v>
      </c>
      <c r="H140" s="278">
        <v>0</v>
      </c>
      <c r="I140" s="278">
        <v>0</v>
      </c>
      <c r="J140" s="278">
        <v>0</v>
      </c>
      <c r="K140" s="278">
        <v>0</v>
      </c>
      <c r="L140" s="278">
        <v>0</v>
      </c>
      <c r="M140" s="278">
        <v>0</v>
      </c>
      <c r="N140" s="278">
        <v>0</v>
      </c>
      <c r="O140" s="278">
        <v>0</v>
      </c>
      <c r="P140" s="278">
        <v>0</v>
      </c>
      <c r="Q140" s="278">
        <v>0</v>
      </c>
      <c r="R140" s="278">
        <v>0</v>
      </c>
      <c r="S140" s="278">
        <v>0</v>
      </c>
      <c r="T140" s="278">
        <v>0</v>
      </c>
      <c r="U140" s="278">
        <v>0</v>
      </c>
      <c r="V140" s="278">
        <v>0</v>
      </c>
      <c r="W140" s="278">
        <v>0</v>
      </c>
      <c r="X140" s="278">
        <v>0</v>
      </c>
      <c r="Y140" s="278">
        <v>111600</v>
      </c>
      <c r="Z140" s="278">
        <v>469</v>
      </c>
      <c r="AA140" s="278">
        <v>0</v>
      </c>
      <c r="AB140" s="278">
        <v>0</v>
      </c>
      <c r="AC140" s="278">
        <v>84267</v>
      </c>
      <c r="AD140" s="278">
        <v>0</v>
      </c>
      <c r="AE140" s="278">
        <v>32801.03</v>
      </c>
      <c r="AF140" s="278">
        <v>-9840.33</v>
      </c>
      <c r="AG140" s="278">
        <v>0</v>
      </c>
      <c r="AH140" s="278">
        <v>45598.07</v>
      </c>
    </row>
    <row r="141" spans="1:34">
      <c r="A141" s="278" t="s">
        <v>491</v>
      </c>
      <c r="B141" s="278">
        <v>400</v>
      </c>
      <c r="C141" s="278">
        <v>34400</v>
      </c>
      <c r="D141" s="278">
        <v>86</v>
      </c>
      <c r="E141" s="278">
        <v>0</v>
      </c>
      <c r="F141" s="278">
        <v>126000</v>
      </c>
      <c r="G141" s="278">
        <v>630</v>
      </c>
      <c r="H141" s="278">
        <v>0</v>
      </c>
      <c r="I141" s="278">
        <v>0</v>
      </c>
      <c r="J141" s="278">
        <v>0</v>
      </c>
      <c r="K141" s="278">
        <v>0</v>
      </c>
      <c r="L141" s="278">
        <v>0</v>
      </c>
      <c r="M141" s="278">
        <v>0</v>
      </c>
      <c r="N141" s="278">
        <v>0</v>
      </c>
      <c r="O141" s="278">
        <v>0</v>
      </c>
      <c r="P141" s="278">
        <v>0</v>
      </c>
      <c r="Q141" s="278">
        <v>0</v>
      </c>
      <c r="R141" s="278">
        <v>0</v>
      </c>
      <c r="S141" s="278">
        <v>0</v>
      </c>
      <c r="T141" s="278">
        <v>0</v>
      </c>
      <c r="U141" s="278">
        <v>0</v>
      </c>
      <c r="V141" s="278">
        <v>0</v>
      </c>
      <c r="W141" s="278">
        <v>0</v>
      </c>
      <c r="X141" s="278">
        <v>0</v>
      </c>
      <c r="Y141" s="278">
        <v>160400</v>
      </c>
      <c r="Z141" s="278">
        <v>716</v>
      </c>
      <c r="AA141" s="278">
        <v>0</v>
      </c>
      <c r="AB141" s="278">
        <v>0</v>
      </c>
      <c r="AC141" s="278">
        <v>126347</v>
      </c>
      <c r="AD141" s="278">
        <v>0</v>
      </c>
      <c r="AE141" s="278">
        <v>40860.94</v>
      </c>
      <c r="AF141" s="278">
        <v>-12258.29</v>
      </c>
      <c r="AG141" s="278">
        <v>0</v>
      </c>
      <c r="AH141" s="278">
        <v>65747.42</v>
      </c>
    </row>
    <row r="142" spans="1:34">
      <c r="A142" s="278" t="s">
        <v>491</v>
      </c>
      <c r="B142" s="278">
        <v>400</v>
      </c>
      <c r="C142" s="278">
        <v>34000</v>
      </c>
      <c r="D142" s="278">
        <v>85</v>
      </c>
      <c r="E142" s="278">
        <v>0</v>
      </c>
      <c r="F142" s="278">
        <v>110000</v>
      </c>
      <c r="G142" s="278">
        <v>550</v>
      </c>
      <c r="H142" s="278">
        <v>0</v>
      </c>
      <c r="I142" s="278">
        <v>0</v>
      </c>
      <c r="J142" s="278">
        <v>0</v>
      </c>
      <c r="K142" s="278">
        <v>0</v>
      </c>
      <c r="L142" s="278">
        <v>0</v>
      </c>
      <c r="M142" s="278">
        <v>0</v>
      </c>
      <c r="N142" s="278">
        <v>0</v>
      </c>
      <c r="O142" s="278">
        <v>0</v>
      </c>
      <c r="P142" s="278">
        <v>0</v>
      </c>
      <c r="Q142" s="278">
        <v>0</v>
      </c>
      <c r="R142" s="278">
        <v>0</v>
      </c>
      <c r="S142" s="278">
        <v>0</v>
      </c>
      <c r="T142" s="278">
        <v>0</v>
      </c>
      <c r="U142" s="278">
        <v>0</v>
      </c>
      <c r="V142" s="278">
        <v>0</v>
      </c>
      <c r="W142" s="278">
        <v>0</v>
      </c>
      <c r="X142" s="278">
        <v>0</v>
      </c>
      <c r="Y142" s="278">
        <v>144000</v>
      </c>
      <c r="Z142" s="278">
        <v>635</v>
      </c>
      <c r="AA142" s="278">
        <v>0</v>
      </c>
      <c r="AB142" s="278">
        <v>0</v>
      </c>
      <c r="AC142" s="278">
        <v>111392</v>
      </c>
      <c r="AD142" s="278">
        <v>0</v>
      </c>
      <c r="AE142" s="278">
        <v>39121.730000000003</v>
      </c>
      <c r="AF142" s="278">
        <v>-11736.54</v>
      </c>
      <c r="AG142" s="278">
        <v>0</v>
      </c>
      <c r="AH142" s="278">
        <v>58940.9</v>
      </c>
    </row>
    <row r="143" spans="1:34">
      <c r="A143" s="278" t="s">
        <v>491</v>
      </c>
      <c r="B143" s="278">
        <v>400</v>
      </c>
      <c r="C143" s="278">
        <v>32400</v>
      </c>
      <c r="D143" s="278">
        <v>81</v>
      </c>
      <c r="E143" s="278">
        <v>0</v>
      </c>
      <c r="F143" s="278">
        <v>109200</v>
      </c>
      <c r="G143" s="278">
        <v>546</v>
      </c>
      <c r="H143" s="278">
        <v>0</v>
      </c>
      <c r="I143" s="278">
        <v>0</v>
      </c>
      <c r="J143" s="278">
        <v>0</v>
      </c>
      <c r="K143" s="278">
        <v>0</v>
      </c>
      <c r="L143" s="278">
        <v>0</v>
      </c>
      <c r="M143" s="278">
        <v>0</v>
      </c>
      <c r="N143" s="278">
        <v>0</v>
      </c>
      <c r="O143" s="278">
        <v>0</v>
      </c>
      <c r="P143" s="278">
        <v>0</v>
      </c>
      <c r="Q143" s="278">
        <v>0</v>
      </c>
      <c r="R143" s="278">
        <v>0</v>
      </c>
      <c r="S143" s="278">
        <v>0</v>
      </c>
      <c r="T143" s="278">
        <v>0</v>
      </c>
      <c r="U143" s="278">
        <v>0</v>
      </c>
      <c r="V143" s="278">
        <v>0</v>
      </c>
      <c r="W143" s="278">
        <v>0</v>
      </c>
      <c r="X143" s="278">
        <v>0</v>
      </c>
      <c r="Y143" s="278">
        <v>141600</v>
      </c>
      <c r="Z143" s="278">
        <v>627</v>
      </c>
      <c r="AA143" s="278">
        <v>0</v>
      </c>
      <c r="AB143" s="278">
        <v>0</v>
      </c>
      <c r="AC143" s="278">
        <v>110431</v>
      </c>
      <c r="AD143" s="278">
        <v>0</v>
      </c>
      <c r="AE143" s="278">
        <v>37396.83</v>
      </c>
      <c r="AF143" s="278">
        <v>-11219.07</v>
      </c>
      <c r="AG143" s="278">
        <v>0</v>
      </c>
      <c r="AH143" s="278">
        <v>57995.37</v>
      </c>
    </row>
    <row r="144" spans="1:34">
      <c r="A144" s="278" t="s">
        <v>491</v>
      </c>
      <c r="B144" s="278">
        <v>400</v>
      </c>
      <c r="C144" s="278">
        <v>31600</v>
      </c>
      <c r="D144" s="278">
        <v>79</v>
      </c>
      <c r="E144" s="278">
        <v>0</v>
      </c>
      <c r="F144" s="278">
        <v>81800</v>
      </c>
      <c r="G144" s="278">
        <v>409</v>
      </c>
      <c r="H144" s="278">
        <v>0</v>
      </c>
      <c r="I144" s="278">
        <v>0</v>
      </c>
      <c r="J144" s="278">
        <v>0</v>
      </c>
      <c r="K144" s="278">
        <v>0</v>
      </c>
      <c r="L144" s="278">
        <v>0</v>
      </c>
      <c r="M144" s="278">
        <v>0</v>
      </c>
      <c r="N144" s="278">
        <v>0</v>
      </c>
      <c r="O144" s="278">
        <v>0</v>
      </c>
      <c r="P144" s="278">
        <v>0</v>
      </c>
      <c r="Q144" s="278">
        <v>0</v>
      </c>
      <c r="R144" s="278">
        <v>0</v>
      </c>
      <c r="S144" s="278">
        <v>0</v>
      </c>
      <c r="T144" s="278">
        <v>0</v>
      </c>
      <c r="U144" s="278">
        <v>0</v>
      </c>
      <c r="V144" s="278">
        <v>0</v>
      </c>
      <c r="W144" s="278">
        <v>0</v>
      </c>
      <c r="X144" s="278">
        <v>0</v>
      </c>
      <c r="Y144" s="278">
        <v>113400</v>
      </c>
      <c r="Z144" s="278">
        <v>488</v>
      </c>
      <c r="AA144" s="278">
        <v>0</v>
      </c>
      <c r="AB144" s="278">
        <v>0</v>
      </c>
      <c r="AC144" s="278">
        <v>85938</v>
      </c>
      <c r="AD144" s="278">
        <v>0</v>
      </c>
      <c r="AE144" s="278">
        <v>32951.15</v>
      </c>
      <c r="AF144" s="278">
        <v>-9885.3700000000008</v>
      </c>
      <c r="AG144" s="278">
        <v>0</v>
      </c>
      <c r="AH144" s="278">
        <v>46344.67</v>
      </c>
    </row>
    <row r="145" spans="1:34">
      <c r="A145" s="278" t="s">
        <v>491</v>
      </c>
      <c r="B145" s="278">
        <v>400</v>
      </c>
      <c r="C145" s="278">
        <v>31600</v>
      </c>
      <c r="D145" s="278">
        <v>79</v>
      </c>
      <c r="E145" s="278">
        <v>0</v>
      </c>
      <c r="F145" s="278">
        <v>75200</v>
      </c>
      <c r="G145" s="278">
        <v>376</v>
      </c>
      <c r="H145" s="278">
        <v>0</v>
      </c>
      <c r="I145" s="278">
        <v>0</v>
      </c>
      <c r="J145" s="278">
        <v>0</v>
      </c>
      <c r="K145" s="278">
        <v>0</v>
      </c>
      <c r="L145" s="278">
        <v>0</v>
      </c>
      <c r="M145" s="278">
        <v>0</v>
      </c>
      <c r="N145" s="278">
        <v>0</v>
      </c>
      <c r="O145" s="278">
        <v>0</v>
      </c>
      <c r="P145" s="278">
        <v>0</v>
      </c>
      <c r="Q145" s="278">
        <v>0</v>
      </c>
      <c r="R145" s="278">
        <v>0</v>
      </c>
      <c r="S145" s="278">
        <v>0</v>
      </c>
      <c r="T145" s="278">
        <v>0</v>
      </c>
      <c r="U145" s="278">
        <v>0</v>
      </c>
      <c r="V145" s="278">
        <v>0</v>
      </c>
      <c r="W145" s="278">
        <v>0</v>
      </c>
      <c r="X145" s="278">
        <v>0</v>
      </c>
      <c r="Y145" s="278">
        <v>106800</v>
      </c>
      <c r="Z145" s="278">
        <v>455</v>
      </c>
      <c r="AA145" s="278">
        <v>0</v>
      </c>
      <c r="AB145" s="278">
        <v>0</v>
      </c>
      <c r="AC145" s="278">
        <v>81802</v>
      </c>
      <c r="AD145" s="278">
        <v>0</v>
      </c>
      <c r="AE145" s="278">
        <v>29996.12</v>
      </c>
      <c r="AF145" s="278">
        <v>-8998.8700000000008</v>
      </c>
      <c r="AG145" s="278">
        <v>0</v>
      </c>
      <c r="AH145" s="278">
        <v>43682.92</v>
      </c>
    </row>
    <row r="146" spans="1:34">
      <c r="A146" s="278" t="s">
        <v>491</v>
      </c>
      <c r="B146" s="278">
        <v>400</v>
      </c>
      <c r="C146" s="278">
        <v>31200</v>
      </c>
      <c r="D146" s="278">
        <v>78</v>
      </c>
      <c r="E146" s="278">
        <v>0</v>
      </c>
      <c r="F146" s="278">
        <v>105600</v>
      </c>
      <c r="G146" s="278">
        <v>528</v>
      </c>
      <c r="H146" s="278">
        <v>0</v>
      </c>
      <c r="I146" s="278">
        <v>0</v>
      </c>
      <c r="J146" s="278">
        <v>0</v>
      </c>
      <c r="K146" s="278">
        <v>0</v>
      </c>
      <c r="L146" s="278">
        <v>0</v>
      </c>
      <c r="M146" s="278">
        <v>0</v>
      </c>
      <c r="N146" s="278">
        <v>0</v>
      </c>
      <c r="O146" s="278">
        <v>0</v>
      </c>
      <c r="P146" s="278">
        <v>0</v>
      </c>
      <c r="Q146" s="278">
        <v>0</v>
      </c>
      <c r="R146" s="278">
        <v>0</v>
      </c>
      <c r="S146" s="278">
        <v>0</v>
      </c>
      <c r="T146" s="278">
        <v>0</v>
      </c>
      <c r="U146" s="278">
        <v>0</v>
      </c>
      <c r="V146" s="278">
        <v>0</v>
      </c>
      <c r="W146" s="278">
        <v>0</v>
      </c>
      <c r="X146" s="278">
        <v>0</v>
      </c>
      <c r="Y146" s="278">
        <v>136800</v>
      </c>
      <c r="Z146" s="278">
        <v>606</v>
      </c>
      <c r="AA146" s="278">
        <v>0</v>
      </c>
      <c r="AB146" s="278">
        <v>0</v>
      </c>
      <c r="AC146" s="278">
        <v>109247</v>
      </c>
      <c r="AD146" s="278">
        <v>0</v>
      </c>
      <c r="AE146" s="278">
        <v>33061.25</v>
      </c>
      <c r="AF146" s="278">
        <v>-9918.4</v>
      </c>
      <c r="AG146" s="278">
        <v>0</v>
      </c>
      <c r="AH146" s="278">
        <v>56134.16</v>
      </c>
    </row>
    <row r="147" spans="1:34">
      <c r="A147" s="278" t="s">
        <v>491</v>
      </c>
      <c r="B147" s="278">
        <v>400</v>
      </c>
      <c r="C147" s="278">
        <v>30800</v>
      </c>
      <c r="D147" s="278">
        <v>77</v>
      </c>
      <c r="E147" s="278">
        <v>0</v>
      </c>
      <c r="F147" s="278">
        <v>75200</v>
      </c>
      <c r="G147" s="278">
        <v>376</v>
      </c>
      <c r="H147" s="278">
        <v>0</v>
      </c>
      <c r="I147" s="278">
        <v>0</v>
      </c>
      <c r="J147" s="278">
        <v>0</v>
      </c>
      <c r="K147" s="278">
        <v>0</v>
      </c>
      <c r="L147" s="278">
        <v>0</v>
      </c>
      <c r="M147" s="278">
        <v>0</v>
      </c>
      <c r="N147" s="278">
        <v>0</v>
      </c>
      <c r="O147" s="278">
        <v>0</v>
      </c>
      <c r="P147" s="278">
        <v>0</v>
      </c>
      <c r="Q147" s="278">
        <v>0</v>
      </c>
      <c r="R147" s="278">
        <v>0</v>
      </c>
      <c r="S147" s="278">
        <v>0</v>
      </c>
      <c r="T147" s="278">
        <v>0</v>
      </c>
      <c r="U147" s="278">
        <v>0</v>
      </c>
      <c r="V147" s="278">
        <v>0</v>
      </c>
      <c r="W147" s="278">
        <v>0</v>
      </c>
      <c r="X147" s="278">
        <v>0</v>
      </c>
      <c r="Y147" s="278">
        <v>106000</v>
      </c>
      <c r="Z147" s="278">
        <v>453</v>
      </c>
      <c r="AA147" s="278">
        <v>0</v>
      </c>
      <c r="AB147" s="278">
        <v>0</v>
      </c>
      <c r="AC147" s="278">
        <v>80548</v>
      </c>
      <c r="AD147" s="278">
        <v>0</v>
      </c>
      <c r="AE147" s="278">
        <v>30539.97</v>
      </c>
      <c r="AF147" s="278">
        <v>-9162.02</v>
      </c>
      <c r="AG147" s="278">
        <v>0</v>
      </c>
      <c r="AH147" s="278">
        <v>43329.43</v>
      </c>
    </row>
    <row r="148" spans="1:34">
      <c r="A148" s="278" t="s">
        <v>491</v>
      </c>
      <c r="B148" s="278">
        <v>400</v>
      </c>
      <c r="C148" s="278">
        <v>30000</v>
      </c>
      <c r="D148" s="278">
        <v>75</v>
      </c>
      <c r="E148" s="278">
        <v>0</v>
      </c>
      <c r="F148" s="278">
        <v>100000</v>
      </c>
      <c r="G148" s="278">
        <v>500</v>
      </c>
      <c r="H148" s="278">
        <v>0</v>
      </c>
      <c r="I148" s="278">
        <v>0</v>
      </c>
      <c r="J148" s="278">
        <v>0</v>
      </c>
      <c r="K148" s="278">
        <v>0</v>
      </c>
      <c r="L148" s="278">
        <v>0</v>
      </c>
      <c r="M148" s="278">
        <v>0</v>
      </c>
      <c r="N148" s="278">
        <v>0</v>
      </c>
      <c r="O148" s="278">
        <v>0</v>
      </c>
      <c r="P148" s="278">
        <v>0</v>
      </c>
      <c r="Q148" s="278">
        <v>0</v>
      </c>
      <c r="R148" s="278">
        <v>0</v>
      </c>
      <c r="S148" s="278">
        <v>0</v>
      </c>
      <c r="T148" s="278">
        <v>0</v>
      </c>
      <c r="U148" s="278">
        <v>0</v>
      </c>
      <c r="V148" s="278">
        <v>0</v>
      </c>
      <c r="W148" s="278">
        <v>0</v>
      </c>
      <c r="X148" s="278">
        <v>0</v>
      </c>
      <c r="Y148" s="278">
        <v>130000</v>
      </c>
      <c r="Z148" s="278">
        <v>575</v>
      </c>
      <c r="AA148" s="278">
        <v>0</v>
      </c>
      <c r="AB148" s="278">
        <v>0</v>
      </c>
      <c r="AC148" s="278">
        <v>101810</v>
      </c>
      <c r="AD148" s="278">
        <v>0</v>
      </c>
      <c r="AE148" s="278">
        <v>33821.08</v>
      </c>
      <c r="AF148" s="278">
        <v>-10128.49</v>
      </c>
      <c r="AG148" s="278">
        <v>0</v>
      </c>
      <c r="AH148" s="278">
        <v>53269.17</v>
      </c>
    </row>
    <row r="149" spans="1:34">
      <c r="A149" s="278" t="s">
        <v>491</v>
      </c>
      <c r="B149" s="278">
        <v>400</v>
      </c>
      <c r="C149" s="278">
        <v>29600</v>
      </c>
      <c r="D149" s="278">
        <v>74</v>
      </c>
      <c r="E149" s="278">
        <v>0</v>
      </c>
      <c r="F149" s="278">
        <v>72000</v>
      </c>
      <c r="G149" s="278">
        <v>360</v>
      </c>
      <c r="H149" s="278">
        <v>0</v>
      </c>
      <c r="I149" s="278">
        <v>0</v>
      </c>
      <c r="J149" s="278">
        <v>0</v>
      </c>
      <c r="K149" s="278">
        <v>0</v>
      </c>
      <c r="L149" s="278">
        <v>0</v>
      </c>
      <c r="M149" s="278">
        <v>0</v>
      </c>
      <c r="N149" s="278">
        <v>0</v>
      </c>
      <c r="O149" s="278">
        <v>0</v>
      </c>
      <c r="P149" s="278">
        <v>0</v>
      </c>
      <c r="Q149" s="278">
        <v>0</v>
      </c>
      <c r="R149" s="278">
        <v>0</v>
      </c>
      <c r="S149" s="278">
        <v>0</v>
      </c>
      <c r="T149" s="278">
        <v>0</v>
      </c>
      <c r="U149" s="278">
        <v>0</v>
      </c>
      <c r="V149" s="278">
        <v>0</v>
      </c>
      <c r="W149" s="278">
        <v>0</v>
      </c>
      <c r="X149" s="278">
        <v>0</v>
      </c>
      <c r="Y149" s="278">
        <v>101600</v>
      </c>
      <c r="Z149" s="278">
        <v>434</v>
      </c>
      <c r="AA149" s="278">
        <v>0</v>
      </c>
      <c r="AB149" s="278">
        <v>0</v>
      </c>
      <c r="AC149" s="278">
        <v>76512</v>
      </c>
      <c r="AD149" s="278">
        <v>0</v>
      </c>
      <c r="AE149" s="278">
        <v>30103.17</v>
      </c>
      <c r="AF149" s="278">
        <v>-9030.98</v>
      </c>
      <c r="AG149" s="278">
        <v>0</v>
      </c>
      <c r="AH149" s="278">
        <v>41502.769999999997</v>
      </c>
    </row>
    <row r="150" spans="1:34">
      <c r="A150" s="278" t="s">
        <v>491</v>
      </c>
      <c r="B150" s="278">
        <v>400</v>
      </c>
      <c r="C150" s="278">
        <v>29600</v>
      </c>
      <c r="D150" s="278">
        <v>74</v>
      </c>
      <c r="E150" s="278">
        <v>0</v>
      </c>
      <c r="F150" s="278">
        <v>80800</v>
      </c>
      <c r="G150" s="278">
        <v>404</v>
      </c>
      <c r="H150" s="278">
        <v>0</v>
      </c>
      <c r="I150" s="278">
        <v>0</v>
      </c>
      <c r="J150" s="278">
        <v>0</v>
      </c>
      <c r="K150" s="278">
        <v>0</v>
      </c>
      <c r="L150" s="278">
        <v>0</v>
      </c>
      <c r="M150" s="278">
        <v>0</v>
      </c>
      <c r="N150" s="278">
        <v>0</v>
      </c>
      <c r="O150" s="278">
        <v>0</v>
      </c>
      <c r="P150" s="278">
        <v>0</v>
      </c>
      <c r="Q150" s="278">
        <v>0</v>
      </c>
      <c r="R150" s="278">
        <v>0</v>
      </c>
      <c r="S150" s="278">
        <v>0</v>
      </c>
      <c r="T150" s="278">
        <v>0</v>
      </c>
      <c r="U150" s="278">
        <v>0</v>
      </c>
      <c r="V150" s="278">
        <v>0</v>
      </c>
      <c r="W150" s="278">
        <v>0</v>
      </c>
      <c r="X150" s="278">
        <v>0</v>
      </c>
      <c r="Y150" s="278">
        <v>110400</v>
      </c>
      <c r="Z150" s="278">
        <v>478</v>
      </c>
      <c r="AA150" s="278">
        <v>0</v>
      </c>
      <c r="AB150" s="278">
        <v>0</v>
      </c>
      <c r="AC150" s="278">
        <v>83338</v>
      </c>
      <c r="AD150" s="278">
        <v>0</v>
      </c>
      <c r="AE150" s="278">
        <v>32469.25</v>
      </c>
      <c r="AF150" s="278">
        <v>-9740.7999999999993</v>
      </c>
      <c r="AG150" s="278">
        <v>0</v>
      </c>
      <c r="AH150" s="278">
        <v>45104.77</v>
      </c>
    </row>
    <row r="151" spans="1:34">
      <c r="A151" s="278" t="s">
        <v>491</v>
      </c>
      <c r="B151" s="278">
        <v>400</v>
      </c>
      <c r="C151" s="278">
        <v>29600</v>
      </c>
      <c r="D151" s="278">
        <v>74</v>
      </c>
      <c r="E151" s="278">
        <v>0</v>
      </c>
      <c r="F151" s="278">
        <v>90200</v>
      </c>
      <c r="G151" s="278">
        <v>451</v>
      </c>
      <c r="H151" s="278">
        <v>0</v>
      </c>
      <c r="I151" s="278">
        <v>0</v>
      </c>
      <c r="J151" s="278">
        <v>0</v>
      </c>
      <c r="K151" s="278">
        <v>0</v>
      </c>
      <c r="L151" s="278">
        <v>0</v>
      </c>
      <c r="M151" s="278">
        <v>0</v>
      </c>
      <c r="N151" s="278">
        <v>0</v>
      </c>
      <c r="O151" s="278">
        <v>0</v>
      </c>
      <c r="P151" s="278">
        <v>0</v>
      </c>
      <c r="Q151" s="278">
        <v>0</v>
      </c>
      <c r="R151" s="278">
        <v>0</v>
      </c>
      <c r="S151" s="278">
        <v>0</v>
      </c>
      <c r="T151" s="278">
        <v>0</v>
      </c>
      <c r="U151" s="278">
        <v>0</v>
      </c>
      <c r="V151" s="278">
        <v>0</v>
      </c>
      <c r="W151" s="278">
        <v>0</v>
      </c>
      <c r="X151" s="278">
        <v>0</v>
      </c>
      <c r="Y151" s="278">
        <v>119800</v>
      </c>
      <c r="Z151" s="278">
        <v>525</v>
      </c>
      <c r="AA151" s="278">
        <v>0</v>
      </c>
      <c r="AB151" s="278">
        <v>0</v>
      </c>
      <c r="AC151" s="278">
        <v>91768</v>
      </c>
      <c r="AD151" s="278">
        <v>0</v>
      </c>
      <c r="AE151" s="278">
        <v>33635.15</v>
      </c>
      <c r="AF151" s="278">
        <v>-10090.57</v>
      </c>
      <c r="AG151" s="278">
        <v>0</v>
      </c>
      <c r="AH151" s="278">
        <v>48999.98</v>
      </c>
    </row>
    <row r="152" spans="1:34">
      <c r="A152" s="278" t="s">
        <v>491</v>
      </c>
      <c r="B152" s="278">
        <v>400</v>
      </c>
      <c r="C152" s="278">
        <v>28800</v>
      </c>
      <c r="D152" s="278">
        <v>72</v>
      </c>
      <c r="E152" s="278">
        <v>0</v>
      </c>
      <c r="F152" s="278">
        <v>80400</v>
      </c>
      <c r="G152" s="278">
        <v>402</v>
      </c>
      <c r="H152" s="278">
        <v>0</v>
      </c>
      <c r="I152" s="278">
        <v>0</v>
      </c>
      <c r="J152" s="278">
        <v>0</v>
      </c>
      <c r="K152" s="278">
        <v>0</v>
      </c>
      <c r="L152" s="278">
        <v>0</v>
      </c>
      <c r="M152" s="278">
        <v>0</v>
      </c>
      <c r="N152" s="278">
        <v>0</v>
      </c>
      <c r="O152" s="278">
        <v>0</v>
      </c>
      <c r="P152" s="278">
        <v>0</v>
      </c>
      <c r="Q152" s="278">
        <v>0</v>
      </c>
      <c r="R152" s="278">
        <v>0</v>
      </c>
      <c r="S152" s="278">
        <v>0</v>
      </c>
      <c r="T152" s="278">
        <v>0</v>
      </c>
      <c r="U152" s="278">
        <v>0</v>
      </c>
      <c r="V152" s="278">
        <v>0</v>
      </c>
      <c r="W152" s="278">
        <v>0</v>
      </c>
      <c r="X152" s="278">
        <v>0</v>
      </c>
      <c r="Y152" s="278">
        <v>109200</v>
      </c>
      <c r="Z152" s="278">
        <v>474</v>
      </c>
      <c r="AA152" s="278">
        <v>0</v>
      </c>
      <c r="AB152" s="278">
        <v>0</v>
      </c>
      <c r="AC152" s="278">
        <v>82738</v>
      </c>
      <c r="AD152" s="278">
        <v>0</v>
      </c>
      <c r="AE152" s="278">
        <v>31749.25</v>
      </c>
      <c r="AF152" s="278">
        <v>-9524.7999999999993</v>
      </c>
      <c r="AG152" s="278">
        <v>0</v>
      </c>
      <c r="AH152" s="278">
        <v>44626.87</v>
      </c>
    </row>
    <row r="153" spans="1:34">
      <c r="A153" s="278" t="s">
        <v>491</v>
      </c>
      <c r="B153" s="278">
        <v>400</v>
      </c>
      <c r="C153" s="278">
        <v>27200</v>
      </c>
      <c r="D153" s="278">
        <v>68</v>
      </c>
      <c r="E153" s="278">
        <v>0</v>
      </c>
      <c r="F153" s="278">
        <v>63400</v>
      </c>
      <c r="G153" s="278">
        <v>317</v>
      </c>
      <c r="H153" s="278">
        <v>0</v>
      </c>
      <c r="I153" s="278">
        <v>0</v>
      </c>
      <c r="J153" s="278">
        <v>0</v>
      </c>
      <c r="K153" s="278">
        <v>0</v>
      </c>
      <c r="L153" s="278">
        <v>0</v>
      </c>
      <c r="M153" s="278">
        <v>0</v>
      </c>
      <c r="N153" s="278">
        <v>0</v>
      </c>
      <c r="O153" s="278">
        <v>0</v>
      </c>
      <c r="P153" s="278">
        <v>0</v>
      </c>
      <c r="Q153" s="278">
        <v>0</v>
      </c>
      <c r="R153" s="278">
        <v>0</v>
      </c>
      <c r="S153" s="278">
        <v>0</v>
      </c>
      <c r="T153" s="278">
        <v>0</v>
      </c>
      <c r="U153" s="278">
        <v>0</v>
      </c>
      <c r="V153" s="278">
        <v>0</v>
      </c>
      <c r="W153" s="278">
        <v>0</v>
      </c>
      <c r="X153" s="278">
        <v>0</v>
      </c>
      <c r="Y153" s="278">
        <v>90600</v>
      </c>
      <c r="Z153" s="278">
        <v>385</v>
      </c>
      <c r="AA153" s="278">
        <v>0</v>
      </c>
      <c r="AB153" s="278">
        <v>0</v>
      </c>
      <c r="AC153" s="278">
        <v>68266</v>
      </c>
      <c r="AD153" s="278">
        <v>0</v>
      </c>
      <c r="AE153" s="278">
        <v>26797.81</v>
      </c>
      <c r="AF153" s="278">
        <v>-8039.36</v>
      </c>
      <c r="AG153" s="278">
        <v>0</v>
      </c>
      <c r="AH153" s="278">
        <v>37010.639999999999</v>
      </c>
    </row>
    <row r="154" spans="1:34">
      <c r="A154" s="278" t="s">
        <v>491</v>
      </c>
      <c r="B154" s="278">
        <v>400</v>
      </c>
      <c r="C154" s="278">
        <v>26800</v>
      </c>
      <c r="D154" s="278">
        <v>67</v>
      </c>
      <c r="E154" s="278">
        <v>0</v>
      </c>
      <c r="F154" s="278">
        <v>59400</v>
      </c>
      <c r="G154" s="278">
        <v>297</v>
      </c>
      <c r="H154" s="278">
        <v>0</v>
      </c>
      <c r="I154" s="278">
        <v>0</v>
      </c>
      <c r="J154" s="278">
        <v>0</v>
      </c>
      <c r="K154" s="278">
        <v>0</v>
      </c>
      <c r="L154" s="278">
        <v>0</v>
      </c>
      <c r="M154" s="278">
        <v>0</v>
      </c>
      <c r="N154" s="278">
        <v>0</v>
      </c>
      <c r="O154" s="278">
        <v>0</v>
      </c>
      <c r="P154" s="278">
        <v>0</v>
      </c>
      <c r="Q154" s="278">
        <v>0</v>
      </c>
      <c r="R154" s="278">
        <v>0</v>
      </c>
      <c r="S154" s="278">
        <v>0</v>
      </c>
      <c r="T154" s="278">
        <v>0</v>
      </c>
      <c r="U154" s="278">
        <v>0</v>
      </c>
      <c r="V154" s="278">
        <v>0</v>
      </c>
      <c r="W154" s="278">
        <v>0</v>
      </c>
      <c r="X154" s="278">
        <v>0</v>
      </c>
      <c r="Y154" s="278">
        <v>86200</v>
      </c>
      <c r="Z154" s="278">
        <v>364</v>
      </c>
      <c r="AA154" s="278">
        <v>0</v>
      </c>
      <c r="AB154" s="278">
        <v>0</v>
      </c>
      <c r="AC154" s="278">
        <v>65154</v>
      </c>
      <c r="AD154" s="278">
        <v>0</v>
      </c>
      <c r="AE154" s="278">
        <v>25255.27</v>
      </c>
      <c r="AF154" s="278">
        <v>-7576.6</v>
      </c>
      <c r="AG154" s="278">
        <v>0</v>
      </c>
      <c r="AH154" s="278">
        <v>35222.379999999997</v>
      </c>
    </row>
    <row r="155" spans="1:34">
      <c r="A155" s="278" t="s">
        <v>491</v>
      </c>
      <c r="B155" s="278">
        <v>400</v>
      </c>
      <c r="C155" s="278">
        <v>26800</v>
      </c>
      <c r="D155" s="278">
        <v>67</v>
      </c>
      <c r="E155" s="278">
        <v>0</v>
      </c>
      <c r="F155" s="278">
        <v>61600</v>
      </c>
      <c r="G155" s="278">
        <v>308</v>
      </c>
      <c r="H155" s="278">
        <v>0</v>
      </c>
      <c r="I155" s="278">
        <v>0</v>
      </c>
      <c r="J155" s="278">
        <v>0</v>
      </c>
      <c r="K155" s="278">
        <v>0</v>
      </c>
      <c r="L155" s="278">
        <v>0</v>
      </c>
      <c r="M155" s="278">
        <v>0</v>
      </c>
      <c r="N155" s="278">
        <v>0</v>
      </c>
      <c r="O155" s="278">
        <v>0</v>
      </c>
      <c r="P155" s="278">
        <v>0</v>
      </c>
      <c r="Q155" s="278">
        <v>0</v>
      </c>
      <c r="R155" s="278">
        <v>0</v>
      </c>
      <c r="S155" s="278">
        <v>0</v>
      </c>
      <c r="T155" s="278">
        <v>0</v>
      </c>
      <c r="U155" s="278">
        <v>0</v>
      </c>
      <c r="V155" s="278">
        <v>0</v>
      </c>
      <c r="W155" s="278">
        <v>0</v>
      </c>
      <c r="X155" s="278">
        <v>0</v>
      </c>
      <c r="Y155" s="278">
        <v>88400</v>
      </c>
      <c r="Z155" s="278">
        <v>375</v>
      </c>
      <c r="AA155" s="278">
        <v>0</v>
      </c>
      <c r="AB155" s="278">
        <v>0</v>
      </c>
      <c r="AC155" s="278">
        <v>66956</v>
      </c>
      <c r="AD155" s="278">
        <v>0</v>
      </c>
      <c r="AE155" s="278">
        <v>25731.49</v>
      </c>
      <c r="AF155" s="278">
        <v>-7719.47</v>
      </c>
      <c r="AG155" s="278">
        <v>0</v>
      </c>
      <c r="AH155" s="278">
        <v>36126.51</v>
      </c>
    </row>
    <row r="156" spans="1:34">
      <c r="A156" s="278" t="s">
        <v>491</v>
      </c>
      <c r="B156" s="278">
        <v>400</v>
      </c>
      <c r="C156" s="278">
        <v>26400</v>
      </c>
      <c r="D156" s="278">
        <v>66</v>
      </c>
      <c r="E156" s="278">
        <v>0</v>
      </c>
      <c r="F156" s="278">
        <v>74800</v>
      </c>
      <c r="G156" s="278">
        <v>374</v>
      </c>
      <c r="H156" s="278">
        <v>0</v>
      </c>
      <c r="I156" s="278">
        <v>0</v>
      </c>
      <c r="J156" s="278">
        <v>0</v>
      </c>
      <c r="K156" s="278">
        <v>0</v>
      </c>
      <c r="L156" s="278">
        <v>0</v>
      </c>
      <c r="M156" s="278">
        <v>0</v>
      </c>
      <c r="N156" s="278">
        <v>0</v>
      </c>
      <c r="O156" s="278">
        <v>0</v>
      </c>
      <c r="P156" s="278">
        <v>0</v>
      </c>
      <c r="Q156" s="278">
        <v>0</v>
      </c>
      <c r="R156" s="278">
        <v>0</v>
      </c>
      <c r="S156" s="278">
        <v>0</v>
      </c>
      <c r="T156" s="278">
        <v>0</v>
      </c>
      <c r="U156" s="278">
        <v>0</v>
      </c>
      <c r="V156" s="278">
        <v>0</v>
      </c>
      <c r="W156" s="278">
        <v>0</v>
      </c>
      <c r="X156" s="278">
        <v>0</v>
      </c>
      <c r="Y156" s="278">
        <v>101200</v>
      </c>
      <c r="Z156" s="278">
        <v>440</v>
      </c>
      <c r="AA156" s="278">
        <v>0</v>
      </c>
      <c r="AB156" s="278">
        <v>0</v>
      </c>
      <c r="AC156" s="278">
        <v>77198</v>
      </c>
      <c r="AD156" s="278">
        <v>0</v>
      </c>
      <c r="AE156" s="278">
        <v>28802.86</v>
      </c>
      <c r="AF156" s="278">
        <v>-8640.8799999999992</v>
      </c>
      <c r="AG156" s="278">
        <v>0</v>
      </c>
      <c r="AH156" s="278">
        <v>41380.26</v>
      </c>
    </row>
    <row r="157" spans="1:34">
      <c r="A157" s="278" t="s">
        <v>491</v>
      </c>
      <c r="B157" s="278">
        <v>400</v>
      </c>
      <c r="C157" s="278">
        <v>26400</v>
      </c>
      <c r="D157" s="278">
        <v>66</v>
      </c>
      <c r="E157" s="278">
        <v>0</v>
      </c>
      <c r="F157" s="278">
        <v>65000</v>
      </c>
      <c r="G157" s="278">
        <v>325</v>
      </c>
      <c r="H157" s="278">
        <v>0</v>
      </c>
      <c r="I157" s="278">
        <v>0</v>
      </c>
      <c r="J157" s="278">
        <v>0</v>
      </c>
      <c r="K157" s="278">
        <v>0</v>
      </c>
      <c r="L157" s="278">
        <v>0</v>
      </c>
      <c r="M157" s="278">
        <v>0</v>
      </c>
      <c r="N157" s="278">
        <v>0</v>
      </c>
      <c r="O157" s="278">
        <v>0</v>
      </c>
      <c r="P157" s="278">
        <v>0</v>
      </c>
      <c r="Q157" s="278">
        <v>0</v>
      </c>
      <c r="R157" s="278">
        <v>0</v>
      </c>
      <c r="S157" s="278">
        <v>0</v>
      </c>
      <c r="T157" s="278">
        <v>0</v>
      </c>
      <c r="U157" s="278">
        <v>0</v>
      </c>
      <c r="V157" s="278">
        <v>0</v>
      </c>
      <c r="W157" s="278">
        <v>0</v>
      </c>
      <c r="X157" s="278">
        <v>0</v>
      </c>
      <c r="Y157" s="278">
        <v>91400</v>
      </c>
      <c r="Z157" s="278">
        <v>391</v>
      </c>
      <c r="AA157" s="278">
        <v>0</v>
      </c>
      <c r="AB157" s="278">
        <v>0</v>
      </c>
      <c r="AC157" s="278">
        <v>68902</v>
      </c>
      <c r="AD157" s="278">
        <v>0</v>
      </c>
      <c r="AE157" s="278">
        <v>26994.35</v>
      </c>
      <c r="AF157" s="278">
        <v>-8098.33</v>
      </c>
      <c r="AG157" s="278">
        <v>0</v>
      </c>
      <c r="AH157" s="278">
        <v>37338.71</v>
      </c>
    </row>
    <row r="158" spans="1:34">
      <c r="A158" s="278" t="s">
        <v>491</v>
      </c>
      <c r="B158" s="278">
        <v>400</v>
      </c>
      <c r="C158" s="278">
        <v>26400</v>
      </c>
      <c r="D158" s="278">
        <v>66</v>
      </c>
      <c r="E158" s="278">
        <v>0</v>
      </c>
      <c r="F158" s="278">
        <v>64200</v>
      </c>
      <c r="G158" s="278">
        <v>321</v>
      </c>
      <c r="H158" s="278">
        <v>0</v>
      </c>
      <c r="I158" s="278">
        <v>0</v>
      </c>
      <c r="J158" s="278">
        <v>0</v>
      </c>
      <c r="K158" s="278">
        <v>0</v>
      </c>
      <c r="L158" s="278">
        <v>0</v>
      </c>
      <c r="M158" s="278">
        <v>0</v>
      </c>
      <c r="N158" s="278">
        <v>0</v>
      </c>
      <c r="O158" s="278">
        <v>0</v>
      </c>
      <c r="P158" s="278">
        <v>0</v>
      </c>
      <c r="Q158" s="278">
        <v>0</v>
      </c>
      <c r="R158" s="278">
        <v>0</v>
      </c>
      <c r="S158" s="278">
        <v>0</v>
      </c>
      <c r="T158" s="278">
        <v>0</v>
      </c>
      <c r="U158" s="278">
        <v>0</v>
      </c>
      <c r="V158" s="278">
        <v>0</v>
      </c>
      <c r="W158" s="278">
        <v>0</v>
      </c>
      <c r="X158" s="278">
        <v>0</v>
      </c>
      <c r="Y158" s="278">
        <v>90600</v>
      </c>
      <c r="Z158" s="278">
        <v>387</v>
      </c>
      <c r="AA158" s="278">
        <v>0</v>
      </c>
      <c r="AB158" s="278">
        <v>0</v>
      </c>
      <c r="AC158" s="278">
        <v>68112</v>
      </c>
      <c r="AD158" s="278">
        <v>0</v>
      </c>
      <c r="AE158" s="278">
        <v>26983.43</v>
      </c>
      <c r="AF158" s="278">
        <v>-8095.05</v>
      </c>
      <c r="AG158" s="278">
        <v>0</v>
      </c>
      <c r="AH158" s="278">
        <v>37004.65</v>
      </c>
    </row>
    <row r="159" spans="1:34">
      <c r="A159" s="278" t="s">
        <v>491</v>
      </c>
      <c r="B159" s="278">
        <v>400</v>
      </c>
      <c r="C159" s="278">
        <v>26000</v>
      </c>
      <c r="D159" s="278">
        <v>65</v>
      </c>
      <c r="E159" s="278">
        <v>0</v>
      </c>
      <c r="F159" s="278">
        <v>61400</v>
      </c>
      <c r="G159" s="278">
        <v>307</v>
      </c>
      <c r="H159" s="278">
        <v>0</v>
      </c>
      <c r="I159" s="278">
        <v>0</v>
      </c>
      <c r="J159" s="278">
        <v>0</v>
      </c>
      <c r="K159" s="278">
        <v>0</v>
      </c>
      <c r="L159" s="278">
        <v>0</v>
      </c>
      <c r="M159" s="278">
        <v>0</v>
      </c>
      <c r="N159" s="278">
        <v>0</v>
      </c>
      <c r="O159" s="278">
        <v>0</v>
      </c>
      <c r="P159" s="278">
        <v>0</v>
      </c>
      <c r="Q159" s="278">
        <v>0</v>
      </c>
      <c r="R159" s="278">
        <v>0</v>
      </c>
      <c r="S159" s="278">
        <v>0</v>
      </c>
      <c r="T159" s="278">
        <v>0</v>
      </c>
      <c r="U159" s="278">
        <v>0</v>
      </c>
      <c r="V159" s="278">
        <v>0</v>
      </c>
      <c r="W159" s="278">
        <v>0</v>
      </c>
      <c r="X159" s="278">
        <v>0</v>
      </c>
      <c r="Y159" s="278">
        <v>87400</v>
      </c>
      <c r="Z159" s="278">
        <v>372</v>
      </c>
      <c r="AA159" s="278">
        <v>0</v>
      </c>
      <c r="AB159" s="278">
        <v>0</v>
      </c>
      <c r="AC159" s="278">
        <v>64714</v>
      </c>
      <c r="AD159" s="278">
        <v>0</v>
      </c>
      <c r="AE159" s="278">
        <v>27221.03</v>
      </c>
      <c r="AF159" s="278">
        <v>-8166.33</v>
      </c>
      <c r="AG159" s="278">
        <v>0</v>
      </c>
      <c r="AH159" s="278">
        <v>35657.440000000002</v>
      </c>
    </row>
    <row r="160" spans="1:34">
      <c r="A160" s="278" t="s">
        <v>491</v>
      </c>
      <c r="B160" s="278">
        <v>400</v>
      </c>
      <c r="C160" s="278">
        <v>25200</v>
      </c>
      <c r="D160" s="278">
        <v>63</v>
      </c>
      <c r="E160" s="278">
        <v>0</v>
      </c>
      <c r="F160" s="278">
        <v>62400</v>
      </c>
      <c r="G160" s="278">
        <v>312</v>
      </c>
      <c r="H160" s="278">
        <v>0</v>
      </c>
      <c r="I160" s="278">
        <v>0</v>
      </c>
      <c r="J160" s="278">
        <v>0</v>
      </c>
      <c r="K160" s="278">
        <v>0</v>
      </c>
      <c r="L160" s="278">
        <v>0</v>
      </c>
      <c r="M160" s="278">
        <v>0</v>
      </c>
      <c r="N160" s="278">
        <v>0</v>
      </c>
      <c r="O160" s="278">
        <v>0</v>
      </c>
      <c r="P160" s="278">
        <v>0</v>
      </c>
      <c r="Q160" s="278">
        <v>0</v>
      </c>
      <c r="R160" s="278">
        <v>0</v>
      </c>
      <c r="S160" s="278">
        <v>0</v>
      </c>
      <c r="T160" s="278">
        <v>0</v>
      </c>
      <c r="U160" s="278">
        <v>0</v>
      </c>
      <c r="V160" s="278">
        <v>0</v>
      </c>
      <c r="W160" s="278">
        <v>0</v>
      </c>
      <c r="X160" s="278">
        <v>0</v>
      </c>
      <c r="Y160" s="278">
        <v>87600</v>
      </c>
      <c r="Z160" s="278">
        <v>375</v>
      </c>
      <c r="AA160" s="278">
        <v>0</v>
      </c>
      <c r="AB160" s="278">
        <v>0</v>
      </c>
      <c r="AC160" s="278">
        <v>65432</v>
      </c>
      <c r="AD160" s="278">
        <v>0</v>
      </c>
      <c r="AE160" s="278">
        <v>26599.43</v>
      </c>
      <c r="AF160" s="278">
        <v>-7979.85</v>
      </c>
      <c r="AG160" s="278">
        <v>0</v>
      </c>
      <c r="AH160" s="278">
        <v>35762.11</v>
      </c>
    </row>
    <row r="161" spans="1:34">
      <c r="A161" s="278" t="s">
        <v>491</v>
      </c>
      <c r="B161" s="278">
        <v>400</v>
      </c>
      <c r="C161" s="278">
        <v>24400</v>
      </c>
      <c r="D161" s="278">
        <v>61</v>
      </c>
      <c r="E161" s="278">
        <v>0</v>
      </c>
      <c r="F161" s="278">
        <v>64400</v>
      </c>
      <c r="G161" s="278">
        <v>322</v>
      </c>
      <c r="H161" s="278">
        <v>0</v>
      </c>
      <c r="I161" s="278">
        <v>0</v>
      </c>
      <c r="J161" s="278">
        <v>0</v>
      </c>
      <c r="K161" s="278">
        <v>0</v>
      </c>
      <c r="L161" s="278">
        <v>0</v>
      </c>
      <c r="M161" s="278">
        <v>0</v>
      </c>
      <c r="N161" s="278">
        <v>0</v>
      </c>
      <c r="O161" s="278">
        <v>0</v>
      </c>
      <c r="P161" s="278">
        <v>0</v>
      </c>
      <c r="Q161" s="278">
        <v>0</v>
      </c>
      <c r="R161" s="278">
        <v>0</v>
      </c>
      <c r="S161" s="278">
        <v>0</v>
      </c>
      <c r="T161" s="278">
        <v>0</v>
      </c>
      <c r="U161" s="278">
        <v>0</v>
      </c>
      <c r="V161" s="278">
        <v>0</v>
      </c>
      <c r="W161" s="278">
        <v>0</v>
      </c>
      <c r="X161" s="278">
        <v>0</v>
      </c>
      <c r="Y161" s="278">
        <v>88800</v>
      </c>
      <c r="Z161" s="278">
        <v>383</v>
      </c>
      <c r="AA161" s="278">
        <v>0</v>
      </c>
      <c r="AB161" s="278">
        <v>0</v>
      </c>
      <c r="AC161" s="278">
        <v>66944</v>
      </c>
      <c r="AD161" s="278">
        <v>0</v>
      </c>
      <c r="AE161" s="278">
        <v>26227.75</v>
      </c>
      <c r="AF161" s="278">
        <v>-7868.35</v>
      </c>
      <c r="AG161" s="278">
        <v>0</v>
      </c>
      <c r="AH161" s="278">
        <v>36277.82</v>
      </c>
    </row>
    <row r="162" spans="1:34">
      <c r="A162" s="278" t="s">
        <v>491</v>
      </c>
      <c r="B162" s="278">
        <v>400</v>
      </c>
      <c r="C162" s="278">
        <v>24000</v>
      </c>
      <c r="D162" s="278">
        <v>60</v>
      </c>
      <c r="E162" s="278">
        <v>0</v>
      </c>
      <c r="F162" s="278">
        <v>58200</v>
      </c>
      <c r="G162" s="278">
        <v>291</v>
      </c>
      <c r="H162" s="278">
        <v>0</v>
      </c>
      <c r="I162" s="278">
        <v>0</v>
      </c>
      <c r="J162" s="278">
        <v>0</v>
      </c>
      <c r="K162" s="278">
        <v>0</v>
      </c>
      <c r="L162" s="278">
        <v>0</v>
      </c>
      <c r="M162" s="278">
        <v>0</v>
      </c>
      <c r="N162" s="278">
        <v>0</v>
      </c>
      <c r="O162" s="278">
        <v>0</v>
      </c>
      <c r="P162" s="278">
        <v>0</v>
      </c>
      <c r="Q162" s="278">
        <v>0</v>
      </c>
      <c r="R162" s="278">
        <v>0</v>
      </c>
      <c r="S162" s="278">
        <v>0</v>
      </c>
      <c r="T162" s="278">
        <v>0</v>
      </c>
      <c r="U162" s="278">
        <v>0</v>
      </c>
      <c r="V162" s="278">
        <v>0</v>
      </c>
      <c r="W162" s="278">
        <v>0</v>
      </c>
      <c r="X162" s="278">
        <v>0</v>
      </c>
      <c r="Y162" s="278">
        <v>82200</v>
      </c>
      <c r="Z162" s="278">
        <v>351</v>
      </c>
      <c r="AA162" s="278">
        <v>0</v>
      </c>
      <c r="AB162" s="278">
        <v>0</v>
      </c>
      <c r="AC162" s="278">
        <v>60674</v>
      </c>
      <c r="AD162" s="278">
        <v>0</v>
      </c>
      <c r="AE162" s="278">
        <v>25830.11</v>
      </c>
      <c r="AF162" s="278">
        <v>-7749.05</v>
      </c>
      <c r="AG162" s="278">
        <v>0</v>
      </c>
      <c r="AH162" s="278">
        <v>33528.559999999998</v>
      </c>
    </row>
    <row r="163" spans="1:34">
      <c r="A163" s="278" t="s">
        <v>491</v>
      </c>
      <c r="B163" s="278">
        <v>400</v>
      </c>
      <c r="C163" s="278">
        <v>23600</v>
      </c>
      <c r="D163" s="278">
        <v>59</v>
      </c>
      <c r="E163" s="278">
        <v>0</v>
      </c>
      <c r="F163" s="278">
        <v>59200</v>
      </c>
      <c r="G163" s="278">
        <v>296</v>
      </c>
      <c r="H163" s="278">
        <v>0</v>
      </c>
      <c r="I163" s="278">
        <v>0</v>
      </c>
      <c r="J163" s="278">
        <v>0</v>
      </c>
      <c r="K163" s="278">
        <v>0</v>
      </c>
      <c r="L163" s="278">
        <v>0</v>
      </c>
      <c r="M163" s="278">
        <v>0</v>
      </c>
      <c r="N163" s="278">
        <v>0</v>
      </c>
      <c r="O163" s="278">
        <v>0</v>
      </c>
      <c r="P163" s="278">
        <v>0</v>
      </c>
      <c r="Q163" s="278">
        <v>0</v>
      </c>
      <c r="R163" s="278">
        <v>0</v>
      </c>
      <c r="S163" s="278">
        <v>0</v>
      </c>
      <c r="T163" s="278">
        <v>0</v>
      </c>
      <c r="U163" s="278">
        <v>0</v>
      </c>
      <c r="V163" s="278">
        <v>0</v>
      </c>
      <c r="W163" s="278">
        <v>0</v>
      </c>
      <c r="X163" s="278">
        <v>0</v>
      </c>
      <c r="Y163" s="278">
        <v>82800</v>
      </c>
      <c r="Z163" s="278">
        <v>355</v>
      </c>
      <c r="AA163" s="278">
        <v>0</v>
      </c>
      <c r="AB163" s="278">
        <v>0</v>
      </c>
      <c r="AC163" s="278">
        <v>60976</v>
      </c>
      <c r="AD163" s="278">
        <v>0</v>
      </c>
      <c r="AE163" s="278">
        <v>26188.53</v>
      </c>
      <c r="AF163" s="278">
        <v>-7856.58</v>
      </c>
      <c r="AG163" s="278">
        <v>0</v>
      </c>
      <c r="AH163" s="278">
        <v>33767.85</v>
      </c>
    </row>
    <row r="164" spans="1:34">
      <c r="A164" s="278" t="s">
        <v>491</v>
      </c>
      <c r="B164" s="278">
        <v>400</v>
      </c>
      <c r="C164" s="278">
        <v>23600</v>
      </c>
      <c r="D164" s="278">
        <v>59</v>
      </c>
      <c r="E164" s="278">
        <v>0</v>
      </c>
      <c r="F164" s="278">
        <v>59600</v>
      </c>
      <c r="G164" s="278">
        <v>298</v>
      </c>
      <c r="H164" s="278">
        <v>0</v>
      </c>
      <c r="I164" s="278">
        <v>0</v>
      </c>
      <c r="J164" s="278">
        <v>0</v>
      </c>
      <c r="K164" s="278">
        <v>0</v>
      </c>
      <c r="L164" s="278">
        <v>0</v>
      </c>
      <c r="M164" s="278">
        <v>0</v>
      </c>
      <c r="N164" s="278">
        <v>0</v>
      </c>
      <c r="O164" s="278">
        <v>0</v>
      </c>
      <c r="P164" s="278">
        <v>0</v>
      </c>
      <c r="Q164" s="278">
        <v>-200</v>
      </c>
      <c r="R164" s="278">
        <v>1</v>
      </c>
      <c r="S164" s="278">
        <v>0</v>
      </c>
      <c r="T164" s="278">
        <v>0</v>
      </c>
      <c r="U164" s="278">
        <v>0</v>
      </c>
      <c r="V164" s="278">
        <v>0</v>
      </c>
      <c r="W164" s="278">
        <v>0</v>
      </c>
      <c r="X164" s="278">
        <v>0</v>
      </c>
      <c r="Y164" s="278">
        <v>83200</v>
      </c>
      <c r="Z164" s="278">
        <v>357</v>
      </c>
      <c r="AA164" s="278">
        <v>-200</v>
      </c>
      <c r="AB164" s="278">
        <v>1</v>
      </c>
      <c r="AC164" s="278">
        <v>61914</v>
      </c>
      <c r="AD164" s="278">
        <v>-200</v>
      </c>
      <c r="AE164" s="278">
        <v>25542.93</v>
      </c>
      <c r="AF164" s="278">
        <v>-7662.9</v>
      </c>
      <c r="AG164" s="278">
        <v>0</v>
      </c>
      <c r="AH164" s="278">
        <v>33873.339999999997</v>
      </c>
    </row>
    <row r="165" spans="1:34">
      <c r="A165" s="278" t="s">
        <v>491</v>
      </c>
      <c r="B165" s="278">
        <v>400</v>
      </c>
      <c r="C165" s="278">
        <v>23200</v>
      </c>
      <c r="D165" s="278">
        <v>58</v>
      </c>
      <c r="E165" s="278">
        <v>0</v>
      </c>
      <c r="F165" s="278">
        <v>58800</v>
      </c>
      <c r="G165" s="278">
        <v>294</v>
      </c>
      <c r="H165" s="278">
        <v>0</v>
      </c>
      <c r="I165" s="278">
        <v>0</v>
      </c>
      <c r="J165" s="278">
        <v>0</v>
      </c>
      <c r="K165" s="278">
        <v>0</v>
      </c>
      <c r="L165" s="278">
        <v>0</v>
      </c>
      <c r="M165" s="278">
        <v>0</v>
      </c>
      <c r="N165" s="278">
        <v>0</v>
      </c>
      <c r="O165" s="278">
        <v>0</v>
      </c>
      <c r="P165" s="278">
        <v>0</v>
      </c>
      <c r="Q165" s="278">
        <v>0</v>
      </c>
      <c r="R165" s="278">
        <v>0</v>
      </c>
      <c r="S165" s="278">
        <v>0</v>
      </c>
      <c r="T165" s="278">
        <v>0</v>
      </c>
      <c r="U165" s="278">
        <v>0</v>
      </c>
      <c r="V165" s="278">
        <v>0</v>
      </c>
      <c r="W165" s="278">
        <v>0</v>
      </c>
      <c r="X165" s="278">
        <v>0</v>
      </c>
      <c r="Y165" s="278">
        <v>82000</v>
      </c>
      <c r="Z165" s="278">
        <v>352</v>
      </c>
      <c r="AA165" s="278">
        <v>0</v>
      </c>
      <c r="AB165" s="278">
        <v>0</v>
      </c>
      <c r="AC165" s="278">
        <v>60814</v>
      </c>
      <c r="AD165" s="278">
        <v>0</v>
      </c>
      <c r="AE165" s="278">
        <v>25425.39</v>
      </c>
      <c r="AF165" s="278">
        <v>-7627.64</v>
      </c>
      <c r="AG165" s="278">
        <v>0</v>
      </c>
      <c r="AH165" s="278">
        <v>33459.67</v>
      </c>
    </row>
    <row r="166" spans="1:34">
      <c r="A166" s="278" t="s">
        <v>491</v>
      </c>
      <c r="B166" s="278">
        <v>400</v>
      </c>
      <c r="C166" s="278">
        <v>22400</v>
      </c>
      <c r="D166" s="278">
        <v>56</v>
      </c>
      <c r="E166" s="278">
        <v>0</v>
      </c>
      <c r="F166" s="278">
        <v>60200</v>
      </c>
      <c r="G166" s="278">
        <v>301</v>
      </c>
      <c r="H166" s="278">
        <v>0</v>
      </c>
      <c r="I166" s="278">
        <v>0</v>
      </c>
      <c r="J166" s="278">
        <v>0</v>
      </c>
      <c r="K166" s="278">
        <v>0</v>
      </c>
      <c r="L166" s="278">
        <v>0</v>
      </c>
      <c r="M166" s="278">
        <v>0</v>
      </c>
      <c r="N166" s="278">
        <v>0</v>
      </c>
      <c r="O166" s="278">
        <v>0</v>
      </c>
      <c r="P166" s="278">
        <v>0</v>
      </c>
      <c r="Q166" s="278">
        <v>0</v>
      </c>
      <c r="R166" s="278">
        <v>0</v>
      </c>
      <c r="S166" s="278">
        <v>0</v>
      </c>
      <c r="T166" s="278">
        <v>0</v>
      </c>
      <c r="U166" s="278">
        <v>0</v>
      </c>
      <c r="V166" s="278">
        <v>0</v>
      </c>
      <c r="W166" s="278">
        <v>0</v>
      </c>
      <c r="X166" s="278">
        <v>0</v>
      </c>
      <c r="Y166" s="278">
        <v>82600</v>
      </c>
      <c r="Z166" s="278">
        <v>357</v>
      </c>
      <c r="AA166" s="278">
        <v>0</v>
      </c>
      <c r="AB166" s="278">
        <v>0</v>
      </c>
      <c r="AC166" s="278">
        <v>61245</v>
      </c>
      <c r="AD166" s="278">
        <v>0</v>
      </c>
      <c r="AE166" s="278">
        <v>25624.91</v>
      </c>
      <c r="AF166" s="278">
        <v>-7687.49</v>
      </c>
      <c r="AG166" s="278">
        <v>0</v>
      </c>
      <c r="AH166" s="278">
        <v>33702.89</v>
      </c>
    </row>
    <row r="167" spans="1:34">
      <c r="A167" s="278" t="s">
        <v>491</v>
      </c>
      <c r="B167" s="278">
        <v>0</v>
      </c>
      <c r="C167" s="278">
        <v>0</v>
      </c>
      <c r="D167" s="278">
        <v>0</v>
      </c>
      <c r="E167" s="278">
        <v>2480</v>
      </c>
      <c r="F167" s="278">
        <v>0</v>
      </c>
      <c r="G167" s="278">
        <v>0</v>
      </c>
      <c r="H167" s="278">
        <v>667</v>
      </c>
      <c r="I167" s="278">
        <v>0</v>
      </c>
      <c r="J167" s="278">
        <v>0</v>
      </c>
      <c r="K167" s="278">
        <v>0</v>
      </c>
      <c r="L167" s="278">
        <v>0</v>
      </c>
      <c r="M167" s="278">
        <v>0</v>
      </c>
      <c r="N167" s="278">
        <v>0</v>
      </c>
      <c r="O167" s="278">
        <v>0</v>
      </c>
      <c r="P167" s="278">
        <v>0</v>
      </c>
      <c r="Q167" s="278">
        <v>0</v>
      </c>
      <c r="R167" s="278">
        <v>0</v>
      </c>
      <c r="S167" s="278">
        <v>0</v>
      </c>
      <c r="T167" s="278">
        <v>0</v>
      </c>
      <c r="U167" s="278">
        <v>0</v>
      </c>
      <c r="V167" s="278">
        <v>0</v>
      </c>
      <c r="W167" s="278">
        <v>0</v>
      </c>
      <c r="X167" s="278">
        <v>0</v>
      </c>
      <c r="Y167" s="278">
        <v>0</v>
      </c>
      <c r="Z167" s="278">
        <v>3147</v>
      </c>
      <c r="AA167" s="278">
        <v>0</v>
      </c>
      <c r="AB167" s="278">
        <v>0</v>
      </c>
      <c r="AC167" s="278">
        <v>0</v>
      </c>
      <c r="AD167" s="278">
        <v>0</v>
      </c>
      <c r="AE167" s="278">
        <v>0</v>
      </c>
      <c r="AF167" s="278">
        <v>0</v>
      </c>
      <c r="AG167" s="278">
        <v>0</v>
      </c>
      <c r="AH167" s="278">
        <v>0</v>
      </c>
    </row>
    <row r="168" spans="1:34">
      <c r="A168" s="278" t="s">
        <v>491</v>
      </c>
      <c r="B168" s="278">
        <v>0</v>
      </c>
      <c r="C168" s="278">
        <v>0</v>
      </c>
      <c r="D168" s="278">
        <v>0</v>
      </c>
      <c r="E168" s="278">
        <v>2337</v>
      </c>
      <c r="F168" s="278">
        <v>0</v>
      </c>
      <c r="G168" s="278">
        <v>0</v>
      </c>
      <c r="H168" s="278">
        <v>1680</v>
      </c>
      <c r="I168" s="278">
        <v>0</v>
      </c>
      <c r="J168" s="278">
        <v>0</v>
      </c>
      <c r="K168" s="278">
        <v>0</v>
      </c>
      <c r="L168" s="278">
        <v>0</v>
      </c>
      <c r="M168" s="278">
        <v>0</v>
      </c>
      <c r="N168" s="278">
        <v>0</v>
      </c>
      <c r="O168" s="278">
        <v>0</v>
      </c>
      <c r="P168" s="278">
        <v>0</v>
      </c>
      <c r="Q168" s="278">
        <v>0</v>
      </c>
      <c r="R168" s="278">
        <v>0</v>
      </c>
      <c r="S168" s="278">
        <v>0</v>
      </c>
      <c r="T168" s="278">
        <v>0</v>
      </c>
      <c r="U168" s="278">
        <v>0</v>
      </c>
      <c r="V168" s="278">
        <v>0</v>
      </c>
      <c r="W168" s="278">
        <v>0</v>
      </c>
      <c r="X168" s="278">
        <v>0</v>
      </c>
      <c r="Y168" s="278">
        <v>0</v>
      </c>
      <c r="Z168" s="278">
        <v>4017</v>
      </c>
      <c r="AA168" s="278">
        <v>0</v>
      </c>
      <c r="AB168" s="278">
        <v>0</v>
      </c>
      <c r="AC168" s="278">
        <v>0</v>
      </c>
      <c r="AD168" s="278">
        <v>0</v>
      </c>
      <c r="AE168" s="278">
        <v>0</v>
      </c>
      <c r="AF168" s="278">
        <v>0</v>
      </c>
      <c r="AG168" s="278">
        <v>0</v>
      </c>
      <c r="AH168" s="278">
        <v>0</v>
      </c>
    </row>
    <row r="169" spans="1:34">
      <c r="A169" s="278" t="s">
        <v>491</v>
      </c>
      <c r="B169" s="278">
        <v>0</v>
      </c>
      <c r="C169" s="278">
        <v>0</v>
      </c>
      <c r="D169" s="278">
        <v>0</v>
      </c>
      <c r="E169" s="278">
        <v>2582</v>
      </c>
      <c r="F169" s="278">
        <v>0</v>
      </c>
      <c r="G169" s="278">
        <v>0</v>
      </c>
      <c r="H169" s="278">
        <v>802</v>
      </c>
      <c r="I169" s="278">
        <v>0</v>
      </c>
      <c r="J169" s="278">
        <v>0</v>
      </c>
      <c r="K169" s="278">
        <v>0</v>
      </c>
      <c r="L169" s="278">
        <v>0</v>
      </c>
      <c r="M169" s="278">
        <v>0</v>
      </c>
      <c r="N169" s="278">
        <v>0</v>
      </c>
      <c r="O169" s="278">
        <v>0</v>
      </c>
      <c r="P169" s="278">
        <v>0</v>
      </c>
      <c r="Q169" s="278">
        <v>0</v>
      </c>
      <c r="R169" s="278">
        <v>0</v>
      </c>
      <c r="S169" s="278">
        <v>0</v>
      </c>
      <c r="T169" s="278">
        <v>0</v>
      </c>
      <c r="U169" s="278">
        <v>0</v>
      </c>
      <c r="V169" s="278">
        <v>0</v>
      </c>
      <c r="W169" s="278">
        <v>0</v>
      </c>
      <c r="X169" s="278">
        <v>0</v>
      </c>
      <c r="Y169" s="278">
        <v>0</v>
      </c>
      <c r="Z169" s="278">
        <v>3384</v>
      </c>
      <c r="AA169" s="278">
        <v>0</v>
      </c>
      <c r="AB169" s="278">
        <v>0</v>
      </c>
      <c r="AC169" s="278">
        <v>0</v>
      </c>
      <c r="AD169" s="278">
        <v>0</v>
      </c>
      <c r="AE169" s="278">
        <v>0</v>
      </c>
      <c r="AF169" s="278">
        <v>0</v>
      </c>
      <c r="AG169" s="278">
        <v>0</v>
      </c>
      <c r="AH169" s="278">
        <v>0</v>
      </c>
    </row>
    <row r="170" spans="1:34">
      <c r="A170" s="278" t="s">
        <v>491</v>
      </c>
      <c r="B170" s="278">
        <v>0</v>
      </c>
      <c r="C170" s="278">
        <v>0</v>
      </c>
      <c r="D170" s="278">
        <v>0</v>
      </c>
      <c r="E170" s="278">
        <v>2790</v>
      </c>
      <c r="F170" s="278">
        <v>0</v>
      </c>
      <c r="G170" s="278">
        <v>0</v>
      </c>
      <c r="H170" s="278">
        <v>723</v>
      </c>
      <c r="I170" s="278">
        <v>0</v>
      </c>
      <c r="J170" s="278">
        <v>0</v>
      </c>
      <c r="K170" s="278">
        <v>0</v>
      </c>
      <c r="L170" s="278">
        <v>0</v>
      </c>
      <c r="M170" s="278">
        <v>0</v>
      </c>
      <c r="N170" s="278">
        <v>0</v>
      </c>
      <c r="O170" s="278">
        <v>0</v>
      </c>
      <c r="P170" s="278">
        <v>0</v>
      </c>
      <c r="Q170" s="278">
        <v>0</v>
      </c>
      <c r="R170" s="278">
        <v>0</v>
      </c>
      <c r="S170" s="278">
        <v>0</v>
      </c>
      <c r="T170" s="278">
        <v>0</v>
      </c>
      <c r="U170" s="278">
        <v>0</v>
      </c>
      <c r="V170" s="278">
        <v>0</v>
      </c>
      <c r="W170" s="278">
        <v>0</v>
      </c>
      <c r="X170" s="278">
        <v>0</v>
      </c>
      <c r="Y170" s="278">
        <v>0</v>
      </c>
      <c r="Z170" s="278">
        <v>3513</v>
      </c>
      <c r="AA170" s="278">
        <v>0</v>
      </c>
      <c r="AB170" s="278">
        <v>0</v>
      </c>
      <c r="AC170" s="278">
        <v>0</v>
      </c>
      <c r="AD170" s="278">
        <v>0</v>
      </c>
      <c r="AE170" s="278">
        <v>0</v>
      </c>
      <c r="AF170" s="278">
        <v>0</v>
      </c>
      <c r="AG170" s="278">
        <v>0</v>
      </c>
      <c r="AH170" s="278">
        <v>0</v>
      </c>
    </row>
    <row r="171" spans="1:34">
      <c r="A171" s="278" t="s">
        <v>491</v>
      </c>
      <c r="B171" s="278">
        <v>0</v>
      </c>
      <c r="C171" s="278">
        <v>0</v>
      </c>
      <c r="D171" s="278">
        <v>0</v>
      </c>
      <c r="E171" s="278">
        <v>2689</v>
      </c>
      <c r="F171" s="278">
        <v>0</v>
      </c>
      <c r="G171" s="278">
        <v>0</v>
      </c>
      <c r="H171" s="278">
        <v>692</v>
      </c>
      <c r="I171" s="278">
        <v>0</v>
      </c>
      <c r="J171" s="278">
        <v>0</v>
      </c>
      <c r="K171" s="278">
        <v>0</v>
      </c>
      <c r="L171" s="278">
        <v>0</v>
      </c>
      <c r="M171" s="278">
        <v>0</v>
      </c>
      <c r="N171" s="278">
        <v>0</v>
      </c>
      <c r="O171" s="278">
        <v>0</v>
      </c>
      <c r="P171" s="278">
        <v>0</v>
      </c>
      <c r="Q171" s="278">
        <v>0</v>
      </c>
      <c r="R171" s="278">
        <v>0</v>
      </c>
      <c r="S171" s="278">
        <v>0</v>
      </c>
      <c r="T171" s="278">
        <v>0</v>
      </c>
      <c r="U171" s="278">
        <v>0</v>
      </c>
      <c r="V171" s="278">
        <v>0</v>
      </c>
      <c r="W171" s="278">
        <v>0</v>
      </c>
      <c r="X171" s="278">
        <v>0</v>
      </c>
      <c r="Y171" s="278">
        <v>0</v>
      </c>
      <c r="Z171" s="278">
        <v>3381</v>
      </c>
      <c r="AA171" s="278">
        <v>0</v>
      </c>
      <c r="AB171" s="278">
        <v>0</v>
      </c>
      <c r="AC171" s="278">
        <v>0</v>
      </c>
      <c r="AD171" s="278">
        <v>0</v>
      </c>
      <c r="AE171" s="278">
        <v>0</v>
      </c>
      <c r="AF171" s="278">
        <v>0</v>
      </c>
      <c r="AG171" s="278">
        <v>0</v>
      </c>
      <c r="AH171" s="278">
        <v>0</v>
      </c>
    </row>
    <row r="172" spans="1:34">
      <c r="AH172" s="102">
        <f>SUM(AH10:AH171)</f>
        <v>11017001.270000003</v>
      </c>
    </row>
  </sheetData>
  <phoneticPr fontId="31" type="noConversion"/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합계</vt:lpstr>
      <vt:lpstr>계정정보</vt:lpstr>
      <vt:lpstr>카카오페이지1</vt:lpstr>
      <vt:lpstr>카카오페이지2</vt:lpstr>
      <vt:lpstr>네이버웹툰1</vt:lpstr>
      <vt:lpstr>네이버웹툰2</vt:lpstr>
      <vt:lpstr>테크앤조이</vt:lpstr>
      <vt:lpstr>키다리스튜디오</vt:lpstr>
      <vt:lpstr>탑툰</vt:lpstr>
      <vt:lpstr>리디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2019-07-05T08:56:44Z</cp:lastPrinted>
  <dcterms:created xsi:type="dcterms:W3CDTF">2018-09-06T02:47:59Z</dcterms:created>
  <dcterms:modified xsi:type="dcterms:W3CDTF">2022-11-04T01:10:18Z</dcterms:modified>
</cp:coreProperties>
</file>