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0월\1. 월초마감\"/>
    </mc:Choice>
  </mc:AlternateContent>
  <bookViews>
    <workbookView xWindow="0" yWindow="0" windowWidth="23040" windowHeight="8832"/>
  </bookViews>
  <sheets>
    <sheet name="Worksheet" sheetId="1" r:id="rId1"/>
  </sheets>
  <calcPr calcId="152511"/>
</workbook>
</file>

<file path=xl/calcChain.xml><?xml version="1.0" encoding="utf-8"?>
<calcChain xmlns="http://schemas.openxmlformats.org/spreadsheetml/2006/main">
  <c r="N10" i="1" l="1"/>
  <c r="N8" i="1"/>
  <c r="N7" i="1"/>
  <c r="N6" i="1"/>
</calcChain>
</file>

<file path=xl/sharedStrings.xml><?xml version="1.0" encoding="utf-8"?>
<sst xmlns="http://schemas.openxmlformats.org/spreadsheetml/2006/main" count="47" uniqueCount="42">
  <si>
    <t>번호</t>
  </si>
  <si>
    <t>매출처</t>
  </si>
  <si>
    <t>플랫폼</t>
  </si>
  <si>
    <t>제목</t>
  </si>
  <si>
    <t>작가</t>
  </si>
  <si>
    <t>출판사</t>
  </si>
  <si>
    <t>정가</t>
  </si>
  <si>
    <t>판매가</t>
  </si>
  <si>
    <t>판매수</t>
  </si>
  <si>
    <t>순매출</t>
  </si>
  <si>
    <t>저작권자 정산</t>
  </si>
  <si>
    <t>누온</t>
  </si>
  <si>
    <t>리디북스</t>
  </si>
  <si>
    <t>트리거</t>
  </si>
  <si>
    <t>류은립, 블랙커피</t>
  </si>
  <si>
    <t>스튜디오 온</t>
  </si>
  <si>
    <t>미통보</t>
  </si>
  <si>
    <t>매출월</t>
    <phoneticPr fontId="3" type="noConversion"/>
  </si>
  <si>
    <t>플랫폼</t>
    <phoneticPr fontId="3" type="noConversion"/>
  </si>
  <si>
    <t>저자명</t>
    <phoneticPr fontId="3" type="noConversion"/>
  </si>
  <si>
    <t>출판사</t>
    <phoneticPr fontId="3" type="noConversion"/>
  </si>
  <si>
    <t>인세인</t>
    <phoneticPr fontId="3" type="noConversion"/>
  </si>
  <si>
    <t>정산-인세</t>
    <phoneticPr fontId="3" type="noConversion"/>
  </si>
  <si>
    <t>델리툰-독일</t>
    <phoneticPr fontId="3" type="noConversion"/>
  </si>
  <si>
    <t>트리거</t>
    <phoneticPr fontId="3" type="noConversion"/>
  </si>
  <si>
    <t>스토리위즈(사업자)</t>
  </si>
  <si>
    <t>정산액</t>
  </si>
  <si>
    <t>웹툰</t>
    <phoneticPr fontId="3" type="noConversion"/>
  </si>
  <si>
    <t>봉툰-프랑스</t>
    <phoneticPr fontId="3" type="noConversion"/>
  </si>
  <si>
    <t>누온</t>
    <phoneticPr fontId="3" type="noConversion"/>
  </si>
  <si>
    <t>정산월</t>
    <phoneticPr fontId="3" type="noConversion"/>
  </si>
  <si>
    <t>수정매출처</t>
    <phoneticPr fontId="3" type="noConversion"/>
  </si>
  <si>
    <t>상품명</t>
    <phoneticPr fontId="3" type="noConversion"/>
  </si>
  <si>
    <t>정산-매출</t>
    <phoneticPr fontId="3" type="noConversion"/>
  </si>
  <si>
    <t>정산-발행</t>
    <phoneticPr fontId="3" type="noConversion"/>
  </si>
  <si>
    <t>정산업체</t>
    <phoneticPr fontId="3" type="noConversion"/>
  </si>
  <si>
    <t>정산기준</t>
    <phoneticPr fontId="3" type="noConversion"/>
  </si>
  <si>
    <t>인세율</t>
    <phoneticPr fontId="3" type="noConversion"/>
  </si>
  <si>
    <t>구분</t>
    <phoneticPr fontId="3" type="noConversion"/>
  </si>
  <si>
    <t>누온</t>
    <phoneticPr fontId="3" type="noConversion"/>
  </si>
  <si>
    <t>웹툰</t>
    <phoneticPr fontId="3" type="noConversion"/>
  </si>
  <si>
    <r>
      <rPr>
        <sz val="10"/>
        <color rgb="FF000000"/>
        <rFont val="돋움"/>
        <family val="3"/>
        <charset val="129"/>
      </rP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정산액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</si>
</sst>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0"/>
      <color rgb="FF000000"/>
      <name val="Calibri"/>
    </font>
    <font>
      <sz val="10"/>
      <color rgb="FF000000"/>
      <name val="Calibri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9"/>
      <name val="맑은 고딕"/>
      <family val="3"/>
      <charset val="129"/>
      <scheme val="minor"/>
    </font>
    <font>
      <sz val="9"/>
      <color rgb="FF000000"/>
      <name val="Calibri"/>
      <family val="2"/>
    </font>
    <font>
      <sz val="9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41" fontId="0" fillId="0" borderId="0" xfId="1" applyFont="1" applyAlignment="1"/>
    <xf numFmtId="0" fontId="0" fillId="0" borderId="0" xfId="0" applyAlignment="1">
      <alignment vertical="center"/>
    </xf>
    <xf numFmtId="0" fontId="1" fillId="0" borderId="0" xfId="0" applyFont="1"/>
    <xf numFmtId="41" fontId="5" fillId="0" borderId="0" xfId="1" applyFont="1" applyAlignment="1"/>
    <xf numFmtId="41" fontId="5" fillId="0" borderId="0" xfId="0" applyNumberFormat="1" applyFont="1"/>
    <xf numFmtId="41" fontId="6" fillId="0" borderId="0" xfId="1" applyFont="1" applyAlignment="1"/>
    <xf numFmtId="41" fontId="7" fillId="2" borderId="0" xfId="0" applyNumberFormat="1" applyFont="1" applyFill="1"/>
    <xf numFmtId="0" fontId="8" fillId="0" borderId="1" xfId="0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1" fontId="9" fillId="0" borderId="1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L15" sqref="L15"/>
    </sheetView>
  </sheetViews>
  <sheetFormatPr defaultRowHeight="13.8" x14ac:dyDescent="0.3"/>
  <cols>
    <col min="10" max="10" width="10.5546875" bestFit="1" customWidth="1"/>
    <col min="11" max="11" width="16.33203125" bestFit="1" customWidth="1"/>
    <col min="14" max="14" width="9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500</v>
      </c>
      <c r="H2">
        <v>500</v>
      </c>
      <c r="I2" t="s">
        <v>16</v>
      </c>
      <c r="J2" s="1">
        <v>3156110</v>
      </c>
      <c r="K2" s="6">
        <v>315612</v>
      </c>
    </row>
    <row r="3" spans="1:15" x14ac:dyDescent="0.3">
      <c r="J3" s="1">
        <v>3156110</v>
      </c>
      <c r="K3" s="4">
        <v>315612</v>
      </c>
    </row>
    <row r="5" spans="1:15" s="2" customFormat="1" x14ac:dyDescent="0.3">
      <c r="A5" s="8" t="s">
        <v>17</v>
      </c>
      <c r="B5" s="8" t="s">
        <v>30</v>
      </c>
      <c r="C5" s="8" t="s">
        <v>18</v>
      </c>
      <c r="D5" s="8" t="s">
        <v>31</v>
      </c>
      <c r="E5" s="8" t="s">
        <v>32</v>
      </c>
      <c r="F5" s="8" t="s">
        <v>19</v>
      </c>
      <c r="G5" s="8" t="s">
        <v>20</v>
      </c>
      <c r="H5" s="9" t="s">
        <v>33</v>
      </c>
      <c r="I5" s="9" t="s">
        <v>34</v>
      </c>
      <c r="J5" s="8" t="s">
        <v>35</v>
      </c>
      <c r="K5" s="8" t="s">
        <v>21</v>
      </c>
      <c r="L5" s="8" t="s">
        <v>36</v>
      </c>
      <c r="M5" s="8" t="s">
        <v>37</v>
      </c>
      <c r="N5" s="9" t="s">
        <v>22</v>
      </c>
      <c r="O5" s="8" t="s">
        <v>38</v>
      </c>
    </row>
    <row r="6" spans="1:15" s="2" customFormat="1" x14ac:dyDescent="0.3">
      <c r="A6" s="10">
        <v>44773</v>
      </c>
      <c r="B6" s="10">
        <v>44865</v>
      </c>
      <c r="C6" s="11" t="s">
        <v>23</v>
      </c>
      <c r="D6" s="11" t="s">
        <v>39</v>
      </c>
      <c r="E6" s="11" t="s">
        <v>24</v>
      </c>
      <c r="F6" s="11"/>
      <c r="G6" s="11"/>
      <c r="H6" s="11"/>
      <c r="I6" s="12">
        <v>99561</v>
      </c>
      <c r="J6" s="13" t="s">
        <v>11</v>
      </c>
      <c r="K6" s="13" t="s">
        <v>25</v>
      </c>
      <c r="L6" s="13" t="s">
        <v>26</v>
      </c>
      <c r="M6" s="13">
        <v>0.1</v>
      </c>
      <c r="N6" s="12">
        <f>+I6*M6</f>
        <v>9956.1</v>
      </c>
      <c r="O6" s="13" t="s">
        <v>27</v>
      </c>
    </row>
    <row r="7" spans="1:15" s="2" customFormat="1" x14ac:dyDescent="0.3">
      <c r="A7" s="10">
        <v>44773</v>
      </c>
      <c r="B7" s="10">
        <v>44865</v>
      </c>
      <c r="C7" s="11" t="s">
        <v>28</v>
      </c>
      <c r="D7" s="11" t="s">
        <v>29</v>
      </c>
      <c r="E7" s="11" t="s">
        <v>24</v>
      </c>
      <c r="F7" s="11"/>
      <c r="G7" s="11"/>
      <c r="H7" s="11"/>
      <c r="I7" s="12">
        <v>156340</v>
      </c>
      <c r="J7" s="13" t="s">
        <v>11</v>
      </c>
      <c r="K7" s="13" t="s">
        <v>25</v>
      </c>
      <c r="L7" s="13" t="s">
        <v>26</v>
      </c>
      <c r="M7" s="13">
        <v>0.1</v>
      </c>
      <c r="N7" s="12">
        <f>+I7*M7</f>
        <v>15634</v>
      </c>
      <c r="O7" s="13" t="s">
        <v>40</v>
      </c>
    </row>
    <row r="8" spans="1:15" x14ac:dyDescent="0.3">
      <c r="N8" s="5">
        <f>SUM(N6:N7)</f>
        <v>25590.1</v>
      </c>
    </row>
    <row r="10" spans="1:15" ht="14.4" x14ac:dyDescent="0.3">
      <c r="M10" s="3" t="s">
        <v>41</v>
      </c>
      <c r="N10" s="7">
        <f>K3+N8</f>
        <v>341202.1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storywiz</cp:lastModifiedBy>
  <dcterms:created xsi:type="dcterms:W3CDTF">2022-11-01T09:02:26Z</dcterms:created>
  <dcterms:modified xsi:type="dcterms:W3CDTF">2022-11-02T07:26:36Z</dcterms:modified>
  <cp:category/>
</cp:coreProperties>
</file>