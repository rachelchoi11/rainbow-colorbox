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미스터블루\"/>
    </mc:Choice>
  </mc:AlternateContent>
  <bookViews>
    <workbookView xWindow="0" yWindow="0" windowWidth="23040" windowHeight="8955"/>
  </bookViews>
  <sheets>
    <sheet name="합계(10)" sheetId="125" r:id="rId1"/>
  </sheets>
  <definedNames>
    <definedName name="_xlnm._FilterDatabase" localSheetId="0" hidden="1">'합계(10)'!$A$1:$AU$1</definedName>
    <definedName name="_xlnm.Extract" localSheetId="0">'합계(10)'!#REF!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15" i="125" l="1"/>
</calcChain>
</file>

<file path=xl/sharedStrings.xml><?xml version="1.0" encoding="utf-8"?>
<sst xmlns="http://schemas.openxmlformats.org/spreadsheetml/2006/main" count="116" uniqueCount="113">
  <si>
    <t>작품명</t>
  </si>
  <si>
    <t>작가명</t>
  </si>
  <si>
    <t>정액_매출액</t>
    <phoneticPr fontId="26" type="noConversion"/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</si>
  <si>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</si>
  <si>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</si>
  <si>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</si>
  <si>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</si>
  <si>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</si>
  <si>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</si>
  <si>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</si>
  <si>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</si>
  <si>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블루머니_권별대여_건수</t>
    <phoneticPr fontId="95" type="noConversion"/>
  </si>
  <si>
    <t>블루머니_전권소장_건수</t>
    <phoneticPr fontId="95" type="noConversion"/>
  </si>
  <si>
    <t>계_건수</t>
    <phoneticPr fontId="95" type="noConversion"/>
  </si>
  <si>
    <t>계_매출액</t>
    <phoneticPr fontId="95" type="noConversion"/>
  </si>
  <si>
    <t>계_정산액</t>
    <phoneticPr fontId="95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</si>
  <si>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</si>
  <si>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</si>
  <si>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</si>
  <si>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</si>
  <si>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</si>
  <si>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</si>
  <si>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</si>
  <si>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</si>
  <si>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결혼전쟁 [스크롤]</t>
  </si>
  <si>
    <t>웹티,올코</t>
  </si>
  <si>
    <t>그남자의 사랑방식 [스크롤]</t>
  </si>
  <si>
    <t>달콤한 결혼 [스크롤]</t>
  </si>
  <si>
    <t>올코,웹티</t>
  </si>
  <si>
    <t>공주전쟁 [스크롤]</t>
  </si>
  <si>
    <t>Luojie/Hujing</t>
  </si>
  <si>
    <t>바람의 전설 [스크롤]</t>
  </si>
  <si>
    <t>성준</t>
  </si>
  <si>
    <t>백스테이지 키스신 [스크롤]</t>
  </si>
  <si>
    <t>수정과/최도비</t>
  </si>
  <si>
    <t>별빛 아래 우리 [스크롤]</t>
  </si>
  <si>
    <t>건일</t>
  </si>
  <si>
    <t>보스 오빠, 살살 [스크롤]</t>
  </si>
  <si>
    <t>악역이지만, 남주는 꼬시지 않아요 [스크롤]</t>
  </si>
  <si>
    <t>kuri/마북명</t>
  </si>
  <si>
    <t>요괴님은 수련중 [스크롤]</t>
  </si>
  <si>
    <t>망북/화방</t>
  </si>
  <si>
    <t>최애에게 들켜버렸다 [스크롤]</t>
  </si>
  <si>
    <t>Lv</t>
  </si>
  <si>
    <t>Ice×FANFAN COMIC</t>
  </si>
  <si>
    <t>황제의 사랑방식 [스크롤]</t>
  </si>
  <si>
    <t>정액_건수</t>
    <phoneticPr fontId="26" type="noConversion"/>
  </si>
  <si>
    <t>정액_취소액</t>
    <phoneticPr fontId="26" type="noConversion"/>
  </si>
  <si>
    <t>정액_정산액</t>
    <phoneticPr fontId="26" type="noConversion"/>
  </si>
  <si>
    <t>블루머니_권별대여_판매볼륨수</t>
    <phoneticPr fontId="95" type="noConversion"/>
  </si>
  <si>
    <t>블루머니_권별대여_매출액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</si>
  <si>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</si>
  <si>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</si>
  <si>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</si>
  <si>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블루머니_권별소장_건수</t>
    <phoneticPr fontId="95" type="noConversion"/>
  </si>
  <si>
    <t>블루머니_권별소장_판매볼륨수</t>
    <phoneticPr fontId="95" type="noConversion"/>
  </si>
  <si>
    <t>블루머니_권별소장_매출액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</si>
  <si>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</si>
  <si>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</si>
  <si>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</si>
  <si>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블루머니_전권대여_건수</t>
    <phoneticPr fontId="95" type="noConversion"/>
  </si>
  <si>
    <t>블루머니_전권대여_판매볼륨수</t>
    <phoneticPr fontId="95" type="noConversion"/>
  </si>
  <si>
    <t>블루머니_전권대여_매출액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</si>
  <si>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</si>
  <si>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</si>
  <si>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</si>
  <si>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</si>
  <si>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블루머니_전권소장_매출액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</si>
  <si>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</si>
  <si>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</si>
  <si>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</si>
  <si>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</si>
  <si>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</si>
  <si>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</si>
  <si>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</si>
  <si>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</si>
  <si>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</si>
  <si>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</si>
  <si>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</si>
  <si>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A.앱머니_전권대여_판매볼륨수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</si>
  <si>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</si>
  <si>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</si>
  <si>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</si>
  <si>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</si>
  <si>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</si>
  <si>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</si>
  <si>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</si>
  <si>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I.앱머니_권별대여_건수</t>
    <phoneticPr fontId="26" type="noConversion"/>
  </si>
  <si>
    <t>I.앱머니_권별대여_판매볼륨수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</si>
  <si>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</si>
  <si>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</si>
  <si>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</si>
  <si>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I.앱머니_권별소장_건수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</si>
  <si>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</si>
  <si>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</si>
  <si>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</si>
  <si>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I.앱머니_전권대여_건수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</si>
  <si>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</si>
  <si>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</si>
  <si>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</si>
  <si>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</si>
  <si>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</si>
  <si>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</si>
  <si>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</si>
  <si>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</si>
  <si>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</si>
  <si>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</si>
  <si>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</si>
  <si>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매출액</t>
    <phoneticPr fontId="26" type="noConversion"/>
  </si>
  <si>
    <t>취소액</t>
    <phoneticPr fontId="26" type="noConversion"/>
  </si>
  <si>
    <t>정산액</t>
    <phoneticPr fontId="26" type="noConversion"/>
  </si>
  <si>
    <t>출판사</t>
    <phoneticPr fontId="96" type="noConversion"/>
  </si>
  <si>
    <t>폭군의 눈물 [스크롤]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</si>
</sst>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15"/>
  <sheetViews>
    <sheetView tabSelected="1" topLeftCell="BG1" zoomScale="85" zoomScaleNormal="85" workbookViewId="0">
      <selection activeCell="CJ15" sqref="CJ15"/>
    </sheetView>
  </sheetViews>
  <sheetFormatPr defaultRowHeight="16.5"/>
  <cols>
    <col min="1" max="1" width="19" customWidth="1"/>
    <col min="4" max="4" width="10" customWidth="1"/>
    <col min="5" max="5" width="10.25" customWidth="1"/>
    <col min="44" max="45" width="9.875" bestFit="1" customWidth="1"/>
    <col min="46" max="46" width="13.25" customWidth="1"/>
    <col min="47" max="47" width="13.5" style="1" bestFit="1" customWidth="1"/>
    <col min="88" max="88" width="9.875" bestFit="1" customWidth="1"/>
  </cols>
  <sheetData>
    <row r="1" spans="1:90" s="11" customFormat="1" ht="36">
      <c r="A1" s="2" t="s">
        <v>0</v>
      </c>
      <c r="B1" s="2" t="s">
        <v>1</v>
      </c>
      <c r="C1" s="3" t="s">
        <v>46</v>
      </c>
      <c r="D1" s="3" t="s">
        <v>2</v>
      </c>
      <c r="E1" s="3" t="s">
        <v>47</v>
      </c>
      <c r="F1" s="3" t="s">
        <v>48</v>
      </c>
      <c r="G1" s="4" t="s">
        <v>11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65</v>
      </c>
      <c r="Y1" s="4" t="s">
        <v>12</v>
      </c>
      <c r="Z1" s="4" t="s">
        <v>66</v>
      </c>
      <c r="AA1" s="4" t="s">
        <v>67</v>
      </c>
      <c r="AB1" s="4" t="s">
        <v>68</v>
      </c>
      <c r="AC1" s="4" t="s">
        <v>69</v>
      </c>
      <c r="AD1" s="4" t="s">
        <v>70</v>
      </c>
      <c r="AE1" s="5" t="s">
        <v>3</v>
      </c>
      <c r="AF1" s="5" t="s">
        <v>71</v>
      </c>
      <c r="AG1" s="5" t="s">
        <v>4</v>
      </c>
      <c r="AH1" s="5" t="s">
        <v>72</v>
      </c>
      <c r="AI1" s="5" t="s">
        <v>73</v>
      </c>
      <c r="AJ1" s="5" t="s">
        <v>74</v>
      </c>
      <c r="AK1" s="5" t="s">
        <v>5</v>
      </c>
      <c r="AL1" s="5" t="s">
        <v>75</v>
      </c>
      <c r="AM1" s="5" t="s">
        <v>6</v>
      </c>
      <c r="AN1" s="5" t="s">
        <v>76</v>
      </c>
      <c r="AO1" s="5" t="s">
        <v>77</v>
      </c>
      <c r="AP1" s="5" t="s">
        <v>78</v>
      </c>
      <c r="AQ1" s="5" t="s">
        <v>7</v>
      </c>
      <c r="AR1" s="5" t="s">
        <v>79</v>
      </c>
      <c r="AS1" s="5" t="s">
        <v>8</v>
      </c>
      <c r="AT1" s="5" t="s">
        <v>80</v>
      </c>
      <c r="AU1" s="5" t="s">
        <v>81</v>
      </c>
      <c r="AV1" s="5" t="s">
        <v>82</v>
      </c>
      <c r="AW1" s="5" t="s">
        <v>9</v>
      </c>
      <c r="AX1" s="5" t="s">
        <v>83</v>
      </c>
      <c r="AY1" s="5" t="s">
        <v>10</v>
      </c>
      <c r="AZ1" s="5" t="s">
        <v>84</v>
      </c>
      <c r="BA1" s="5" t="s">
        <v>85</v>
      </c>
      <c r="BB1" s="5" t="s">
        <v>86</v>
      </c>
      <c r="BC1" s="12" t="s">
        <v>87</v>
      </c>
      <c r="BD1" s="12" t="s">
        <v>88</v>
      </c>
      <c r="BE1" s="12" t="s">
        <v>17</v>
      </c>
      <c r="BF1" s="12" t="s">
        <v>89</v>
      </c>
      <c r="BG1" s="12" t="s">
        <v>90</v>
      </c>
      <c r="BH1" s="12" t="s">
        <v>91</v>
      </c>
      <c r="BI1" s="12" t="s">
        <v>92</v>
      </c>
      <c r="BJ1" s="12" t="s">
        <v>18</v>
      </c>
      <c r="BK1" s="12" t="s">
        <v>19</v>
      </c>
      <c r="BL1" s="12" t="s">
        <v>93</v>
      </c>
      <c r="BM1" s="12" t="s">
        <v>94</v>
      </c>
      <c r="BN1" s="12" t="s">
        <v>95</v>
      </c>
      <c r="BO1" s="12" t="s">
        <v>96</v>
      </c>
      <c r="BP1" s="12" t="s">
        <v>20</v>
      </c>
      <c r="BQ1" s="12" t="s">
        <v>21</v>
      </c>
      <c r="BR1" s="12" t="s">
        <v>97</v>
      </c>
      <c r="BS1" s="12" t="s">
        <v>98</v>
      </c>
      <c r="BT1" s="12" t="s">
        <v>99</v>
      </c>
      <c r="BU1" s="12" t="s">
        <v>100</v>
      </c>
      <c r="BV1" s="12" t="s">
        <v>22</v>
      </c>
      <c r="BW1" s="12" t="s">
        <v>23</v>
      </c>
      <c r="BX1" s="12" t="s">
        <v>101</v>
      </c>
      <c r="BY1" s="12" t="s">
        <v>102</v>
      </c>
      <c r="BZ1" s="12" t="s">
        <v>103</v>
      </c>
      <c r="CA1" s="6" t="s">
        <v>13</v>
      </c>
      <c r="CB1" s="6" t="s">
        <v>104</v>
      </c>
      <c r="CC1" s="6" t="s">
        <v>14</v>
      </c>
      <c r="CD1" s="6" t="s">
        <v>105</v>
      </c>
      <c r="CE1" s="6" t="s">
        <v>106</v>
      </c>
      <c r="CF1" s="6" t="s">
        <v>107</v>
      </c>
      <c r="CG1" s="6" t="s">
        <v>15</v>
      </c>
      <c r="CH1" s="7" t="s">
        <v>108</v>
      </c>
      <c r="CI1" s="7" t="s">
        <v>109</v>
      </c>
      <c r="CJ1" s="8" t="s">
        <v>110</v>
      </c>
      <c r="CK1" s="9" t="s">
        <v>111</v>
      </c>
      <c r="CL1" s="10" t="s">
        <v>16</v>
      </c>
    </row>
    <row r="2" spans="1:90">
      <c r="A2" t="s">
        <v>24</v>
      </c>
      <c r="B2" t="s">
        <v>25</v>
      </c>
      <c r="C2">
        <v>0</v>
      </c>
      <c r="D2">
        <v>0</v>
      </c>
      <c r="E2">
        <v>0</v>
      </c>
      <c r="F2">
        <v>0</v>
      </c>
      <c r="G2">
        <v>14</v>
      </c>
      <c r="H2">
        <v>14</v>
      </c>
      <c r="I2">
        <v>2800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19</v>
      </c>
      <c r="AF2">
        <v>19</v>
      </c>
      <c r="AG2">
        <v>4560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1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33</v>
      </c>
      <c r="CB2">
        <v>33</v>
      </c>
      <c r="CC2">
        <v>7360</v>
      </c>
      <c r="CD2">
        <v>0</v>
      </c>
      <c r="CE2">
        <v>0</v>
      </c>
      <c r="CF2">
        <v>0</v>
      </c>
      <c r="CG2">
        <v>4552.8</v>
      </c>
      <c r="CH2">
        <v>7360</v>
      </c>
      <c r="CI2">
        <v>0</v>
      </c>
      <c r="CJ2">
        <v>4552.8</v>
      </c>
    </row>
    <row r="3" spans="1:90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239</v>
      </c>
      <c r="H3">
        <v>239</v>
      </c>
      <c r="I3">
        <v>47800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20</v>
      </c>
      <c r="AF3">
        <v>20</v>
      </c>
      <c r="AG3">
        <v>4800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s="1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259</v>
      </c>
      <c r="CB3">
        <v>259</v>
      </c>
      <c r="CC3">
        <v>52600</v>
      </c>
      <c r="CD3">
        <v>0</v>
      </c>
      <c r="CE3">
        <v>0</v>
      </c>
      <c r="CF3">
        <v>0</v>
      </c>
      <c r="CG3">
        <v>31704</v>
      </c>
      <c r="CH3">
        <v>52600</v>
      </c>
      <c r="CI3">
        <v>0</v>
      </c>
      <c r="CJ3">
        <v>31704</v>
      </c>
    </row>
    <row r="4" spans="1:90">
      <c r="A4" t="s">
        <v>26</v>
      </c>
      <c r="B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9</v>
      </c>
      <c r="AF4">
        <v>9</v>
      </c>
      <c r="AG4">
        <v>2160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s="1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9</v>
      </c>
      <c r="CB4">
        <v>9</v>
      </c>
      <c r="CC4">
        <v>2160</v>
      </c>
      <c r="CD4">
        <v>0</v>
      </c>
      <c r="CE4">
        <v>0</v>
      </c>
      <c r="CF4">
        <v>0</v>
      </c>
      <c r="CG4">
        <v>1360.8</v>
      </c>
      <c r="CH4">
        <v>2160</v>
      </c>
      <c r="CI4">
        <v>0</v>
      </c>
      <c r="CJ4">
        <v>1360.8</v>
      </c>
    </row>
    <row r="5" spans="1:90">
      <c r="A5" t="s">
        <v>27</v>
      </c>
      <c r="B5" t="s">
        <v>25</v>
      </c>
      <c r="C5">
        <v>0</v>
      </c>
      <c r="D5">
        <v>0</v>
      </c>
      <c r="E5">
        <v>0</v>
      </c>
      <c r="F5">
        <v>0</v>
      </c>
      <c r="G5">
        <v>452</v>
      </c>
      <c r="H5">
        <v>452</v>
      </c>
      <c r="I5">
        <v>90400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144</v>
      </c>
      <c r="U5">
        <v>28800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52</v>
      </c>
      <c r="AF5">
        <v>52</v>
      </c>
      <c r="AG5">
        <v>12480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1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506</v>
      </c>
      <c r="CB5">
        <v>648</v>
      </c>
      <c r="CC5">
        <v>131680</v>
      </c>
      <c r="CD5">
        <v>0</v>
      </c>
      <c r="CE5">
        <v>0</v>
      </c>
      <c r="CF5">
        <v>0</v>
      </c>
      <c r="CG5">
        <v>79382.399999999994</v>
      </c>
      <c r="CH5">
        <v>131680</v>
      </c>
      <c r="CI5">
        <v>0</v>
      </c>
      <c r="CJ5">
        <v>79382.399999999994</v>
      </c>
    </row>
    <row r="6" spans="1:90">
      <c r="A6" t="s">
        <v>31</v>
      </c>
      <c r="B6" t="s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240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1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240</v>
      </c>
      <c r="CD6">
        <v>0</v>
      </c>
      <c r="CE6">
        <v>0</v>
      </c>
      <c r="CF6">
        <v>0</v>
      </c>
      <c r="CG6">
        <v>151.19999999999999</v>
      </c>
      <c r="CH6">
        <v>240</v>
      </c>
      <c r="CI6">
        <v>0</v>
      </c>
      <c r="CJ6">
        <v>151.19999999999999</v>
      </c>
    </row>
    <row r="7" spans="1:90">
      <c r="A7" t="s">
        <v>33</v>
      </c>
      <c r="B7" t="s">
        <v>34</v>
      </c>
      <c r="C7">
        <v>0</v>
      </c>
      <c r="D7">
        <v>0</v>
      </c>
      <c r="E7">
        <v>0</v>
      </c>
      <c r="F7">
        <v>0</v>
      </c>
      <c r="G7">
        <v>111</v>
      </c>
      <c r="H7">
        <v>111</v>
      </c>
      <c r="I7">
        <v>22200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43</v>
      </c>
      <c r="U7">
        <v>7740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1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112</v>
      </c>
      <c r="CB7">
        <v>154</v>
      </c>
      <c r="CC7">
        <v>29940</v>
      </c>
      <c r="CD7">
        <v>0</v>
      </c>
      <c r="CE7">
        <v>0</v>
      </c>
      <c r="CF7">
        <v>0</v>
      </c>
      <c r="CG7">
        <v>17964</v>
      </c>
      <c r="CH7">
        <v>29940</v>
      </c>
      <c r="CI7">
        <v>0</v>
      </c>
      <c r="CJ7">
        <v>17964</v>
      </c>
    </row>
    <row r="8" spans="1:90">
      <c r="A8" t="s">
        <v>35</v>
      </c>
      <c r="B8" t="s">
        <v>36</v>
      </c>
      <c r="C8">
        <v>0</v>
      </c>
      <c r="D8">
        <v>0</v>
      </c>
      <c r="E8">
        <v>0</v>
      </c>
      <c r="F8">
        <v>0</v>
      </c>
      <c r="G8">
        <v>30</v>
      </c>
      <c r="H8">
        <v>30</v>
      </c>
      <c r="I8">
        <v>6000</v>
      </c>
      <c r="J8">
        <v>0</v>
      </c>
      <c r="K8">
        <v>0</v>
      </c>
      <c r="L8">
        <v>0</v>
      </c>
      <c r="M8">
        <v>1</v>
      </c>
      <c r="N8">
        <v>1</v>
      </c>
      <c r="O8">
        <v>400</v>
      </c>
      <c r="P8">
        <v>0</v>
      </c>
      <c r="Q8">
        <v>0</v>
      </c>
      <c r="R8">
        <v>0</v>
      </c>
      <c r="S8">
        <v>3</v>
      </c>
      <c r="T8">
        <v>271</v>
      </c>
      <c r="U8">
        <v>48780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2</v>
      </c>
      <c r="AG8">
        <v>480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1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36</v>
      </c>
      <c r="CB8">
        <v>304</v>
      </c>
      <c r="CC8">
        <v>55660</v>
      </c>
      <c r="CD8">
        <v>0</v>
      </c>
      <c r="CE8">
        <v>0</v>
      </c>
      <c r="CF8">
        <v>0</v>
      </c>
      <c r="CG8">
        <v>33410.400000000001</v>
      </c>
      <c r="CH8">
        <v>55660</v>
      </c>
      <c r="CI8">
        <v>0</v>
      </c>
      <c r="CJ8">
        <v>33410.400000000001</v>
      </c>
    </row>
    <row r="9" spans="1:90">
      <c r="A9" t="s">
        <v>37</v>
      </c>
      <c r="B9" t="s">
        <v>28</v>
      </c>
      <c r="C9">
        <v>0</v>
      </c>
      <c r="D9">
        <v>0</v>
      </c>
      <c r="E9">
        <v>0</v>
      </c>
      <c r="F9">
        <v>0</v>
      </c>
      <c r="G9">
        <v>93</v>
      </c>
      <c r="H9">
        <v>93</v>
      </c>
      <c r="I9">
        <v>18600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1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93</v>
      </c>
      <c r="CB9">
        <v>93</v>
      </c>
      <c r="CC9">
        <v>18600</v>
      </c>
      <c r="CD9">
        <v>0</v>
      </c>
      <c r="CE9">
        <v>0</v>
      </c>
      <c r="CF9">
        <v>0</v>
      </c>
      <c r="CG9">
        <v>11160</v>
      </c>
      <c r="CH9">
        <v>18600</v>
      </c>
      <c r="CI9">
        <v>0</v>
      </c>
      <c r="CJ9">
        <v>11160</v>
      </c>
    </row>
    <row r="10" spans="1:90">
      <c r="A10" t="s">
        <v>38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830</v>
      </c>
      <c r="H10">
        <v>830</v>
      </c>
      <c r="I10">
        <v>166000</v>
      </c>
      <c r="J10">
        <v>0</v>
      </c>
      <c r="K10">
        <v>0</v>
      </c>
      <c r="L10">
        <v>0</v>
      </c>
      <c r="M10">
        <v>37</v>
      </c>
      <c r="N10">
        <v>37</v>
      </c>
      <c r="O10">
        <v>14800</v>
      </c>
      <c r="P10">
        <v>0</v>
      </c>
      <c r="Q10">
        <v>0</v>
      </c>
      <c r="R10">
        <v>0</v>
      </c>
      <c r="S10">
        <v>5</v>
      </c>
      <c r="T10">
        <v>207</v>
      </c>
      <c r="U10">
        <v>37260</v>
      </c>
      <c r="V10">
        <v>0</v>
      </c>
      <c r="W10">
        <v>0</v>
      </c>
      <c r="X10">
        <v>0</v>
      </c>
      <c r="Y10">
        <v>1</v>
      </c>
      <c r="Z10">
        <v>45</v>
      </c>
      <c r="AA10">
        <v>16200</v>
      </c>
      <c r="AB10">
        <v>0</v>
      </c>
      <c r="AC10">
        <v>0</v>
      </c>
      <c r="AD10">
        <v>0</v>
      </c>
      <c r="AE10">
        <v>107</v>
      </c>
      <c r="AF10">
        <v>107</v>
      </c>
      <c r="AG10">
        <v>25680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84</v>
      </c>
      <c r="AS10">
        <v>18144</v>
      </c>
      <c r="AT10">
        <v>0</v>
      </c>
      <c r="AU10" s="1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982</v>
      </c>
      <c r="CB10">
        <v>1310</v>
      </c>
      <c r="CC10">
        <v>278084</v>
      </c>
      <c r="CD10">
        <v>0</v>
      </c>
      <c r="CE10">
        <v>0</v>
      </c>
      <c r="CF10">
        <v>0</v>
      </c>
      <c r="CG10">
        <v>168165.12</v>
      </c>
      <c r="CH10">
        <v>278084</v>
      </c>
      <c r="CI10">
        <v>0</v>
      </c>
      <c r="CJ10">
        <v>168165.12</v>
      </c>
    </row>
    <row r="11" spans="1:90">
      <c r="A11" t="s">
        <v>40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122</v>
      </c>
      <c r="H11">
        <v>122</v>
      </c>
      <c r="I11">
        <v>24400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2</v>
      </c>
      <c r="AG11">
        <v>480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124</v>
      </c>
      <c r="CB11">
        <v>124</v>
      </c>
      <c r="CC11">
        <v>24880</v>
      </c>
      <c r="CD11">
        <v>0</v>
      </c>
      <c r="CE11">
        <v>0</v>
      </c>
      <c r="CF11">
        <v>0</v>
      </c>
      <c r="CG11">
        <v>14942.4</v>
      </c>
      <c r="CH11">
        <v>24880</v>
      </c>
      <c r="CI11">
        <v>0</v>
      </c>
      <c r="CJ11">
        <v>14942.4</v>
      </c>
    </row>
    <row r="12" spans="1:90">
      <c r="A12" t="s">
        <v>42</v>
      </c>
      <c r="B12" t="s">
        <v>43</v>
      </c>
      <c r="C12">
        <v>0</v>
      </c>
      <c r="D12">
        <v>0</v>
      </c>
      <c r="E12">
        <v>0</v>
      </c>
      <c r="F12">
        <v>0</v>
      </c>
      <c r="G12">
        <v>174</v>
      </c>
      <c r="H12">
        <v>174</v>
      </c>
      <c r="I12">
        <v>34800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10</v>
      </c>
      <c r="AG12">
        <v>2400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1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184</v>
      </c>
      <c r="CB12">
        <v>184</v>
      </c>
      <c r="CC12">
        <v>37200</v>
      </c>
      <c r="CD12">
        <v>0</v>
      </c>
      <c r="CE12">
        <v>0</v>
      </c>
      <c r="CF12">
        <v>0</v>
      </c>
      <c r="CG12">
        <v>22392</v>
      </c>
      <c r="CH12">
        <v>37200</v>
      </c>
      <c r="CI12">
        <v>0</v>
      </c>
      <c r="CJ12">
        <v>22392</v>
      </c>
    </row>
    <row r="13" spans="1:90">
      <c r="A13" t="s">
        <v>112</v>
      </c>
      <c r="B13" t="s">
        <v>44</v>
      </c>
      <c r="C13">
        <v>0</v>
      </c>
      <c r="D13">
        <v>0</v>
      </c>
      <c r="E13">
        <v>0</v>
      </c>
      <c r="F13">
        <v>0</v>
      </c>
      <c r="G13">
        <v>71</v>
      </c>
      <c r="H13">
        <v>71</v>
      </c>
      <c r="I13">
        <v>14200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156</v>
      </c>
      <c r="U13">
        <v>28080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1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74</v>
      </c>
      <c r="CB13">
        <v>227</v>
      </c>
      <c r="CC13">
        <v>42280</v>
      </c>
      <c r="CD13">
        <v>0</v>
      </c>
      <c r="CE13">
        <v>0</v>
      </c>
      <c r="CF13">
        <v>0</v>
      </c>
      <c r="CG13">
        <v>25368</v>
      </c>
      <c r="CH13">
        <v>42280</v>
      </c>
      <c r="CI13">
        <v>0</v>
      </c>
      <c r="CJ13">
        <v>25368</v>
      </c>
    </row>
    <row r="14" spans="1:90">
      <c r="A14" t="s">
        <v>45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7</v>
      </c>
      <c r="AF14">
        <v>7</v>
      </c>
      <c r="AG14">
        <v>1680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1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7</v>
      </c>
      <c r="CB14">
        <v>7</v>
      </c>
      <c r="CC14">
        <v>1680</v>
      </c>
      <c r="CD14">
        <v>0</v>
      </c>
      <c r="CE14">
        <v>0</v>
      </c>
      <c r="CF14">
        <v>0</v>
      </c>
      <c r="CG14">
        <v>1058.4000000000001</v>
      </c>
      <c r="CH14">
        <v>1680</v>
      </c>
      <c r="CI14">
        <v>0</v>
      </c>
      <c r="CJ14">
        <v>1058.4000000000001</v>
      </c>
    </row>
    <row r="15" spans="1:90">
      <c r="CJ15" s="13">
        <f>SUM(CJ2:CJ14)</f>
        <v>411611.52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2022-11-03T07:47:19Z</dcterms:modified>
</cp:coreProperties>
</file>