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네이버\"/>
    </mc:Choice>
  </mc:AlternateContent>
  <bookViews>
    <workbookView xWindow="0" yWindow="0" windowWidth="23040" windowHeight="8955" tabRatio="766"/>
  </bookViews>
  <sheets>
    <sheet name="합계(10)" sheetId="412" r:id="rId1"/>
  </sheets>
  <definedNames>
    <definedName name="_xlnm._FilterDatabase" localSheetId="0" hidden="1">'합계(10)'!$A$1:$BQ$1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BO533" i="412" l="1"/>
  <c r="BO510" i="412"/>
  <c r="BO511" i="412"/>
  <c r="BO512" i="412"/>
  <c r="BO513" i="412"/>
  <c r="BO514" i="412"/>
  <c r="BO515" i="412"/>
  <c r="BO516" i="412"/>
  <c r="BO517" i="412"/>
  <c r="BO518" i="412"/>
  <c r="BO519" i="412"/>
  <c r="BO520" i="412"/>
  <c r="BO521" i="412"/>
  <c r="BO522" i="412"/>
  <c r="BO523" i="412"/>
  <c r="BO524" i="412"/>
  <c r="BO525" i="412"/>
  <c r="BO526" i="412"/>
  <c r="BO527" i="412"/>
  <c r="BO528" i="412"/>
  <c r="BO529" i="412"/>
  <c r="BO530" i="412"/>
  <c r="BO531" i="412"/>
  <c r="BO532" i="412"/>
  <c r="BN510" i="412"/>
  <c r="BN511" i="412"/>
  <c r="BN512" i="412"/>
  <c r="BN513" i="412"/>
  <c r="BN514" i="412"/>
  <c r="BN515" i="412"/>
  <c r="BN516" i="412"/>
  <c r="BN517" i="412"/>
  <c r="BN518" i="412"/>
  <c r="BN519" i="412"/>
  <c r="BN520" i="412"/>
  <c r="BN521" i="412"/>
  <c r="BN522" i="412"/>
  <c r="BN523" i="412"/>
  <c r="BN524" i="412"/>
  <c r="BN525" i="412"/>
  <c r="BN526" i="412"/>
  <c r="BN527" i="412"/>
  <c r="BN528" i="412"/>
  <c r="BN529" i="412"/>
  <c r="BN530" i="412"/>
  <c r="BN531" i="412"/>
  <c r="BN532" i="412"/>
  <c r="BN486" i="412" l="1"/>
  <c r="BO486" i="412"/>
  <c r="BN487" i="412"/>
  <c r="BO487" i="412" s="1"/>
  <c r="BN488" i="412"/>
  <c r="BO488" i="412" s="1"/>
  <c r="BN489" i="412"/>
  <c r="BO489" i="412" s="1"/>
  <c r="BN490" i="412"/>
  <c r="BO490" i="412"/>
  <c r="BN491" i="412"/>
  <c r="BO491" i="412" s="1"/>
  <c r="BN492" i="412"/>
  <c r="BO492" i="412"/>
  <c r="BN493" i="412"/>
  <c r="BO493" i="412" s="1"/>
  <c r="BN494" i="412"/>
  <c r="BO494" i="412"/>
  <c r="BN495" i="412"/>
  <c r="BO495" i="412" s="1"/>
  <c r="BN496" i="412"/>
  <c r="BO496" i="412" s="1"/>
  <c r="BN497" i="412"/>
  <c r="BO497" i="412" s="1"/>
  <c r="BN498" i="412"/>
  <c r="BO498" i="412"/>
  <c r="BN499" i="412"/>
  <c r="BO499" i="412" s="1"/>
  <c r="BN500" i="412"/>
  <c r="BO500" i="412" s="1"/>
  <c r="BN501" i="412"/>
  <c r="BO501" i="412" s="1"/>
  <c r="BN502" i="412"/>
  <c r="BO502" i="412" s="1"/>
  <c r="BN503" i="412"/>
  <c r="BO503" i="412" s="1"/>
  <c r="BN504" i="412"/>
  <c r="BO504" i="412" s="1"/>
  <c r="BN505" i="412"/>
  <c r="BO505" i="412" s="1"/>
  <c r="BN506" i="412"/>
  <c r="BO506" i="412"/>
  <c r="BN507" i="412"/>
  <c r="BO507" i="412" s="1"/>
  <c r="BN508" i="412"/>
  <c r="BO508" i="412" s="1"/>
  <c r="BN509" i="412"/>
  <c r="BO509" i="412" s="1"/>
  <c r="BN468" i="412" l="1"/>
  <c r="BO468" i="412" s="1"/>
  <c r="BN485" i="412"/>
  <c r="BO485" i="412" s="1"/>
  <c r="BN484" i="412"/>
  <c r="BO484" i="412" s="1"/>
  <c r="BN483" i="412"/>
  <c r="BO483" i="412" s="1"/>
  <c r="BN482" i="412"/>
  <c r="BO482" i="412" s="1"/>
  <c r="BN481" i="412"/>
  <c r="BO481" i="412" s="1"/>
  <c r="BN480" i="412"/>
  <c r="BO480" i="412" s="1"/>
  <c r="BN479" i="412"/>
  <c r="BO479" i="412" s="1"/>
  <c r="BN478" i="412"/>
  <c r="BO478" i="412" s="1"/>
  <c r="BN477" i="412"/>
  <c r="BO477" i="412" s="1"/>
  <c r="BN476" i="412"/>
  <c r="BO476" i="412" s="1"/>
  <c r="BN475" i="412"/>
  <c r="BO475" i="412" s="1"/>
  <c r="BN474" i="412"/>
  <c r="BO474" i="412" s="1"/>
  <c r="BN473" i="412"/>
  <c r="BO473" i="412" s="1"/>
  <c r="BN472" i="412"/>
  <c r="BO472" i="412" s="1"/>
  <c r="BN471" i="412"/>
  <c r="BO471" i="412" s="1"/>
  <c r="BN470" i="412"/>
  <c r="BO470" i="412" s="1"/>
  <c r="BN469" i="412"/>
  <c r="BO469" i="412" s="1"/>
  <c r="BN467" i="412"/>
  <c r="BO467" i="412" s="1"/>
  <c r="BN186" i="412" l="1"/>
  <c r="BO186" i="412" s="1"/>
  <c r="BN187" i="412"/>
  <c r="BO187" i="412" s="1"/>
  <c r="BN188" i="412"/>
  <c r="BO188" i="412" s="1"/>
  <c r="BN189" i="412"/>
  <c r="BO189" i="412" s="1"/>
  <c r="BN190" i="412"/>
  <c r="BO190" i="412" s="1"/>
  <c r="BN191" i="412"/>
  <c r="BO191" i="412" s="1"/>
  <c r="BN192" i="412"/>
  <c r="BO192" i="412" s="1"/>
  <c r="BN193" i="412"/>
  <c r="BO193" i="412" s="1"/>
  <c r="BN194" i="412"/>
  <c r="BO194" i="412" s="1"/>
  <c r="BN195" i="412"/>
  <c r="BO195" i="412" s="1"/>
  <c r="BN196" i="412"/>
  <c r="BO196" i="412" s="1"/>
  <c r="BN197" i="412"/>
  <c r="BO197" i="412" s="1"/>
  <c r="BN198" i="412"/>
  <c r="BO198" i="412" s="1"/>
  <c r="BN199" i="412"/>
  <c r="BO199" i="412" s="1"/>
  <c r="BN200" i="412"/>
  <c r="BO200" i="412" s="1"/>
  <c r="BN201" i="412"/>
  <c r="BO201" i="412" s="1"/>
  <c r="BN202" i="412"/>
  <c r="BO202" i="412" s="1"/>
  <c r="BN203" i="412"/>
  <c r="BO203" i="412" s="1"/>
  <c r="BN204" i="412"/>
  <c r="BO204" i="412" s="1"/>
  <c r="BN205" i="412"/>
  <c r="BO205" i="412" s="1"/>
  <c r="BN206" i="412"/>
  <c r="BO206" i="412" s="1"/>
  <c r="BN207" i="412"/>
  <c r="BO207" i="412" s="1"/>
  <c r="BN208" i="412"/>
  <c r="BO208" i="412" s="1"/>
  <c r="BN209" i="412"/>
  <c r="BO209" i="412" s="1"/>
  <c r="BN210" i="412"/>
  <c r="BO210" i="412" s="1"/>
  <c r="BN211" i="412"/>
  <c r="BO211" i="412" s="1"/>
  <c r="BN212" i="412"/>
  <c r="BO212" i="412" s="1"/>
  <c r="BN213" i="412"/>
  <c r="BO213" i="412" s="1"/>
  <c r="BN214" i="412"/>
  <c r="BO214" i="412" s="1"/>
  <c r="BN215" i="412"/>
  <c r="BO215" i="412" s="1"/>
  <c r="BN216" i="412"/>
  <c r="BO216" i="412" s="1"/>
  <c r="BN217" i="412"/>
  <c r="BO217" i="412" s="1"/>
  <c r="BN218" i="412"/>
  <c r="BO218" i="412" s="1"/>
  <c r="BN219" i="412"/>
  <c r="BO219" i="412" s="1"/>
  <c r="BN220" i="412"/>
  <c r="BO220" i="412" s="1"/>
  <c r="BN221" i="412"/>
  <c r="BO221" i="412" s="1"/>
  <c r="BN222" i="412"/>
  <c r="BO222" i="412" s="1"/>
  <c r="BN223" i="412"/>
  <c r="BO223" i="412" s="1"/>
  <c r="BN224" i="412"/>
  <c r="BO224" i="412" s="1"/>
  <c r="BN225" i="412"/>
  <c r="BO225" i="412" s="1"/>
  <c r="BN226" i="412"/>
  <c r="BO226" i="412" s="1"/>
  <c r="BN227" i="412"/>
  <c r="BO227" i="412" s="1"/>
  <c r="BN228" i="412"/>
  <c r="BO228" i="412" s="1"/>
  <c r="BN229" i="412"/>
  <c r="BO229" i="412" s="1"/>
  <c r="BN230" i="412"/>
  <c r="BO230" i="412" s="1"/>
  <c r="BN231" i="412"/>
  <c r="BO231" i="412" s="1"/>
  <c r="BN232" i="412"/>
  <c r="BO232" i="412" s="1"/>
  <c r="BN233" i="412"/>
  <c r="BO233" i="412" s="1"/>
  <c r="BN234" i="412"/>
  <c r="BO234" i="412" s="1"/>
  <c r="BN235" i="412"/>
  <c r="BO235" i="412" s="1"/>
  <c r="BN236" i="412"/>
  <c r="BO236" i="412" s="1"/>
  <c r="BN237" i="412"/>
  <c r="BO237" i="412" s="1"/>
  <c r="BN238" i="412"/>
  <c r="BO238" i="412" s="1"/>
  <c r="BN239" i="412"/>
  <c r="BO239" i="412" s="1"/>
  <c r="BN240" i="412"/>
  <c r="BO240" i="412" s="1"/>
  <c r="BN241" i="412"/>
  <c r="BO241" i="412" s="1"/>
  <c r="BN242" i="412"/>
  <c r="BO242" i="412" s="1"/>
  <c r="BN243" i="412"/>
  <c r="BO243" i="412" s="1"/>
  <c r="BN244" i="412"/>
  <c r="BO244" i="412" s="1"/>
  <c r="BN245" i="412"/>
  <c r="BO245" i="412" s="1"/>
  <c r="BN246" i="412"/>
  <c r="BO246" i="412" s="1"/>
  <c r="BN247" i="412"/>
  <c r="BO247" i="412" s="1"/>
  <c r="BN248" i="412"/>
  <c r="BO248" i="412" s="1"/>
  <c r="BN249" i="412"/>
  <c r="BO249" i="412" s="1"/>
  <c r="BN250" i="412"/>
  <c r="BO250" i="412" s="1"/>
  <c r="BN251" i="412"/>
  <c r="BO251" i="412" s="1"/>
  <c r="BN252" i="412"/>
  <c r="BO252" i="412" s="1"/>
  <c r="BN253" i="412"/>
  <c r="BO253" i="412" s="1"/>
  <c r="BN254" i="412"/>
  <c r="BO254" i="412" s="1"/>
  <c r="BN255" i="412"/>
  <c r="BO255" i="412" s="1"/>
  <c r="BN256" i="412"/>
  <c r="BO256" i="412" s="1"/>
  <c r="BN257" i="412"/>
  <c r="BO257" i="412" s="1"/>
  <c r="BN258" i="412"/>
  <c r="BO258" i="412" s="1"/>
  <c r="BN259" i="412"/>
  <c r="BO259" i="412" s="1"/>
  <c r="BN260" i="412"/>
  <c r="BO260" i="412" s="1"/>
  <c r="BN261" i="412"/>
  <c r="BO261" i="412" s="1"/>
  <c r="BN262" i="412"/>
  <c r="BO262" i="412" s="1"/>
  <c r="BN263" i="412"/>
  <c r="BO263" i="412" s="1"/>
  <c r="BN264" i="412"/>
  <c r="BO264" i="412" s="1"/>
  <c r="BN265" i="412"/>
  <c r="BO265" i="412" s="1"/>
  <c r="BN266" i="412"/>
  <c r="BO266" i="412" s="1"/>
  <c r="BN267" i="412"/>
  <c r="BO267" i="412" s="1"/>
  <c r="BN268" i="412"/>
  <c r="BO268" i="412" s="1"/>
  <c r="BN269" i="412"/>
  <c r="BO269" i="412" s="1"/>
  <c r="BN270" i="412"/>
  <c r="BO270" i="412" s="1"/>
  <c r="BN271" i="412"/>
  <c r="BO271" i="412" s="1"/>
  <c r="BN272" i="412"/>
  <c r="BO272" i="412" s="1"/>
  <c r="BN273" i="412"/>
  <c r="BO273" i="412" s="1"/>
  <c r="BN274" i="412"/>
  <c r="BO274" i="412" s="1"/>
  <c r="BN275" i="412"/>
  <c r="BO275" i="412" s="1"/>
  <c r="BN276" i="412"/>
  <c r="BO276" i="412" s="1"/>
  <c r="BN277" i="412"/>
  <c r="BO277" i="412" s="1"/>
  <c r="BN278" i="412"/>
  <c r="BO278" i="412" s="1"/>
  <c r="BN279" i="412"/>
  <c r="BO279" i="412" s="1"/>
  <c r="BN280" i="412"/>
  <c r="BO280" i="412" s="1"/>
  <c r="BN281" i="412"/>
  <c r="BO281" i="412" s="1"/>
  <c r="BN282" i="412"/>
  <c r="BO282" i="412" s="1"/>
  <c r="BN283" i="412"/>
  <c r="BO283" i="412" s="1"/>
  <c r="BN284" i="412"/>
  <c r="BO284" i="412" s="1"/>
  <c r="BN285" i="412"/>
  <c r="BO285" i="412" s="1"/>
  <c r="BN286" i="412"/>
  <c r="BO286" i="412" s="1"/>
  <c r="BN287" i="412"/>
  <c r="BO287" i="412" s="1"/>
  <c r="BN288" i="412"/>
  <c r="BO288" i="412" s="1"/>
  <c r="BN289" i="412"/>
  <c r="BO289" i="412" s="1"/>
  <c r="BN290" i="412"/>
  <c r="BO290" i="412" s="1"/>
  <c r="BN291" i="412"/>
  <c r="BO291" i="412" s="1"/>
  <c r="BN292" i="412"/>
  <c r="BO292" i="412" s="1"/>
  <c r="BN293" i="412"/>
  <c r="BO293" i="412" s="1"/>
  <c r="BN294" i="412"/>
  <c r="BO294" i="412" s="1"/>
  <c r="BN295" i="412"/>
  <c r="BO295" i="412" s="1"/>
  <c r="BN296" i="412"/>
  <c r="BO296" i="412" s="1"/>
  <c r="BN297" i="412"/>
  <c r="BO297" i="412" s="1"/>
  <c r="BN298" i="412"/>
  <c r="BO298" i="412" s="1"/>
  <c r="BN299" i="412"/>
  <c r="BO299" i="412" s="1"/>
  <c r="BN300" i="412"/>
  <c r="BO300" i="412" s="1"/>
  <c r="BN301" i="412"/>
  <c r="BO301" i="412" s="1"/>
  <c r="BN302" i="412"/>
  <c r="BO302" i="412" s="1"/>
  <c r="BN303" i="412"/>
  <c r="BO303" i="412" s="1"/>
  <c r="BN304" i="412"/>
  <c r="BO304" i="412" s="1"/>
  <c r="BN305" i="412"/>
  <c r="BO305" i="412" s="1"/>
  <c r="BN306" i="412"/>
  <c r="BO306" i="412" s="1"/>
  <c r="BN307" i="412"/>
  <c r="BO307" i="412" s="1"/>
  <c r="BN308" i="412"/>
  <c r="BO308" i="412" s="1"/>
  <c r="BN309" i="412"/>
  <c r="BO309" i="412" s="1"/>
  <c r="BN310" i="412"/>
  <c r="BO310" i="412" s="1"/>
  <c r="BN311" i="412"/>
  <c r="BO311" i="412" s="1"/>
  <c r="BN312" i="412"/>
  <c r="BO312" i="412" s="1"/>
  <c r="BN313" i="412"/>
  <c r="BO313" i="412" s="1"/>
  <c r="BN314" i="412"/>
  <c r="BO314" i="412" s="1"/>
  <c r="BN315" i="412"/>
  <c r="BO315" i="412" s="1"/>
  <c r="BN316" i="412"/>
  <c r="BO316" i="412" s="1"/>
  <c r="BN317" i="412"/>
  <c r="BO317" i="412" s="1"/>
  <c r="BN318" i="412"/>
  <c r="BO318" i="412" s="1"/>
  <c r="BN319" i="412"/>
  <c r="BO319" i="412" s="1"/>
  <c r="BN320" i="412"/>
  <c r="BO320" i="412" s="1"/>
  <c r="BN321" i="412"/>
  <c r="BO321" i="412" s="1"/>
  <c r="BN322" i="412"/>
  <c r="BO322" i="412" s="1"/>
  <c r="BN323" i="412"/>
  <c r="BO323" i="412" s="1"/>
  <c r="BN324" i="412"/>
  <c r="BO324" i="412" s="1"/>
  <c r="BN325" i="412"/>
  <c r="BO325" i="412" s="1"/>
  <c r="BN326" i="412"/>
  <c r="BO326" i="412" s="1"/>
  <c r="BN327" i="412"/>
  <c r="BO327" i="412" s="1"/>
  <c r="BN328" i="412"/>
  <c r="BO328" i="412" s="1"/>
  <c r="BN329" i="412"/>
  <c r="BO329" i="412" s="1"/>
  <c r="BN330" i="412"/>
  <c r="BO330" i="412" s="1"/>
  <c r="BN331" i="412"/>
  <c r="BO331" i="412" s="1"/>
  <c r="BN332" i="412"/>
  <c r="BO332" i="412" s="1"/>
  <c r="BN333" i="412"/>
  <c r="BO333" i="412" s="1"/>
  <c r="BN334" i="412"/>
  <c r="BO334" i="412" s="1"/>
  <c r="BN335" i="412"/>
  <c r="BO335" i="412" s="1"/>
  <c r="BN336" i="412"/>
  <c r="BO336" i="412" s="1"/>
  <c r="BN337" i="412"/>
  <c r="BO337" i="412" s="1"/>
  <c r="BN338" i="412"/>
  <c r="BO338" i="412" s="1"/>
  <c r="BN339" i="412"/>
  <c r="BO339" i="412" s="1"/>
  <c r="BN340" i="412"/>
  <c r="BO340" i="412" s="1"/>
  <c r="BN341" i="412"/>
  <c r="BO341" i="412" s="1"/>
  <c r="BN342" i="412"/>
  <c r="BO342" i="412" s="1"/>
  <c r="BN343" i="412"/>
  <c r="BO343" i="412" s="1"/>
  <c r="BN344" i="412"/>
  <c r="BO344" i="412" s="1"/>
  <c r="BN345" i="412"/>
  <c r="BO345" i="412" s="1"/>
  <c r="BN346" i="412"/>
  <c r="BO346" i="412" s="1"/>
  <c r="BN347" i="412"/>
  <c r="BO347" i="412" s="1"/>
  <c r="BN348" i="412"/>
  <c r="BO348" i="412" s="1"/>
  <c r="BN349" i="412"/>
  <c r="BO349" i="412" s="1"/>
  <c r="BN350" i="412"/>
  <c r="BO350" i="412" s="1"/>
  <c r="BN351" i="412"/>
  <c r="BO351" i="412" s="1"/>
  <c r="BN352" i="412"/>
  <c r="BO352" i="412" s="1"/>
  <c r="BN353" i="412"/>
  <c r="BO353" i="412" s="1"/>
  <c r="BN354" i="412"/>
  <c r="BO354" i="412" s="1"/>
  <c r="BN355" i="412"/>
  <c r="BO355" i="412" s="1"/>
  <c r="BN356" i="412"/>
  <c r="BO356" i="412" s="1"/>
  <c r="BN357" i="412"/>
  <c r="BO357" i="412" s="1"/>
  <c r="BN358" i="412"/>
  <c r="BO358" i="412" s="1"/>
  <c r="BN359" i="412"/>
  <c r="BO359" i="412" s="1"/>
  <c r="BN360" i="412"/>
  <c r="BO360" i="412" s="1"/>
  <c r="BN361" i="412"/>
  <c r="BO361" i="412" s="1"/>
  <c r="BN362" i="412"/>
  <c r="BO362" i="412" s="1"/>
  <c r="BN363" i="412"/>
  <c r="BO363" i="412" s="1"/>
  <c r="BN364" i="412"/>
  <c r="BO364" i="412" s="1"/>
  <c r="BN365" i="412"/>
  <c r="BO365" i="412" s="1"/>
  <c r="BN366" i="412"/>
  <c r="BO366" i="412" s="1"/>
  <c r="BN367" i="412"/>
  <c r="BO367" i="412" s="1"/>
  <c r="BN368" i="412"/>
  <c r="BO368" i="412" s="1"/>
  <c r="BN369" i="412"/>
  <c r="BO369" i="412" s="1"/>
  <c r="BN370" i="412"/>
  <c r="BO370" i="412" s="1"/>
  <c r="BN371" i="412"/>
  <c r="BO371" i="412" s="1"/>
  <c r="BN372" i="412"/>
  <c r="BO372" i="412" s="1"/>
  <c r="BN373" i="412"/>
  <c r="BO373" i="412" s="1"/>
  <c r="BN374" i="412"/>
  <c r="BO374" i="412" s="1"/>
  <c r="BN375" i="412"/>
  <c r="BO375" i="412" s="1"/>
  <c r="BN376" i="412"/>
  <c r="BO376" i="412" s="1"/>
  <c r="BN377" i="412"/>
  <c r="BO377" i="412" s="1"/>
  <c r="BN378" i="412"/>
  <c r="BO378" i="412" s="1"/>
  <c r="BN379" i="412"/>
  <c r="BO379" i="412" s="1"/>
  <c r="BN380" i="412"/>
  <c r="BO380" i="412" s="1"/>
  <c r="BN381" i="412"/>
  <c r="BO381" i="412" s="1"/>
  <c r="BN382" i="412"/>
  <c r="BO382" i="412" s="1"/>
  <c r="BN383" i="412"/>
  <c r="BO383" i="412" s="1"/>
  <c r="BN384" i="412"/>
  <c r="BO384" i="412" s="1"/>
  <c r="BN385" i="412"/>
  <c r="BO385" i="412" s="1"/>
  <c r="BN386" i="412"/>
  <c r="BO386" i="412" s="1"/>
  <c r="BN387" i="412"/>
  <c r="BO387" i="412" s="1"/>
  <c r="BN388" i="412"/>
  <c r="BO388" i="412" s="1"/>
  <c r="BN389" i="412"/>
  <c r="BO389" i="412" s="1"/>
  <c r="BN390" i="412"/>
  <c r="BO390" i="412" s="1"/>
  <c r="BN391" i="412"/>
  <c r="BO391" i="412" s="1"/>
  <c r="BN392" i="412"/>
  <c r="BO392" i="412" s="1"/>
  <c r="BN393" i="412"/>
  <c r="BO393" i="412" s="1"/>
  <c r="BN394" i="412"/>
  <c r="BO394" i="412" s="1"/>
  <c r="BN395" i="412"/>
  <c r="BO395" i="412" s="1"/>
  <c r="BN396" i="412"/>
  <c r="BO396" i="412" s="1"/>
  <c r="BN397" i="412"/>
  <c r="BO397" i="412" s="1"/>
  <c r="BN398" i="412"/>
  <c r="BO398" i="412" s="1"/>
  <c r="BN399" i="412"/>
  <c r="BO399" i="412" s="1"/>
  <c r="BN400" i="412"/>
  <c r="BO400" i="412" s="1"/>
  <c r="BN401" i="412"/>
  <c r="BO401" i="412" s="1"/>
  <c r="BN402" i="412"/>
  <c r="BO402" i="412" s="1"/>
  <c r="BN403" i="412"/>
  <c r="BO403" i="412" s="1"/>
  <c r="BN404" i="412"/>
  <c r="BO404" i="412" s="1"/>
  <c r="BN405" i="412"/>
  <c r="BO405" i="412" s="1"/>
  <c r="BN406" i="412"/>
  <c r="BO406" i="412" s="1"/>
  <c r="BN407" i="412"/>
  <c r="BO407" i="412" s="1"/>
  <c r="BN408" i="412"/>
  <c r="BO408" i="412" s="1"/>
  <c r="BN409" i="412"/>
  <c r="BO409" i="412" s="1"/>
  <c r="BN410" i="412"/>
  <c r="BO410" i="412" s="1"/>
  <c r="BN411" i="412"/>
  <c r="BO411" i="412" s="1"/>
  <c r="BN412" i="412"/>
  <c r="BO412" i="412" s="1"/>
  <c r="BN413" i="412"/>
  <c r="BO413" i="412" s="1"/>
  <c r="BN414" i="412"/>
  <c r="BO414" i="412" s="1"/>
  <c r="BN415" i="412"/>
  <c r="BO415" i="412" s="1"/>
  <c r="BN416" i="412"/>
  <c r="BO416" i="412" s="1"/>
  <c r="BN417" i="412"/>
  <c r="BO417" i="412" s="1"/>
  <c r="BN418" i="412"/>
  <c r="BO418" i="412" s="1"/>
  <c r="BN419" i="412"/>
  <c r="BO419" i="412" s="1"/>
  <c r="BN420" i="412"/>
  <c r="BO420" i="412" s="1"/>
  <c r="BN421" i="412"/>
  <c r="BO421" i="412" s="1"/>
  <c r="BN422" i="412"/>
  <c r="BO422" i="412" s="1"/>
  <c r="BN423" i="412"/>
  <c r="BO423" i="412" s="1"/>
  <c r="BN424" i="412"/>
  <c r="BO424" i="412" s="1"/>
  <c r="BN425" i="412"/>
  <c r="BO425" i="412" s="1"/>
  <c r="BN426" i="412"/>
  <c r="BO426" i="412" s="1"/>
  <c r="BN427" i="412"/>
  <c r="BO427" i="412" s="1"/>
  <c r="BN428" i="412"/>
  <c r="BO428" i="412" s="1"/>
  <c r="BN429" i="412"/>
  <c r="BO429" i="412" s="1"/>
  <c r="BN430" i="412"/>
  <c r="BO430" i="412" s="1"/>
  <c r="BN431" i="412"/>
  <c r="BO431" i="412" s="1"/>
  <c r="BN432" i="412"/>
  <c r="BO432" i="412" s="1"/>
  <c r="BN433" i="412"/>
  <c r="BO433" i="412" s="1"/>
  <c r="BN434" i="412"/>
  <c r="BO434" i="412" s="1"/>
  <c r="BN435" i="412"/>
  <c r="BO435" i="412" s="1"/>
  <c r="BN436" i="412"/>
  <c r="BO436" i="412" s="1"/>
  <c r="BN437" i="412"/>
  <c r="BO437" i="412" s="1"/>
  <c r="BN438" i="412"/>
  <c r="BO438" i="412" s="1"/>
  <c r="BN439" i="412"/>
  <c r="BO439" i="412" s="1"/>
  <c r="BN440" i="412"/>
  <c r="BO440" i="412" s="1"/>
  <c r="BN441" i="412"/>
  <c r="BO441" i="412" s="1"/>
  <c r="BN442" i="412"/>
  <c r="BO442" i="412" s="1"/>
  <c r="BN443" i="412"/>
  <c r="BO443" i="412" s="1"/>
  <c r="BN444" i="412"/>
  <c r="BO444" i="412" s="1"/>
  <c r="BN445" i="412"/>
  <c r="BO445" i="412" s="1"/>
  <c r="BN446" i="412"/>
  <c r="BO446" i="412" s="1"/>
  <c r="BN447" i="412"/>
  <c r="BO447" i="412" s="1"/>
  <c r="BN448" i="412"/>
  <c r="BO448" i="412" s="1"/>
  <c r="BN449" i="412"/>
  <c r="BO449" i="412" s="1"/>
  <c r="BN450" i="412"/>
  <c r="BO450" i="412" s="1"/>
  <c r="BN451" i="412"/>
  <c r="BO451" i="412" s="1"/>
  <c r="BN452" i="412"/>
  <c r="BO452" i="412" s="1"/>
  <c r="BN453" i="412"/>
  <c r="BO453" i="412" s="1"/>
  <c r="BN454" i="412"/>
  <c r="BO454" i="412" s="1"/>
  <c r="BN455" i="412"/>
  <c r="BO455" i="412" s="1"/>
  <c r="BN456" i="412"/>
  <c r="BO456" i="412" s="1"/>
  <c r="BN457" i="412"/>
  <c r="BO457" i="412" s="1"/>
  <c r="BN458" i="412"/>
  <c r="BO458" i="412" s="1"/>
  <c r="BN459" i="412"/>
  <c r="BO459" i="412" s="1"/>
  <c r="BN460" i="412"/>
  <c r="BO460" i="412" s="1"/>
  <c r="BN461" i="412"/>
  <c r="BO461" i="412" s="1"/>
  <c r="BN462" i="412"/>
  <c r="BO462" i="412" s="1"/>
  <c r="BN463" i="412"/>
  <c r="BO463" i="412" s="1"/>
  <c r="BN464" i="412"/>
  <c r="BO464" i="412" s="1"/>
  <c r="BN465" i="412"/>
  <c r="BO465" i="412" s="1"/>
  <c r="BN466" i="412"/>
  <c r="BO466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 s="1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170" i="412"/>
  <c r="BO170" i="412" s="1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177" i="412"/>
  <c r="BO177" i="412" s="1"/>
  <c r="BN178" i="412"/>
  <c r="BO178" i="412" s="1"/>
  <c r="BN179" i="412"/>
  <c r="BO179" i="412" s="1"/>
  <c r="BN180" i="412"/>
  <c r="BO180" i="412" s="1"/>
  <c r="BN181" i="412"/>
  <c r="BO181" i="412" s="1"/>
  <c r="BN182" i="412"/>
  <c r="BO182" i="412" s="1"/>
  <c r="BN183" i="412"/>
  <c r="BO183" i="412" s="1"/>
  <c r="BN184" i="412"/>
  <c r="BO184" i="412" s="1"/>
  <c r="BN185" i="412"/>
  <c r="BO185" i="412" s="1"/>
  <c r="BN2" i="412"/>
  <c r="BO2" i="412" l="1"/>
</calcChain>
</file>

<file path=xl/sharedStrings.xml><?xml version="1.0" encoding="utf-8"?>
<sst xmlns="http://schemas.openxmlformats.org/spreadsheetml/2006/main" count="3792" uniqueCount="651">
  <si>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</si>
  <si>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</si>
  <si>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</si>
  <si>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</si>
  <si>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</si>
  <si>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</si>
  <si>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</si>
  <si>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</si>
  <si>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</si>
  <si>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</si>
  <si>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스토리위즈</t>
  </si>
  <si>
    <t>김광수</t>
  </si>
  <si>
    <t>합계</t>
  </si>
  <si>
    <t>앱마켓수수료</t>
  </si>
  <si>
    <t>시리즈APP</t>
    <phoneticPr fontId="20" type="noConversion"/>
  </si>
  <si>
    <t>구원, 그 잔혹함에 대하여 [선공개]</t>
  </si>
  <si>
    <t>스토리위즈_1</t>
  </si>
  <si>
    <t>한보연</t>
  </si>
  <si>
    <t>2022.06.02</t>
  </si>
  <si>
    <t>디버프 마스터</t>
  </si>
  <si>
    <t>담화공</t>
  </si>
  <si>
    <t>2022.05.04</t>
  </si>
  <si>
    <t>위대한 가문의 망나니가 되다 [독점]</t>
  </si>
  <si>
    <t>바나바다</t>
  </si>
  <si>
    <t>2022.04.17</t>
  </si>
  <si>
    <t>나 혼자 스킬융합 [독점]</t>
  </si>
  <si>
    <t>붕어빵</t>
  </si>
  <si>
    <t>2022.05.06</t>
  </si>
  <si>
    <t>회귀의 전설 [단행본]</t>
  </si>
  <si>
    <t>최종 보스 : 빛을 향해 달리는 그림자 [독점]</t>
  </si>
  <si>
    <t>무장</t>
  </si>
  <si>
    <t>2021.03.06</t>
  </si>
  <si>
    <t>사랑도 없이 결혼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</si>
  <si>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</si>
  <si>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</si>
  <si>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</si>
  <si>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</si>
  <si>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</si>
  <si>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</si>
  <si>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</si>
  <si>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결혼의 함정 [선공개]</t>
  </si>
  <si>
    <t>블랙커피</t>
  </si>
  <si>
    <t>로드 오브 머니</t>
  </si>
  <si>
    <t>2018.08.02</t>
  </si>
  <si>
    <t>갓 오브 블랙필드 [개정판][단행본]</t>
  </si>
  <si>
    <t>2020.06.24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</si>
  <si>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</si>
  <si>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</si>
  <si>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</si>
  <si>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</si>
  <si>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</si>
  <si>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바랑둥이 내 남자</t>
  </si>
  <si>
    <t>밈스</t>
  </si>
  <si>
    <t>2022.05.25</t>
  </si>
  <si>
    <t>원코인 게이머 아포칼립스</t>
  </si>
  <si>
    <t>이한애비</t>
  </si>
  <si>
    <t>2022.03.23</t>
  </si>
  <si>
    <t>다정할수록 불순한 [외전 선공개]</t>
  </si>
  <si>
    <t>은지유</t>
  </si>
  <si>
    <t>2022.04.04</t>
  </si>
  <si>
    <t>형사의 게임</t>
  </si>
  <si>
    <t>2017.04.11</t>
  </si>
  <si>
    <t>간신이 나라를 살림</t>
  </si>
  <si>
    <t>루이세</t>
  </si>
  <si>
    <t>2020.01.22</t>
  </si>
  <si>
    <t>BJ소드마스터 [독점]</t>
  </si>
  <si>
    <t>이동열</t>
  </si>
  <si>
    <t>2020.07.24</t>
  </si>
  <si>
    <t>회귀자의 슬기로운 복수생활 [독점]</t>
  </si>
  <si>
    <t>구공</t>
  </si>
  <si>
    <t>2022.03.30</t>
  </si>
  <si>
    <t>위험한 신혼부부 [독점]</t>
  </si>
  <si>
    <t>박수정(방울마마)</t>
  </si>
  <si>
    <t>2016.07.20</t>
  </si>
  <si>
    <t>돌아온 막내 영애님을 조심하세요</t>
  </si>
  <si>
    <t>윈델</t>
  </si>
  <si>
    <t>2022.05.13</t>
  </si>
  <si>
    <t>기사가문 망나니는 10클래스</t>
  </si>
  <si>
    <t>예로나</t>
  </si>
  <si>
    <t>2020.03.11</t>
  </si>
  <si>
    <t>공작가의 남루한 신부</t>
  </si>
  <si>
    <t>무성매직</t>
  </si>
  <si>
    <t>2021.04.08</t>
  </si>
  <si>
    <t>로드 오브 머니 [단행본]</t>
  </si>
  <si>
    <t>2019.08.05</t>
  </si>
  <si>
    <t>절대자의 귀환</t>
  </si>
  <si>
    <t>장유진</t>
  </si>
  <si>
    <t>2021.01.19</t>
  </si>
  <si>
    <t>SSS급 마왕의 귀환</t>
  </si>
  <si>
    <t>구유</t>
  </si>
  <si>
    <t>2019.06.14</t>
  </si>
  <si>
    <t>슈퍼스타의 비밀 어플</t>
  </si>
  <si>
    <t>2022.03.11</t>
  </si>
  <si>
    <t>그라운드의 지배자</t>
  </si>
  <si>
    <t>2016.05.30</t>
  </si>
  <si>
    <t>삼국지 호접몽전 [단행본]</t>
  </si>
  <si>
    <t>청빙</t>
  </si>
  <si>
    <t>2020.05.05</t>
  </si>
  <si>
    <t>말빨</t>
  </si>
  <si>
    <t>2020.02.12</t>
  </si>
  <si>
    <t>그라운드의 지배자 [단행본]</t>
  </si>
  <si>
    <t>2017.09.06</t>
  </si>
  <si>
    <t>시크릿 맨 [개정판][삽화본]</t>
  </si>
  <si>
    <t>2020.04.10</t>
  </si>
  <si>
    <t>격렬하게, 다시 한번</t>
  </si>
  <si>
    <t>허니레몬</t>
  </si>
  <si>
    <t>2019.07.24</t>
  </si>
  <si>
    <t>임신부터 할까요?</t>
  </si>
  <si>
    <t>온서</t>
  </si>
  <si>
    <t>2021.03.26</t>
  </si>
  <si>
    <t>문답무용 - 삼국지 유비의 모사가 되었다</t>
  </si>
  <si>
    <t>2021.02.24</t>
  </si>
  <si>
    <t>찬동</t>
  </si>
  <si>
    <t>뜨거운 항해</t>
  </si>
  <si>
    <t>2021.08.16</t>
  </si>
  <si>
    <t>화산검제 [은천검제 2부 연재]</t>
  </si>
  <si>
    <t>2020.03.24</t>
  </si>
  <si>
    <t>흔적</t>
  </si>
  <si>
    <t>꽃잠</t>
  </si>
  <si>
    <t>망작 리메이커 [독점]</t>
  </si>
  <si>
    <t>덕킹</t>
  </si>
  <si>
    <t>2021.08.03</t>
  </si>
  <si>
    <t>월급 주는 남편</t>
  </si>
  <si>
    <t>블 루 스 카 이</t>
  </si>
  <si>
    <t>2020.04.13</t>
  </si>
  <si>
    <t>형사의 게임 [단행본]</t>
  </si>
  <si>
    <t>2017.10.27</t>
  </si>
  <si>
    <t>야쿠자가 사랑을 한다면 [개정판][BL]</t>
  </si>
  <si>
    <t>모리미</t>
  </si>
  <si>
    <t>2019.12.05</t>
  </si>
  <si>
    <t>구애</t>
  </si>
  <si>
    <t>셔틀</t>
  </si>
  <si>
    <t>게임 속 유닛</t>
  </si>
  <si>
    <t>2020.08.18</t>
  </si>
  <si>
    <t>그땐 미처</t>
  </si>
  <si>
    <t>2018.12.26</t>
  </si>
  <si>
    <t>적왕의 깊은 밤</t>
  </si>
  <si>
    <t>엘리신</t>
  </si>
  <si>
    <t>2020.11.02</t>
  </si>
  <si>
    <t>기어이 사랑</t>
  </si>
  <si>
    <t>2020.01.31</t>
  </si>
  <si>
    <t>사랑을 놓치고</t>
  </si>
  <si>
    <t>2018.11.09</t>
  </si>
  <si>
    <t>SSS급 마왕의 귀환 [단행본]</t>
  </si>
  <si>
    <t>2020.03.19</t>
  </si>
  <si>
    <t>라스트 서바이버 : 진화로 살아남아라!</t>
  </si>
  <si>
    <t>친구의 고백</t>
  </si>
  <si>
    <t>빵양이</t>
  </si>
  <si>
    <t>2019.02.01</t>
  </si>
  <si>
    <t>내 남자 길들이기</t>
  </si>
  <si>
    <t>2020.11.16</t>
  </si>
  <si>
    <t>칵테일로 레벨업 [독점]</t>
  </si>
  <si>
    <t>서강후</t>
  </si>
  <si>
    <t>2021.11.01</t>
  </si>
  <si>
    <t>너는 내 숨결이니까</t>
  </si>
  <si>
    <t>2020.09.14</t>
  </si>
  <si>
    <t>On the air [BL]</t>
  </si>
  <si>
    <t>DION(디온)</t>
  </si>
  <si>
    <t>2021.02.03</t>
  </si>
  <si>
    <t>영원한 1위 [BL][단행본]</t>
  </si>
  <si>
    <t>羽宸寰(Uchenhu), 林珮瑜(Lin Peiyu)</t>
  </si>
  <si>
    <t>2022.05.02</t>
  </si>
  <si>
    <t>처음이어도 좋아</t>
  </si>
  <si>
    <t>테레자</t>
  </si>
  <si>
    <t>2020.05.18</t>
  </si>
  <si>
    <t>컬러 러쉬 [BL]</t>
  </si>
  <si>
    <t>세상</t>
  </si>
  <si>
    <t>2021.04.07</t>
  </si>
  <si>
    <t>회귀했는데 FFF급 부두술사 [독점]</t>
  </si>
  <si>
    <t>빡선생</t>
  </si>
  <si>
    <t>2021.11.17</t>
  </si>
  <si>
    <t>나 혼자만 일일 보상</t>
  </si>
  <si>
    <t>2018.12.20</t>
  </si>
  <si>
    <t>욕망에 눈뜨다</t>
  </si>
  <si>
    <t>2020.05.15</t>
  </si>
  <si>
    <t>이 비서 다리 좀 치워 [BL]</t>
  </si>
  <si>
    <t>2019.05.16</t>
  </si>
  <si>
    <t>살 떨리는 동거</t>
  </si>
  <si>
    <t>2021.01.14</t>
  </si>
  <si>
    <t>도폐풍운록</t>
  </si>
  <si>
    <t>2021.01.29</t>
  </si>
  <si>
    <t>성군이십니다 [독점]</t>
  </si>
  <si>
    <t>이준영</t>
  </si>
  <si>
    <t>2019.04.17</t>
  </si>
  <si>
    <t>2위의 역습 [BL][단행본]</t>
  </si>
  <si>
    <t>사랑한다 윤혜영 [개정판][삽화본]</t>
  </si>
  <si>
    <t>2021.01.18</t>
  </si>
  <si>
    <t>어쩌다 계약 아내 [단행본]</t>
  </si>
  <si>
    <t>2021.09.17</t>
  </si>
  <si>
    <t>리얼 머니 [독점]</t>
  </si>
  <si>
    <t>진문</t>
  </si>
  <si>
    <t>2020.06.03</t>
  </si>
  <si>
    <t>선유문주 [단행본]</t>
  </si>
  <si>
    <t>2022.01.27</t>
  </si>
  <si>
    <t>도폐풍운록 [단행본]</t>
  </si>
  <si>
    <t>2020.10.29</t>
  </si>
  <si>
    <t>내 사랑 스토커</t>
  </si>
  <si>
    <t>디버스 대도서관</t>
  </si>
  <si>
    <t>2019.04.01</t>
  </si>
  <si>
    <t>네가 뭔데 그러세요 [BL]</t>
  </si>
  <si>
    <t>주이서</t>
  </si>
  <si>
    <t>2021.01.13</t>
  </si>
  <si>
    <t>우리야, 이리온</t>
  </si>
  <si>
    <t>김온별(러브마인)</t>
  </si>
  <si>
    <t>2022.04.08</t>
  </si>
  <si>
    <t>베리타 (verità)</t>
  </si>
  <si>
    <t>2021.04.02</t>
  </si>
  <si>
    <t>강호유정</t>
  </si>
  <si>
    <t>2020.08.25</t>
  </si>
  <si>
    <t>2020.09.08</t>
  </si>
  <si>
    <t>버그 걸린 드래곤 [독점]</t>
  </si>
  <si>
    <t>폴딩</t>
  </si>
  <si>
    <t>2021.10.15</t>
  </si>
  <si>
    <t>올마스터가 된 비전서고 [독점]</t>
  </si>
  <si>
    <t>글면증</t>
  </si>
  <si>
    <t>2021.11.18</t>
  </si>
  <si>
    <t>나는 너를, 너는 나를 [BL]</t>
  </si>
  <si>
    <t>라비니안느</t>
  </si>
  <si>
    <t>2019.03.07</t>
  </si>
  <si>
    <t>나쁜 이혼 [선공개]</t>
  </si>
  <si>
    <t>진숙</t>
  </si>
  <si>
    <t>2021.03.02</t>
  </si>
  <si>
    <t>비서의 유혹</t>
  </si>
  <si>
    <t>2020.02.14</t>
  </si>
  <si>
    <t>2020.08.26</t>
  </si>
  <si>
    <t>컬러 러쉬 [BL][단행본]</t>
  </si>
  <si>
    <t>2021.04.13</t>
  </si>
  <si>
    <t>유성하소월 [1~83화]</t>
  </si>
  <si>
    <t>se1392001</t>
  </si>
  <si>
    <t>2019.01.31</t>
  </si>
  <si>
    <t>사랑, 흘러간다 [BL]</t>
  </si>
  <si>
    <t>사냥:꿈 [BL]</t>
  </si>
  <si>
    <t>2018.02.22</t>
  </si>
  <si>
    <t>선유문주</t>
  </si>
  <si>
    <t>던전 공략 LIVE</t>
  </si>
  <si>
    <t>2018.06.20</t>
  </si>
  <si>
    <t>슈퍼스타의 비밀 어플 [단행본]</t>
  </si>
  <si>
    <t>2022.03.10</t>
  </si>
  <si>
    <t>영원한 1위 &amp; 2위의 역습 [BL]</t>
  </si>
  <si>
    <t>2022.05.19</t>
  </si>
  <si>
    <t>트리거 [BL]</t>
  </si>
  <si>
    <t>2020.06.05</t>
  </si>
  <si>
    <t>내 안에 흑염룡이 산다! [독점]</t>
  </si>
  <si>
    <t>리세마라</t>
  </si>
  <si>
    <t>2022.02.10</t>
  </si>
  <si>
    <t>여왕 아델</t>
  </si>
  <si>
    <t>이린비</t>
  </si>
  <si>
    <t>2018.01.25</t>
  </si>
  <si>
    <t>위층 아이 아빠 [BL]</t>
  </si>
  <si>
    <t>2019.03.05</t>
  </si>
  <si>
    <t>골 때리는 사랑 [BL]</t>
  </si>
  <si>
    <t>2020.04.17</t>
  </si>
  <si>
    <t>낚싯대 하나로 세계최강 [독점]</t>
  </si>
  <si>
    <t>단팥크림빵7</t>
  </si>
  <si>
    <t>2021.08.20</t>
  </si>
  <si>
    <t>궁성</t>
  </si>
  <si>
    <t>스내치</t>
  </si>
  <si>
    <t>2020.12.21</t>
  </si>
  <si>
    <t>푸르디푸른 내 달빛</t>
  </si>
  <si>
    <t>모리미J</t>
  </si>
  <si>
    <t>2020.11.30</t>
  </si>
  <si>
    <t>그 여름 네 입술</t>
  </si>
  <si>
    <t>레드트러블</t>
  </si>
  <si>
    <t>그땐 그랬었다 [BL]</t>
  </si>
  <si>
    <t>2018.09.07</t>
  </si>
  <si>
    <t>완벽한 계략 남편</t>
  </si>
  <si>
    <t>2021.01.04</t>
  </si>
  <si>
    <t>얼어 죽어도, 겨울</t>
  </si>
  <si>
    <t>진새벽</t>
  </si>
  <si>
    <t>2020.11.27</t>
  </si>
  <si>
    <t>야릇한 그놈</t>
  </si>
  <si>
    <t>해달화영</t>
  </si>
  <si>
    <t>2020.07.22</t>
  </si>
  <si>
    <t>격렬하게, 다시 한번 [단행본]</t>
  </si>
  <si>
    <t>2020.03.20</t>
  </si>
  <si>
    <t>그 알파 내 오메가 만들기 [BL]</t>
  </si>
  <si>
    <t>2018.09.20</t>
  </si>
  <si>
    <t>나 혼자만 일일 보상 [단행본]</t>
  </si>
  <si>
    <t>2020.03.05</t>
  </si>
  <si>
    <t>욕과 정이 깨어날 때</t>
  </si>
  <si>
    <t>김너울</t>
  </si>
  <si>
    <t>2019.12.27</t>
  </si>
  <si>
    <t>어쩌다 계약 아내 외전 [단행본]</t>
  </si>
  <si>
    <t>두 형사 [개정판][삽화본]</t>
  </si>
  <si>
    <t>2021.03.12</t>
  </si>
  <si>
    <t>아프오 안 아프오 나는 [BL]</t>
  </si>
  <si>
    <t>내 남편의 열렬한 구애</t>
  </si>
  <si>
    <t>아이리스</t>
  </si>
  <si>
    <t>2019.12.09</t>
  </si>
  <si>
    <t>19세 이상 이용가능</t>
  </si>
  <si>
    <t>충동적인 결혼</t>
  </si>
  <si>
    <t>2019.11.29</t>
  </si>
  <si>
    <t>SOTUS [BL][단행본]</t>
  </si>
  <si>
    <t>BitterSweet</t>
  </si>
  <si>
    <t>본능에 눈뜨다 [개정증보판]</t>
  </si>
  <si>
    <t>2019.11.15</t>
  </si>
  <si>
    <t>절대자의 귀환 [단행본]</t>
  </si>
  <si>
    <t>2021.04.15</t>
  </si>
  <si>
    <t>아래층에 전남편이 산다</t>
  </si>
  <si>
    <t>2021.10.01</t>
  </si>
  <si>
    <t>우리 [개정판][삽화본]</t>
  </si>
  <si>
    <t>꿈속의 보스</t>
  </si>
  <si>
    <t>2021.01.12</t>
  </si>
  <si>
    <t>게이 하우스 [BL]</t>
  </si>
  <si>
    <t>빨강뽀뽀</t>
  </si>
  <si>
    <t>2019.06.26</t>
  </si>
  <si>
    <t>보좌관</t>
  </si>
  <si>
    <t>2019.04.11</t>
  </si>
  <si>
    <t>유성하소월 [84~122화]</t>
  </si>
  <si>
    <t>se1392084</t>
  </si>
  <si>
    <t>2014.09.12</t>
  </si>
  <si>
    <t>레이디 스칼렛</t>
  </si>
  <si>
    <t>불고기자리</t>
  </si>
  <si>
    <t>2020.08.20</t>
  </si>
  <si>
    <t>라지에르의 서</t>
  </si>
  <si>
    <t>공든탑</t>
  </si>
  <si>
    <t>2017.07.03</t>
  </si>
  <si>
    <t>내일은 이혼해요</t>
  </si>
  <si>
    <t>윤비밀</t>
  </si>
  <si>
    <t>2020.02.24</t>
  </si>
  <si>
    <t>SOTUS S [BL]</t>
  </si>
  <si>
    <t>2022.05.27</t>
  </si>
  <si>
    <t>사라족의 간택 [삽화본][BL]</t>
  </si>
  <si>
    <t>중독</t>
  </si>
  <si>
    <t>문스톤</t>
  </si>
  <si>
    <t>2019.12.18</t>
  </si>
  <si>
    <t>스타의 연애 [BL]</t>
  </si>
  <si>
    <t>완벽한 타인과</t>
  </si>
  <si>
    <t>2020.01.28</t>
  </si>
  <si>
    <t>아저씨, 내 기분 왜 이래요?</t>
  </si>
  <si>
    <t>Livingston</t>
  </si>
  <si>
    <t>2021.03.29</t>
  </si>
  <si>
    <t>나쁜 이혼 [단행본]</t>
  </si>
  <si>
    <t>야쿠자가 사랑을 한다면 2 [개정판][BL][단행본]</t>
  </si>
  <si>
    <t>2022.01.28</t>
  </si>
  <si>
    <t>너는 내 숨결이니까 [단행본]</t>
  </si>
  <si>
    <t>2021.04.09</t>
  </si>
  <si>
    <t>이 비서 다리 좀 치워 [BL][단행본]</t>
  </si>
  <si>
    <t>2020.05.08</t>
  </si>
  <si>
    <t>아래층에 전남편이 산다 [단행본]</t>
  </si>
  <si>
    <t>사랑을 놓치고 [단행본]</t>
  </si>
  <si>
    <t>2019.10.11</t>
  </si>
  <si>
    <t>야쿠자가 사랑을 한다면 [개정판][BL][단행본]</t>
  </si>
  <si>
    <t>2020.11.23</t>
  </si>
  <si>
    <t>친구의 고백 [단행본]</t>
  </si>
  <si>
    <t>Yulia</t>
  </si>
  <si>
    <t>매혹적인 상사</t>
  </si>
  <si>
    <t>2022.03.04</t>
  </si>
  <si>
    <t>간신이 나라를 살림 [단행본]</t>
  </si>
  <si>
    <t>골 때리는 사랑 [BL][단행본]</t>
  </si>
  <si>
    <t>2021.03.10</t>
  </si>
  <si>
    <t>숨결을 삼키다</t>
  </si>
  <si>
    <t>2020.08.17</t>
  </si>
  <si>
    <t>야쿠자가 사랑을 한다면 외전 [개정판][BL][단행본]</t>
  </si>
  <si>
    <t>썸원(Someone)</t>
  </si>
  <si>
    <t>사냥 [삽화본]</t>
  </si>
  <si>
    <t>2019.11.07</t>
  </si>
  <si>
    <t>이혼 후 로또 1등 감독님</t>
  </si>
  <si>
    <t>2022.07.04</t>
  </si>
  <si>
    <t>신들의 알바나라</t>
  </si>
  <si>
    <t>갓띵작</t>
  </si>
  <si>
    <t>2022.06.10</t>
  </si>
  <si>
    <t>나의 시고르자브종 [BL]</t>
  </si>
  <si>
    <t>두나래</t>
  </si>
  <si>
    <t>2022.06.16</t>
  </si>
  <si>
    <t>돌아온 막내 영애님을 조심하세요 [단행본]</t>
  </si>
  <si>
    <t>대표님께 매우 진심인 편 [외전 선공개]</t>
  </si>
  <si>
    <t>블루문</t>
  </si>
  <si>
    <t>2022.06.15</t>
  </si>
  <si>
    <t>꿈은 이루어진다</t>
  </si>
  <si>
    <t>벗우</t>
  </si>
  <si>
    <t>2019.12.11</t>
  </si>
  <si>
    <t>심장이 뛰면</t>
  </si>
  <si>
    <t>2019.05.01</t>
  </si>
  <si>
    <t>앰퍼샌드B</t>
  </si>
  <si>
    <t>2022.06.22</t>
  </si>
  <si>
    <t>꽃잎, 흩날리는 [BL][단행본]</t>
  </si>
  <si>
    <t>마용출</t>
  </si>
  <si>
    <t>2022.06.27</t>
  </si>
  <si>
    <t>나의 시고르자브종 3권 [BL][단행본]</t>
  </si>
  <si>
    <t>베리타 (verità) [단행본]</t>
  </si>
  <si>
    <t>2022.08.02</t>
  </si>
  <si>
    <t>블레슈(Blesshuu)</t>
  </si>
  <si>
    <t>2022.08.01</t>
  </si>
  <si>
    <t>모르는 남자와 결혼했다</t>
  </si>
  <si>
    <t>정요화</t>
  </si>
  <si>
    <t>2022.07.20</t>
  </si>
  <si>
    <t>부도덕한 재회</t>
  </si>
  <si>
    <t>이리안</t>
  </si>
  <si>
    <t>2022.07.27</t>
  </si>
  <si>
    <t>최종 보스 : 빛을 향해 달리는 그림자 [단행본]</t>
  </si>
  <si>
    <t>영웅 [개정판][단행본]</t>
  </si>
  <si>
    <t>밥앤라면</t>
  </si>
  <si>
    <t>먼나무</t>
  </si>
  <si>
    <t>2021.05.20</t>
  </si>
  <si>
    <t>사랑한다 윤혜영 [개정판][삽화본][단행본]</t>
  </si>
  <si>
    <t>시리즈완전판(APP)</t>
    <phoneticPr fontId="20" type="noConversion"/>
  </si>
  <si>
    <t>젖어 들다</t>
  </si>
  <si>
    <t>란토파즈</t>
  </si>
  <si>
    <t>2019.07.05</t>
  </si>
  <si>
    <t>시리즈(iOS)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</si>
  <si>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</si>
  <si>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</si>
  <si>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</si>
  <si>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</si>
  <si>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</si>
  <si>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</si>
  <si>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</si>
  <si>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</si>
  <si>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</si>
  <si>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</si>
  <si>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</si>
  <si>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</si>
  <si>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</si>
  <si>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</si>
  <si>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</si>
  <si>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</si>
  <si>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</si>
  <si>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</si>
  <si>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</si>
  <si>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</si>
  <si>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</si>
  <si>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</si>
  <si>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</si>
  <si>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</si>
  <si>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</si>
  <si>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</si>
  <si>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</si>
  <si>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</si>
  <si>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</si>
  <si>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</si>
  <si>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</si>
  <si>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</si>
  <si>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</si>
  <si>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</si>
  <si>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</si>
  <si>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</si>
  <si>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</si>
  <si>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</si>
  <si>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</si>
  <si>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</si>
  <si>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</si>
  <si>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</si>
  <si>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</si>
  <si>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</si>
  <si>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</si>
  <si>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</si>
  <si>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</si>
  <si>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</si>
  <si>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</si>
  <si>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</si>
  <si>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</si>
  <si>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</si>
  <si>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</si>
  <si>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</si>
  <si>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</si>
  <si>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</si>
  <si>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</si>
  <si>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</si>
  <si>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지금, 덮치러 갑니다</t>
  </si>
  <si>
    <t>2022.08.12</t>
  </si>
  <si>
    <t>2022.08.22</t>
  </si>
  <si>
    <t>천재 배우의 다이어리</t>
  </si>
  <si>
    <t>mollen</t>
  </si>
  <si>
    <t>함선으로 귀환해서 이세계 최강 [독점]</t>
  </si>
  <si>
    <t>말빨 [단행본]</t>
  </si>
  <si>
    <t>마신부활 [단행본]</t>
  </si>
  <si>
    <t>만렙도끼</t>
  </si>
  <si>
    <t>은천검제(2부 화산검제) [단행본]</t>
  </si>
  <si>
    <t>다정할수록 불순한 [단행본]</t>
  </si>
  <si>
    <t>2022.05.20</t>
  </si>
  <si>
    <t>임신부터 할까요? [단행본]</t>
  </si>
  <si>
    <t>2022.01.26</t>
  </si>
  <si>
    <t>원코인 게이머 아포칼립스 [단행본]</t>
  </si>
  <si>
    <t>시크릿 맨 [개정판][삽화본][단행본]</t>
  </si>
  <si>
    <t>2020.05.29</t>
  </si>
  <si>
    <t>쉿, 그놈을 부탁해 [단행본]</t>
  </si>
  <si>
    <t>2021.08.19</t>
  </si>
  <si>
    <t>라지에르의 서 [단행본]</t>
  </si>
  <si>
    <t>2018.01.05</t>
  </si>
  <si>
    <t>복수하는 회귀 사서 [독점]</t>
  </si>
  <si>
    <t>백일하</t>
  </si>
  <si>
    <t>납치</t>
  </si>
  <si>
    <t>내게만 악마 같은 놈 [삽화본]</t>
  </si>
  <si>
    <t>2020.09.07</t>
  </si>
  <si>
    <t>너는 내 숨결이니까 외전 [단행본]</t>
  </si>
  <si>
    <t>골 때리는 사랑 외전 [BL][단행본]</t>
  </si>
  <si>
    <t>이 비서 다리 좀 치워 외전 [BL][단행본]</t>
  </si>
  <si>
    <t>2020.05.10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</si>
  <si>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</si>
  <si>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</si>
  <si>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아내 구속 [독점]</t>
  </si>
  <si>
    <t>상태창빨로 천재 재벌</t>
  </si>
  <si>
    <t>리얼탄산</t>
  </si>
  <si>
    <t>2022.09.05</t>
  </si>
  <si>
    <t>골 넣는 수비수</t>
  </si>
  <si>
    <t>muscleup</t>
  </si>
  <si>
    <t>2022.09.15</t>
  </si>
  <si>
    <t>천하제일인은 딸바보 [독점]</t>
  </si>
  <si>
    <t>해비베어</t>
  </si>
  <si>
    <t>2022.09.30</t>
  </si>
  <si>
    <t>막상막하 [BL]</t>
  </si>
  <si>
    <t>마뇽</t>
  </si>
  <si>
    <t>2022.09.23</t>
  </si>
  <si>
    <t>나 혼자 스킬융합 [단행본]</t>
  </si>
  <si>
    <t>위대한 가문의 망나니가 되다 [단행본]</t>
  </si>
  <si>
    <t>강호유정 [단행본]</t>
  </si>
  <si>
    <t>131100761</t>
  </si>
  <si>
    <t>2013.11.15</t>
  </si>
  <si>
    <t>망작 리메이커 [단행본]</t>
  </si>
  <si>
    <t>2022.03.29</t>
  </si>
  <si>
    <t>성군이십니다 [단행본]</t>
  </si>
  <si>
    <t>2020.03.26</t>
  </si>
  <si>
    <t>회귀자의 슬기로운 복수생활 [단행본]</t>
  </si>
  <si>
    <t>2022.08.31</t>
  </si>
  <si>
    <t>라스트 서바이버 : 진화로 살아남아라! [단행본]</t>
  </si>
  <si>
    <t>망생부터 시작하는 천재작가의 회귀</t>
  </si>
  <si>
    <t>알랙스</t>
  </si>
  <si>
    <t>전여린</t>
  </si>
  <si>
    <t>드래곤은 나 혼자 잡는다</t>
  </si>
  <si>
    <t>2018.12.17</t>
  </si>
  <si>
    <t>브레이크 포레스트</t>
  </si>
  <si>
    <t>구이</t>
  </si>
  <si>
    <t>결혼의 함정 [단행본]</t>
  </si>
  <si>
    <t>2022.09.22</t>
  </si>
  <si>
    <t>문답무용 - 삼국지 유비의 모사가 되었다 [단행본]</t>
  </si>
  <si>
    <t>매혹적인 상사 [단행본]</t>
  </si>
  <si>
    <t>황설</t>
  </si>
  <si>
    <t>2018.03.09</t>
  </si>
  <si>
    <t>서툴게 탐닉하다 [단행본]</t>
  </si>
  <si>
    <t>푸른새벽</t>
  </si>
  <si>
    <t>2022.09.27</t>
  </si>
  <si>
    <t>앙팡테리블 [단행본]</t>
  </si>
  <si>
    <t>쇠렌센</t>
  </si>
  <si>
    <t>2020.09.29</t>
  </si>
  <si>
    <t>비서의 유혹 외전 [단행본]</t>
  </si>
  <si>
    <t>벨라트릭스</t>
  </si>
  <si>
    <t>vvk</t>
  </si>
  <si>
    <t>2019.09.05</t>
  </si>
  <si>
    <t>내 몸을 돌려줘요</t>
  </si>
  <si>
    <t>박도아</t>
  </si>
  <si>
    <t>2020.04.22</t>
  </si>
  <si>
    <t>얼굴 천재 교주가 되었다</t>
  </si>
  <si>
    <t>비고</t>
  </si>
  <si>
    <t>망나니 [단행본]</t>
  </si>
  <si>
    <t>2022.09.13</t>
  </si>
  <si>
    <t>오빠, 더 깊이 [단행본]</t>
  </si>
  <si>
    <t>누네니가</t>
  </si>
  <si>
    <t>2022.09.09</t>
  </si>
  <si>
    <t>궁성 [단행본]</t>
  </si>
  <si>
    <t>비서의 유혹 [단행본]</t>
  </si>
  <si>
    <t>결혼의 함정 외전 [단행본]</t>
  </si>
  <si>
    <t>남이 되어 주세요</t>
  </si>
  <si>
    <t>한서나</t>
  </si>
  <si>
    <t>2018.12.10</t>
  </si>
  <si>
    <t>사랑한다 윤혜영 외전 [개정판][단행본]</t>
  </si>
  <si>
    <t>베리타 (verità) 외전 [단행본]</t>
  </si>
  <si>
    <t>흔적 외전 [단행본]</t>
  </si>
  <si>
    <t>2020.12.08</t>
  </si>
  <si>
    <t>결혼의 함정 특별외전 [단행본]</t>
  </si>
  <si>
    <t>흔적 [단행본]</t>
  </si>
  <si>
    <t>본능에 눈뜨다 외전 [개정판][단행본]</t>
  </si>
  <si>
    <t>2022.10.21</t>
  </si>
  <si>
    <t>2022.11.01</t>
  </si>
  <si>
    <t>2022.11.02</t>
  </si>
  <si>
    <t>아빠는 마교대장</t>
  </si>
  <si>
    <t>구땡</t>
  </si>
  <si>
    <t>2022.10.07</t>
  </si>
  <si>
    <t>상간녀에게 빙의되었습니다</t>
  </si>
  <si>
    <t>엘비디</t>
  </si>
  <si>
    <t>혼자서는 못 해요</t>
  </si>
  <si>
    <t>몸서리</t>
  </si>
  <si>
    <t>2022.09.28</t>
  </si>
  <si>
    <t>검사님 출세하신다!</t>
  </si>
  <si>
    <t>2019.11.20</t>
  </si>
  <si>
    <t>2022.10.28</t>
  </si>
  <si>
    <t>칵테일로 레벨업 [단행본]</t>
  </si>
  <si>
    <t>혀끝에서 맴도는 [단행본]</t>
  </si>
  <si>
    <t>수레국화꽃말</t>
  </si>
  <si>
    <t>2020.12.24</t>
  </si>
  <si>
    <t>내 이름을 불러 [BL][단행본]</t>
  </si>
  <si>
    <t>환영합니다 마이클 본부장님 [BL][단행본]</t>
  </si>
  <si>
    <t>퍼리딩딩</t>
  </si>
  <si>
    <t>2022.10.26</t>
  </si>
  <si>
    <t>혼자서는 못 해요 [단행본]</t>
  </si>
  <si>
    <t>혀끝에서 맴도는</t>
  </si>
  <si>
    <t>2020.06.29</t>
  </si>
  <si>
    <t>야한 남자 vs 야한 여자 [단행본]</t>
  </si>
  <si>
    <t>신들의 알바나라 [단행본]</t>
  </si>
  <si>
    <t>아로새긴</t>
  </si>
  <si>
    <t>천사의 아이</t>
  </si>
  <si>
    <t>틴타</t>
  </si>
  <si>
    <t>2022.10.12</t>
  </si>
  <si>
    <t>어처구니없는 결혼 약속</t>
  </si>
  <si>
    <t>2020.03.25</t>
  </si>
  <si>
    <t>아프오 안 아프오 나는 [BL][단행본]</t>
  </si>
  <si>
    <t>검산도해 [단행본]</t>
  </si>
  <si>
    <t>권용찬</t>
  </si>
  <si>
    <t>더 라스트 웨어울프</t>
  </si>
  <si>
    <t>2020.11.11</t>
  </si>
  <si>
    <t>너에게 닿는 순간 [외전증보판][단행본]</t>
  </si>
  <si>
    <t>에피</t>
  </si>
  <si>
    <t>어처구니없는 결혼 약속 [단행본]</t>
  </si>
  <si>
    <t>2021.03.17</t>
  </si>
  <si>
    <t>던전 공략 LIVE [단행본]</t>
  </si>
  <si>
    <t>2018.02.21</t>
  </si>
  <si>
    <t>검사님 출세하신다! [단행본]</t>
  </si>
  <si>
    <t>선택된 남자 [BL][단행본]</t>
  </si>
  <si>
    <t>2021.05.21</t>
  </si>
  <si>
    <t>위층 아이 아빠 [BL][단행본]</t>
  </si>
  <si>
    <t>2022.10.27</t>
  </si>
  <si>
    <t>SOTUS 외전 [BL][단행본]</t>
  </si>
  <si>
    <t>돌아온 막내 영애님을 조심하세요 외전 [단행본]</t>
  </si>
  <si>
    <t>혼자서는 못 해요 외전 [단행본]</t>
  </si>
  <si>
    <t>SOTUS 특별 외전 [BL][단행본]</t>
  </si>
  <si>
    <t>2022.10.15</t>
  </si>
  <si>
    <t>베놈 마스터</t>
  </si>
  <si>
    <t>시계태엽오란씨</t>
  </si>
  <si>
    <t>2020.02.03</t>
  </si>
  <si>
    <t>천재 배우의 다이어리 [단행본]</t>
  </si>
  <si>
    <t>2022.10.24</t>
  </si>
  <si>
    <t>뜨거운 항해 [단행본]</t>
  </si>
  <si>
    <t>사냥 [외전증보판][단행본]</t>
  </si>
  <si>
    <t>2020.02.06</t>
  </si>
  <si>
    <t>스타의 연애 [개정판][BL][단행본]</t>
  </si>
  <si>
    <t>찬란한 덫 [외전증보판][단행본]</t>
  </si>
  <si>
    <t>오빠는 말이야 [단행본]</t>
  </si>
  <si>
    <t>고은영</t>
  </si>
  <si>
    <t>트리거 [외전증보판][BL][단행본]</t>
  </si>
  <si>
    <t>로맨틱 크러시 [BL][단행본]</t>
  </si>
  <si>
    <t>망나니개</t>
  </si>
  <si>
    <t>구애 [단행본]</t>
  </si>
  <si>
    <t>2019.11.22</t>
  </si>
  <si>
    <t>동굴에 핀 꽃 [외전증보판][단행본]</t>
  </si>
  <si>
    <t>쏘삭쏘삭</t>
  </si>
  <si>
    <t>얼어 죽어도, 겨울 [단행본]</t>
  </si>
  <si>
    <t>2020.12.14</t>
  </si>
  <si>
    <t>사랑, 흘러간다 [BL][단행본]</t>
  </si>
  <si>
    <t>2021.02.17</t>
  </si>
  <si>
    <t>아로새긴 [외전증보판][단행본]</t>
  </si>
  <si>
    <t>적왕의 깊은 밤 [단행본]</t>
  </si>
  <si>
    <t>뜨거운 항해 외전 [단행본]</t>
  </si>
  <si>
    <t>내 이름을 불러 외전 [BL][단행본]</t>
  </si>
  <si>
    <t>로맨틱 크러시 외전 [BL][단행본]</t>
  </si>
  <si>
    <t>Only you 외전 [BL][단행본]</t>
  </si>
  <si>
    <t>2021.09.09</t>
  </si>
  <si>
    <t>얼어 죽어도, 겨울 외전 [단행본]</t>
  </si>
  <si>
    <t>시크릿 맨 외전 [개정판][단행본]</t>
  </si>
  <si>
    <t>여왕 아델 [단행본]</t>
  </si>
  <si>
    <t>2020.10.21</t>
  </si>
  <si>
    <t>시리즈(iOS)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</si>
</sst>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533"/>
  <sheetViews>
    <sheetView tabSelected="1" topLeftCell="AP499" zoomScale="90" zoomScaleNormal="90" workbookViewId="0">
      <selection activeCell="BO533" sqref="BO533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4" max="64" width="11.75" bestFit="1" customWidth="1"/>
    <col min="65" max="65" width="12.75" bestFit="1" customWidth="1"/>
    <col min="66" max="66" width="13.5" bestFit="1" customWidth="1"/>
    <col min="67" max="67" width="13.375" style="13" customWidth="1"/>
  </cols>
  <sheetData>
    <row r="1" spans="1:69" ht="27" customHeight="1" x14ac:dyDescent="0.3">
      <c r="A1" s="2" t="s">
        <v>401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402</v>
      </c>
      <c r="I1" s="14" t="s">
        <v>6</v>
      </c>
      <c r="J1" s="12" t="s">
        <v>403</v>
      </c>
      <c r="K1" s="12" t="s">
        <v>404</v>
      </c>
      <c r="L1" s="12" t="s">
        <v>405</v>
      </c>
      <c r="M1" s="12" t="s">
        <v>406</v>
      </c>
      <c r="N1" s="12" t="s">
        <v>407</v>
      </c>
      <c r="O1" s="12" t="s">
        <v>408</v>
      </c>
      <c r="P1" s="12" t="s">
        <v>409</v>
      </c>
      <c r="Q1" s="12" t="s">
        <v>410</v>
      </c>
      <c r="R1" s="12" t="s">
        <v>411</v>
      </c>
      <c r="S1" s="12" t="s">
        <v>412</v>
      </c>
      <c r="T1" s="12" t="s">
        <v>413</v>
      </c>
      <c r="U1" s="12" t="s">
        <v>414</v>
      </c>
      <c r="V1" s="12" t="s">
        <v>415</v>
      </c>
      <c r="W1" s="12" t="s">
        <v>416</v>
      </c>
      <c r="X1" s="12" t="s">
        <v>417</v>
      </c>
      <c r="Y1" s="12" t="s">
        <v>418</v>
      </c>
      <c r="Z1" s="12" t="s">
        <v>419</v>
      </c>
      <c r="AA1" s="12" t="s">
        <v>420</v>
      </c>
      <c r="AB1" s="12" t="s">
        <v>421</v>
      </c>
      <c r="AC1" s="12" t="s">
        <v>422</v>
      </c>
      <c r="AD1" s="12" t="s">
        <v>423</v>
      </c>
      <c r="AE1" s="12" t="s">
        <v>424</v>
      </c>
      <c r="AF1" s="12" t="s">
        <v>425</v>
      </c>
      <c r="AG1" s="12" t="s">
        <v>426</v>
      </c>
      <c r="AH1" s="12" t="s">
        <v>427</v>
      </c>
      <c r="AI1" s="12" t="s">
        <v>428</v>
      </c>
      <c r="AJ1" s="12" t="s">
        <v>429</v>
      </c>
      <c r="AK1" s="12" t="s">
        <v>430</v>
      </c>
      <c r="AL1" s="12" t="s">
        <v>431</v>
      </c>
      <c r="AM1" s="12" t="s">
        <v>432</v>
      </c>
      <c r="AN1" s="12" t="s">
        <v>433</v>
      </c>
      <c r="AO1" s="12" t="s">
        <v>434</v>
      </c>
      <c r="AP1" s="12" t="s">
        <v>435</v>
      </c>
      <c r="AQ1" s="12" t="s">
        <v>436</v>
      </c>
      <c r="AR1" s="12" t="s">
        <v>437</v>
      </c>
      <c r="AS1" s="12" t="s">
        <v>438</v>
      </c>
      <c r="AT1" s="12" t="s">
        <v>439</v>
      </c>
      <c r="AU1" s="12" t="s">
        <v>440</v>
      </c>
      <c r="AV1" s="12" t="s">
        <v>441</v>
      </c>
      <c r="AW1" s="12" t="s">
        <v>442</v>
      </c>
      <c r="AX1" s="12" t="s">
        <v>443</v>
      </c>
      <c r="AY1" s="12" t="s">
        <v>444</v>
      </c>
      <c r="AZ1" s="12" t="s">
        <v>445</v>
      </c>
      <c r="BA1" s="12" t="s">
        <v>446</v>
      </c>
      <c r="BB1" s="12" t="s">
        <v>447</v>
      </c>
      <c r="BC1" s="12" t="s">
        <v>448</v>
      </c>
      <c r="BD1" s="12" t="s">
        <v>449</v>
      </c>
      <c r="BE1" s="12" t="s">
        <v>450</v>
      </c>
      <c r="BF1" s="12" t="s">
        <v>451</v>
      </c>
      <c r="BG1" s="12" t="s">
        <v>452</v>
      </c>
      <c r="BH1" s="12" t="s">
        <v>453</v>
      </c>
      <c r="BI1" s="12" t="s">
        <v>454</v>
      </c>
      <c r="BJ1" s="12" t="s">
        <v>455</v>
      </c>
      <c r="BK1" s="12" t="s">
        <v>456</v>
      </c>
      <c r="BL1" s="12" t="s">
        <v>13</v>
      </c>
      <c r="BM1" s="12" t="s">
        <v>12</v>
      </c>
      <c r="BN1" s="12" t="s">
        <v>457</v>
      </c>
      <c r="BO1" s="12" t="s">
        <v>458</v>
      </c>
      <c r="BP1" s="12" t="s">
        <v>489</v>
      </c>
      <c r="BQ1" s="12" t="s">
        <v>490</v>
      </c>
    </row>
    <row r="2" spans="1:69" x14ac:dyDescent="0.3">
      <c r="A2" s="5" t="s">
        <v>14</v>
      </c>
      <c r="B2" s="5" t="s">
        <v>491</v>
      </c>
      <c r="C2" s="5">
        <v>482098</v>
      </c>
      <c r="D2" s="6"/>
      <c r="E2" s="5" t="s">
        <v>16</v>
      </c>
      <c r="F2" s="5" t="s">
        <v>41</v>
      </c>
      <c r="G2" s="5" t="s">
        <v>382</v>
      </c>
      <c r="H2" s="7" t="s">
        <v>8</v>
      </c>
      <c r="I2" s="7" t="s">
        <v>562</v>
      </c>
      <c r="J2" s="8">
        <v>694</v>
      </c>
      <c r="K2" s="8">
        <v>54359</v>
      </c>
      <c r="L2" s="8">
        <v>69400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21536</v>
      </c>
      <c r="AF2" s="8">
        <v>978480</v>
      </c>
      <c r="AG2" s="8">
        <v>1225800</v>
      </c>
      <c r="AH2" s="7">
        <v>0</v>
      </c>
      <c r="AI2" s="7">
        <v>0</v>
      </c>
      <c r="AJ2" s="7">
        <v>0</v>
      </c>
      <c r="AK2" s="7">
        <v>164</v>
      </c>
      <c r="AL2" s="7">
        <v>10075</v>
      </c>
      <c r="AM2" s="8">
        <v>8000</v>
      </c>
      <c r="AN2" s="7">
        <v>0</v>
      </c>
      <c r="AO2" s="7">
        <v>0</v>
      </c>
      <c r="AP2" s="7">
        <v>0</v>
      </c>
      <c r="AQ2" s="8">
        <v>5903</v>
      </c>
      <c r="AR2" s="8">
        <v>574600</v>
      </c>
      <c r="AS2" s="8">
        <v>15700</v>
      </c>
      <c r="AT2" s="7">
        <v>0</v>
      </c>
      <c r="AU2" s="7">
        <v>0</v>
      </c>
      <c r="AV2" s="7">
        <v>0</v>
      </c>
      <c r="AW2" s="8">
        <v>6996</v>
      </c>
      <c r="AX2" s="8">
        <v>841568</v>
      </c>
      <c r="AY2" s="7">
        <v>500</v>
      </c>
      <c r="AZ2" s="7">
        <v>0</v>
      </c>
      <c r="BA2" s="7">
        <v>0</v>
      </c>
      <c r="BB2" s="7">
        <v>0</v>
      </c>
      <c r="BC2" s="8">
        <v>40836</v>
      </c>
      <c r="BD2" s="8">
        <v>4895880</v>
      </c>
      <c r="BE2" s="8">
        <v>3700</v>
      </c>
      <c r="BF2" s="7">
        <v>0</v>
      </c>
      <c r="BG2" s="7">
        <v>0</v>
      </c>
      <c r="BH2" s="7">
        <v>0</v>
      </c>
      <c r="BI2" s="7">
        <v>55</v>
      </c>
      <c r="BJ2" s="8">
        <v>6600</v>
      </c>
      <c r="BK2" s="7">
        <v>0</v>
      </c>
      <c r="BL2" s="9">
        <v>381262.1</v>
      </c>
      <c r="BM2" s="10">
        <v>8630303</v>
      </c>
      <c r="BN2" s="15">
        <f>BM2-BL2</f>
        <v>8249040.9000000004</v>
      </c>
      <c r="BO2" s="16">
        <f>BN2*70%</f>
        <v>5774328.6299999999</v>
      </c>
    </row>
    <row r="3" spans="1:69" x14ac:dyDescent="0.3">
      <c r="A3" s="5" t="s">
        <v>14</v>
      </c>
      <c r="B3" s="5" t="s">
        <v>15</v>
      </c>
      <c r="C3" s="5">
        <v>465248</v>
      </c>
      <c r="D3" s="6"/>
      <c r="E3" s="5" t="s">
        <v>16</v>
      </c>
      <c r="F3" s="5" t="s">
        <v>17</v>
      </c>
      <c r="G3" s="5" t="s">
        <v>382</v>
      </c>
      <c r="H3" s="7" t="s">
        <v>9</v>
      </c>
      <c r="I3" s="7" t="s">
        <v>18</v>
      </c>
      <c r="J3" s="7">
        <v>423</v>
      </c>
      <c r="K3" s="8">
        <v>21751</v>
      </c>
      <c r="L3" s="7">
        <v>42300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17057</v>
      </c>
      <c r="AF3" s="8">
        <v>753120</v>
      </c>
      <c r="AG3" s="8">
        <v>980800</v>
      </c>
      <c r="AH3" s="7">
        <v>0</v>
      </c>
      <c r="AI3" s="7">
        <v>0</v>
      </c>
      <c r="AJ3" s="7">
        <v>0</v>
      </c>
      <c r="AK3" s="7">
        <v>181</v>
      </c>
      <c r="AL3" s="7">
        <v>4560</v>
      </c>
      <c r="AM3" s="7">
        <v>14300</v>
      </c>
      <c r="AN3" s="7">
        <v>0</v>
      </c>
      <c r="AO3" s="7">
        <v>0</v>
      </c>
      <c r="AP3" s="7">
        <v>0</v>
      </c>
      <c r="AQ3" s="8">
        <v>4357</v>
      </c>
      <c r="AR3" s="8">
        <v>423900</v>
      </c>
      <c r="AS3" s="8">
        <v>11800</v>
      </c>
      <c r="AT3" s="7">
        <v>0</v>
      </c>
      <c r="AU3" s="7">
        <v>0</v>
      </c>
      <c r="AV3" s="7">
        <v>0</v>
      </c>
      <c r="AW3" s="8">
        <v>3248</v>
      </c>
      <c r="AX3" s="8">
        <v>396072</v>
      </c>
      <c r="AY3" s="7">
        <v>1200</v>
      </c>
      <c r="AZ3" s="7">
        <v>0</v>
      </c>
      <c r="BA3" s="7">
        <v>0</v>
      </c>
      <c r="BB3" s="7">
        <v>0</v>
      </c>
      <c r="BC3" s="8">
        <v>13896</v>
      </c>
      <c r="BD3" s="8">
        <v>1666080</v>
      </c>
      <c r="BE3" s="7">
        <v>1200</v>
      </c>
      <c r="BF3" s="7">
        <v>0</v>
      </c>
      <c r="BG3" s="7">
        <v>0</v>
      </c>
      <c r="BH3" s="7">
        <v>0</v>
      </c>
      <c r="BI3" s="7">
        <v>5</v>
      </c>
      <c r="BJ3" s="8">
        <v>600</v>
      </c>
      <c r="BK3" s="7">
        <v>0</v>
      </c>
      <c r="BL3" s="9">
        <v>140970</v>
      </c>
      <c r="BM3" s="10">
        <v>4295932</v>
      </c>
      <c r="BN3" s="15">
        <f t="shared" ref="BN3:BN66" si="0">BM3-BL3</f>
        <v>4154962</v>
      </c>
      <c r="BO3" s="16">
        <f t="shared" ref="BO3:BO66" si="1">BN3*70%</f>
        <v>2908473.4</v>
      </c>
    </row>
    <row r="4" spans="1:69" x14ac:dyDescent="0.3">
      <c r="A4" s="5" t="s">
        <v>14</v>
      </c>
      <c r="B4" s="5" t="s">
        <v>357</v>
      </c>
      <c r="C4" s="5">
        <v>472512</v>
      </c>
      <c r="D4" s="6"/>
      <c r="E4" s="5" t="s">
        <v>16</v>
      </c>
      <c r="F4" s="5" t="s">
        <v>39</v>
      </c>
      <c r="G4" s="5" t="s">
        <v>10</v>
      </c>
      <c r="H4" s="7" t="s">
        <v>7</v>
      </c>
      <c r="I4" s="7" t="s">
        <v>563</v>
      </c>
      <c r="J4" s="7">
        <v>0</v>
      </c>
      <c r="K4" s="8">
        <v>25238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640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12490</v>
      </c>
      <c r="AF4" s="8">
        <v>782860</v>
      </c>
      <c r="AG4" s="8">
        <v>511700</v>
      </c>
      <c r="AH4" s="7">
        <v>0</v>
      </c>
      <c r="AI4" s="7">
        <v>0</v>
      </c>
      <c r="AJ4" s="7">
        <v>0</v>
      </c>
      <c r="AK4" s="7">
        <v>159</v>
      </c>
      <c r="AL4" s="7">
        <v>7560</v>
      </c>
      <c r="AM4" s="7">
        <v>9600</v>
      </c>
      <c r="AN4" s="7">
        <v>0</v>
      </c>
      <c r="AO4" s="7">
        <v>0</v>
      </c>
      <c r="AP4" s="7">
        <v>0</v>
      </c>
      <c r="AQ4" s="8">
        <v>6595</v>
      </c>
      <c r="AR4" s="8">
        <v>648900</v>
      </c>
      <c r="AS4" s="8">
        <v>10600</v>
      </c>
      <c r="AT4" s="7">
        <v>0</v>
      </c>
      <c r="AU4" s="7">
        <v>0</v>
      </c>
      <c r="AV4" s="7">
        <v>0</v>
      </c>
      <c r="AW4" s="8">
        <v>2728</v>
      </c>
      <c r="AX4" s="8">
        <v>327240</v>
      </c>
      <c r="AY4" s="7">
        <v>100</v>
      </c>
      <c r="AZ4" s="7">
        <v>0</v>
      </c>
      <c r="BA4" s="7">
        <v>0</v>
      </c>
      <c r="BB4" s="7">
        <v>0</v>
      </c>
      <c r="BC4" s="8">
        <v>11646</v>
      </c>
      <c r="BD4" s="8">
        <v>1396680</v>
      </c>
      <c r="BE4" s="8">
        <v>700</v>
      </c>
      <c r="BF4" s="7">
        <v>0</v>
      </c>
      <c r="BG4" s="7">
        <v>0</v>
      </c>
      <c r="BH4" s="7">
        <v>0</v>
      </c>
      <c r="BI4" s="7">
        <v>18</v>
      </c>
      <c r="BJ4" s="7">
        <v>2160</v>
      </c>
      <c r="BK4" s="7">
        <v>0</v>
      </c>
      <c r="BL4" s="9">
        <v>118900.8</v>
      </c>
      <c r="BM4" s="10">
        <v>3698100</v>
      </c>
      <c r="BN4" s="15">
        <f t="shared" si="0"/>
        <v>3579199.2</v>
      </c>
      <c r="BO4" s="16">
        <f t="shared" si="1"/>
        <v>2505439.44</v>
      </c>
    </row>
    <row r="5" spans="1:69" x14ac:dyDescent="0.3">
      <c r="A5" s="5" t="s">
        <v>14</v>
      </c>
      <c r="B5" s="5" t="s">
        <v>498</v>
      </c>
      <c r="C5" s="5">
        <v>478744</v>
      </c>
      <c r="D5" s="6"/>
      <c r="E5" s="5" t="s">
        <v>16</v>
      </c>
      <c r="F5" s="5" t="s">
        <v>499</v>
      </c>
      <c r="G5" s="5" t="s">
        <v>10</v>
      </c>
      <c r="H5" s="7" t="s">
        <v>7</v>
      </c>
      <c r="I5" s="7" t="s">
        <v>564</v>
      </c>
      <c r="J5" s="7">
        <v>15869</v>
      </c>
      <c r="K5" s="7">
        <v>20823</v>
      </c>
      <c r="L5" s="7">
        <v>1586900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8">
        <v>76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8">
        <v>4295</v>
      </c>
      <c r="AF5" s="8">
        <v>205280</v>
      </c>
      <c r="AG5" s="8">
        <v>233800</v>
      </c>
      <c r="AH5" s="7">
        <v>0</v>
      </c>
      <c r="AI5" s="7">
        <v>0</v>
      </c>
      <c r="AJ5" s="7">
        <v>0</v>
      </c>
      <c r="AK5" s="7">
        <v>11</v>
      </c>
      <c r="AL5" s="7">
        <v>1200</v>
      </c>
      <c r="AM5" s="7">
        <v>100</v>
      </c>
      <c r="AN5" s="7">
        <v>0</v>
      </c>
      <c r="AO5" s="7">
        <v>0</v>
      </c>
      <c r="AP5" s="7">
        <v>0</v>
      </c>
      <c r="AQ5" s="8">
        <v>1102</v>
      </c>
      <c r="AR5" s="8">
        <v>105600</v>
      </c>
      <c r="AS5" s="8">
        <v>4600</v>
      </c>
      <c r="AT5" s="7">
        <v>0</v>
      </c>
      <c r="AU5" s="7">
        <v>0</v>
      </c>
      <c r="AV5" s="7">
        <v>0</v>
      </c>
      <c r="AW5" s="8">
        <v>774</v>
      </c>
      <c r="AX5" s="8">
        <v>91920</v>
      </c>
      <c r="AY5" s="8">
        <v>800</v>
      </c>
      <c r="AZ5" s="7">
        <v>0</v>
      </c>
      <c r="BA5" s="7">
        <v>0</v>
      </c>
      <c r="BB5" s="7">
        <v>0</v>
      </c>
      <c r="BC5" s="8">
        <v>3307</v>
      </c>
      <c r="BD5" s="8">
        <v>396720</v>
      </c>
      <c r="BE5" s="8">
        <v>100</v>
      </c>
      <c r="BF5" s="7">
        <v>0</v>
      </c>
      <c r="BG5" s="7">
        <v>0</v>
      </c>
      <c r="BH5" s="7">
        <v>0</v>
      </c>
      <c r="BI5" s="7">
        <v>20</v>
      </c>
      <c r="BJ5" s="7">
        <v>2400</v>
      </c>
      <c r="BK5" s="7">
        <v>0</v>
      </c>
      <c r="BL5" s="9">
        <v>33475.199999999997</v>
      </c>
      <c r="BM5" s="10">
        <v>2629420</v>
      </c>
      <c r="BN5" s="15">
        <f t="shared" si="0"/>
        <v>2595944.7999999998</v>
      </c>
      <c r="BO5" s="16">
        <f t="shared" si="1"/>
        <v>1817161.3599999999</v>
      </c>
    </row>
    <row r="6" spans="1:69" x14ac:dyDescent="0.3">
      <c r="A6" s="5" t="s">
        <v>14</v>
      </c>
      <c r="B6" s="5" t="s">
        <v>36</v>
      </c>
      <c r="C6" s="5">
        <v>178856</v>
      </c>
      <c r="D6" s="6"/>
      <c r="E6" s="5" t="s">
        <v>16</v>
      </c>
      <c r="F6" s="5" t="s">
        <v>30</v>
      </c>
      <c r="G6" s="5" t="s">
        <v>10</v>
      </c>
      <c r="H6" s="7" t="s">
        <v>9</v>
      </c>
      <c r="I6" s="7" t="s">
        <v>37</v>
      </c>
      <c r="J6" s="7">
        <v>0</v>
      </c>
      <c r="K6" s="8">
        <v>35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45</v>
      </c>
      <c r="T6" s="7">
        <v>3719</v>
      </c>
      <c r="U6" s="7">
        <v>0</v>
      </c>
      <c r="V6" s="7">
        <v>4500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8">
        <v>7818</v>
      </c>
      <c r="AF6" s="8">
        <v>514060</v>
      </c>
      <c r="AG6" s="8">
        <v>291100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8">
        <v>1961</v>
      </c>
      <c r="AR6" s="8">
        <v>190000</v>
      </c>
      <c r="AS6" s="8">
        <v>6100</v>
      </c>
      <c r="AT6" s="7">
        <v>0</v>
      </c>
      <c r="AU6" s="7">
        <v>0</v>
      </c>
      <c r="AV6" s="7">
        <v>0</v>
      </c>
      <c r="AW6" s="8">
        <v>2041</v>
      </c>
      <c r="AX6" s="8">
        <v>245488</v>
      </c>
      <c r="AY6" s="7">
        <v>800</v>
      </c>
      <c r="AZ6" s="7">
        <v>0</v>
      </c>
      <c r="BA6" s="7">
        <v>0</v>
      </c>
      <c r="BB6" s="7">
        <v>0</v>
      </c>
      <c r="BC6" s="8">
        <v>10072</v>
      </c>
      <c r="BD6" s="8">
        <v>1202640</v>
      </c>
      <c r="BE6" s="8">
        <v>5000</v>
      </c>
      <c r="BF6" s="7">
        <v>0</v>
      </c>
      <c r="BG6" s="7">
        <v>0</v>
      </c>
      <c r="BH6" s="7">
        <v>0</v>
      </c>
      <c r="BI6" s="7">
        <v>30</v>
      </c>
      <c r="BJ6" s="7">
        <v>3600</v>
      </c>
      <c r="BK6" s="7">
        <v>0</v>
      </c>
      <c r="BL6" s="9">
        <v>96887.2</v>
      </c>
      <c r="BM6" s="10">
        <v>2463288</v>
      </c>
      <c r="BN6" s="15">
        <f t="shared" si="0"/>
        <v>2366400.7999999998</v>
      </c>
      <c r="BO6" s="16">
        <f t="shared" si="1"/>
        <v>1656480.5599999998</v>
      </c>
    </row>
    <row r="7" spans="1:69" x14ac:dyDescent="0.3">
      <c r="A7" s="5" t="s">
        <v>14</v>
      </c>
      <c r="B7" s="5" t="s">
        <v>565</v>
      </c>
      <c r="C7" s="5">
        <v>484300</v>
      </c>
      <c r="D7" s="6"/>
      <c r="E7" s="5" t="s">
        <v>16</v>
      </c>
      <c r="F7" s="5" t="s">
        <v>566</v>
      </c>
      <c r="G7" s="5" t="s">
        <v>10</v>
      </c>
      <c r="H7" s="7" t="s">
        <v>7</v>
      </c>
      <c r="I7" s="7" t="s">
        <v>567</v>
      </c>
      <c r="J7" s="7">
        <v>3</v>
      </c>
      <c r="K7" s="7">
        <v>0</v>
      </c>
      <c r="L7" s="7">
        <v>300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8">
        <v>3441</v>
      </c>
      <c r="AF7" s="8">
        <v>337560</v>
      </c>
      <c r="AG7" s="8">
        <v>34000</v>
      </c>
      <c r="AH7" s="7">
        <v>0</v>
      </c>
      <c r="AI7" s="7">
        <v>0</v>
      </c>
      <c r="AJ7" s="7">
        <v>0</v>
      </c>
      <c r="AK7" s="7">
        <v>83</v>
      </c>
      <c r="AL7" s="7">
        <v>9960</v>
      </c>
      <c r="AM7" s="7">
        <v>0</v>
      </c>
      <c r="AN7" s="7">
        <v>0</v>
      </c>
      <c r="AO7" s="7">
        <v>0</v>
      </c>
      <c r="AP7" s="7">
        <v>0</v>
      </c>
      <c r="AQ7" s="8">
        <v>2585</v>
      </c>
      <c r="AR7" s="8">
        <v>254100</v>
      </c>
      <c r="AS7" s="8">
        <v>4400</v>
      </c>
      <c r="AT7" s="7">
        <v>0</v>
      </c>
      <c r="AU7" s="7">
        <v>0</v>
      </c>
      <c r="AV7" s="7">
        <v>0</v>
      </c>
      <c r="AW7" s="8">
        <v>826</v>
      </c>
      <c r="AX7" s="8">
        <v>97800</v>
      </c>
      <c r="AY7" s="8">
        <v>1100</v>
      </c>
      <c r="AZ7" s="7">
        <v>0</v>
      </c>
      <c r="BA7" s="7">
        <v>0</v>
      </c>
      <c r="BB7" s="7">
        <v>0</v>
      </c>
      <c r="BC7" s="8">
        <v>10463</v>
      </c>
      <c r="BD7" s="8">
        <v>1254600</v>
      </c>
      <c r="BE7" s="7">
        <v>800</v>
      </c>
      <c r="BF7" s="7">
        <v>0</v>
      </c>
      <c r="BG7" s="7">
        <v>0</v>
      </c>
      <c r="BH7" s="7">
        <v>0</v>
      </c>
      <c r="BI7" s="7">
        <v>2</v>
      </c>
      <c r="BJ7" s="7">
        <v>240</v>
      </c>
      <c r="BK7" s="7">
        <v>0</v>
      </c>
      <c r="BL7" s="9">
        <v>88056</v>
      </c>
      <c r="BM7" s="10">
        <v>1994860</v>
      </c>
      <c r="BN7" s="15">
        <f t="shared" si="0"/>
        <v>1906804</v>
      </c>
      <c r="BO7" s="16">
        <f t="shared" si="1"/>
        <v>1334762.7999999998</v>
      </c>
    </row>
    <row r="8" spans="1:69" ht="19.5" x14ac:dyDescent="0.3">
      <c r="A8" s="5" t="s">
        <v>14</v>
      </c>
      <c r="B8" s="5" t="s">
        <v>29</v>
      </c>
      <c r="C8" s="5">
        <v>369220</v>
      </c>
      <c r="D8" s="6"/>
      <c r="E8" s="5" t="s">
        <v>16</v>
      </c>
      <c r="F8" s="5" t="s">
        <v>30</v>
      </c>
      <c r="G8" s="5" t="s">
        <v>10</v>
      </c>
      <c r="H8" s="7" t="s">
        <v>7</v>
      </c>
      <c r="I8" s="7" t="s">
        <v>31</v>
      </c>
      <c r="J8" s="8">
        <v>1</v>
      </c>
      <c r="K8" s="8">
        <v>60</v>
      </c>
      <c r="L8" s="8">
        <v>100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539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8">
        <v>4845</v>
      </c>
      <c r="AF8" s="8">
        <v>266920</v>
      </c>
      <c r="AG8" s="8">
        <v>233500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8">
        <v>0</v>
      </c>
      <c r="AN8" s="7">
        <v>0</v>
      </c>
      <c r="AO8" s="7">
        <v>0</v>
      </c>
      <c r="AP8" s="7">
        <v>0</v>
      </c>
      <c r="AQ8" s="7">
        <v>3562</v>
      </c>
      <c r="AR8" s="8">
        <v>345100</v>
      </c>
      <c r="AS8" s="8">
        <v>11100</v>
      </c>
      <c r="AT8" s="7">
        <v>0</v>
      </c>
      <c r="AU8" s="7">
        <v>0</v>
      </c>
      <c r="AV8" s="7">
        <v>0</v>
      </c>
      <c r="AW8" s="7">
        <v>2264</v>
      </c>
      <c r="AX8" s="8">
        <v>271680</v>
      </c>
      <c r="AY8" s="7">
        <v>0</v>
      </c>
      <c r="AZ8" s="7">
        <v>0</v>
      </c>
      <c r="BA8" s="7">
        <v>0</v>
      </c>
      <c r="BB8" s="7">
        <v>0</v>
      </c>
      <c r="BC8" s="8">
        <v>6963</v>
      </c>
      <c r="BD8" s="8">
        <v>834360</v>
      </c>
      <c r="BE8" s="7">
        <v>1000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77229.600000000006</v>
      </c>
      <c r="BM8" s="10">
        <v>1963760</v>
      </c>
      <c r="BN8" s="15">
        <f t="shared" si="0"/>
        <v>1886530.4</v>
      </c>
      <c r="BO8" s="16">
        <f t="shared" si="1"/>
        <v>1320571.2799999998</v>
      </c>
    </row>
    <row r="9" spans="1:69" x14ac:dyDescent="0.3">
      <c r="A9" s="5" t="s">
        <v>14</v>
      </c>
      <c r="B9" s="5" t="s">
        <v>568</v>
      </c>
      <c r="C9" s="5">
        <v>484142</v>
      </c>
      <c r="D9" s="6"/>
      <c r="E9" s="5" t="s">
        <v>16</v>
      </c>
      <c r="F9" s="5" t="s">
        <v>569</v>
      </c>
      <c r="G9" s="5" t="s">
        <v>382</v>
      </c>
      <c r="H9" s="7" t="s">
        <v>8</v>
      </c>
      <c r="I9" s="7" t="s">
        <v>500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8">
        <v>3998</v>
      </c>
      <c r="AF9" s="8">
        <v>204060</v>
      </c>
      <c r="AG9" s="8">
        <v>208000</v>
      </c>
      <c r="AH9" s="7">
        <v>0</v>
      </c>
      <c r="AI9" s="7">
        <v>0</v>
      </c>
      <c r="AJ9" s="7">
        <v>0</v>
      </c>
      <c r="AK9" s="7">
        <v>2</v>
      </c>
      <c r="AL9" s="7">
        <v>240</v>
      </c>
      <c r="AM9" s="7">
        <v>0</v>
      </c>
      <c r="AN9" s="7">
        <v>0</v>
      </c>
      <c r="AO9" s="7">
        <v>0</v>
      </c>
      <c r="AP9" s="7">
        <v>0</v>
      </c>
      <c r="AQ9" s="8">
        <v>1844</v>
      </c>
      <c r="AR9" s="8">
        <v>177700</v>
      </c>
      <c r="AS9" s="8">
        <v>6700</v>
      </c>
      <c r="AT9" s="7">
        <v>0</v>
      </c>
      <c r="AU9" s="7">
        <v>0</v>
      </c>
      <c r="AV9" s="7">
        <v>0</v>
      </c>
      <c r="AW9" s="8">
        <v>963</v>
      </c>
      <c r="AX9" s="8">
        <v>115560</v>
      </c>
      <c r="AY9" s="8">
        <v>0</v>
      </c>
      <c r="AZ9" s="7">
        <v>0</v>
      </c>
      <c r="BA9" s="7">
        <v>0</v>
      </c>
      <c r="BB9" s="7">
        <v>0</v>
      </c>
      <c r="BC9" s="8">
        <v>6000</v>
      </c>
      <c r="BD9" s="8">
        <v>719520</v>
      </c>
      <c r="BE9" s="8">
        <v>400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54799.199999999997</v>
      </c>
      <c r="BM9" s="10">
        <v>1432180</v>
      </c>
      <c r="BN9" s="15">
        <f t="shared" si="0"/>
        <v>1377380.8</v>
      </c>
      <c r="BO9" s="16">
        <f t="shared" si="1"/>
        <v>964166.55999999994</v>
      </c>
    </row>
    <row r="10" spans="1:69" x14ac:dyDescent="0.3">
      <c r="A10" s="5" t="s">
        <v>14</v>
      </c>
      <c r="B10" s="5" t="s">
        <v>46</v>
      </c>
      <c r="C10" s="5">
        <v>412919</v>
      </c>
      <c r="D10" s="6"/>
      <c r="E10" s="5" t="s">
        <v>16</v>
      </c>
      <c r="F10" s="5" t="s">
        <v>47</v>
      </c>
      <c r="G10" s="5" t="s">
        <v>34</v>
      </c>
      <c r="H10" s="7" t="s">
        <v>8</v>
      </c>
      <c r="I10" s="7" t="s">
        <v>48</v>
      </c>
      <c r="J10" s="7">
        <v>3</v>
      </c>
      <c r="K10" s="7">
        <v>8599</v>
      </c>
      <c r="L10" s="7">
        <v>300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326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3067</v>
      </c>
      <c r="AF10" s="8">
        <v>169940</v>
      </c>
      <c r="AG10" s="8">
        <v>138800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691</v>
      </c>
      <c r="AR10" s="8">
        <v>64300</v>
      </c>
      <c r="AS10" s="8">
        <v>4800</v>
      </c>
      <c r="AT10" s="7">
        <v>0</v>
      </c>
      <c r="AU10" s="7">
        <v>0</v>
      </c>
      <c r="AV10" s="7">
        <v>0</v>
      </c>
      <c r="AW10" s="7">
        <v>1307</v>
      </c>
      <c r="AX10" s="8">
        <v>158233</v>
      </c>
      <c r="AY10" s="7">
        <v>0</v>
      </c>
      <c r="AZ10" s="7">
        <v>0</v>
      </c>
      <c r="BA10" s="7">
        <v>0</v>
      </c>
      <c r="BB10" s="7">
        <v>0</v>
      </c>
      <c r="BC10" s="7">
        <v>4863</v>
      </c>
      <c r="BD10" s="8">
        <v>583560</v>
      </c>
      <c r="BE10" s="8">
        <v>0</v>
      </c>
      <c r="BF10" s="7">
        <v>0</v>
      </c>
      <c r="BG10" s="7">
        <v>0</v>
      </c>
      <c r="BH10" s="7">
        <v>0</v>
      </c>
      <c r="BI10" s="7">
        <v>7</v>
      </c>
      <c r="BJ10" s="7">
        <v>840</v>
      </c>
      <c r="BK10" s="7">
        <v>0</v>
      </c>
      <c r="BL10" s="9">
        <v>50878.9</v>
      </c>
      <c r="BM10" s="10">
        <v>1120773</v>
      </c>
      <c r="BN10" s="15">
        <f t="shared" si="0"/>
        <v>1069894.1000000001</v>
      </c>
      <c r="BO10" s="16">
        <f t="shared" si="1"/>
        <v>748925.87</v>
      </c>
    </row>
    <row r="11" spans="1:69" x14ac:dyDescent="0.3">
      <c r="A11" s="5" t="s">
        <v>14</v>
      </c>
      <c r="B11" s="5" t="s">
        <v>42</v>
      </c>
      <c r="C11" s="5">
        <v>321812</v>
      </c>
      <c r="D11" s="6"/>
      <c r="E11" s="5" t="s">
        <v>16</v>
      </c>
      <c r="F11" s="5" t="s">
        <v>30</v>
      </c>
      <c r="G11" s="5" t="s">
        <v>10</v>
      </c>
      <c r="H11" s="7" t="s">
        <v>7</v>
      </c>
      <c r="I11" s="7" t="s">
        <v>43</v>
      </c>
      <c r="J11" s="8">
        <v>0</v>
      </c>
      <c r="K11" s="7">
        <v>31</v>
      </c>
      <c r="L11" s="8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192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8">
        <v>3408</v>
      </c>
      <c r="AF11" s="8">
        <v>219720</v>
      </c>
      <c r="AG11" s="8">
        <v>123200</v>
      </c>
      <c r="AH11" s="7">
        <v>0</v>
      </c>
      <c r="AI11" s="7">
        <v>0</v>
      </c>
      <c r="AJ11" s="7">
        <v>0</v>
      </c>
      <c r="AK11" s="7">
        <v>3</v>
      </c>
      <c r="AL11" s="7">
        <v>339</v>
      </c>
      <c r="AM11" s="7">
        <v>0</v>
      </c>
      <c r="AN11" s="7">
        <v>0</v>
      </c>
      <c r="AO11" s="7">
        <v>0</v>
      </c>
      <c r="AP11" s="7">
        <v>0</v>
      </c>
      <c r="AQ11" s="7">
        <v>1242</v>
      </c>
      <c r="AR11" s="8">
        <v>122500</v>
      </c>
      <c r="AS11" s="8">
        <v>1700</v>
      </c>
      <c r="AT11" s="7">
        <v>0</v>
      </c>
      <c r="AU11" s="7">
        <v>0</v>
      </c>
      <c r="AV11" s="7">
        <v>0</v>
      </c>
      <c r="AW11" s="7">
        <v>533</v>
      </c>
      <c r="AX11" s="8">
        <v>63960</v>
      </c>
      <c r="AY11" s="7">
        <v>0</v>
      </c>
      <c r="AZ11" s="7">
        <v>0</v>
      </c>
      <c r="BA11" s="7">
        <v>0</v>
      </c>
      <c r="BB11" s="7">
        <v>0</v>
      </c>
      <c r="BC11" s="8">
        <v>3962</v>
      </c>
      <c r="BD11" s="8">
        <v>471120</v>
      </c>
      <c r="BE11" s="8">
        <v>3600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34764.9</v>
      </c>
      <c r="BM11" s="10">
        <v>1006139</v>
      </c>
      <c r="BN11" s="15">
        <f t="shared" si="0"/>
        <v>971374.1</v>
      </c>
      <c r="BO11" s="16">
        <f t="shared" si="1"/>
        <v>679961.87</v>
      </c>
    </row>
    <row r="12" spans="1:69" ht="19.5" x14ac:dyDescent="0.3">
      <c r="A12" s="5" t="s">
        <v>14</v>
      </c>
      <c r="B12" s="5" t="s">
        <v>38</v>
      </c>
      <c r="C12" s="5">
        <v>454534</v>
      </c>
      <c r="D12" s="6"/>
      <c r="E12" s="5" t="s">
        <v>16</v>
      </c>
      <c r="F12" s="5" t="s">
        <v>39</v>
      </c>
      <c r="G12" s="5" t="s">
        <v>10</v>
      </c>
      <c r="H12" s="7" t="s">
        <v>7</v>
      </c>
      <c r="I12" s="7" t="s">
        <v>461</v>
      </c>
      <c r="J12" s="7">
        <v>0</v>
      </c>
      <c r="K12" s="7">
        <v>1931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213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3053</v>
      </c>
      <c r="AF12" s="8">
        <v>176500</v>
      </c>
      <c r="AG12" s="8">
        <v>134000</v>
      </c>
      <c r="AH12" s="7">
        <v>0</v>
      </c>
      <c r="AI12" s="7">
        <v>0</v>
      </c>
      <c r="AJ12" s="7">
        <v>0</v>
      </c>
      <c r="AK12" s="7">
        <v>9</v>
      </c>
      <c r="AL12" s="8">
        <v>252</v>
      </c>
      <c r="AM12" s="7">
        <v>700</v>
      </c>
      <c r="AN12" s="7">
        <v>0</v>
      </c>
      <c r="AO12" s="7">
        <v>0</v>
      </c>
      <c r="AP12" s="7">
        <v>0</v>
      </c>
      <c r="AQ12" s="7">
        <v>2309</v>
      </c>
      <c r="AR12" s="8">
        <v>226400</v>
      </c>
      <c r="AS12" s="8">
        <v>4500</v>
      </c>
      <c r="AT12" s="7">
        <v>0</v>
      </c>
      <c r="AU12" s="7">
        <v>0</v>
      </c>
      <c r="AV12" s="7">
        <v>0</v>
      </c>
      <c r="AW12" s="7">
        <v>657</v>
      </c>
      <c r="AX12" s="8">
        <v>78840</v>
      </c>
      <c r="AY12" s="7">
        <v>0</v>
      </c>
      <c r="AZ12" s="7">
        <v>0</v>
      </c>
      <c r="BA12" s="7">
        <v>0</v>
      </c>
      <c r="BB12" s="7">
        <v>0</v>
      </c>
      <c r="BC12" s="7">
        <v>2991</v>
      </c>
      <c r="BD12" s="8">
        <v>357600</v>
      </c>
      <c r="BE12" s="8">
        <v>1100</v>
      </c>
      <c r="BF12" s="7">
        <v>0</v>
      </c>
      <c r="BG12" s="7">
        <v>0</v>
      </c>
      <c r="BH12" s="7">
        <v>0</v>
      </c>
      <c r="BI12" s="7">
        <v>3</v>
      </c>
      <c r="BJ12" s="7">
        <v>360</v>
      </c>
      <c r="BK12" s="7">
        <v>0</v>
      </c>
      <c r="BL12" s="9">
        <v>29433.599999999999</v>
      </c>
      <c r="BM12" s="10">
        <v>980252</v>
      </c>
      <c r="BN12" s="15">
        <f t="shared" si="0"/>
        <v>950818.4</v>
      </c>
      <c r="BO12" s="16">
        <f t="shared" si="1"/>
        <v>665572.88</v>
      </c>
    </row>
    <row r="13" spans="1:69" x14ac:dyDescent="0.3">
      <c r="A13" s="5" t="s">
        <v>14</v>
      </c>
      <c r="B13" s="5" t="s">
        <v>19</v>
      </c>
      <c r="C13" s="5">
        <v>463799</v>
      </c>
      <c r="D13" s="6"/>
      <c r="E13" s="5" t="s">
        <v>16</v>
      </c>
      <c r="F13" s="5" t="s">
        <v>20</v>
      </c>
      <c r="G13" s="5" t="s">
        <v>10</v>
      </c>
      <c r="H13" s="7" t="s">
        <v>7</v>
      </c>
      <c r="I13" s="7" t="s">
        <v>21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288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943</v>
      </c>
      <c r="AF13" s="8">
        <v>17000</v>
      </c>
      <c r="AG13" s="8">
        <v>77300</v>
      </c>
      <c r="AH13" s="7">
        <v>0</v>
      </c>
      <c r="AI13" s="7">
        <v>0</v>
      </c>
      <c r="AJ13" s="7">
        <v>0</v>
      </c>
      <c r="AK13" s="7">
        <v>235</v>
      </c>
      <c r="AL13" s="8">
        <v>540</v>
      </c>
      <c r="AM13" s="8">
        <v>23100</v>
      </c>
      <c r="AN13" s="7">
        <v>0</v>
      </c>
      <c r="AO13" s="7">
        <v>0</v>
      </c>
      <c r="AP13" s="7">
        <v>0</v>
      </c>
      <c r="AQ13" s="8">
        <v>2580</v>
      </c>
      <c r="AR13" s="8">
        <v>241200</v>
      </c>
      <c r="AS13" s="8">
        <v>16800</v>
      </c>
      <c r="AT13" s="7">
        <v>0</v>
      </c>
      <c r="AU13" s="7">
        <v>0</v>
      </c>
      <c r="AV13" s="7">
        <v>0</v>
      </c>
      <c r="AW13" s="7">
        <v>406</v>
      </c>
      <c r="AX13" s="8">
        <v>51102</v>
      </c>
      <c r="AY13" s="7">
        <v>600</v>
      </c>
      <c r="AZ13" s="7">
        <v>0</v>
      </c>
      <c r="BA13" s="7">
        <v>0</v>
      </c>
      <c r="BB13" s="7">
        <v>0</v>
      </c>
      <c r="BC13" s="8">
        <v>4013</v>
      </c>
      <c r="BD13" s="8">
        <v>479640</v>
      </c>
      <c r="BE13" s="7">
        <v>1600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34050.6</v>
      </c>
      <c r="BM13" s="10">
        <v>908882</v>
      </c>
      <c r="BN13" s="15">
        <f t="shared" si="0"/>
        <v>874831.4</v>
      </c>
      <c r="BO13" s="16">
        <f t="shared" si="1"/>
        <v>612381.98</v>
      </c>
    </row>
    <row r="14" spans="1:69" ht="19.5" x14ac:dyDescent="0.3">
      <c r="A14" s="5" t="s">
        <v>14</v>
      </c>
      <c r="B14" s="5" t="s">
        <v>390</v>
      </c>
      <c r="C14" s="5">
        <v>476003</v>
      </c>
      <c r="D14" s="6"/>
      <c r="E14" s="5" t="s">
        <v>16</v>
      </c>
      <c r="F14" s="5" t="s">
        <v>30</v>
      </c>
      <c r="G14" s="5" t="s">
        <v>10</v>
      </c>
      <c r="H14" s="7" t="s">
        <v>8</v>
      </c>
      <c r="I14" s="7" t="s">
        <v>386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8">
        <v>37</v>
      </c>
      <c r="AF14" s="8">
        <v>80640</v>
      </c>
      <c r="AG14" s="8">
        <v>39500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3</v>
      </c>
      <c r="AR14" s="8">
        <v>9400</v>
      </c>
      <c r="AS14" s="7">
        <v>200</v>
      </c>
      <c r="AT14" s="7">
        <v>0</v>
      </c>
      <c r="AU14" s="7">
        <v>0</v>
      </c>
      <c r="AV14" s="7">
        <v>0</v>
      </c>
      <c r="AW14" s="7">
        <v>34</v>
      </c>
      <c r="AX14" s="8">
        <v>125400</v>
      </c>
      <c r="AY14" s="7">
        <v>0</v>
      </c>
      <c r="AZ14" s="7">
        <v>0</v>
      </c>
      <c r="BA14" s="7">
        <v>0</v>
      </c>
      <c r="BB14" s="7">
        <v>0</v>
      </c>
      <c r="BC14" s="8">
        <v>145</v>
      </c>
      <c r="BD14" s="8">
        <v>549120</v>
      </c>
      <c r="BE14" s="8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45487.199999999997</v>
      </c>
      <c r="BM14" s="10">
        <v>804260</v>
      </c>
      <c r="BN14" s="15">
        <f t="shared" si="0"/>
        <v>758772.8</v>
      </c>
      <c r="BO14" s="16">
        <f t="shared" si="1"/>
        <v>531140.96</v>
      </c>
    </row>
    <row r="15" spans="1:69" x14ac:dyDescent="0.3">
      <c r="A15" s="5" t="s">
        <v>14</v>
      </c>
      <c r="B15" s="5" t="s">
        <v>28</v>
      </c>
      <c r="C15" s="5">
        <v>414278</v>
      </c>
      <c r="D15" s="6"/>
      <c r="E15" s="5" t="s">
        <v>16</v>
      </c>
      <c r="F15" s="5" t="s">
        <v>11</v>
      </c>
      <c r="G15" s="5" t="s">
        <v>10</v>
      </c>
      <c r="H15" s="7" t="s">
        <v>8</v>
      </c>
      <c r="I15" s="7" t="s">
        <v>386</v>
      </c>
      <c r="J15" s="7">
        <v>0</v>
      </c>
      <c r="K15" s="8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8">
        <v>59</v>
      </c>
      <c r="AF15" s="8">
        <v>160600</v>
      </c>
      <c r="AG15" s="8">
        <v>31300</v>
      </c>
      <c r="AH15" s="7">
        <v>0</v>
      </c>
      <c r="AI15" s="7">
        <v>0</v>
      </c>
      <c r="AJ15" s="7">
        <v>0</v>
      </c>
      <c r="AK15" s="7">
        <v>1</v>
      </c>
      <c r="AL15" s="7">
        <v>120</v>
      </c>
      <c r="AM15" s="7">
        <v>0</v>
      </c>
      <c r="AN15" s="7">
        <v>0</v>
      </c>
      <c r="AO15" s="7">
        <v>0</v>
      </c>
      <c r="AP15" s="7">
        <v>0</v>
      </c>
      <c r="AQ15" s="8">
        <v>28</v>
      </c>
      <c r="AR15" s="8">
        <v>83100</v>
      </c>
      <c r="AS15" s="8">
        <v>2000</v>
      </c>
      <c r="AT15" s="7">
        <v>0</v>
      </c>
      <c r="AU15" s="7">
        <v>0</v>
      </c>
      <c r="AV15" s="7">
        <v>0</v>
      </c>
      <c r="AW15" s="7">
        <v>12</v>
      </c>
      <c r="AX15" s="8">
        <v>42720</v>
      </c>
      <c r="AY15" s="8">
        <v>0</v>
      </c>
      <c r="AZ15" s="7">
        <v>0</v>
      </c>
      <c r="BA15" s="7">
        <v>0</v>
      </c>
      <c r="BB15" s="7">
        <v>0</v>
      </c>
      <c r="BC15" s="7">
        <v>109</v>
      </c>
      <c r="BD15" s="8">
        <v>408120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9">
        <v>28795.200000000001</v>
      </c>
      <c r="BM15" s="10">
        <v>727960</v>
      </c>
      <c r="BN15" s="15">
        <f t="shared" si="0"/>
        <v>699164.8</v>
      </c>
      <c r="BO15" s="16">
        <f t="shared" si="1"/>
        <v>489415.36</v>
      </c>
    </row>
    <row r="16" spans="1:69" x14ac:dyDescent="0.3">
      <c r="A16" s="5" t="s">
        <v>14</v>
      </c>
      <c r="B16" s="5" t="s">
        <v>44</v>
      </c>
      <c r="C16" s="5">
        <v>324335</v>
      </c>
      <c r="D16" s="6"/>
      <c r="E16" s="5" t="s">
        <v>16</v>
      </c>
      <c r="F16" s="5" t="s">
        <v>30</v>
      </c>
      <c r="G16" s="5" t="s">
        <v>10</v>
      </c>
      <c r="H16" s="7" t="s">
        <v>9</v>
      </c>
      <c r="I16" s="7" t="s">
        <v>45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8">
        <v>35</v>
      </c>
      <c r="AF16" s="8">
        <v>24080</v>
      </c>
      <c r="AG16" s="8">
        <v>81000</v>
      </c>
      <c r="AH16" s="7">
        <v>0</v>
      </c>
      <c r="AI16" s="7">
        <v>0</v>
      </c>
      <c r="AJ16" s="7">
        <v>0</v>
      </c>
      <c r="AK16" s="7">
        <v>3</v>
      </c>
      <c r="AL16" s="7">
        <v>11040</v>
      </c>
      <c r="AM16" s="7">
        <v>0</v>
      </c>
      <c r="AN16" s="7">
        <v>0</v>
      </c>
      <c r="AO16" s="7">
        <v>0</v>
      </c>
      <c r="AP16" s="7">
        <v>0</v>
      </c>
      <c r="AQ16" s="7">
        <v>29</v>
      </c>
      <c r="AR16" s="8">
        <v>87500</v>
      </c>
      <c r="AS16" s="8">
        <v>1500</v>
      </c>
      <c r="AT16" s="7">
        <v>0</v>
      </c>
      <c r="AU16" s="7">
        <v>0</v>
      </c>
      <c r="AV16" s="7">
        <v>0</v>
      </c>
      <c r="AW16" s="7">
        <v>2</v>
      </c>
      <c r="AX16" s="8">
        <v>7680</v>
      </c>
      <c r="AY16" s="7">
        <v>0</v>
      </c>
      <c r="AZ16" s="7">
        <v>0</v>
      </c>
      <c r="BA16" s="7">
        <v>0</v>
      </c>
      <c r="BB16" s="7">
        <v>0</v>
      </c>
      <c r="BC16" s="8">
        <v>125</v>
      </c>
      <c r="BD16" s="8">
        <v>471840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32390.400000000001</v>
      </c>
      <c r="BM16" s="10">
        <v>684640</v>
      </c>
      <c r="BN16" s="15">
        <f t="shared" si="0"/>
        <v>652249.59999999998</v>
      </c>
      <c r="BO16" s="16">
        <f t="shared" si="1"/>
        <v>456574.71999999997</v>
      </c>
    </row>
    <row r="17" spans="1:67" x14ac:dyDescent="0.3">
      <c r="A17" s="5" t="s">
        <v>14</v>
      </c>
      <c r="B17" s="5" t="s">
        <v>83</v>
      </c>
      <c r="C17" s="5">
        <v>370935</v>
      </c>
      <c r="D17" s="6"/>
      <c r="E17" s="5" t="s">
        <v>16</v>
      </c>
      <c r="F17" s="5" t="s">
        <v>30</v>
      </c>
      <c r="G17" s="5" t="s">
        <v>10</v>
      </c>
      <c r="H17" s="7" t="s">
        <v>7</v>
      </c>
      <c r="I17" s="7" t="s">
        <v>84</v>
      </c>
      <c r="J17" s="7">
        <v>0</v>
      </c>
      <c r="K17" s="8">
        <v>0</v>
      </c>
      <c r="L17" s="8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8">
        <v>27</v>
      </c>
      <c r="AF17" s="8">
        <v>75940</v>
      </c>
      <c r="AG17" s="8">
        <v>200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12</v>
      </c>
      <c r="AR17" s="8">
        <v>37800</v>
      </c>
      <c r="AS17" s="7">
        <v>600</v>
      </c>
      <c r="AT17" s="7">
        <v>0</v>
      </c>
      <c r="AU17" s="7">
        <v>0</v>
      </c>
      <c r="AV17" s="7">
        <v>0</v>
      </c>
      <c r="AW17" s="7">
        <v>39</v>
      </c>
      <c r="AX17" s="8">
        <v>152767</v>
      </c>
      <c r="AY17" s="7">
        <v>0</v>
      </c>
      <c r="AZ17" s="7">
        <v>0</v>
      </c>
      <c r="BA17" s="7">
        <v>0</v>
      </c>
      <c r="BB17" s="7">
        <v>0</v>
      </c>
      <c r="BC17" s="8">
        <v>48</v>
      </c>
      <c r="BD17" s="8">
        <v>183960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26314.3</v>
      </c>
      <c r="BM17" s="10">
        <v>451267</v>
      </c>
      <c r="BN17" s="15">
        <f t="shared" si="0"/>
        <v>424952.7</v>
      </c>
      <c r="BO17" s="16">
        <f t="shared" si="1"/>
        <v>297466.89</v>
      </c>
    </row>
    <row r="18" spans="1:67" x14ac:dyDescent="0.3">
      <c r="A18" s="5" t="s">
        <v>14</v>
      </c>
      <c r="B18" s="5" t="s">
        <v>65</v>
      </c>
      <c r="C18" s="5">
        <v>387417</v>
      </c>
      <c r="D18" s="6"/>
      <c r="E18" s="5" t="s">
        <v>16</v>
      </c>
      <c r="F18" s="5" t="s">
        <v>66</v>
      </c>
      <c r="G18" s="5" t="s">
        <v>10</v>
      </c>
      <c r="H18" s="7" t="s">
        <v>7</v>
      </c>
      <c r="I18" s="7" t="s">
        <v>67</v>
      </c>
      <c r="J18" s="7">
        <v>0</v>
      </c>
      <c r="K18" s="7">
        <v>1689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123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8">
        <v>1826</v>
      </c>
      <c r="AF18" s="8">
        <v>122040</v>
      </c>
      <c r="AG18" s="8">
        <v>61300</v>
      </c>
      <c r="AH18" s="7">
        <v>0</v>
      </c>
      <c r="AI18" s="7">
        <v>0</v>
      </c>
      <c r="AJ18" s="7">
        <v>0</v>
      </c>
      <c r="AK18" s="7">
        <v>9</v>
      </c>
      <c r="AL18" s="8">
        <v>1080</v>
      </c>
      <c r="AM18" s="7">
        <v>0</v>
      </c>
      <c r="AN18" s="7">
        <v>0</v>
      </c>
      <c r="AO18" s="7">
        <v>0</v>
      </c>
      <c r="AP18" s="7">
        <v>0</v>
      </c>
      <c r="AQ18" s="7">
        <v>732</v>
      </c>
      <c r="AR18" s="8">
        <v>70600</v>
      </c>
      <c r="AS18" s="8">
        <v>2600</v>
      </c>
      <c r="AT18" s="7">
        <v>0</v>
      </c>
      <c r="AU18" s="7">
        <v>0</v>
      </c>
      <c r="AV18" s="7">
        <v>0</v>
      </c>
      <c r="AW18" s="7">
        <v>488</v>
      </c>
      <c r="AX18" s="8">
        <v>60907</v>
      </c>
      <c r="AY18" s="7">
        <v>0</v>
      </c>
      <c r="AZ18" s="7">
        <v>0</v>
      </c>
      <c r="BA18" s="7">
        <v>0</v>
      </c>
      <c r="BB18" s="7">
        <v>0</v>
      </c>
      <c r="BC18" s="8">
        <v>536</v>
      </c>
      <c r="BD18" s="8">
        <v>64320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10273.9</v>
      </c>
      <c r="BM18" s="10">
        <v>382847</v>
      </c>
      <c r="BN18" s="15">
        <f t="shared" si="0"/>
        <v>372573.1</v>
      </c>
      <c r="BO18" s="16">
        <f t="shared" si="1"/>
        <v>260801.16999999995</v>
      </c>
    </row>
    <row r="19" spans="1:67" x14ac:dyDescent="0.3">
      <c r="A19" s="5" t="s">
        <v>14</v>
      </c>
      <c r="B19" s="5" t="s">
        <v>74</v>
      </c>
      <c r="C19" s="5">
        <v>465250</v>
      </c>
      <c r="D19" s="6"/>
      <c r="E19" s="5" t="s">
        <v>16</v>
      </c>
      <c r="F19" s="5" t="s">
        <v>75</v>
      </c>
      <c r="G19" s="5" t="s">
        <v>382</v>
      </c>
      <c r="H19" s="7" t="s">
        <v>7</v>
      </c>
      <c r="I19" s="7" t="s">
        <v>76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8">
        <v>735</v>
      </c>
      <c r="AF19" s="8">
        <v>67200</v>
      </c>
      <c r="AG19" s="8">
        <v>7500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8">
        <v>936</v>
      </c>
      <c r="AR19" s="8">
        <v>90700</v>
      </c>
      <c r="AS19" s="8">
        <v>2900</v>
      </c>
      <c r="AT19" s="7">
        <v>0</v>
      </c>
      <c r="AU19" s="7">
        <v>0</v>
      </c>
      <c r="AV19" s="7">
        <v>0</v>
      </c>
      <c r="AW19" s="7">
        <v>158</v>
      </c>
      <c r="AX19" s="8">
        <v>18960</v>
      </c>
      <c r="AY19" s="7">
        <v>0</v>
      </c>
      <c r="AZ19" s="7">
        <v>0</v>
      </c>
      <c r="BA19" s="7">
        <v>0</v>
      </c>
      <c r="BB19" s="7">
        <v>0</v>
      </c>
      <c r="BC19" s="7">
        <v>1447</v>
      </c>
      <c r="BD19" s="8">
        <v>170760</v>
      </c>
      <c r="BE19" s="7">
        <v>2400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12141.6</v>
      </c>
      <c r="BM19" s="10">
        <v>360420</v>
      </c>
      <c r="BN19" s="15">
        <f t="shared" si="0"/>
        <v>348278.4</v>
      </c>
      <c r="BO19" s="16">
        <f t="shared" si="1"/>
        <v>243794.88</v>
      </c>
    </row>
    <row r="20" spans="1:67" ht="19.5" x14ac:dyDescent="0.3">
      <c r="A20" s="5" t="s">
        <v>14</v>
      </c>
      <c r="B20" s="5" t="s">
        <v>365</v>
      </c>
      <c r="C20" s="5">
        <v>470379</v>
      </c>
      <c r="D20" s="6"/>
      <c r="E20" s="5" t="s">
        <v>16</v>
      </c>
      <c r="F20" s="5" t="s">
        <v>75</v>
      </c>
      <c r="G20" s="5" t="s">
        <v>382</v>
      </c>
      <c r="H20" s="7" t="s">
        <v>7</v>
      </c>
      <c r="I20" s="7" t="s">
        <v>18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12</v>
      </c>
      <c r="AF20" s="8">
        <v>25900</v>
      </c>
      <c r="AG20" s="8">
        <v>14700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4</v>
      </c>
      <c r="AR20" s="8">
        <v>13800</v>
      </c>
      <c r="AS20" s="7">
        <v>200</v>
      </c>
      <c r="AT20" s="7">
        <v>0</v>
      </c>
      <c r="AU20" s="7">
        <v>0</v>
      </c>
      <c r="AV20" s="7">
        <v>0</v>
      </c>
      <c r="AW20" s="7">
        <v>21</v>
      </c>
      <c r="AX20" s="8">
        <v>85710</v>
      </c>
      <c r="AY20" s="7">
        <v>0</v>
      </c>
      <c r="AZ20" s="7">
        <v>0</v>
      </c>
      <c r="BA20" s="7">
        <v>0</v>
      </c>
      <c r="BB20" s="7">
        <v>0</v>
      </c>
      <c r="BC20" s="7">
        <v>54</v>
      </c>
      <c r="BD20" s="8">
        <v>210600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9">
        <v>21207</v>
      </c>
      <c r="BM20" s="10">
        <v>350910</v>
      </c>
      <c r="BN20" s="15">
        <f t="shared" si="0"/>
        <v>329703</v>
      </c>
      <c r="BO20" s="16">
        <f t="shared" si="1"/>
        <v>230792.09999999998</v>
      </c>
    </row>
    <row r="21" spans="1:67" x14ac:dyDescent="0.3">
      <c r="A21" s="5" t="s">
        <v>14</v>
      </c>
      <c r="B21" s="5" t="s">
        <v>40</v>
      </c>
      <c r="C21" s="5">
        <v>457807</v>
      </c>
      <c r="D21" s="6"/>
      <c r="E21" s="5" t="s">
        <v>16</v>
      </c>
      <c r="F21" s="5" t="s">
        <v>41</v>
      </c>
      <c r="G21" s="5" t="s">
        <v>34</v>
      </c>
      <c r="H21" s="7" t="s">
        <v>8</v>
      </c>
      <c r="I21" s="7" t="s">
        <v>381</v>
      </c>
      <c r="J21" s="7">
        <v>124</v>
      </c>
      <c r="K21" s="7">
        <v>0</v>
      </c>
      <c r="L21" s="7">
        <v>12400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80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470</v>
      </c>
      <c r="AF21" s="8">
        <v>37260</v>
      </c>
      <c r="AG21" s="8">
        <v>10400</v>
      </c>
      <c r="AH21" s="7">
        <v>0</v>
      </c>
      <c r="AI21" s="7">
        <v>0</v>
      </c>
      <c r="AJ21" s="7">
        <v>0</v>
      </c>
      <c r="AK21" s="7">
        <v>1</v>
      </c>
      <c r="AL21" s="7">
        <v>120</v>
      </c>
      <c r="AM21" s="7">
        <v>0</v>
      </c>
      <c r="AN21" s="7">
        <v>0</v>
      </c>
      <c r="AO21" s="7">
        <v>0</v>
      </c>
      <c r="AP21" s="7">
        <v>0</v>
      </c>
      <c r="AQ21" s="7">
        <v>280</v>
      </c>
      <c r="AR21" s="8">
        <v>28000</v>
      </c>
      <c r="AS21" s="7">
        <v>0</v>
      </c>
      <c r="AT21" s="7">
        <v>0</v>
      </c>
      <c r="AU21" s="7">
        <v>0</v>
      </c>
      <c r="AV21" s="7">
        <v>0</v>
      </c>
      <c r="AW21" s="7">
        <v>449</v>
      </c>
      <c r="AX21" s="8">
        <v>53880</v>
      </c>
      <c r="AY21" s="7">
        <v>0</v>
      </c>
      <c r="AZ21" s="7">
        <v>0</v>
      </c>
      <c r="BA21" s="7">
        <v>0</v>
      </c>
      <c r="BB21" s="7">
        <v>0</v>
      </c>
      <c r="BC21" s="7">
        <v>1647</v>
      </c>
      <c r="BD21" s="8">
        <v>196680</v>
      </c>
      <c r="BE21" s="8">
        <v>800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9">
        <v>17224.8</v>
      </c>
      <c r="BM21" s="10">
        <v>339540</v>
      </c>
      <c r="BN21" s="15">
        <f t="shared" si="0"/>
        <v>322315.2</v>
      </c>
      <c r="BO21" s="16">
        <f t="shared" si="1"/>
        <v>225620.63999999998</v>
      </c>
    </row>
    <row r="22" spans="1:67" x14ac:dyDescent="0.3">
      <c r="A22" s="5" t="s">
        <v>14</v>
      </c>
      <c r="B22" s="5" t="s">
        <v>60</v>
      </c>
      <c r="C22" s="5">
        <v>245889</v>
      </c>
      <c r="D22" s="6"/>
      <c r="E22" s="5" t="s">
        <v>16</v>
      </c>
      <c r="F22" s="5" t="s">
        <v>30</v>
      </c>
      <c r="G22" s="5" t="s">
        <v>10</v>
      </c>
      <c r="H22" s="7" t="s">
        <v>7</v>
      </c>
      <c r="I22" s="7" t="s">
        <v>61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61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808</v>
      </c>
      <c r="AF22" s="8">
        <v>21280</v>
      </c>
      <c r="AG22" s="8">
        <v>60400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360</v>
      </c>
      <c r="AR22" s="8">
        <v>35100</v>
      </c>
      <c r="AS22" s="8">
        <v>900</v>
      </c>
      <c r="AT22" s="7">
        <v>0</v>
      </c>
      <c r="AU22" s="7">
        <v>0</v>
      </c>
      <c r="AV22" s="7">
        <v>0</v>
      </c>
      <c r="AW22" s="7">
        <v>501</v>
      </c>
      <c r="AX22" s="8">
        <v>60120</v>
      </c>
      <c r="AY22" s="7">
        <v>0</v>
      </c>
      <c r="AZ22" s="7">
        <v>0</v>
      </c>
      <c r="BA22" s="7">
        <v>0</v>
      </c>
      <c r="BB22" s="7">
        <v>0</v>
      </c>
      <c r="BC22" s="7">
        <v>1052</v>
      </c>
      <c r="BD22" s="8">
        <v>125640</v>
      </c>
      <c r="BE22" s="7">
        <v>500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9">
        <v>13550.4</v>
      </c>
      <c r="BM22" s="10">
        <v>303940</v>
      </c>
      <c r="BN22" s="15">
        <f t="shared" si="0"/>
        <v>290389.59999999998</v>
      </c>
      <c r="BO22" s="16">
        <f t="shared" si="1"/>
        <v>203272.71999999997</v>
      </c>
    </row>
    <row r="23" spans="1:67" x14ac:dyDescent="0.3">
      <c r="A23" s="5" t="s">
        <v>14</v>
      </c>
      <c r="B23" s="5" t="s">
        <v>125</v>
      </c>
      <c r="C23" s="5">
        <v>290890</v>
      </c>
      <c r="D23" s="6"/>
      <c r="E23" s="5" t="s">
        <v>16</v>
      </c>
      <c r="F23" s="5" t="s">
        <v>30</v>
      </c>
      <c r="G23" s="5" t="s">
        <v>10</v>
      </c>
      <c r="H23" s="7" t="s">
        <v>7</v>
      </c>
      <c r="I23" s="7" t="s">
        <v>126</v>
      </c>
      <c r="J23" s="7">
        <v>0</v>
      </c>
      <c r="K23" s="7">
        <v>0</v>
      </c>
      <c r="L23" s="8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38</v>
      </c>
      <c r="AC23" s="7">
        <v>28680</v>
      </c>
      <c r="AD23" s="7">
        <v>6500</v>
      </c>
      <c r="AE23" s="8">
        <v>9</v>
      </c>
      <c r="AF23" s="8">
        <v>0</v>
      </c>
      <c r="AG23" s="8">
        <v>28000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11</v>
      </c>
      <c r="AO23" s="7">
        <v>9700</v>
      </c>
      <c r="AP23" s="7">
        <v>200</v>
      </c>
      <c r="AQ23" s="7">
        <v>8</v>
      </c>
      <c r="AR23" s="8">
        <v>20200</v>
      </c>
      <c r="AS23" s="8">
        <v>1100</v>
      </c>
      <c r="AT23" s="7">
        <v>11</v>
      </c>
      <c r="AU23" s="7">
        <v>11880</v>
      </c>
      <c r="AV23" s="7">
        <v>0</v>
      </c>
      <c r="AW23" s="7">
        <v>9</v>
      </c>
      <c r="AX23" s="8">
        <v>33240</v>
      </c>
      <c r="AY23" s="7">
        <v>0</v>
      </c>
      <c r="AZ23" s="7">
        <v>34</v>
      </c>
      <c r="BA23" s="7">
        <v>35760</v>
      </c>
      <c r="BB23" s="7">
        <v>0</v>
      </c>
      <c r="BC23" s="7">
        <v>23</v>
      </c>
      <c r="BD23" s="8">
        <v>83280</v>
      </c>
      <c r="BE23" s="7">
        <v>800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9">
        <v>11654.4</v>
      </c>
      <c r="BM23" s="10">
        <v>259340</v>
      </c>
      <c r="BN23" s="15">
        <f t="shared" si="0"/>
        <v>247685.6</v>
      </c>
      <c r="BO23" s="16">
        <f t="shared" si="1"/>
        <v>173379.91999999998</v>
      </c>
    </row>
    <row r="24" spans="1:67" x14ac:dyDescent="0.3">
      <c r="A24" s="5" t="s">
        <v>14</v>
      </c>
      <c r="B24" s="5" t="s">
        <v>93</v>
      </c>
      <c r="C24" s="5">
        <v>211158</v>
      </c>
      <c r="D24" s="6"/>
      <c r="E24" s="5" t="s">
        <v>16</v>
      </c>
      <c r="F24" s="5" t="s">
        <v>30</v>
      </c>
      <c r="G24" s="5" t="s">
        <v>10</v>
      </c>
      <c r="H24" s="7" t="s">
        <v>7</v>
      </c>
      <c r="I24" s="7" t="s">
        <v>94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2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344</v>
      </c>
      <c r="AF24" s="8">
        <v>6000</v>
      </c>
      <c r="AG24" s="8">
        <v>29400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636</v>
      </c>
      <c r="AR24" s="8">
        <v>62500</v>
      </c>
      <c r="AS24" s="7">
        <v>1100</v>
      </c>
      <c r="AT24" s="7">
        <v>0</v>
      </c>
      <c r="AU24" s="7">
        <v>0</v>
      </c>
      <c r="AV24" s="7">
        <v>0</v>
      </c>
      <c r="AW24" s="7">
        <v>427</v>
      </c>
      <c r="AX24" s="8">
        <v>51240</v>
      </c>
      <c r="AY24" s="8">
        <v>0</v>
      </c>
      <c r="AZ24" s="7">
        <v>0</v>
      </c>
      <c r="BA24" s="7">
        <v>0</v>
      </c>
      <c r="BB24" s="7">
        <v>0</v>
      </c>
      <c r="BC24" s="8">
        <v>835</v>
      </c>
      <c r="BD24" s="8">
        <v>100200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11136</v>
      </c>
      <c r="BM24" s="10">
        <v>250440</v>
      </c>
      <c r="BN24" s="15">
        <f t="shared" si="0"/>
        <v>239304</v>
      </c>
      <c r="BO24" s="16">
        <f t="shared" si="1"/>
        <v>167512.79999999999</v>
      </c>
    </row>
    <row r="25" spans="1:67" x14ac:dyDescent="0.3">
      <c r="A25" s="5" t="s">
        <v>14</v>
      </c>
      <c r="B25" s="5" t="s">
        <v>88</v>
      </c>
      <c r="C25" s="5">
        <v>364724</v>
      </c>
      <c r="D25" s="6"/>
      <c r="E25" s="5" t="s">
        <v>16</v>
      </c>
      <c r="F25" s="5" t="s">
        <v>89</v>
      </c>
      <c r="G25" s="5" t="s">
        <v>10</v>
      </c>
      <c r="H25" s="7" t="s">
        <v>7</v>
      </c>
      <c r="I25" s="7" t="s">
        <v>90</v>
      </c>
      <c r="J25" s="7">
        <v>0</v>
      </c>
      <c r="K25" s="8">
        <v>0</v>
      </c>
      <c r="L25" s="8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91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950</v>
      </c>
      <c r="AF25" s="8">
        <v>69140</v>
      </c>
      <c r="AG25" s="8">
        <v>27700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641</v>
      </c>
      <c r="AR25" s="8">
        <v>62900</v>
      </c>
      <c r="AS25" s="7">
        <v>1200</v>
      </c>
      <c r="AT25" s="7">
        <v>0</v>
      </c>
      <c r="AU25" s="7">
        <v>0</v>
      </c>
      <c r="AV25" s="7">
        <v>0</v>
      </c>
      <c r="AW25" s="7">
        <v>71</v>
      </c>
      <c r="AX25" s="8">
        <v>8520</v>
      </c>
      <c r="AY25" s="7">
        <v>0</v>
      </c>
      <c r="AZ25" s="7">
        <v>0</v>
      </c>
      <c r="BA25" s="7">
        <v>0</v>
      </c>
      <c r="BB25" s="7">
        <v>0</v>
      </c>
      <c r="BC25" s="7">
        <v>552</v>
      </c>
      <c r="BD25" s="8">
        <v>66240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9">
        <v>4826.3999999999996</v>
      </c>
      <c r="BM25" s="10">
        <v>235700</v>
      </c>
      <c r="BN25" s="15">
        <f t="shared" si="0"/>
        <v>230873.60000000001</v>
      </c>
      <c r="BO25" s="16">
        <f t="shared" si="1"/>
        <v>161611.51999999999</v>
      </c>
    </row>
    <row r="26" spans="1:67" x14ac:dyDescent="0.3">
      <c r="A26" s="5" t="s">
        <v>14</v>
      </c>
      <c r="B26" s="5" t="s">
        <v>570</v>
      </c>
      <c r="C26" s="5">
        <v>483173</v>
      </c>
      <c r="D26" s="6"/>
      <c r="E26" s="5" t="s">
        <v>16</v>
      </c>
      <c r="F26" s="5" t="s">
        <v>571</v>
      </c>
      <c r="G26" s="5" t="s">
        <v>382</v>
      </c>
      <c r="H26" s="7" t="s">
        <v>8</v>
      </c>
      <c r="I26" s="7" t="s">
        <v>572</v>
      </c>
      <c r="J26" s="7">
        <v>0</v>
      </c>
      <c r="K26" s="7">
        <v>325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180</v>
      </c>
      <c r="AF26" s="8">
        <v>16260</v>
      </c>
      <c r="AG26" s="8">
        <v>1900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35</v>
      </c>
      <c r="AR26" s="7">
        <v>3500</v>
      </c>
      <c r="AS26" s="7">
        <v>0</v>
      </c>
      <c r="AT26" s="7">
        <v>0</v>
      </c>
      <c r="AU26" s="7">
        <v>0</v>
      </c>
      <c r="AV26" s="7">
        <v>0</v>
      </c>
      <c r="AW26" s="7">
        <v>216</v>
      </c>
      <c r="AX26" s="8">
        <v>25920</v>
      </c>
      <c r="AY26" s="7">
        <v>0</v>
      </c>
      <c r="AZ26" s="7">
        <v>0</v>
      </c>
      <c r="BA26" s="7">
        <v>0</v>
      </c>
      <c r="BB26" s="7">
        <v>0</v>
      </c>
      <c r="BC26" s="7">
        <v>1121</v>
      </c>
      <c r="BD26" s="8">
        <v>134520</v>
      </c>
      <c r="BE26" s="8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9">
        <v>10663.2</v>
      </c>
      <c r="BM26" s="10">
        <v>182100</v>
      </c>
      <c r="BN26" s="15">
        <f t="shared" si="0"/>
        <v>171436.79999999999</v>
      </c>
      <c r="BO26" s="16">
        <f t="shared" si="1"/>
        <v>120005.75999999998</v>
      </c>
    </row>
    <row r="27" spans="1:67" x14ac:dyDescent="0.3">
      <c r="A27" s="5" t="s">
        <v>14</v>
      </c>
      <c r="B27" s="5" t="s">
        <v>573</v>
      </c>
      <c r="C27" s="5">
        <v>381176</v>
      </c>
      <c r="D27" s="6"/>
      <c r="E27" s="5" t="s">
        <v>16</v>
      </c>
      <c r="F27" s="5" t="s">
        <v>39</v>
      </c>
      <c r="G27" s="5" t="s">
        <v>10</v>
      </c>
      <c r="H27" s="7" t="s">
        <v>7</v>
      </c>
      <c r="I27" s="7" t="s">
        <v>574</v>
      </c>
      <c r="J27" s="7">
        <v>0</v>
      </c>
      <c r="K27" s="7">
        <v>5</v>
      </c>
      <c r="L27" s="8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191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290</v>
      </c>
      <c r="AF27" s="8">
        <v>5400</v>
      </c>
      <c r="AG27" s="8">
        <v>23600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731</v>
      </c>
      <c r="AR27" s="8">
        <v>71700</v>
      </c>
      <c r="AS27" s="7">
        <v>1400</v>
      </c>
      <c r="AT27" s="7">
        <v>0</v>
      </c>
      <c r="AU27" s="7">
        <v>0</v>
      </c>
      <c r="AV27" s="7">
        <v>0</v>
      </c>
      <c r="AW27" s="7">
        <v>0</v>
      </c>
      <c r="AX27" s="8">
        <v>0</v>
      </c>
      <c r="AY27" s="7">
        <v>0</v>
      </c>
      <c r="AZ27" s="7">
        <v>0</v>
      </c>
      <c r="BA27" s="7">
        <v>0</v>
      </c>
      <c r="BB27" s="7">
        <v>0</v>
      </c>
      <c r="BC27" s="7">
        <v>614</v>
      </c>
      <c r="BD27" s="8">
        <v>72720</v>
      </c>
      <c r="BE27" s="7">
        <v>800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9">
        <v>4363.2</v>
      </c>
      <c r="BM27" s="10">
        <v>175620</v>
      </c>
      <c r="BN27" s="15">
        <f t="shared" si="0"/>
        <v>171256.8</v>
      </c>
      <c r="BO27" s="16">
        <f t="shared" si="1"/>
        <v>119879.75999999998</v>
      </c>
    </row>
    <row r="28" spans="1:67" x14ac:dyDescent="0.3">
      <c r="A28" s="5" t="s">
        <v>14</v>
      </c>
      <c r="B28" s="5" t="s">
        <v>387</v>
      </c>
      <c r="C28" s="5">
        <v>476783</v>
      </c>
      <c r="D28" s="6"/>
      <c r="E28" s="5" t="s">
        <v>16</v>
      </c>
      <c r="F28" s="5" t="s">
        <v>388</v>
      </c>
      <c r="G28" s="5" t="s">
        <v>34</v>
      </c>
      <c r="H28" s="7" t="s">
        <v>8</v>
      </c>
      <c r="I28" s="7" t="s">
        <v>389</v>
      </c>
      <c r="J28" s="7">
        <v>60</v>
      </c>
      <c r="K28" s="7">
        <v>4156</v>
      </c>
      <c r="L28" s="7">
        <v>6000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8">
        <v>0</v>
      </c>
      <c r="AD28" s="8">
        <v>0</v>
      </c>
      <c r="AE28" s="7">
        <v>425</v>
      </c>
      <c r="AF28" s="7">
        <v>13760</v>
      </c>
      <c r="AG28" s="7">
        <v>30200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8">
        <v>0</v>
      </c>
      <c r="AP28" s="7">
        <v>0</v>
      </c>
      <c r="AQ28" s="7">
        <v>142</v>
      </c>
      <c r="AR28" s="8">
        <v>13900</v>
      </c>
      <c r="AS28" s="7">
        <v>300</v>
      </c>
      <c r="AT28" s="7">
        <v>0</v>
      </c>
      <c r="AU28" s="8">
        <v>0</v>
      </c>
      <c r="AV28" s="8">
        <v>0</v>
      </c>
      <c r="AW28" s="7">
        <v>291</v>
      </c>
      <c r="AX28" s="8">
        <v>34920</v>
      </c>
      <c r="AY28" s="7">
        <v>0</v>
      </c>
      <c r="AZ28" s="7">
        <v>0</v>
      </c>
      <c r="BA28" s="8">
        <v>0</v>
      </c>
      <c r="BB28" s="7">
        <v>0</v>
      </c>
      <c r="BC28" s="7">
        <v>585</v>
      </c>
      <c r="BD28" s="8">
        <v>70200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9">
        <v>7704</v>
      </c>
      <c r="BM28" s="10">
        <v>169280</v>
      </c>
      <c r="BN28" s="15">
        <f t="shared" si="0"/>
        <v>161576</v>
      </c>
      <c r="BO28" s="16">
        <f t="shared" si="1"/>
        <v>113103.2</v>
      </c>
    </row>
    <row r="29" spans="1:67" x14ac:dyDescent="0.3">
      <c r="A29" s="5" t="s">
        <v>14</v>
      </c>
      <c r="B29" s="5" t="s">
        <v>62</v>
      </c>
      <c r="C29" s="5">
        <v>386960</v>
      </c>
      <c r="D29" s="6"/>
      <c r="E29" s="5" t="s">
        <v>16</v>
      </c>
      <c r="F29" s="5" t="s">
        <v>63</v>
      </c>
      <c r="G29" s="5" t="s">
        <v>10</v>
      </c>
      <c r="H29" s="7" t="s">
        <v>7</v>
      </c>
      <c r="I29" s="7" t="s">
        <v>64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72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982</v>
      </c>
      <c r="AF29" s="8">
        <v>69900</v>
      </c>
      <c r="AG29" s="8">
        <v>28300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95</v>
      </c>
      <c r="AR29" s="8">
        <v>9500</v>
      </c>
      <c r="AS29" s="7">
        <v>0</v>
      </c>
      <c r="AT29" s="7">
        <v>0</v>
      </c>
      <c r="AU29" s="7">
        <v>0</v>
      </c>
      <c r="AV29" s="7">
        <v>0</v>
      </c>
      <c r="AW29" s="7">
        <v>233</v>
      </c>
      <c r="AX29" s="8">
        <v>27960</v>
      </c>
      <c r="AY29" s="7">
        <v>0</v>
      </c>
      <c r="AZ29" s="7">
        <v>0</v>
      </c>
      <c r="BA29" s="7">
        <v>0</v>
      </c>
      <c r="BB29" s="7">
        <v>0</v>
      </c>
      <c r="BC29" s="8">
        <v>232</v>
      </c>
      <c r="BD29" s="8">
        <v>27840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9">
        <v>4466.3999999999996</v>
      </c>
      <c r="BM29" s="10">
        <v>163500</v>
      </c>
      <c r="BN29" s="15">
        <f t="shared" si="0"/>
        <v>159033.60000000001</v>
      </c>
      <c r="BO29" s="16">
        <f t="shared" si="1"/>
        <v>111323.52</v>
      </c>
    </row>
    <row r="30" spans="1:67" x14ac:dyDescent="0.3">
      <c r="A30" s="5" t="s">
        <v>14</v>
      </c>
      <c r="B30" s="5" t="s">
        <v>501</v>
      </c>
      <c r="C30" s="5">
        <v>483179</v>
      </c>
      <c r="D30" s="6"/>
      <c r="E30" s="5" t="s">
        <v>16</v>
      </c>
      <c r="F30" s="5" t="s">
        <v>502</v>
      </c>
      <c r="G30" s="5" t="s">
        <v>34</v>
      </c>
      <c r="H30" s="7" t="s">
        <v>8</v>
      </c>
      <c r="I30" s="7" t="s">
        <v>503</v>
      </c>
      <c r="J30" s="7">
        <v>0</v>
      </c>
      <c r="K30" s="7">
        <v>69</v>
      </c>
      <c r="L30" s="8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8">
        <v>0</v>
      </c>
      <c r="AD30" s="8">
        <v>0</v>
      </c>
      <c r="AE30" s="7">
        <v>488</v>
      </c>
      <c r="AF30" s="7">
        <v>15900</v>
      </c>
      <c r="AG30" s="7">
        <v>33500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8">
        <v>0</v>
      </c>
      <c r="AP30" s="8">
        <v>0</v>
      </c>
      <c r="AQ30" s="7">
        <v>119</v>
      </c>
      <c r="AR30" s="8">
        <v>11700</v>
      </c>
      <c r="AS30" s="7">
        <v>200</v>
      </c>
      <c r="AT30" s="7">
        <v>0</v>
      </c>
      <c r="AU30" s="8">
        <v>0</v>
      </c>
      <c r="AV30" s="7">
        <v>0</v>
      </c>
      <c r="AW30" s="7">
        <v>47</v>
      </c>
      <c r="AX30" s="7">
        <v>5640</v>
      </c>
      <c r="AY30" s="7">
        <v>0</v>
      </c>
      <c r="AZ30" s="7">
        <v>0</v>
      </c>
      <c r="BA30" s="8">
        <v>0</v>
      </c>
      <c r="BB30" s="7">
        <v>0</v>
      </c>
      <c r="BC30" s="7">
        <v>748</v>
      </c>
      <c r="BD30" s="8">
        <v>89760</v>
      </c>
      <c r="BE30" s="7">
        <v>0</v>
      </c>
      <c r="BF30" s="7">
        <v>0</v>
      </c>
      <c r="BG30" s="8">
        <v>0</v>
      </c>
      <c r="BH30" s="7">
        <v>0</v>
      </c>
      <c r="BI30" s="7">
        <v>0</v>
      </c>
      <c r="BJ30" s="7">
        <v>0</v>
      </c>
      <c r="BK30" s="7">
        <v>0</v>
      </c>
      <c r="BL30" s="9">
        <v>5949.6</v>
      </c>
      <c r="BM30" s="10">
        <v>156700</v>
      </c>
      <c r="BN30" s="15">
        <f t="shared" si="0"/>
        <v>150750.39999999999</v>
      </c>
      <c r="BO30" s="16">
        <f t="shared" si="1"/>
        <v>105525.27999999998</v>
      </c>
    </row>
    <row r="31" spans="1:67" x14ac:dyDescent="0.3">
      <c r="A31" s="5" t="s">
        <v>14</v>
      </c>
      <c r="B31" s="5" t="s">
        <v>466</v>
      </c>
      <c r="C31" s="5">
        <v>463950</v>
      </c>
      <c r="D31" s="6"/>
      <c r="E31" s="5" t="s">
        <v>16</v>
      </c>
      <c r="F31" s="5" t="s">
        <v>467</v>
      </c>
      <c r="G31" s="5" t="s">
        <v>10</v>
      </c>
      <c r="H31" s="7" t="s">
        <v>7</v>
      </c>
      <c r="I31" s="7" t="s">
        <v>56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12</v>
      </c>
      <c r="AF31" s="8">
        <v>38400</v>
      </c>
      <c r="AG31" s="8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6</v>
      </c>
      <c r="AR31" s="8">
        <v>18800</v>
      </c>
      <c r="AS31" s="7">
        <v>400</v>
      </c>
      <c r="AT31" s="7">
        <v>0</v>
      </c>
      <c r="AU31" s="7">
        <v>0</v>
      </c>
      <c r="AV31" s="7">
        <v>0</v>
      </c>
      <c r="AW31" s="7">
        <v>8</v>
      </c>
      <c r="AX31" s="8">
        <v>30720</v>
      </c>
      <c r="AY31" s="7">
        <v>0</v>
      </c>
      <c r="AZ31" s="7">
        <v>0</v>
      </c>
      <c r="BA31" s="7">
        <v>0</v>
      </c>
      <c r="BB31" s="7">
        <v>0</v>
      </c>
      <c r="BC31" s="7">
        <v>17</v>
      </c>
      <c r="BD31" s="8">
        <v>65280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9">
        <v>6988.8</v>
      </c>
      <c r="BM31" s="10">
        <v>153600</v>
      </c>
      <c r="BN31" s="15">
        <f t="shared" si="0"/>
        <v>146611.20000000001</v>
      </c>
      <c r="BO31" s="16">
        <f t="shared" si="1"/>
        <v>102627.84</v>
      </c>
    </row>
    <row r="32" spans="1:67" x14ac:dyDescent="0.3">
      <c r="A32" s="5" t="s">
        <v>14</v>
      </c>
      <c r="B32" s="5" t="s">
        <v>462</v>
      </c>
      <c r="C32" s="5">
        <v>476788</v>
      </c>
      <c r="D32" s="6"/>
      <c r="E32" s="5" t="s">
        <v>16</v>
      </c>
      <c r="F32" s="5" t="s">
        <v>463</v>
      </c>
      <c r="G32" s="5" t="s">
        <v>10</v>
      </c>
      <c r="H32" s="7" t="s">
        <v>7</v>
      </c>
      <c r="I32" s="7" t="s">
        <v>383</v>
      </c>
      <c r="J32" s="7">
        <v>18</v>
      </c>
      <c r="K32" s="7">
        <v>0</v>
      </c>
      <c r="L32" s="7">
        <v>1800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46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536</v>
      </c>
      <c r="AF32" s="8">
        <v>43100</v>
      </c>
      <c r="AG32" s="8">
        <v>10500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111</v>
      </c>
      <c r="AR32" s="8">
        <v>10900</v>
      </c>
      <c r="AS32" s="8">
        <v>200</v>
      </c>
      <c r="AT32" s="7">
        <v>0</v>
      </c>
      <c r="AU32" s="7">
        <v>0</v>
      </c>
      <c r="AV32" s="7">
        <v>0</v>
      </c>
      <c r="AW32" s="7">
        <v>177</v>
      </c>
      <c r="AX32" s="7">
        <v>21240</v>
      </c>
      <c r="AY32" s="7">
        <v>0</v>
      </c>
      <c r="AZ32" s="7">
        <v>0</v>
      </c>
      <c r="BA32" s="7">
        <v>0</v>
      </c>
      <c r="BB32" s="7">
        <v>0</v>
      </c>
      <c r="BC32" s="7">
        <v>500</v>
      </c>
      <c r="BD32" s="8">
        <v>60000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9">
        <v>5724</v>
      </c>
      <c r="BM32" s="10">
        <v>147740</v>
      </c>
      <c r="BN32" s="15">
        <f t="shared" si="0"/>
        <v>142016</v>
      </c>
      <c r="BO32" s="16">
        <f t="shared" si="1"/>
        <v>99411.199999999997</v>
      </c>
    </row>
    <row r="33" spans="1:67" x14ac:dyDescent="0.3">
      <c r="A33" s="5" t="s">
        <v>14</v>
      </c>
      <c r="B33" s="5" t="s">
        <v>107</v>
      </c>
      <c r="C33" s="5">
        <v>428379</v>
      </c>
      <c r="D33" s="6"/>
      <c r="E33" s="5" t="s">
        <v>16</v>
      </c>
      <c r="F33" s="5" t="s">
        <v>108</v>
      </c>
      <c r="G33" s="5" t="s">
        <v>382</v>
      </c>
      <c r="H33" s="7" t="s">
        <v>8</v>
      </c>
      <c r="I33" s="7" t="s">
        <v>109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6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213</v>
      </c>
      <c r="AF33" s="8">
        <v>17660</v>
      </c>
      <c r="AG33" s="8">
        <v>4700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8">
        <v>0</v>
      </c>
      <c r="AN33" s="7">
        <v>0</v>
      </c>
      <c r="AO33" s="7">
        <v>0</v>
      </c>
      <c r="AP33" s="7">
        <v>0</v>
      </c>
      <c r="AQ33" s="7">
        <v>151</v>
      </c>
      <c r="AR33" s="8">
        <v>14900</v>
      </c>
      <c r="AS33" s="8">
        <v>200</v>
      </c>
      <c r="AT33" s="7">
        <v>0</v>
      </c>
      <c r="AU33" s="7">
        <v>0</v>
      </c>
      <c r="AV33" s="7">
        <v>0</v>
      </c>
      <c r="AW33" s="7">
        <v>211</v>
      </c>
      <c r="AX33" s="8">
        <v>25668</v>
      </c>
      <c r="AY33" s="7">
        <v>0</v>
      </c>
      <c r="AZ33" s="7">
        <v>0</v>
      </c>
      <c r="BA33" s="7">
        <v>0</v>
      </c>
      <c r="BB33" s="7">
        <v>0</v>
      </c>
      <c r="BC33" s="7">
        <v>614</v>
      </c>
      <c r="BD33" s="8">
        <v>73560</v>
      </c>
      <c r="BE33" s="8">
        <v>100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9">
        <v>6980.4</v>
      </c>
      <c r="BM33" s="10">
        <v>136788</v>
      </c>
      <c r="BN33" s="15">
        <f t="shared" si="0"/>
        <v>129807.6</v>
      </c>
      <c r="BO33" s="16">
        <f t="shared" si="1"/>
        <v>90865.319999999992</v>
      </c>
    </row>
    <row r="34" spans="1:67" x14ac:dyDescent="0.3">
      <c r="A34" s="5" t="s">
        <v>14</v>
      </c>
      <c r="B34" s="5" t="s">
        <v>22</v>
      </c>
      <c r="C34" s="5">
        <v>445688</v>
      </c>
      <c r="D34" s="6"/>
      <c r="E34" s="5" t="s">
        <v>16</v>
      </c>
      <c r="F34" s="5" t="s">
        <v>23</v>
      </c>
      <c r="G34" s="5" t="s">
        <v>10</v>
      </c>
      <c r="H34" s="7" t="s">
        <v>7</v>
      </c>
      <c r="I34" s="7" t="s">
        <v>24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340</v>
      </c>
      <c r="AF34" s="8">
        <v>21700</v>
      </c>
      <c r="AG34" s="8">
        <v>13800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282</v>
      </c>
      <c r="AR34" s="8">
        <v>28200</v>
      </c>
      <c r="AS34" s="8">
        <v>0</v>
      </c>
      <c r="AT34" s="7">
        <v>0</v>
      </c>
      <c r="AU34" s="7">
        <v>0</v>
      </c>
      <c r="AV34" s="7">
        <v>0</v>
      </c>
      <c r="AW34" s="7">
        <v>178</v>
      </c>
      <c r="AX34" s="7">
        <v>21360</v>
      </c>
      <c r="AY34" s="7">
        <v>0</v>
      </c>
      <c r="AZ34" s="7">
        <v>0</v>
      </c>
      <c r="BA34" s="7">
        <v>0</v>
      </c>
      <c r="BB34" s="7">
        <v>0</v>
      </c>
      <c r="BC34" s="7">
        <v>387</v>
      </c>
      <c r="BD34" s="8">
        <v>46440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9">
        <v>4922.3999999999996</v>
      </c>
      <c r="BM34" s="10">
        <v>131500</v>
      </c>
      <c r="BN34" s="15">
        <f t="shared" si="0"/>
        <v>126577.60000000001</v>
      </c>
      <c r="BO34" s="16">
        <f t="shared" si="1"/>
        <v>88604.319999999992</v>
      </c>
    </row>
    <row r="35" spans="1:67" x14ac:dyDescent="0.3">
      <c r="A35" s="5" t="s">
        <v>14</v>
      </c>
      <c r="B35" s="5" t="s">
        <v>219</v>
      </c>
      <c r="C35" s="5">
        <v>399878</v>
      </c>
      <c r="D35" s="6"/>
      <c r="E35" s="5" t="s">
        <v>16</v>
      </c>
      <c r="F35" s="5" t="s">
        <v>220</v>
      </c>
      <c r="G35" s="5" t="s">
        <v>34</v>
      </c>
      <c r="H35" s="7" t="s">
        <v>8</v>
      </c>
      <c r="I35" s="7" t="s">
        <v>221</v>
      </c>
      <c r="J35" s="7">
        <v>0</v>
      </c>
      <c r="K35" s="7">
        <v>1650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40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192</v>
      </c>
      <c r="AF35" s="8">
        <v>6460</v>
      </c>
      <c r="AG35" s="8">
        <v>12900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179</v>
      </c>
      <c r="AR35" s="8">
        <v>15100</v>
      </c>
      <c r="AS35" s="7">
        <v>2800</v>
      </c>
      <c r="AT35" s="7">
        <v>0</v>
      </c>
      <c r="AU35" s="7">
        <v>0</v>
      </c>
      <c r="AV35" s="7">
        <v>0</v>
      </c>
      <c r="AW35" s="7">
        <v>71</v>
      </c>
      <c r="AX35" s="7">
        <v>8520</v>
      </c>
      <c r="AY35" s="7">
        <v>0</v>
      </c>
      <c r="AZ35" s="7">
        <v>0</v>
      </c>
      <c r="BA35" s="7">
        <v>0</v>
      </c>
      <c r="BB35" s="7">
        <v>0</v>
      </c>
      <c r="BC35" s="7">
        <v>565</v>
      </c>
      <c r="BD35" s="8">
        <v>67800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9">
        <v>4920</v>
      </c>
      <c r="BM35" s="10">
        <v>113580</v>
      </c>
      <c r="BN35" s="15">
        <f t="shared" si="0"/>
        <v>108660</v>
      </c>
      <c r="BO35" s="16">
        <f t="shared" si="1"/>
        <v>76062</v>
      </c>
    </row>
    <row r="36" spans="1:67" x14ac:dyDescent="0.3">
      <c r="A36" s="5" t="s">
        <v>14</v>
      </c>
      <c r="B36" s="5" t="s">
        <v>464</v>
      </c>
      <c r="C36" s="5">
        <v>473533</v>
      </c>
      <c r="D36" s="6"/>
      <c r="E36" s="5" t="s">
        <v>16</v>
      </c>
      <c r="F36" s="5" t="s">
        <v>392</v>
      </c>
      <c r="G36" s="5" t="s">
        <v>10</v>
      </c>
      <c r="H36" s="7" t="s">
        <v>7</v>
      </c>
      <c r="I36" s="7" t="s">
        <v>564</v>
      </c>
      <c r="J36" s="7">
        <v>0</v>
      </c>
      <c r="K36" s="7">
        <v>2002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20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336</v>
      </c>
      <c r="AF36" s="8">
        <v>30840</v>
      </c>
      <c r="AG36" s="8">
        <v>5800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149</v>
      </c>
      <c r="AR36" s="8">
        <v>14900</v>
      </c>
      <c r="AS36" s="7">
        <v>0</v>
      </c>
      <c r="AT36" s="7">
        <v>0</v>
      </c>
      <c r="AU36" s="7">
        <v>0</v>
      </c>
      <c r="AV36" s="7">
        <v>0</v>
      </c>
      <c r="AW36" s="7">
        <v>107</v>
      </c>
      <c r="AX36" s="8">
        <v>12720</v>
      </c>
      <c r="AY36" s="7">
        <v>100</v>
      </c>
      <c r="AZ36" s="7">
        <v>0</v>
      </c>
      <c r="BA36" s="7">
        <v>0</v>
      </c>
      <c r="BB36" s="7">
        <v>0</v>
      </c>
      <c r="BC36" s="7">
        <v>379</v>
      </c>
      <c r="BD36" s="8">
        <v>45480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9">
        <v>4000.8</v>
      </c>
      <c r="BM36" s="10">
        <v>109840</v>
      </c>
      <c r="BN36" s="15">
        <f t="shared" si="0"/>
        <v>105839.2</v>
      </c>
      <c r="BO36" s="16">
        <f t="shared" si="1"/>
        <v>74087.439999999988</v>
      </c>
    </row>
    <row r="37" spans="1:67" x14ac:dyDescent="0.3">
      <c r="A37" s="5" t="s">
        <v>14</v>
      </c>
      <c r="B37" s="5" t="s">
        <v>459</v>
      </c>
      <c r="C37" s="5">
        <v>478890</v>
      </c>
      <c r="D37" s="6"/>
      <c r="E37" s="5" t="s">
        <v>16</v>
      </c>
      <c r="F37" s="5" t="s">
        <v>393</v>
      </c>
      <c r="G37" s="5" t="s">
        <v>382</v>
      </c>
      <c r="H37" s="7" t="s">
        <v>8</v>
      </c>
      <c r="I37" s="7" t="s">
        <v>460</v>
      </c>
      <c r="J37" s="7">
        <v>112</v>
      </c>
      <c r="K37" s="7">
        <v>0</v>
      </c>
      <c r="L37" s="7">
        <v>11200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226</v>
      </c>
      <c r="AF37" s="8">
        <v>1620</v>
      </c>
      <c r="AG37" s="8">
        <v>21000</v>
      </c>
      <c r="AH37" s="7">
        <v>0</v>
      </c>
      <c r="AI37" s="7">
        <v>0</v>
      </c>
      <c r="AJ37" s="7">
        <v>0</v>
      </c>
      <c r="AK37" s="7">
        <v>2</v>
      </c>
      <c r="AL37" s="7">
        <v>0</v>
      </c>
      <c r="AM37" s="7">
        <v>200</v>
      </c>
      <c r="AN37" s="7">
        <v>0</v>
      </c>
      <c r="AO37" s="7">
        <v>0</v>
      </c>
      <c r="AP37" s="7">
        <v>0</v>
      </c>
      <c r="AQ37" s="7">
        <v>121</v>
      </c>
      <c r="AR37" s="8">
        <v>12100</v>
      </c>
      <c r="AS37" s="7">
        <v>0</v>
      </c>
      <c r="AT37" s="7">
        <v>0</v>
      </c>
      <c r="AU37" s="7">
        <v>0</v>
      </c>
      <c r="AV37" s="7">
        <v>0</v>
      </c>
      <c r="AW37" s="7">
        <v>164</v>
      </c>
      <c r="AX37" s="8">
        <v>19680</v>
      </c>
      <c r="AY37" s="7">
        <v>0</v>
      </c>
      <c r="AZ37" s="7">
        <v>0</v>
      </c>
      <c r="BA37" s="7">
        <v>0</v>
      </c>
      <c r="BB37" s="7">
        <v>0</v>
      </c>
      <c r="BC37" s="7">
        <v>349</v>
      </c>
      <c r="BD37" s="8">
        <v>41880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9">
        <v>4480.8</v>
      </c>
      <c r="BM37" s="10">
        <v>107680</v>
      </c>
      <c r="BN37" s="15">
        <f t="shared" si="0"/>
        <v>103199.2</v>
      </c>
      <c r="BO37" s="16">
        <f t="shared" si="1"/>
        <v>72239.439999999988</v>
      </c>
    </row>
    <row r="38" spans="1:67" x14ac:dyDescent="0.3">
      <c r="A38" s="5" t="s">
        <v>14</v>
      </c>
      <c r="B38" s="5" t="s">
        <v>149</v>
      </c>
      <c r="C38" s="5">
        <v>394079</v>
      </c>
      <c r="D38" s="6"/>
      <c r="E38" s="5" t="s">
        <v>16</v>
      </c>
      <c r="F38" s="5" t="s">
        <v>52</v>
      </c>
      <c r="G38" s="5" t="s">
        <v>34</v>
      </c>
      <c r="H38" s="7" t="s">
        <v>8</v>
      </c>
      <c r="I38" s="7" t="s">
        <v>150</v>
      </c>
      <c r="J38" s="7">
        <v>0</v>
      </c>
      <c r="K38" s="7">
        <v>2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26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114</v>
      </c>
      <c r="AF38" s="8">
        <v>9420</v>
      </c>
      <c r="AG38" s="8">
        <v>2000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246</v>
      </c>
      <c r="AR38" s="8">
        <v>24600</v>
      </c>
      <c r="AS38" s="7">
        <v>0</v>
      </c>
      <c r="AT38" s="7">
        <v>0</v>
      </c>
      <c r="AU38" s="7">
        <v>0</v>
      </c>
      <c r="AV38" s="7">
        <v>0</v>
      </c>
      <c r="AW38" s="7">
        <v>134</v>
      </c>
      <c r="AX38" s="8">
        <v>15120</v>
      </c>
      <c r="AY38" s="7">
        <v>800</v>
      </c>
      <c r="AZ38" s="7">
        <v>0</v>
      </c>
      <c r="BA38" s="7">
        <v>0</v>
      </c>
      <c r="BB38" s="7">
        <v>0</v>
      </c>
      <c r="BC38" s="7">
        <v>455</v>
      </c>
      <c r="BD38" s="8">
        <v>54600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9">
        <v>4788</v>
      </c>
      <c r="BM38" s="10">
        <v>106540</v>
      </c>
      <c r="BN38" s="15">
        <f t="shared" si="0"/>
        <v>101752</v>
      </c>
      <c r="BO38" s="16">
        <f t="shared" si="1"/>
        <v>71226.399999999994</v>
      </c>
    </row>
    <row r="39" spans="1:67" x14ac:dyDescent="0.3">
      <c r="A39" s="5" t="s">
        <v>14</v>
      </c>
      <c r="B39" s="5" t="s">
        <v>495</v>
      </c>
      <c r="C39" s="5">
        <v>482273</v>
      </c>
      <c r="D39" s="6"/>
      <c r="E39" s="5" t="s">
        <v>16</v>
      </c>
      <c r="F39" s="5" t="s">
        <v>496</v>
      </c>
      <c r="G39" s="5" t="s">
        <v>10</v>
      </c>
      <c r="H39" s="7" t="s">
        <v>7</v>
      </c>
      <c r="I39" s="7" t="s">
        <v>497</v>
      </c>
      <c r="J39" s="7">
        <v>0</v>
      </c>
      <c r="K39" s="7">
        <v>128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105</v>
      </c>
      <c r="AF39" s="8">
        <v>4940</v>
      </c>
      <c r="AG39" s="8">
        <v>5600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262</v>
      </c>
      <c r="AR39" s="8">
        <v>21200</v>
      </c>
      <c r="AS39" s="7">
        <v>5000</v>
      </c>
      <c r="AT39" s="7">
        <v>0</v>
      </c>
      <c r="AU39" s="7">
        <v>0</v>
      </c>
      <c r="AV39" s="7">
        <v>0</v>
      </c>
      <c r="AW39" s="7">
        <v>151</v>
      </c>
      <c r="AX39" s="8">
        <v>18120</v>
      </c>
      <c r="AY39" s="7">
        <v>0</v>
      </c>
      <c r="AZ39" s="7">
        <v>0</v>
      </c>
      <c r="BA39" s="7">
        <v>0</v>
      </c>
      <c r="BB39" s="7">
        <v>0</v>
      </c>
      <c r="BC39" s="7">
        <v>397</v>
      </c>
      <c r="BD39" s="8">
        <v>47640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9">
        <v>4670.3999999999996</v>
      </c>
      <c r="BM39" s="10">
        <v>102500</v>
      </c>
      <c r="BN39" s="15">
        <f t="shared" si="0"/>
        <v>97829.6</v>
      </c>
      <c r="BO39" s="16">
        <f t="shared" si="1"/>
        <v>68480.72</v>
      </c>
    </row>
    <row r="40" spans="1:67" x14ac:dyDescent="0.3">
      <c r="A40" s="5" t="s">
        <v>14</v>
      </c>
      <c r="B40" s="5" t="s">
        <v>25</v>
      </c>
      <c r="C40" s="5">
        <v>449889</v>
      </c>
      <c r="D40" s="6"/>
      <c r="E40" s="5" t="s">
        <v>16</v>
      </c>
      <c r="F40" s="5" t="s">
        <v>26</v>
      </c>
      <c r="G40" s="5" t="s">
        <v>10</v>
      </c>
      <c r="H40" s="7" t="s">
        <v>7</v>
      </c>
      <c r="I40" s="7" t="s">
        <v>27</v>
      </c>
      <c r="J40" s="7">
        <v>0</v>
      </c>
      <c r="K40" s="7">
        <v>88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22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192</v>
      </c>
      <c r="AF40" s="8">
        <v>18040</v>
      </c>
      <c r="AG40" s="8">
        <v>1500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8">
        <v>0</v>
      </c>
      <c r="AN40" s="7">
        <v>0</v>
      </c>
      <c r="AO40" s="7">
        <v>0</v>
      </c>
      <c r="AP40" s="7">
        <v>0</v>
      </c>
      <c r="AQ40" s="7">
        <v>170</v>
      </c>
      <c r="AR40" s="8">
        <v>16800</v>
      </c>
      <c r="AS40" s="7">
        <v>200</v>
      </c>
      <c r="AT40" s="7">
        <v>0</v>
      </c>
      <c r="AU40" s="7">
        <v>0</v>
      </c>
      <c r="AV40" s="7">
        <v>0</v>
      </c>
      <c r="AW40" s="7">
        <v>1</v>
      </c>
      <c r="AX40" s="8">
        <v>120</v>
      </c>
      <c r="AY40" s="7">
        <v>0</v>
      </c>
      <c r="AZ40" s="7">
        <v>0</v>
      </c>
      <c r="BA40" s="7">
        <v>0</v>
      </c>
      <c r="BB40" s="7">
        <v>0</v>
      </c>
      <c r="BC40" s="7">
        <v>530</v>
      </c>
      <c r="BD40" s="8">
        <v>63600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9">
        <v>3828</v>
      </c>
      <c r="BM40" s="10">
        <v>100260</v>
      </c>
      <c r="BN40" s="15">
        <f t="shared" si="0"/>
        <v>96432</v>
      </c>
      <c r="BO40" s="16">
        <f t="shared" si="1"/>
        <v>67502.399999999994</v>
      </c>
    </row>
    <row r="41" spans="1:67" x14ac:dyDescent="0.3">
      <c r="A41" s="5" t="s">
        <v>14</v>
      </c>
      <c r="B41" s="5" t="s">
        <v>117</v>
      </c>
      <c r="C41" s="5">
        <v>390809</v>
      </c>
      <c r="D41" s="6"/>
      <c r="E41" s="5" t="s">
        <v>16</v>
      </c>
      <c r="F41" s="5" t="s">
        <v>118</v>
      </c>
      <c r="G41" s="5" t="s">
        <v>34</v>
      </c>
      <c r="H41" s="7" t="s">
        <v>8</v>
      </c>
      <c r="I41" s="7" t="s">
        <v>35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19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257</v>
      </c>
      <c r="AF41" s="8">
        <v>13360</v>
      </c>
      <c r="AG41" s="7">
        <v>12800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2</v>
      </c>
      <c r="AR41" s="8">
        <v>200</v>
      </c>
      <c r="AS41" s="7">
        <v>0</v>
      </c>
      <c r="AT41" s="7">
        <v>0</v>
      </c>
      <c r="AU41" s="7">
        <v>0</v>
      </c>
      <c r="AV41" s="7">
        <v>0</v>
      </c>
      <c r="AW41" s="7">
        <v>191</v>
      </c>
      <c r="AX41" s="8">
        <v>22920</v>
      </c>
      <c r="AY41" s="7">
        <v>0</v>
      </c>
      <c r="AZ41" s="7">
        <v>0</v>
      </c>
      <c r="BA41" s="7">
        <v>0</v>
      </c>
      <c r="BB41" s="7">
        <v>0</v>
      </c>
      <c r="BC41" s="7">
        <v>416</v>
      </c>
      <c r="BD41" s="8">
        <v>49920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9">
        <v>5287.2</v>
      </c>
      <c r="BM41" s="10">
        <v>99200</v>
      </c>
      <c r="BN41" s="15">
        <f t="shared" si="0"/>
        <v>93912.8</v>
      </c>
      <c r="BO41" s="16">
        <f t="shared" si="1"/>
        <v>65738.959999999992</v>
      </c>
    </row>
    <row r="42" spans="1:67" ht="19.5" x14ac:dyDescent="0.3">
      <c r="A42" s="5" t="s">
        <v>14</v>
      </c>
      <c r="B42" s="5" t="s">
        <v>110</v>
      </c>
      <c r="C42" s="5">
        <v>425289</v>
      </c>
      <c r="D42" s="6"/>
      <c r="E42" s="5" t="s">
        <v>16</v>
      </c>
      <c r="F42" s="5" t="s">
        <v>96</v>
      </c>
      <c r="G42" s="5" t="s">
        <v>10</v>
      </c>
      <c r="H42" s="7" t="s">
        <v>7</v>
      </c>
      <c r="I42" s="7" t="s">
        <v>111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27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126</v>
      </c>
      <c r="AF42" s="8">
        <v>2500</v>
      </c>
      <c r="AG42" s="8">
        <v>10100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8">
        <v>0</v>
      </c>
      <c r="AS42" s="7">
        <v>0</v>
      </c>
      <c r="AT42" s="7">
        <v>0</v>
      </c>
      <c r="AU42" s="7">
        <v>0</v>
      </c>
      <c r="AV42" s="7">
        <v>0</v>
      </c>
      <c r="AW42" s="7">
        <v>91</v>
      </c>
      <c r="AX42" s="8">
        <v>10920</v>
      </c>
      <c r="AY42" s="7">
        <v>0</v>
      </c>
      <c r="AZ42" s="7">
        <v>0</v>
      </c>
      <c r="BA42" s="7">
        <v>0</v>
      </c>
      <c r="BB42" s="7">
        <v>0</v>
      </c>
      <c r="BC42" s="7">
        <v>628</v>
      </c>
      <c r="BD42" s="8">
        <v>75360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9">
        <v>5613.6</v>
      </c>
      <c r="BM42" s="10">
        <v>98880</v>
      </c>
      <c r="BN42" s="15">
        <f t="shared" si="0"/>
        <v>93266.4</v>
      </c>
      <c r="BO42" s="16">
        <f t="shared" si="1"/>
        <v>65286.479999999989</v>
      </c>
    </row>
    <row r="43" spans="1:67" x14ac:dyDescent="0.3">
      <c r="A43" s="5" t="s">
        <v>14</v>
      </c>
      <c r="B43" s="5" t="s">
        <v>113</v>
      </c>
      <c r="C43" s="5">
        <v>415710</v>
      </c>
      <c r="D43" s="6"/>
      <c r="E43" s="5" t="s">
        <v>16</v>
      </c>
      <c r="F43" s="5" t="s">
        <v>52</v>
      </c>
      <c r="G43" s="5" t="s">
        <v>34</v>
      </c>
      <c r="H43" s="7" t="s">
        <v>8</v>
      </c>
      <c r="I43" s="7" t="s">
        <v>114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13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162</v>
      </c>
      <c r="AF43" s="8">
        <v>10600</v>
      </c>
      <c r="AG43" s="8">
        <v>6600</v>
      </c>
      <c r="AH43" s="7">
        <v>0</v>
      </c>
      <c r="AI43" s="7">
        <v>0</v>
      </c>
      <c r="AJ43" s="7">
        <v>0</v>
      </c>
      <c r="AK43" s="7">
        <v>0</v>
      </c>
      <c r="AL43" s="8">
        <v>0</v>
      </c>
      <c r="AM43" s="7">
        <v>0</v>
      </c>
      <c r="AN43" s="7">
        <v>0</v>
      </c>
      <c r="AO43" s="7">
        <v>0</v>
      </c>
      <c r="AP43" s="7">
        <v>0</v>
      </c>
      <c r="AQ43" s="7">
        <v>176</v>
      </c>
      <c r="AR43" s="8">
        <v>17600</v>
      </c>
      <c r="AS43" s="8">
        <v>0</v>
      </c>
      <c r="AT43" s="7">
        <v>0</v>
      </c>
      <c r="AU43" s="7">
        <v>0</v>
      </c>
      <c r="AV43" s="7">
        <v>0</v>
      </c>
      <c r="AW43" s="7">
        <v>57</v>
      </c>
      <c r="AX43" s="7">
        <v>6840</v>
      </c>
      <c r="AY43" s="7">
        <v>0</v>
      </c>
      <c r="AZ43" s="7">
        <v>0</v>
      </c>
      <c r="BA43" s="7">
        <v>0</v>
      </c>
      <c r="BB43" s="7">
        <v>0</v>
      </c>
      <c r="BC43" s="7">
        <v>473</v>
      </c>
      <c r="BD43" s="8">
        <v>56760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9">
        <v>4089.6</v>
      </c>
      <c r="BM43" s="10">
        <v>98400</v>
      </c>
      <c r="BN43" s="15">
        <f t="shared" si="0"/>
        <v>94310.399999999994</v>
      </c>
      <c r="BO43" s="16">
        <f t="shared" si="1"/>
        <v>66017.279999999999</v>
      </c>
    </row>
    <row r="44" spans="1:67" x14ac:dyDescent="0.3">
      <c r="A44" s="5" t="s">
        <v>14</v>
      </c>
      <c r="B44" s="5" t="s">
        <v>294</v>
      </c>
      <c r="C44" s="5">
        <v>363413</v>
      </c>
      <c r="D44" s="6"/>
      <c r="E44" s="5" t="s">
        <v>16</v>
      </c>
      <c r="F44" s="5" t="s">
        <v>105</v>
      </c>
      <c r="G44" s="5" t="s">
        <v>34</v>
      </c>
      <c r="H44" s="7" t="s">
        <v>8</v>
      </c>
      <c r="I44" s="7" t="s">
        <v>295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14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98</v>
      </c>
      <c r="AF44" s="8">
        <v>6180</v>
      </c>
      <c r="AG44" s="8">
        <v>4400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91</v>
      </c>
      <c r="AR44" s="8">
        <v>9100</v>
      </c>
      <c r="AS44" s="7">
        <v>0</v>
      </c>
      <c r="AT44" s="7">
        <v>0</v>
      </c>
      <c r="AU44" s="7">
        <v>0</v>
      </c>
      <c r="AV44" s="7">
        <v>0</v>
      </c>
      <c r="AW44" s="7">
        <v>88</v>
      </c>
      <c r="AX44" s="8">
        <v>10560</v>
      </c>
      <c r="AY44" s="7">
        <v>0</v>
      </c>
      <c r="AZ44" s="7">
        <v>0</v>
      </c>
      <c r="BA44" s="7">
        <v>0</v>
      </c>
      <c r="BB44" s="7">
        <v>0</v>
      </c>
      <c r="BC44" s="7">
        <v>531</v>
      </c>
      <c r="BD44" s="8">
        <v>63720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4879.2</v>
      </c>
      <c r="BM44" s="10">
        <v>93960</v>
      </c>
      <c r="BN44" s="15">
        <f t="shared" si="0"/>
        <v>89080.8</v>
      </c>
      <c r="BO44" s="16">
        <f t="shared" si="1"/>
        <v>62356.56</v>
      </c>
    </row>
    <row r="45" spans="1:67" x14ac:dyDescent="0.3">
      <c r="A45" s="5" t="s">
        <v>14</v>
      </c>
      <c r="B45" s="5" t="s">
        <v>127</v>
      </c>
      <c r="C45" s="5">
        <v>383229</v>
      </c>
      <c r="D45" s="6"/>
      <c r="E45" s="5" t="s">
        <v>16</v>
      </c>
      <c r="F45" s="5" t="s">
        <v>128</v>
      </c>
      <c r="G45" s="5" t="s">
        <v>34</v>
      </c>
      <c r="H45" s="7" t="s">
        <v>8</v>
      </c>
      <c r="I45" s="7" t="s">
        <v>129</v>
      </c>
      <c r="J45" s="7">
        <v>0</v>
      </c>
      <c r="K45" s="7">
        <v>0</v>
      </c>
      <c r="L45" s="8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26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236</v>
      </c>
      <c r="AF45" s="8">
        <v>5900</v>
      </c>
      <c r="AG45" s="8">
        <v>17700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36</v>
      </c>
      <c r="AR45" s="8">
        <v>3600</v>
      </c>
      <c r="AS45" s="7">
        <v>0</v>
      </c>
      <c r="AT45" s="7">
        <v>0</v>
      </c>
      <c r="AU45" s="7">
        <v>0</v>
      </c>
      <c r="AV45" s="7">
        <v>0</v>
      </c>
      <c r="AW45" s="7">
        <v>134</v>
      </c>
      <c r="AX45" s="8">
        <v>16080</v>
      </c>
      <c r="AY45" s="7">
        <v>0</v>
      </c>
      <c r="AZ45" s="7">
        <v>0</v>
      </c>
      <c r="BA45" s="7">
        <v>0</v>
      </c>
      <c r="BB45" s="7">
        <v>0</v>
      </c>
      <c r="BC45" s="7">
        <v>309</v>
      </c>
      <c r="BD45" s="8">
        <v>37080</v>
      </c>
      <c r="BE45" s="7">
        <v>0</v>
      </c>
      <c r="BF45" s="7">
        <v>0</v>
      </c>
      <c r="BG45" s="7">
        <v>0</v>
      </c>
      <c r="BH45" s="7">
        <v>0</v>
      </c>
      <c r="BI45" s="7">
        <v>1</v>
      </c>
      <c r="BJ45" s="7">
        <v>120</v>
      </c>
      <c r="BK45" s="7">
        <v>0</v>
      </c>
      <c r="BL45" s="9">
        <v>3838.8</v>
      </c>
      <c r="BM45" s="10">
        <v>80480</v>
      </c>
      <c r="BN45" s="15">
        <f t="shared" si="0"/>
        <v>76641.2</v>
      </c>
      <c r="BO45" s="16">
        <f t="shared" si="1"/>
        <v>53648.84</v>
      </c>
    </row>
    <row r="46" spans="1:67" x14ac:dyDescent="0.3">
      <c r="A46" s="5" t="s">
        <v>14</v>
      </c>
      <c r="B46" s="5" t="s">
        <v>68</v>
      </c>
      <c r="C46" s="5">
        <v>442274</v>
      </c>
      <c r="D46" s="6"/>
      <c r="E46" s="5" t="s">
        <v>16</v>
      </c>
      <c r="F46" s="5" t="s">
        <v>69</v>
      </c>
      <c r="G46" s="5" t="s">
        <v>10</v>
      </c>
      <c r="H46" s="7" t="s">
        <v>7</v>
      </c>
      <c r="I46" s="7" t="s">
        <v>70</v>
      </c>
      <c r="J46" s="7">
        <v>6</v>
      </c>
      <c r="K46" s="8">
        <v>0</v>
      </c>
      <c r="L46" s="7">
        <v>600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226</v>
      </c>
      <c r="AF46" s="8">
        <v>15400</v>
      </c>
      <c r="AG46" s="8">
        <v>7200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304</v>
      </c>
      <c r="AR46" s="8">
        <v>29500</v>
      </c>
      <c r="AS46" s="7">
        <v>900</v>
      </c>
      <c r="AT46" s="7">
        <v>0</v>
      </c>
      <c r="AU46" s="7">
        <v>0</v>
      </c>
      <c r="AV46" s="7">
        <v>0</v>
      </c>
      <c r="AW46" s="7">
        <v>187</v>
      </c>
      <c r="AX46" s="8">
        <v>22440</v>
      </c>
      <c r="AY46" s="7">
        <v>0</v>
      </c>
      <c r="AZ46" s="7">
        <v>0</v>
      </c>
      <c r="BA46" s="7">
        <v>0</v>
      </c>
      <c r="BB46" s="7">
        <v>0</v>
      </c>
      <c r="BC46" s="7">
        <v>33</v>
      </c>
      <c r="BD46" s="8">
        <v>3960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9">
        <v>2481.6</v>
      </c>
      <c r="BM46" s="10">
        <v>80000</v>
      </c>
      <c r="BN46" s="15">
        <f t="shared" si="0"/>
        <v>77518.399999999994</v>
      </c>
      <c r="BO46" s="16">
        <f t="shared" si="1"/>
        <v>54262.87999999999</v>
      </c>
    </row>
    <row r="47" spans="1:67" x14ac:dyDescent="0.3">
      <c r="A47" s="5" t="s">
        <v>14</v>
      </c>
      <c r="B47" s="5" t="s">
        <v>222</v>
      </c>
      <c r="C47" s="5">
        <v>382446</v>
      </c>
      <c r="D47" s="6"/>
      <c r="E47" s="5" t="s">
        <v>16</v>
      </c>
      <c r="F47" s="5" t="s">
        <v>52</v>
      </c>
      <c r="G47" s="5" t="s">
        <v>34</v>
      </c>
      <c r="H47" s="7" t="s">
        <v>8</v>
      </c>
      <c r="I47" s="7" t="s">
        <v>223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5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31</v>
      </c>
      <c r="AF47" s="8">
        <v>3600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41</v>
      </c>
      <c r="AR47" s="8">
        <v>4100</v>
      </c>
      <c r="AS47" s="8">
        <v>0</v>
      </c>
      <c r="AT47" s="7">
        <v>0</v>
      </c>
      <c r="AU47" s="7">
        <v>0</v>
      </c>
      <c r="AV47" s="7">
        <v>0</v>
      </c>
      <c r="AW47" s="7">
        <v>0</v>
      </c>
      <c r="AX47" s="8">
        <v>0</v>
      </c>
      <c r="AY47" s="7">
        <v>0</v>
      </c>
      <c r="AZ47" s="7">
        <v>0</v>
      </c>
      <c r="BA47" s="7">
        <v>0</v>
      </c>
      <c r="BB47" s="7">
        <v>0</v>
      </c>
      <c r="BC47" s="7">
        <v>585</v>
      </c>
      <c r="BD47" s="8">
        <v>70200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9">
        <v>4212</v>
      </c>
      <c r="BM47" s="10">
        <v>77900</v>
      </c>
      <c r="BN47" s="15">
        <f t="shared" si="0"/>
        <v>73688</v>
      </c>
      <c r="BO47" s="16">
        <f t="shared" si="1"/>
        <v>51581.599999999999</v>
      </c>
    </row>
    <row r="48" spans="1:67" x14ac:dyDescent="0.3">
      <c r="A48" s="5" t="s">
        <v>14</v>
      </c>
      <c r="B48" s="5" t="s">
        <v>85</v>
      </c>
      <c r="C48" s="5">
        <v>422032</v>
      </c>
      <c r="D48" s="6"/>
      <c r="E48" s="5" t="s">
        <v>16</v>
      </c>
      <c r="F48" s="5" t="s">
        <v>86</v>
      </c>
      <c r="G48" s="5" t="s">
        <v>10</v>
      </c>
      <c r="H48" s="7" t="s">
        <v>9</v>
      </c>
      <c r="I48" s="7" t="s">
        <v>87</v>
      </c>
      <c r="J48" s="7">
        <v>0</v>
      </c>
      <c r="K48" s="7">
        <v>0</v>
      </c>
      <c r="L48" s="8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27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424</v>
      </c>
      <c r="AF48" s="8">
        <v>45420</v>
      </c>
      <c r="AG48" s="7">
        <v>300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58</v>
      </c>
      <c r="AR48" s="8">
        <v>5800</v>
      </c>
      <c r="AS48" s="7">
        <v>0</v>
      </c>
      <c r="AT48" s="7">
        <v>0</v>
      </c>
      <c r="AU48" s="7">
        <v>0</v>
      </c>
      <c r="AV48" s="7">
        <v>0</v>
      </c>
      <c r="AW48" s="7">
        <v>3</v>
      </c>
      <c r="AX48" s="8">
        <v>360</v>
      </c>
      <c r="AY48" s="7">
        <v>0</v>
      </c>
      <c r="AZ48" s="7">
        <v>0</v>
      </c>
      <c r="BA48" s="7">
        <v>0</v>
      </c>
      <c r="BB48" s="7">
        <v>0</v>
      </c>
      <c r="BC48" s="7">
        <v>185</v>
      </c>
      <c r="BD48" s="8">
        <v>22200</v>
      </c>
      <c r="BE48" s="7">
        <v>0</v>
      </c>
      <c r="BF48" s="7">
        <v>0</v>
      </c>
      <c r="BG48" s="7">
        <v>0</v>
      </c>
      <c r="BH48" s="7">
        <v>0</v>
      </c>
      <c r="BI48" s="7">
        <v>1</v>
      </c>
      <c r="BJ48" s="7">
        <v>120</v>
      </c>
      <c r="BK48" s="7">
        <v>0</v>
      </c>
      <c r="BL48" s="9">
        <v>1374</v>
      </c>
      <c r="BM48" s="10">
        <v>74200</v>
      </c>
      <c r="BN48" s="15">
        <f t="shared" si="0"/>
        <v>72826</v>
      </c>
      <c r="BO48" s="16">
        <f t="shared" si="1"/>
        <v>50978.2</v>
      </c>
    </row>
    <row r="49" spans="1:67" x14ac:dyDescent="0.3">
      <c r="A49" s="5" t="s">
        <v>14</v>
      </c>
      <c r="B49" s="5" t="s">
        <v>384</v>
      </c>
      <c r="C49" s="5">
        <v>476035</v>
      </c>
      <c r="D49" s="6"/>
      <c r="E49" s="5" t="s">
        <v>16</v>
      </c>
      <c r="F49" s="5" t="s">
        <v>385</v>
      </c>
      <c r="G49" s="5" t="s">
        <v>382</v>
      </c>
      <c r="H49" s="7" t="s">
        <v>9</v>
      </c>
      <c r="I49" s="7" t="s">
        <v>386</v>
      </c>
      <c r="J49" s="7">
        <v>91</v>
      </c>
      <c r="K49" s="7">
        <v>1707</v>
      </c>
      <c r="L49" s="7">
        <v>9100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136</v>
      </c>
      <c r="AF49" s="8">
        <v>2380</v>
      </c>
      <c r="AG49" s="8">
        <v>11300</v>
      </c>
      <c r="AH49" s="7">
        <v>0</v>
      </c>
      <c r="AI49" s="7">
        <v>0</v>
      </c>
      <c r="AJ49" s="7">
        <v>0</v>
      </c>
      <c r="AK49" s="7">
        <v>2</v>
      </c>
      <c r="AL49" s="7">
        <v>0</v>
      </c>
      <c r="AM49" s="7">
        <v>200</v>
      </c>
      <c r="AN49" s="7">
        <v>0</v>
      </c>
      <c r="AO49" s="7">
        <v>0</v>
      </c>
      <c r="AP49" s="7">
        <v>0</v>
      </c>
      <c r="AQ49" s="7">
        <v>144</v>
      </c>
      <c r="AR49" s="8">
        <v>14000</v>
      </c>
      <c r="AS49" s="7">
        <v>400</v>
      </c>
      <c r="AT49" s="7">
        <v>0</v>
      </c>
      <c r="AU49" s="7">
        <v>0</v>
      </c>
      <c r="AV49" s="7">
        <v>0</v>
      </c>
      <c r="AW49" s="7">
        <v>77</v>
      </c>
      <c r="AX49" s="8">
        <v>9240</v>
      </c>
      <c r="AY49" s="7">
        <v>0</v>
      </c>
      <c r="AZ49" s="7">
        <v>0</v>
      </c>
      <c r="BA49" s="7">
        <v>0</v>
      </c>
      <c r="BB49" s="7">
        <v>0</v>
      </c>
      <c r="BC49" s="7">
        <v>228</v>
      </c>
      <c r="BD49" s="8">
        <v>27360</v>
      </c>
      <c r="BE49" s="7">
        <v>0</v>
      </c>
      <c r="BF49" s="7">
        <v>0</v>
      </c>
      <c r="BG49" s="7">
        <v>0</v>
      </c>
      <c r="BH49" s="7">
        <v>0</v>
      </c>
      <c r="BI49" s="7">
        <v>1</v>
      </c>
      <c r="BJ49" s="7">
        <v>120</v>
      </c>
      <c r="BK49" s="7">
        <v>0</v>
      </c>
      <c r="BL49" s="9">
        <v>2571.6</v>
      </c>
      <c r="BM49" s="10">
        <v>74100</v>
      </c>
      <c r="BN49" s="15">
        <f t="shared" si="0"/>
        <v>71528.399999999994</v>
      </c>
      <c r="BO49" s="16">
        <f t="shared" si="1"/>
        <v>50069.87999999999</v>
      </c>
    </row>
    <row r="50" spans="1:67" x14ac:dyDescent="0.3">
      <c r="A50" s="5" t="s">
        <v>14</v>
      </c>
      <c r="B50" s="5" t="s">
        <v>492</v>
      </c>
      <c r="C50" s="5">
        <v>481322</v>
      </c>
      <c r="D50" s="6"/>
      <c r="E50" s="5" t="s">
        <v>16</v>
      </c>
      <c r="F50" s="5" t="s">
        <v>493</v>
      </c>
      <c r="G50" s="5" t="s">
        <v>10</v>
      </c>
      <c r="H50" s="7" t="s">
        <v>7</v>
      </c>
      <c r="I50" s="7" t="s">
        <v>494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155</v>
      </c>
      <c r="AF50" s="8">
        <v>7000</v>
      </c>
      <c r="AG50" s="8">
        <v>8500</v>
      </c>
      <c r="AH50" s="7">
        <v>0</v>
      </c>
      <c r="AI50" s="7">
        <v>0</v>
      </c>
      <c r="AJ50" s="7">
        <v>0</v>
      </c>
      <c r="AK50" s="7">
        <v>8</v>
      </c>
      <c r="AL50" s="7">
        <v>960</v>
      </c>
      <c r="AM50" s="7">
        <v>0</v>
      </c>
      <c r="AN50" s="7">
        <v>0</v>
      </c>
      <c r="AO50" s="7">
        <v>0</v>
      </c>
      <c r="AP50" s="7">
        <v>0</v>
      </c>
      <c r="AQ50" s="7">
        <v>223</v>
      </c>
      <c r="AR50" s="8">
        <v>21900</v>
      </c>
      <c r="AS50" s="7">
        <v>400</v>
      </c>
      <c r="AT50" s="7">
        <v>0</v>
      </c>
      <c r="AU50" s="7">
        <v>0</v>
      </c>
      <c r="AV50" s="7">
        <v>0</v>
      </c>
      <c r="AW50" s="7">
        <v>0</v>
      </c>
      <c r="AX50" s="8">
        <v>0</v>
      </c>
      <c r="AY50" s="7">
        <v>0</v>
      </c>
      <c r="AZ50" s="7">
        <v>0</v>
      </c>
      <c r="BA50" s="7">
        <v>0</v>
      </c>
      <c r="BB50" s="7">
        <v>0</v>
      </c>
      <c r="BC50" s="7">
        <v>286</v>
      </c>
      <c r="BD50" s="8">
        <v>34320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9">
        <v>2347.1999999999998</v>
      </c>
      <c r="BM50" s="10">
        <v>73080</v>
      </c>
      <c r="BN50" s="15">
        <f t="shared" si="0"/>
        <v>70732.800000000003</v>
      </c>
      <c r="BO50" s="16">
        <f t="shared" si="1"/>
        <v>49512.959999999999</v>
      </c>
    </row>
    <row r="51" spans="1:67" x14ac:dyDescent="0.3">
      <c r="A51" s="5" t="s">
        <v>14</v>
      </c>
      <c r="B51" s="5" t="s">
        <v>71</v>
      </c>
      <c r="C51" s="5">
        <v>219203</v>
      </c>
      <c r="D51" s="6"/>
      <c r="E51" s="5" t="s">
        <v>16</v>
      </c>
      <c r="F51" s="5" t="s">
        <v>72</v>
      </c>
      <c r="G51" s="5" t="s">
        <v>10</v>
      </c>
      <c r="H51" s="7" t="s">
        <v>7</v>
      </c>
      <c r="I51" s="7" t="s">
        <v>73</v>
      </c>
      <c r="J51" s="7">
        <v>0</v>
      </c>
      <c r="K51" s="7">
        <v>13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252</v>
      </c>
      <c r="AC51" s="7">
        <v>6840</v>
      </c>
      <c r="AD51" s="7">
        <v>18500</v>
      </c>
      <c r="AE51" s="7">
        <v>3</v>
      </c>
      <c r="AF51" s="8">
        <v>400</v>
      </c>
      <c r="AG51" s="8">
        <v>500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160</v>
      </c>
      <c r="AO51" s="7">
        <v>16000</v>
      </c>
      <c r="AP51" s="7">
        <v>0</v>
      </c>
      <c r="AQ51" s="7">
        <v>0</v>
      </c>
      <c r="AR51" s="8">
        <v>0</v>
      </c>
      <c r="AS51" s="7">
        <v>0</v>
      </c>
      <c r="AT51" s="7">
        <v>90</v>
      </c>
      <c r="AU51" s="7">
        <v>10800</v>
      </c>
      <c r="AV51" s="7">
        <v>0</v>
      </c>
      <c r="AW51" s="7">
        <v>0</v>
      </c>
      <c r="AX51" s="8">
        <v>0</v>
      </c>
      <c r="AY51" s="7">
        <v>0</v>
      </c>
      <c r="AZ51" s="7">
        <v>31</v>
      </c>
      <c r="BA51" s="7">
        <v>3720</v>
      </c>
      <c r="BB51" s="7">
        <v>0</v>
      </c>
      <c r="BC51" s="7">
        <v>36</v>
      </c>
      <c r="BD51" s="8">
        <v>12960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9">
        <v>2080.8000000000002</v>
      </c>
      <c r="BM51" s="10">
        <v>69720</v>
      </c>
      <c r="BN51" s="15">
        <f t="shared" si="0"/>
        <v>67639.199999999997</v>
      </c>
      <c r="BO51" s="16">
        <f t="shared" si="1"/>
        <v>47347.439999999995</v>
      </c>
    </row>
    <row r="52" spans="1:67" x14ac:dyDescent="0.3">
      <c r="A52" s="5" t="s">
        <v>14</v>
      </c>
      <c r="B52" s="5" t="s">
        <v>473</v>
      </c>
      <c r="C52" s="5">
        <v>475995</v>
      </c>
      <c r="D52" s="6"/>
      <c r="E52" s="5" t="s">
        <v>16</v>
      </c>
      <c r="F52" s="5" t="s">
        <v>55</v>
      </c>
      <c r="G52" s="5" t="s">
        <v>10</v>
      </c>
      <c r="H52" s="7" t="s">
        <v>7</v>
      </c>
      <c r="I52" s="7" t="s">
        <v>386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2</v>
      </c>
      <c r="AF52" s="8">
        <v>0</v>
      </c>
      <c r="AG52" s="7">
        <v>6000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8</v>
      </c>
      <c r="AR52" s="8">
        <v>25200</v>
      </c>
      <c r="AS52" s="7">
        <v>400</v>
      </c>
      <c r="AT52" s="7">
        <v>0</v>
      </c>
      <c r="AU52" s="7">
        <v>0</v>
      </c>
      <c r="AV52" s="7">
        <v>0</v>
      </c>
      <c r="AW52" s="7">
        <v>0</v>
      </c>
      <c r="AX52" s="8">
        <v>0</v>
      </c>
      <c r="AY52" s="7">
        <v>0</v>
      </c>
      <c r="AZ52" s="7">
        <v>0</v>
      </c>
      <c r="BA52" s="7">
        <v>0</v>
      </c>
      <c r="BB52" s="7">
        <v>0</v>
      </c>
      <c r="BC52" s="7">
        <v>10</v>
      </c>
      <c r="BD52" s="8">
        <v>35040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9">
        <v>2102.4</v>
      </c>
      <c r="BM52" s="10">
        <v>66640</v>
      </c>
      <c r="BN52" s="15">
        <f t="shared" si="0"/>
        <v>64537.599999999999</v>
      </c>
      <c r="BO52" s="16">
        <f t="shared" si="1"/>
        <v>45176.32</v>
      </c>
    </row>
    <row r="53" spans="1:67" x14ac:dyDescent="0.3">
      <c r="A53" s="5" t="s">
        <v>14</v>
      </c>
      <c r="B53" s="5" t="s">
        <v>181</v>
      </c>
      <c r="C53" s="5">
        <v>325640</v>
      </c>
      <c r="D53" s="6"/>
      <c r="E53" s="5" t="s">
        <v>16</v>
      </c>
      <c r="F53" s="5" t="s">
        <v>182</v>
      </c>
      <c r="G53" s="5" t="s">
        <v>10</v>
      </c>
      <c r="H53" s="7" t="s">
        <v>7</v>
      </c>
      <c r="I53" s="7" t="s">
        <v>183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20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395</v>
      </c>
      <c r="AF53" s="8">
        <v>33400</v>
      </c>
      <c r="AG53" s="8">
        <v>6100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8">
        <v>0</v>
      </c>
      <c r="AS53" s="7">
        <v>0</v>
      </c>
      <c r="AT53" s="7">
        <v>0</v>
      </c>
      <c r="AU53" s="7">
        <v>0</v>
      </c>
      <c r="AV53" s="7">
        <v>0</v>
      </c>
      <c r="AW53" s="7">
        <v>203</v>
      </c>
      <c r="AX53" s="8">
        <v>24360</v>
      </c>
      <c r="AY53" s="7">
        <v>0</v>
      </c>
      <c r="AZ53" s="7">
        <v>0</v>
      </c>
      <c r="BA53" s="7">
        <v>0</v>
      </c>
      <c r="BB53" s="7">
        <v>0</v>
      </c>
      <c r="BC53" s="7">
        <v>22</v>
      </c>
      <c r="BD53" s="8">
        <v>2640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9">
        <v>2594.4</v>
      </c>
      <c r="BM53" s="10">
        <v>66500</v>
      </c>
      <c r="BN53" s="15">
        <f t="shared" si="0"/>
        <v>63905.599999999999</v>
      </c>
      <c r="BO53" s="16">
        <f t="shared" si="1"/>
        <v>44733.919999999998</v>
      </c>
    </row>
    <row r="54" spans="1:67" x14ac:dyDescent="0.3">
      <c r="A54" s="5" t="s">
        <v>14</v>
      </c>
      <c r="B54" s="5" t="s">
        <v>154</v>
      </c>
      <c r="C54" s="5">
        <v>376361</v>
      </c>
      <c r="D54" s="6"/>
      <c r="E54" s="5" t="s">
        <v>16</v>
      </c>
      <c r="F54" s="5" t="s">
        <v>47</v>
      </c>
      <c r="G54" s="5" t="s">
        <v>34</v>
      </c>
      <c r="H54" s="7" t="s">
        <v>8</v>
      </c>
      <c r="I54" s="7" t="s">
        <v>155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13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409</v>
      </c>
      <c r="AF54" s="8">
        <v>10320</v>
      </c>
      <c r="AG54" s="8">
        <v>32200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5</v>
      </c>
      <c r="AR54" s="8">
        <v>300</v>
      </c>
      <c r="AS54" s="7">
        <v>200</v>
      </c>
      <c r="AT54" s="7">
        <v>0</v>
      </c>
      <c r="AU54" s="7">
        <v>0</v>
      </c>
      <c r="AV54" s="7">
        <v>0</v>
      </c>
      <c r="AW54" s="7">
        <v>8</v>
      </c>
      <c r="AX54" s="7">
        <v>960</v>
      </c>
      <c r="AY54" s="7">
        <v>0</v>
      </c>
      <c r="AZ54" s="7">
        <v>0</v>
      </c>
      <c r="BA54" s="7">
        <v>0</v>
      </c>
      <c r="BB54" s="7">
        <v>0</v>
      </c>
      <c r="BC54" s="7">
        <v>184</v>
      </c>
      <c r="BD54" s="8">
        <v>22080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9">
        <v>1420.8</v>
      </c>
      <c r="BM54" s="10">
        <v>66060</v>
      </c>
      <c r="BN54" s="15">
        <f t="shared" si="0"/>
        <v>64639.199999999997</v>
      </c>
      <c r="BO54" s="16">
        <f t="shared" si="1"/>
        <v>45247.439999999995</v>
      </c>
    </row>
    <row r="55" spans="1:67" x14ac:dyDescent="0.3">
      <c r="A55" s="5" t="s">
        <v>14</v>
      </c>
      <c r="B55" s="5" t="s">
        <v>146</v>
      </c>
      <c r="C55" s="5">
        <v>350894</v>
      </c>
      <c r="D55" s="6"/>
      <c r="E55" s="5" t="s">
        <v>16</v>
      </c>
      <c r="F55" s="5" t="s">
        <v>147</v>
      </c>
      <c r="G55" s="5" t="s">
        <v>34</v>
      </c>
      <c r="H55" s="7" t="s">
        <v>8</v>
      </c>
      <c r="I55" s="7" t="s">
        <v>148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26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321</v>
      </c>
      <c r="AF55" s="8">
        <v>8400</v>
      </c>
      <c r="AG55" s="8">
        <v>23700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8</v>
      </c>
      <c r="AR55" s="8">
        <v>200</v>
      </c>
      <c r="AS55" s="7">
        <v>600</v>
      </c>
      <c r="AT55" s="7">
        <v>0</v>
      </c>
      <c r="AU55" s="7">
        <v>0</v>
      </c>
      <c r="AV55" s="7">
        <v>0</v>
      </c>
      <c r="AW55" s="7">
        <v>60</v>
      </c>
      <c r="AX55" s="8">
        <v>7488</v>
      </c>
      <c r="AY55" s="7">
        <v>0</v>
      </c>
      <c r="AZ55" s="7">
        <v>0</v>
      </c>
      <c r="BA55" s="7">
        <v>0</v>
      </c>
      <c r="BB55" s="7">
        <v>0</v>
      </c>
      <c r="BC55" s="7">
        <v>204</v>
      </c>
      <c r="BD55" s="8">
        <v>24480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9">
        <v>2217.6</v>
      </c>
      <c r="BM55" s="10">
        <v>64868</v>
      </c>
      <c r="BN55" s="15">
        <f t="shared" si="0"/>
        <v>62650.400000000001</v>
      </c>
      <c r="BO55" s="16">
        <f t="shared" si="1"/>
        <v>43855.28</v>
      </c>
    </row>
    <row r="56" spans="1:67" x14ac:dyDescent="0.3">
      <c r="A56" s="5" t="s">
        <v>14</v>
      </c>
      <c r="B56" s="5" t="s">
        <v>32</v>
      </c>
      <c r="C56" s="5">
        <v>395270</v>
      </c>
      <c r="D56" s="6"/>
      <c r="E56" s="5" t="s">
        <v>16</v>
      </c>
      <c r="F56" s="5" t="s">
        <v>33</v>
      </c>
      <c r="G56" s="5" t="s">
        <v>34</v>
      </c>
      <c r="H56" s="7" t="s">
        <v>8</v>
      </c>
      <c r="I56" s="7" t="s">
        <v>35</v>
      </c>
      <c r="J56" s="7">
        <v>0</v>
      </c>
      <c r="K56" s="7">
        <v>5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18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30</v>
      </c>
      <c r="AF56" s="8">
        <v>1500</v>
      </c>
      <c r="AG56" s="8">
        <v>1500</v>
      </c>
      <c r="AH56" s="7">
        <v>0</v>
      </c>
      <c r="AI56" s="7">
        <v>0</v>
      </c>
      <c r="AJ56" s="7">
        <v>0</v>
      </c>
      <c r="AK56" s="7">
        <v>0</v>
      </c>
      <c r="AL56" s="8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8">
        <v>0</v>
      </c>
      <c r="AS56" s="7">
        <v>0</v>
      </c>
      <c r="AT56" s="7">
        <v>0</v>
      </c>
      <c r="AU56" s="7">
        <v>0</v>
      </c>
      <c r="AV56" s="7">
        <v>0</v>
      </c>
      <c r="AW56" s="7">
        <v>10</v>
      </c>
      <c r="AX56" s="8">
        <v>1200</v>
      </c>
      <c r="AY56" s="7">
        <v>0</v>
      </c>
      <c r="AZ56" s="7">
        <v>0</v>
      </c>
      <c r="BA56" s="7">
        <v>0</v>
      </c>
      <c r="BB56" s="7">
        <v>0</v>
      </c>
      <c r="BC56" s="7">
        <v>484</v>
      </c>
      <c r="BD56" s="8">
        <v>58080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9">
        <v>3604.8</v>
      </c>
      <c r="BM56" s="10">
        <v>62280</v>
      </c>
      <c r="BN56" s="15">
        <f t="shared" si="0"/>
        <v>58675.199999999997</v>
      </c>
      <c r="BO56" s="16">
        <f t="shared" si="1"/>
        <v>41072.639999999992</v>
      </c>
    </row>
    <row r="57" spans="1:67" x14ac:dyDescent="0.3">
      <c r="A57" s="5" t="s">
        <v>14</v>
      </c>
      <c r="B57" s="5" t="s">
        <v>468</v>
      </c>
      <c r="C57" s="5">
        <v>408579</v>
      </c>
      <c r="D57" s="6"/>
      <c r="E57" s="5" t="s">
        <v>16</v>
      </c>
      <c r="F57" s="5" t="s">
        <v>30</v>
      </c>
      <c r="G57" s="5" t="s">
        <v>10</v>
      </c>
      <c r="H57" s="7" t="s">
        <v>7</v>
      </c>
      <c r="I57" s="7" t="s">
        <v>224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3</v>
      </c>
      <c r="AF57" s="8">
        <v>11520</v>
      </c>
      <c r="AG57" s="8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8">
        <v>0</v>
      </c>
      <c r="AS57" s="7">
        <v>0</v>
      </c>
      <c r="AT57" s="7">
        <v>0</v>
      </c>
      <c r="AU57" s="7">
        <v>0</v>
      </c>
      <c r="AV57" s="7">
        <v>0</v>
      </c>
      <c r="AW57" s="7">
        <v>1</v>
      </c>
      <c r="AX57" s="8">
        <v>4032</v>
      </c>
      <c r="AY57" s="7">
        <v>0</v>
      </c>
      <c r="AZ57" s="7">
        <v>0</v>
      </c>
      <c r="BA57" s="7">
        <v>0</v>
      </c>
      <c r="BB57" s="7">
        <v>0</v>
      </c>
      <c r="BC57" s="7">
        <v>12</v>
      </c>
      <c r="BD57" s="8">
        <v>46080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9">
        <v>3168</v>
      </c>
      <c r="BM57" s="10">
        <v>61632</v>
      </c>
      <c r="BN57" s="15">
        <f t="shared" si="0"/>
        <v>58464</v>
      </c>
      <c r="BO57" s="16">
        <f t="shared" si="1"/>
        <v>40924.799999999996</v>
      </c>
    </row>
    <row r="58" spans="1:67" x14ac:dyDescent="0.3">
      <c r="A58" s="5" t="s">
        <v>14</v>
      </c>
      <c r="B58" s="5" t="s">
        <v>54</v>
      </c>
      <c r="C58" s="5">
        <v>463946</v>
      </c>
      <c r="D58" s="6"/>
      <c r="E58" s="5" t="s">
        <v>16</v>
      </c>
      <c r="F58" s="5" t="s">
        <v>55</v>
      </c>
      <c r="G58" s="5" t="s">
        <v>10</v>
      </c>
      <c r="H58" s="7" t="s">
        <v>7</v>
      </c>
      <c r="I58" s="7" t="s">
        <v>56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60</v>
      </c>
      <c r="AF58" s="8">
        <v>300</v>
      </c>
      <c r="AG58" s="7">
        <v>5700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64</v>
      </c>
      <c r="AR58" s="8">
        <v>6400</v>
      </c>
      <c r="AS58" s="8">
        <v>0</v>
      </c>
      <c r="AT58" s="7">
        <v>0</v>
      </c>
      <c r="AU58" s="7">
        <v>0</v>
      </c>
      <c r="AV58" s="7">
        <v>0</v>
      </c>
      <c r="AW58" s="7">
        <v>0</v>
      </c>
      <c r="AX58" s="8">
        <v>0</v>
      </c>
      <c r="AY58" s="7">
        <v>0</v>
      </c>
      <c r="AZ58" s="7">
        <v>0</v>
      </c>
      <c r="BA58" s="7">
        <v>0</v>
      </c>
      <c r="BB58" s="7">
        <v>0</v>
      </c>
      <c r="BC58" s="7">
        <v>397</v>
      </c>
      <c r="BD58" s="8">
        <v>47640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9">
        <v>2858.4</v>
      </c>
      <c r="BM58" s="10">
        <v>60040</v>
      </c>
      <c r="BN58" s="15">
        <f t="shared" si="0"/>
        <v>57181.599999999999</v>
      </c>
      <c r="BO58" s="16">
        <f t="shared" si="1"/>
        <v>40027.119999999995</v>
      </c>
    </row>
    <row r="59" spans="1:67" x14ac:dyDescent="0.3">
      <c r="A59" s="5" t="s">
        <v>14</v>
      </c>
      <c r="B59" s="5" t="s">
        <v>505</v>
      </c>
      <c r="C59" s="5">
        <v>481369</v>
      </c>
      <c r="D59" s="6"/>
      <c r="E59" s="5" t="s">
        <v>16</v>
      </c>
      <c r="F59" s="5" t="s">
        <v>23</v>
      </c>
      <c r="G59" s="5" t="s">
        <v>10</v>
      </c>
      <c r="H59" s="7" t="s">
        <v>7</v>
      </c>
      <c r="I59" s="7" t="s">
        <v>494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3</v>
      </c>
      <c r="AF59" s="8">
        <v>9600</v>
      </c>
      <c r="AG59" s="8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8">
        <v>0</v>
      </c>
      <c r="AS59" s="7">
        <v>0</v>
      </c>
      <c r="AT59" s="7">
        <v>0</v>
      </c>
      <c r="AU59" s="7">
        <v>0</v>
      </c>
      <c r="AV59" s="7">
        <v>0</v>
      </c>
      <c r="AW59" s="7">
        <v>10</v>
      </c>
      <c r="AX59" s="8">
        <v>36360</v>
      </c>
      <c r="AY59" s="7">
        <v>0</v>
      </c>
      <c r="AZ59" s="7">
        <v>0</v>
      </c>
      <c r="BA59" s="7">
        <v>0</v>
      </c>
      <c r="BB59" s="7">
        <v>0</v>
      </c>
      <c r="BC59" s="7">
        <v>4</v>
      </c>
      <c r="BD59" s="8">
        <v>13560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9">
        <v>4449.6000000000004</v>
      </c>
      <c r="BM59" s="10">
        <v>59520</v>
      </c>
      <c r="BN59" s="15">
        <f t="shared" si="0"/>
        <v>55070.400000000001</v>
      </c>
      <c r="BO59" s="16">
        <f t="shared" si="1"/>
        <v>38549.279999999999</v>
      </c>
    </row>
    <row r="60" spans="1:67" x14ac:dyDescent="0.3">
      <c r="A60" s="5" t="s">
        <v>14</v>
      </c>
      <c r="B60" s="5" t="s">
        <v>51</v>
      </c>
      <c r="C60" s="5">
        <v>369720</v>
      </c>
      <c r="D60" s="6"/>
      <c r="E60" s="5" t="s">
        <v>16</v>
      </c>
      <c r="F60" s="5" t="s">
        <v>52</v>
      </c>
      <c r="G60" s="5" t="s">
        <v>34</v>
      </c>
      <c r="H60" s="7" t="s">
        <v>8</v>
      </c>
      <c r="I60" s="7" t="s">
        <v>53</v>
      </c>
      <c r="J60" s="7">
        <v>0</v>
      </c>
      <c r="K60" s="7">
        <v>11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8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135</v>
      </c>
      <c r="AF60" s="8">
        <v>11800</v>
      </c>
      <c r="AG60" s="8">
        <v>1700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67</v>
      </c>
      <c r="AR60" s="8">
        <v>6700</v>
      </c>
      <c r="AS60" s="8">
        <v>0</v>
      </c>
      <c r="AT60" s="7">
        <v>0</v>
      </c>
      <c r="AU60" s="7">
        <v>0</v>
      </c>
      <c r="AV60" s="7">
        <v>0</v>
      </c>
      <c r="AW60" s="7">
        <v>3</v>
      </c>
      <c r="AX60" s="8">
        <v>360</v>
      </c>
      <c r="AY60" s="7">
        <v>0</v>
      </c>
      <c r="AZ60" s="7">
        <v>0</v>
      </c>
      <c r="BA60" s="7">
        <v>0</v>
      </c>
      <c r="BB60" s="7">
        <v>0</v>
      </c>
      <c r="BC60" s="7">
        <v>284</v>
      </c>
      <c r="BD60" s="8">
        <v>34080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9">
        <v>2080.8000000000002</v>
      </c>
      <c r="BM60" s="10">
        <v>54640</v>
      </c>
      <c r="BN60" s="15">
        <f t="shared" si="0"/>
        <v>52559.199999999997</v>
      </c>
      <c r="BO60" s="16">
        <f t="shared" si="1"/>
        <v>36791.439999999995</v>
      </c>
    </row>
    <row r="61" spans="1:67" x14ac:dyDescent="0.3">
      <c r="A61" s="5" t="s">
        <v>14</v>
      </c>
      <c r="B61" s="5" t="s">
        <v>57</v>
      </c>
      <c r="C61" s="5">
        <v>464776</v>
      </c>
      <c r="D61" s="6"/>
      <c r="E61" s="5" t="s">
        <v>16</v>
      </c>
      <c r="F61" s="5" t="s">
        <v>58</v>
      </c>
      <c r="G61" s="5" t="s">
        <v>382</v>
      </c>
      <c r="H61" s="7" t="s">
        <v>9</v>
      </c>
      <c r="I61" s="7" t="s">
        <v>59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48</v>
      </c>
      <c r="AF61" s="8">
        <v>1720</v>
      </c>
      <c r="AG61" s="8">
        <v>3200</v>
      </c>
      <c r="AH61" s="7">
        <v>0</v>
      </c>
      <c r="AI61" s="7">
        <v>0</v>
      </c>
      <c r="AJ61" s="7">
        <v>0</v>
      </c>
      <c r="AK61" s="7">
        <v>0</v>
      </c>
      <c r="AL61" s="8">
        <v>0</v>
      </c>
      <c r="AM61" s="7">
        <v>0</v>
      </c>
      <c r="AN61" s="7">
        <v>0</v>
      </c>
      <c r="AO61" s="7">
        <v>0</v>
      </c>
      <c r="AP61" s="7">
        <v>0</v>
      </c>
      <c r="AQ61" s="7">
        <v>7</v>
      </c>
      <c r="AR61" s="8">
        <v>700</v>
      </c>
      <c r="AS61" s="7">
        <v>0</v>
      </c>
      <c r="AT61" s="7">
        <v>0</v>
      </c>
      <c r="AU61" s="7">
        <v>0</v>
      </c>
      <c r="AV61" s="7">
        <v>0</v>
      </c>
      <c r="AW61" s="7">
        <v>140</v>
      </c>
      <c r="AX61" s="8">
        <v>16835</v>
      </c>
      <c r="AY61" s="7">
        <v>0</v>
      </c>
      <c r="AZ61" s="7">
        <v>0</v>
      </c>
      <c r="BA61" s="7">
        <v>0</v>
      </c>
      <c r="BB61" s="7">
        <v>0</v>
      </c>
      <c r="BC61" s="7">
        <v>258</v>
      </c>
      <c r="BD61" s="8">
        <v>30960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9">
        <v>3541.1</v>
      </c>
      <c r="BM61" s="10">
        <v>53415</v>
      </c>
      <c r="BN61" s="15">
        <f t="shared" si="0"/>
        <v>49873.9</v>
      </c>
      <c r="BO61" s="16">
        <f t="shared" si="1"/>
        <v>34911.729999999996</v>
      </c>
    </row>
    <row r="62" spans="1:67" x14ac:dyDescent="0.3">
      <c r="A62" s="5" t="s">
        <v>14</v>
      </c>
      <c r="B62" s="5" t="s">
        <v>189</v>
      </c>
      <c r="C62" s="5">
        <v>371774</v>
      </c>
      <c r="D62" s="6"/>
      <c r="E62" s="5" t="s">
        <v>16</v>
      </c>
      <c r="F62" s="5" t="s">
        <v>190</v>
      </c>
      <c r="G62" s="5" t="s">
        <v>10</v>
      </c>
      <c r="H62" s="7" t="s">
        <v>7</v>
      </c>
      <c r="I62" s="7" t="s">
        <v>191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3</v>
      </c>
      <c r="T62" s="7">
        <v>0</v>
      </c>
      <c r="U62" s="7">
        <v>0</v>
      </c>
      <c r="V62" s="7">
        <v>300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182</v>
      </c>
      <c r="AF62" s="7">
        <v>8920</v>
      </c>
      <c r="AG62" s="8">
        <v>9300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12</v>
      </c>
      <c r="AR62" s="8">
        <v>1200</v>
      </c>
      <c r="AS62" s="7">
        <v>0</v>
      </c>
      <c r="AT62" s="7">
        <v>0</v>
      </c>
      <c r="AU62" s="7">
        <v>0</v>
      </c>
      <c r="AV62" s="7">
        <v>0</v>
      </c>
      <c r="AW62" s="7">
        <v>88</v>
      </c>
      <c r="AX62" s="7">
        <v>10560</v>
      </c>
      <c r="AY62" s="7">
        <v>0</v>
      </c>
      <c r="AZ62" s="7">
        <v>0</v>
      </c>
      <c r="BA62" s="7">
        <v>0</v>
      </c>
      <c r="BB62" s="7">
        <v>0</v>
      </c>
      <c r="BC62" s="7">
        <v>169</v>
      </c>
      <c r="BD62" s="7">
        <v>20280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2272.8000000000002</v>
      </c>
      <c r="BM62" s="10">
        <v>50560</v>
      </c>
      <c r="BN62" s="15">
        <f t="shared" si="0"/>
        <v>48287.199999999997</v>
      </c>
      <c r="BO62" s="16">
        <f t="shared" si="1"/>
        <v>33801.039999999994</v>
      </c>
    </row>
    <row r="63" spans="1:67" ht="19.5" x14ac:dyDescent="0.3">
      <c r="A63" s="5" t="s">
        <v>14</v>
      </c>
      <c r="B63" s="5" t="s">
        <v>49</v>
      </c>
      <c r="C63" s="5">
        <v>459997</v>
      </c>
      <c r="D63" s="6"/>
      <c r="E63" s="5" t="s">
        <v>16</v>
      </c>
      <c r="F63" s="5" t="s">
        <v>50</v>
      </c>
      <c r="G63" s="5" t="s">
        <v>10</v>
      </c>
      <c r="H63" s="7" t="s">
        <v>7</v>
      </c>
      <c r="I63" s="7" t="s">
        <v>575</v>
      </c>
      <c r="J63" s="7">
        <v>0</v>
      </c>
      <c r="K63" s="7">
        <v>1247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6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254</v>
      </c>
      <c r="AF63" s="8">
        <v>22480</v>
      </c>
      <c r="AG63" s="7">
        <v>5100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114</v>
      </c>
      <c r="AR63" s="7">
        <v>10900</v>
      </c>
      <c r="AS63" s="7">
        <v>500</v>
      </c>
      <c r="AT63" s="7">
        <v>0</v>
      </c>
      <c r="AU63" s="7">
        <v>0</v>
      </c>
      <c r="AV63" s="7">
        <v>0</v>
      </c>
      <c r="AW63" s="7">
        <v>63</v>
      </c>
      <c r="AX63" s="8">
        <v>7560</v>
      </c>
      <c r="AY63" s="7">
        <v>0</v>
      </c>
      <c r="AZ63" s="7">
        <v>0</v>
      </c>
      <c r="BA63" s="7">
        <v>0</v>
      </c>
      <c r="BB63" s="7">
        <v>0</v>
      </c>
      <c r="BC63" s="7">
        <v>2</v>
      </c>
      <c r="BD63" s="8">
        <v>240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9">
        <v>770.4</v>
      </c>
      <c r="BM63" s="10">
        <v>46780</v>
      </c>
      <c r="BN63" s="15">
        <f t="shared" si="0"/>
        <v>46009.599999999999</v>
      </c>
      <c r="BO63" s="16">
        <f t="shared" si="1"/>
        <v>32206.719999999998</v>
      </c>
    </row>
    <row r="64" spans="1:67" x14ac:dyDescent="0.3">
      <c r="A64" s="5" t="s">
        <v>14</v>
      </c>
      <c r="B64" s="5" t="s">
        <v>476</v>
      </c>
      <c r="C64" s="5">
        <v>441962</v>
      </c>
      <c r="D64" s="6"/>
      <c r="E64" s="5" t="s">
        <v>16</v>
      </c>
      <c r="F64" s="5" t="s">
        <v>393</v>
      </c>
      <c r="G64" s="5" t="s">
        <v>382</v>
      </c>
      <c r="H64" s="7" t="s">
        <v>8</v>
      </c>
      <c r="I64" s="7" t="s">
        <v>477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11</v>
      </c>
      <c r="AF64" s="7">
        <v>15500</v>
      </c>
      <c r="AG64" s="8">
        <v>14100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3</v>
      </c>
      <c r="AR64" s="8">
        <v>6400</v>
      </c>
      <c r="AS64" s="7">
        <v>0</v>
      </c>
      <c r="AT64" s="7">
        <v>0</v>
      </c>
      <c r="AU64" s="7">
        <v>0</v>
      </c>
      <c r="AV64" s="7">
        <v>0</v>
      </c>
      <c r="AW64" s="7">
        <v>2</v>
      </c>
      <c r="AX64" s="8">
        <v>6720</v>
      </c>
      <c r="AY64" s="7">
        <v>0</v>
      </c>
      <c r="AZ64" s="7">
        <v>0</v>
      </c>
      <c r="BA64" s="7">
        <v>0</v>
      </c>
      <c r="BB64" s="7">
        <v>0</v>
      </c>
      <c r="BC64" s="7">
        <v>1</v>
      </c>
      <c r="BD64" s="8">
        <v>3360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9">
        <v>873.6</v>
      </c>
      <c r="BM64" s="10">
        <v>46080</v>
      </c>
      <c r="BN64" s="15">
        <f t="shared" si="0"/>
        <v>45206.400000000001</v>
      </c>
      <c r="BO64" s="16">
        <f t="shared" si="1"/>
        <v>31644.48</v>
      </c>
    </row>
    <row r="65" spans="1:67" x14ac:dyDescent="0.3">
      <c r="A65" s="5" t="s">
        <v>14</v>
      </c>
      <c r="B65" s="5" t="s">
        <v>143</v>
      </c>
      <c r="C65" s="5">
        <v>392777</v>
      </c>
      <c r="D65" s="6"/>
      <c r="E65" s="5" t="s">
        <v>16</v>
      </c>
      <c r="F65" s="5" t="s">
        <v>89</v>
      </c>
      <c r="G65" s="5" t="s">
        <v>10</v>
      </c>
      <c r="H65" s="7" t="s">
        <v>7</v>
      </c>
      <c r="I65" s="7" t="s">
        <v>144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8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1</v>
      </c>
      <c r="AR65" s="8">
        <v>3200</v>
      </c>
      <c r="AS65" s="7">
        <v>0</v>
      </c>
      <c r="AT65" s="7">
        <v>0</v>
      </c>
      <c r="AU65" s="7">
        <v>0</v>
      </c>
      <c r="AV65" s="7">
        <v>0</v>
      </c>
      <c r="AW65" s="7">
        <v>3</v>
      </c>
      <c r="AX65" s="8">
        <v>11520</v>
      </c>
      <c r="AY65" s="8">
        <v>0</v>
      </c>
      <c r="AZ65" s="7">
        <v>0</v>
      </c>
      <c r="BA65" s="7">
        <v>0</v>
      </c>
      <c r="BB65" s="7">
        <v>0</v>
      </c>
      <c r="BC65" s="7">
        <v>8</v>
      </c>
      <c r="BD65" s="8">
        <v>30720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9">
        <v>2995.2</v>
      </c>
      <c r="BM65" s="10">
        <v>45440</v>
      </c>
      <c r="BN65" s="15">
        <f t="shared" si="0"/>
        <v>42444.800000000003</v>
      </c>
      <c r="BO65" s="16">
        <f t="shared" si="1"/>
        <v>29711.360000000001</v>
      </c>
    </row>
    <row r="66" spans="1:67" x14ac:dyDescent="0.3">
      <c r="A66" s="5" t="s">
        <v>14</v>
      </c>
      <c r="B66" s="5" t="s">
        <v>134</v>
      </c>
      <c r="C66" s="5">
        <v>337887</v>
      </c>
      <c r="D66" s="6"/>
      <c r="E66" s="5" t="s">
        <v>16</v>
      </c>
      <c r="F66" s="5" t="s">
        <v>131</v>
      </c>
      <c r="G66" s="5" t="s">
        <v>34</v>
      </c>
      <c r="H66" s="7" t="s">
        <v>8</v>
      </c>
      <c r="I66" s="7" t="s">
        <v>135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7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119</v>
      </c>
      <c r="AF66" s="8">
        <v>8700</v>
      </c>
      <c r="AG66" s="8">
        <v>4000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35</v>
      </c>
      <c r="AR66" s="8">
        <v>3500</v>
      </c>
      <c r="AS66" s="7">
        <v>0</v>
      </c>
      <c r="AT66" s="7">
        <v>0</v>
      </c>
      <c r="AU66" s="7">
        <v>0</v>
      </c>
      <c r="AV66" s="7">
        <v>0</v>
      </c>
      <c r="AW66" s="7">
        <v>34</v>
      </c>
      <c r="AX66" s="8">
        <v>4080</v>
      </c>
      <c r="AY66" s="7">
        <v>0</v>
      </c>
      <c r="AZ66" s="7">
        <v>0</v>
      </c>
      <c r="BA66" s="7">
        <v>0</v>
      </c>
      <c r="BB66" s="7">
        <v>0</v>
      </c>
      <c r="BC66" s="7">
        <v>191</v>
      </c>
      <c r="BD66" s="8">
        <v>22920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9">
        <v>1783.2</v>
      </c>
      <c r="BM66" s="10">
        <v>43200</v>
      </c>
      <c r="BN66" s="15">
        <f t="shared" si="0"/>
        <v>41416.800000000003</v>
      </c>
      <c r="BO66" s="16">
        <f t="shared" si="1"/>
        <v>28991.759999999998</v>
      </c>
    </row>
    <row r="67" spans="1:67" x14ac:dyDescent="0.3">
      <c r="A67" s="5" t="s">
        <v>14</v>
      </c>
      <c r="B67" s="5" t="s">
        <v>227</v>
      </c>
      <c r="C67" s="5">
        <v>351033</v>
      </c>
      <c r="D67" s="6" t="s">
        <v>228</v>
      </c>
      <c r="E67" s="5" t="s">
        <v>16</v>
      </c>
      <c r="F67" s="5" t="s">
        <v>30</v>
      </c>
      <c r="G67" s="5" t="s">
        <v>10</v>
      </c>
      <c r="H67" s="7" t="s">
        <v>7</v>
      </c>
      <c r="I67" s="7" t="s">
        <v>229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42</v>
      </c>
      <c r="AF67" s="8">
        <v>4680</v>
      </c>
      <c r="AG67" s="8">
        <v>300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5</v>
      </c>
      <c r="AR67" s="7">
        <v>500</v>
      </c>
      <c r="AS67" s="7">
        <v>0</v>
      </c>
      <c r="AT67" s="7">
        <v>0</v>
      </c>
      <c r="AU67" s="7">
        <v>0</v>
      </c>
      <c r="AV67" s="7">
        <v>0</v>
      </c>
      <c r="AW67" s="7">
        <v>150</v>
      </c>
      <c r="AX67" s="8">
        <v>18450</v>
      </c>
      <c r="AY67" s="7">
        <v>0</v>
      </c>
      <c r="AZ67" s="7">
        <v>0</v>
      </c>
      <c r="BA67" s="7">
        <v>0</v>
      </c>
      <c r="BB67" s="7">
        <v>0</v>
      </c>
      <c r="BC67" s="7">
        <v>150</v>
      </c>
      <c r="BD67" s="8">
        <v>18000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9">
        <v>2925</v>
      </c>
      <c r="BM67" s="10">
        <v>41930</v>
      </c>
      <c r="BN67" s="15">
        <f t="shared" ref="BN67:BN130" si="2">BM67-BL67</f>
        <v>39005</v>
      </c>
      <c r="BO67" s="16">
        <f t="shared" ref="BO67:BO130" si="3">BN67*70%</f>
        <v>27303.5</v>
      </c>
    </row>
    <row r="68" spans="1:67" x14ac:dyDescent="0.3">
      <c r="A68" s="5" t="s">
        <v>14</v>
      </c>
      <c r="B68" s="5" t="s">
        <v>98</v>
      </c>
      <c r="C68" s="5">
        <v>388999</v>
      </c>
      <c r="D68" s="6"/>
      <c r="E68" s="5" t="s">
        <v>16</v>
      </c>
      <c r="F68" s="5" t="s">
        <v>66</v>
      </c>
      <c r="G68" s="5" t="s">
        <v>10</v>
      </c>
      <c r="H68" s="7" t="s">
        <v>7</v>
      </c>
      <c r="I68" s="7" t="s">
        <v>99</v>
      </c>
      <c r="J68" s="7">
        <v>0</v>
      </c>
      <c r="K68" s="7">
        <v>7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7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8">
        <v>0</v>
      </c>
      <c r="AE68" s="7">
        <v>46</v>
      </c>
      <c r="AF68" s="8">
        <v>3700</v>
      </c>
      <c r="AG68" s="7">
        <v>900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8">
        <v>0</v>
      </c>
      <c r="AP68" s="7">
        <v>0</v>
      </c>
      <c r="AQ68" s="7">
        <v>49</v>
      </c>
      <c r="AR68" s="7">
        <v>4700</v>
      </c>
      <c r="AS68" s="7">
        <v>200</v>
      </c>
      <c r="AT68" s="7">
        <v>0</v>
      </c>
      <c r="AU68" s="8">
        <v>0</v>
      </c>
      <c r="AV68" s="7">
        <v>0</v>
      </c>
      <c r="AW68" s="7">
        <v>0</v>
      </c>
      <c r="AX68" s="8">
        <v>0</v>
      </c>
      <c r="AY68" s="7">
        <v>0</v>
      </c>
      <c r="AZ68" s="7">
        <v>0</v>
      </c>
      <c r="BA68" s="8">
        <v>0</v>
      </c>
      <c r="BB68" s="7">
        <v>0</v>
      </c>
      <c r="BC68" s="7">
        <v>264</v>
      </c>
      <c r="BD68" s="8">
        <v>31680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9">
        <v>1900.8</v>
      </c>
      <c r="BM68" s="10">
        <v>41180</v>
      </c>
      <c r="BN68" s="15">
        <f t="shared" si="2"/>
        <v>39279.199999999997</v>
      </c>
      <c r="BO68" s="16">
        <f t="shared" si="3"/>
        <v>27495.439999999995</v>
      </c>
    </row>
    <row r="69" spans="1:67" x14ac:dyDescent="0.3">
      <c r="A69" s="5" t="s">
        <v>14</v>
      </c>
      <c r="B69" s="5" t="s">
        <v>139</v>
      </c>
      <c r="C69" s="5">
        <v>367994</v>
      </c>
      <c r="D69" s="6"/>
      <c r="E69" s="5" t="s">
        <v>16</v>
      </c>
      <c r="F69" s="5" t="s">
        <v>33</v>
      </c>
      <c r="G69" s="5" t="s">
        <v>34</v>
      </c>
      <c r="H69" s="7" t="s">
        <v>8</v>
      </c>
      <c r="I69" s="7" t="s">
        <v>140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2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69</v>
      </c>
      <c r="AF69" s="7">
        <v>2900</v>
      </c>
      <c r="AG69" s="7">
        <v>4000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55</v>
      </c>
      <c r="AX69" s="8">
        <v>6600</v>
      </c>
      <c r="AY69" s="7">
        <v>0</v>
      </c>
      <c r="AZ69" s="7">
        <v>0</v>
      </c>
      <c r="BA69" s="7">
        <v>0</v>
      </c>
      <c r="BB69" s="7">
        <v>0</v>
      </c>
      <c r="BC69" s="7">
        <v>214</v>
      </c>
      <c r="BD69" s="8">
        <v>25680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9">
        <v>2200.8000000000002</v>
      </c>
      <c r="BM69" s="10">
        <v>39180</v>
      </c>
      <c r="BN69" s="15">
        <f t="shared" si="2"/>
        <v>36979.199999999997</v>
      </c>
      <c r="BO69" s="16">
        <f t="shared" si="3"/>
        <v>25885.439999999995</v>
      </c>
    </row>
    <row r="70" spans="1:67" x14ac:dyDescent="0.3">
      <c r="A70" s="5" t="s">
        <v>14</v>
      </c>
      <c r="B70" s="5" t="s">
        <v>141</v>
      </c>
      <c r="C70" s="5">
        <v>328404</v>
      </c>
      <c r="D70" s="6"/>
      <c r="E70" s="5" t="s">
        <v>16</v>
      </c>
      <c r="F70" s="5" t="s">
        <v>33</v>
      </c>
      <c r="G70" s="5" t="s">
        <v>34</v>
      </c>
      <c r="H70" s="7" t="s">
        <v>8</v>
      </c>
      <c r="I70" s="7" t="s">
        <v>142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6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66</v>
      </c>
      <c r="AF70" s="8">
        <v>6040</v>
      </c>
      <c r="AG70" s="7">
        <v>600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114</v>
      </c>
      <c r="AR70" s="8">
        <v>11200</v>
      </c>
      <c r="AS70" s="7">
        <v>200</v>
      </c>
      <c r="AT70" s="7">
        <v>0</v>
      </c>
      <c r="AU70" s="7">
        <v>0</v>
      </c>
      <c r="AV70" s="7">
        <v>0</v>
      </c>
      <c r="AW70" s="7">
        <v>30</v>
      </c>
      <c r="AX70" s="7">
        <v>3600</v>
      </c>
      <c r="AY70" s="7">
        <v>0</v>
      </c>
      <c r="AZ70" s="7">
        <v>0</v>
      </c>
      <c r="BA70" s="7">
        <v>0</v>
      </c>
      <c r="BB70" s="7">
        <v>0</v>
      </c>
      <c r="BC70" s="7">
        <v>130</v>
      </c>
      <c r="BD70" s="8">
        <v>15600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1296</v>
      </c>
      <c r="BM70" s="10">
        <v>37240</v>
      </c>
      <c r="BN70" s="15">
        <f t="shared" si="2"/>
        <v>35944</v>
      </c>
      <c r="BO70" s="16">
        <f t="shared" si="3"/>
        <v>25160.799999999999</v>
      </c>
    </row>
    <row r="71" spans="1:67" x14ac:dyDescent="0.3">
      <c r="A71" s="5" t="s">
        <v>14</v>
      </c>
      <c r="B71" s="5" t="s">
        <v>205</v>
      </c>
      <c r="C71" s="5">
        <v>415992</v>
      </c>
      <c r="D71" s="6"/>
      <c r="E71" s="5" t="s">
        <v>16</v>
      </c>
      <c r="F71" s="5" t="s">
        <v>41</v>
      </c>
      <c r="G71" s="5" t="s">
        <v>34</v>
      </c>
      <c r="H71" s="7" t="s">
        <v>8</v>
      </c>
      <c r="I71" s="7" t="s">
        <v>206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16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121</v>
      </c>
      <c r="AF71" s="8">
        <v>6860</v>
      </c>
      <c r="AG71" s="7">
        <v>5600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42</v>
      </c>
      <c r="AR71" s="7">
        <v>4200</v>
      </c>
      <c r="AS71" s="7">
        <v>0</v>
      </c>
      <c r="AT71" s="7">
        <v>0</v>
      </c>
      <c r="AU71" s="7">
        <v>0</v>
      </c>
      <c r="AV71" s="7">
        <v>0</v>
      </c>
      <c r="AW71" s="7">
        <v>9</v>
      </c>
      <c r="AX71" s="8">
        <v>1188</v>
      </c>
      <c r="AY71" s="7">
        <v>0</v>
      </c>
      <c r="AZ71" s="7">
        <v>0</v>
      </c>
      <c r="BA71" s="7">
        <v>0</v>
      </c>
      <c r="BB71" s="7">
        <v>0</v>
      </c>
      <c r="BC71" s="7">
        <v>159</v>
      </c>
      <c r="BD71" s="8">
        <v>19080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9">
        <v>1263.5999999999999</v>
      </c>
      <c r="BM71" s="10">
        <v>36928</v>
      </c>
      <c r="BN71" s="15">
        <f t="shared" si="2"/>
        <v>35664.400000000001</v>
      </c>
      <c r="BO71" s="16">
        <f t="shared" si="3"/>
        <v>24965.079999999998</v>
      </c>
    </row>
    <row r="72" spans="1:67" x14ac:dyDescent="0.3">
      <c r="A72" s="5" t="s">
        <v>14</v>
      </c>
      <c r="B72" s="5" t="s">
        <v>102</v>
      </c>
      <c r="C72" s="5">
        <v>394830</v>
      </c>
      <c r="D72" s="6"/>
      <c r="E72" s="5" t="s">
        <v>16</v>
      </c>
      <c r="F72" s="5" t="s">
        <v>41</v>
      </c>
      <c r="G72" s="5" t="s">
        <v>34</v>
      </c>
      <c r="H72" s="7" t="s">
        <v>8</v>
      </c>
      <c r="I72" s="7" t="s">
        <v>103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12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129</v>
      </c>
      <c r="AF72" s="8">
        <v>13560</v>
      </c>
      <c r="AG72" s="8">
        <v>300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67</v>
      </c>
      <c r="AR72" s="8">
        <v>6700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8">
        <v>0</v>
      </c>
      <c r="AY72" s="7">
        <v>0</v>
      </c>
      <c r="AZ72" s="7">
        <v>0</v>
      </c>
      <c r="BA72" s="7">
        <v>0</v>
      </c>
      <c r="BB72" s="7">
        <v>0</v>
      </c>
      <c r="BC72" s="7">
        <v>135</v>
      </c>
      <c r="BD72" s="8">
        <v>16200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9">
        <v>972</v>
      </c>
      <c r="BM72" s="10">
        <v>36760</v>
      </c>
      <c r="BN72" s="15">
        <f t="shared" si="2"/>
        <v>35788</v>
      </c>
      <c r="BO72" s="16">
        <f t="shared" si="3"/>
        <v>25051.599999999999</v>
      </c>
    </row>
    <row r="73" spans="1:67" x14ac:dyDescent="0.3">
      <c r="A73" s="5" t="s">
        <v>14</v>
      </c>
      <c r="B73" s="5" t="s">
        <v>80</v>
      </c>
      <c r="C73" s="5">
        <v>429621</v>
      </c>
      <c r="D73" s="6"/>
      <c r="E73" s="5" t="s">
        <v>16</v>
      </c>
      <c r="F73" s="5" t="s">
        <v>81</v>
      </c>
      <c r="G73" s="5" t="s">
        <v>382</v>
      </c>
      <c r="H73" s="7" t="s">
        <v>8</v>
      </c>
      <c r="I73" s="7" t="s">
        <v>82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4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212</v>
      </c>
      <c r="AF73" s="8">
        <v>12460</v>
      </c>
      <c r="AG73" s="8">
        <v>10200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8">
        <v>0</v>
      </c>
      <c r="AS73" s="7">
        <v>0</v>
      </c>
      <c r="AT73" s="7">
        <v>0</v>
      </c>
      <c r="AU73" s="7">
        <v>0</v>
      </c>
      <c r="AV73" s="7">
        <v>0</v>
      </c>
      <c r="AW73" s="7">
        <v>113</v>
      </c>
      <c r="AX73" s="8">
        <v>13560</v>
      </c>
      <c r="AY73" s="7">
        <v>0</v>
      </c>
      <c r="AZ73" s="7">
        <v>0</v>
      </c>
      <c r="BA73" s="7">
        <v>0</v>
      </c>
      <c r="BB73" s="7">
        <v>0</v>
      </c>
      <c r="BC73" s="7">
        <v>1</v>
      </c>
      <c r="BD73" s="7">
        <v>120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1363.2</v>
      </c>
      <c r="BM73" s="10">
        <v>36340</v>
      </c>
      <c r="BN73" s="15">
        <f t="shared" si="2"/>
        <v>34976.800000000003</v>
      </c>
      <c r="BO73" s="16">
        <f t="shared" si="3"/>
        <v>24483.760000000002</v>
      </c>
    </row>
    <row r="74" spans="1:67" x14ac:dyDescent="0.3">
      <c r="A74" s="5" t="s">
        <v>14</v>
      </c>
      <c r="B74" s="5" t="s">
        <v>173</v>
      </c>
      <c r="C74" s="5">
        <v>370192</v>
      </c>
      <c r="D74" s="6"/>
      <c r="E74" s="5" t="s">
        <v>16</v>
      </c>
      <c r="F74" s="5" t="s">
        <v>131</v>
      </c>
      <c r="G74" s="5" t="s">
        <v>34</v>
      </c>
      <c r="H74" s="7" t="s">
        <v>8</v>
      </c>
      <c r="I74" s="7" t="s">
        <v>174</v>
      </c>
      <c r="J74" s="7">
        <v>0</v>
      </c>
      <c r="K74" s="7">
        <v>10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8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128</v>
      </c>
      <c r="AF74" s="7">
        <v>12000</v>
      </c>
      <c r="AG74" s="8">
        <v>800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29</v>
      </c>
      <c r="AR74" s="7">
        <v>2700</v>
      </c>
      <c r="AS74" s="7">
        <v>200</v>
      </c>
      <c r="AT74" s="7">
        <v>0</v>
      </c>
      <c r="AU74" s="7">
        <v>0</v>
      </c>
      <c r="AV74" s="7">
        <v>0</v>
      </c>
      <c r="AW74" s="7">
        <v>70</v>
      </c>
      <c r="AX74" s="7">
        <v>8400</v>
      </c>
      <c r="AY74" s="7">
        <v>0</v>
      </c>
      <c r="AZ74" s="7">
        <v>0</v>
      </c>
      <c r="BA74" s="7">
        <v>0</v>
      </c>
      <c r="BB74" s="7">
        <v>0</v>
      </c>
      <c r="BC74" s="7">
        <v>102</v>
      </c>
      <c r="BD74" s="8">
        <v>12240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9">
        <v>1574.4</v>
      </c>
      <c r="BM74" s="10">
        <v>36340</v>
      </c>
      <c r="BN74" s="15">
        <f t="shared" si="2"/>
        <v>34765.599999999999</v>
      </c>
      <c r="BO74" s="16">
        <f t="shared" si="3"/>
        <v>24335.919999999998</v>
      </c>
    </row>
    <row r="75" spans="1:67" x14ac:dyDescent="0.3">
      <c r="A75" s="5" t="s">
        <v>14</v>
      </c>
      <c r="B75" s="5" t="s">
        <v>145</v>
      </c>
      <c r="C75" s="5">
        <v>428319</v>
      </c>
      <c r="D75" s="6"/>
      <c r="E75" s="5" t="s">
        <v>16</v>
      </c>
      <c r="F75" s="5" t="s">
        <v>96</v>
      </c>
      <c r="G75" s="5" t="s">
        <v>10</v>
      </c>
      <c r="H75" s="7" t="s">
        <v>7</v>
      </c>
      <c r="I75" s="7" t="s">
        <v>109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8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8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300</v>
      </c>
      <c r="BD75" s="8">
        <v>36000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2160</v>
      </c>
      <c r="BM75" s="10">
        <v>36000</v>
      </c>
      <c r="BN75" s="15">
        <f t="shared" si="2"/>
        <v>33840</v>
      </c>
      <c r="BO75" s="16">
        <f t="shared" si="3"/>
        <v>23688</v>
      </c>
    </row>
    <row r="76" spans="1:67" x14ac:dyDescent="0.3">
      <c r="A76" s="5" t="s">
        <v>14</v>
      </c>
      <c r="B76" s="5" t="s">
        <v>216</v>
      </c>
      <c r="C76" s="5">
        <v>353981</v>
      </c>
      <c r="D76" s="6"/>
      <c r="E76" s="5" t="s">
        <v>16</v>
      </c>
      <c r="F76" s="5" t="s">
        <v>217</v>
      </c>
      <c r="G76" s="5" t="s">
        <v>34</v>
      </c>
      <c r="H76" s="7" t="s">
        <v>8</v>
      </c>
      <c r="I76" s="7" t="s">
        <v>218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14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21</v>
      </c>
      <c r="AF76" s="7">
        <v>2100</v>
      </c>
      <c r="AG76" s="8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8">
        <v>0</v>
      </c>
      <c r="AS76" s="7">
        <v>0</v>
      </c>
      <c r="AT76" s="7">
        <v>0</v>
      </c>
      <c r="AU76" s="7">
        <v>0</v>
      </c>
      <c r="AV76" s="7">
        <v>0</v>
      </c>
      <c r="AW76" s="7">
        <v>86</v>
      </c>
      <c r="AX76" s="8">
        <v>10320</v>
      </c>
      <c r="AY76" s="7">
        <v>0</v>
      </c>
      <c r="AZ76" s="7">
        <v>0</v>
      </c>
      <c r="BA76" s="7">
        <v>0</v>
      </c>
      <c r="BB76" s="7">
        <v>0</v>
      </c>
      <c r="BC76" s="7">
        <v>185</v>
      </c>
      <c r="BD76" s="8">
        <v>22200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9">
        <v>2364</v>
      </c>
      <c r="BM76" s="10">
        <v>34620</v>
      </c>
      <c r="BN76" s="15">
        <f t="shared" si="2"/>
        <v>32256</v>
      </c>
      <c r="BO76" s="16">
        <f t="shared" si="3"/>
        <v>22579.199999999997</v>
      </c>
    </row>
    <row r="77" spans="1:67" x14ac:dyDescent="0.3">
      <c r="A77" s="5" t="s">
        <v>14</v>
      </c>
      <c r="B77" s="5" t="s">
        <v>95</v>
      </c>
      <c r="C77" s="5">
        <v>395179</v>
      </c>
      <c r="D77" s="6"/>
      <c r="E77" s="5" t="s">
        <v>16</v>
      </c>
      <c r="F77" s="5" t="s">
        <v>96</v>
      </c>
      <c r="G77" s="5" t="s">
        <v>10</v>
      </c>
      <c r="H77" s="7" t="s">
        <v>7</v>
      </c>
      <c r="I77" s="7" t="s">
        <v>97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6</v>
      </c>
      <c r="AF77" s="7">
        <v>0</v>
      </c>
      <c r="AG77" s="7">
        <v>19200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8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4</v>
      </c>
      <c r="BD77" s="8">
        <v>15360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9">
        <v>921.6</v>
      </c>
      <c r="BM77" s="10">
        <v>34560</v>
      </c>
      <c r="BN77" s="15">
        <f t="shared" si="2"/>
        <v>33638.400000000001</v>
      </c>
      <c r="BO77" s="16">
        <f t="shared" si="3"/>
        <v>23546.880000000001</v>
      </c>
    </row>
    <row r="78" spans="1:67" x14ac:dyDescent="0.3">
      <c r="A78" s="5" t="s">
        <v>14</v>
      </c>
      <c r="B78" s="5" t="s">
        <v>119</v>
      </c>
      <c r="C78" s="5">
        <v>425414</v>
      </c>
      <c r="D78" s="6"/>
      <c r="E78" s="5" t="s">
        <v>16</v>
      </c>
      <c r="F78" s="5" t="s">
        <v>120</v>
      </c>
      <c r="G78" s="5" t="s">
        <v>10</v>
      </c>
      <c r="H78" s="7" t="s">
        <v>7</v>
      </c>
      <c r="I78" s="7" t="s">
        <v>121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15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165</v>
      </c>
      <c r="AF78" s="7">
        <v>17980</v>
      </c>
      <c r="AG78" s="8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8">
        <v>0</v>
      </c>
      <c r="AS78" s="7">
        <v>0</v>
      </c>
      <c r="AT78" s="7">
        <v>0</v>
      </c>
      <c r="AU78" s="7">
        <v>0</v>
      </c>
      <c r="AV78" s="7">
        <v>0</v>
      </c>
      <c r="AW78" s="7">
        <v>32</v>
      </c>
      <c r="AX78" s="7">
        <v>3720</v>
      </c>
      <c r="AY78" s="7">
        <v>100</v>
      </c>
      <c r="AZ78" s="7">
        <v>0</v>
      </c>
      <c r="BA78" s="7">
        <v>0</v>
      </c>
      <c r="BB78" s="7">
        <v>0</v>
      </c>
      <c r="BC78" s="7">
        <v>104</v>
      </c>
      <c r="BD78" s="8">
        <v>12480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9">
        <v>1120.8</v>
      </c>
      <c r="BM78" s="10">
        <v>34280</v>
      </c>
      <c r="BN78" s="15">
        <f t="shared" si="2"/>
        <v>33159.199999999997</v>
      </c>
      <c r="BO78" s="16">
        <f t="shared" si="3"/>
        <v>23211.439999999995</v>
      </c>
    </row>
    <row r="79" spans="1:67" x14ac:dyDescent="0.3">
      <c r="A79" s="5" t="s">
        <v>14</v>
      </c>
      <c r="B79" s="5" t="s">
        <v>250</v>
      </c>
      <c r="C79" s="5">
        <v>395192</v>
      </c>
      <c r="D79" s="6"/>
      <c r="E79" s="5" t="s">
        <v>16</v>
      </c>
      <c r="F79" s="5" t="s">
        <v>128</v>
      </c>
      <c r="G79" s="5" t="s">
        <v>34</v>
      </c>
      <c r="H79" s="7" t="s">
        <v>8</v>
      </c>
      <c r="I79" s="7" t="s">
        <v>251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14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81</v>
      </c>
      <c r="AF79" s="8">
        <v>4700</v>
      </c>
      <c r="AG79" s="7">
        <v>3400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8">
        <v>0</v>
      </c>
      <c r="AS79" s="7">
        <v>0</v>
      </c>
      <c r="AT79" s="7">
        <v>0</v>
      </c>
      <c r="AU79" s="7">
        <v>0</v>
      </c>
      <c r="AV79" s="7">
        <v>0</v>
      </c>
      <c r="AW79" s="7">
        <v>1</v>
      </c>
      <c r="AX79" s="8">
        <v>120</v>
      </c>
      <c r="AY79" s="7">
        <v>0</v>
      </c>
      <c r="AZ79" s="7">
        <v>0</v>
      </c>
      <c r="BA79" s="7">
        <v>0</v>
      </c>
      <c r="BB79" s="7">
        <v>0</v>
      </c>
      <c r="BC79" s="7">
        <v>204</v>
      </c>
      <c r="BD79" s="8">
        <v>24480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9">
        <v>1480.8</v>
      </c>
      <c r="BM79" s="10">
        <v>32700</v>
      </c>
      <c r="BN79" s="15">
        <f t="shared" si="2"/>
        <v>31219.200000000001</v>
      </c>
      <c r="BO79" s="16">
        <f t="shared" si="3"/>
        <v>21853.439999999999</v>
      </c>
    </row>
    <row r="80" spans="1:67" x14ac:dyDescent="0.3">
      <c r="A80" s="5" t="s">
        <v>14</v>
      </c>
      <c r="B80" s="5" t="s">
        <v>265</v>
      </c>
      <c r="C80" s="5">
        <v>416378</v>
      </c>
      <c r="D80" s="6"/>
      <c r="E80" s="5" t="s">
        <v>16</v>
      </c>
      <c r="F80" s="5" t="s">
        <v>123</v>
      </c>
      <c r="G80" s="5" t="s">
        <v>34</v>
      </c>
      <c r="H80" s="7" t="s">
        <v>8</v>
      </c>
      <c r="I80" s="7" t="s">
        <v>266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12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5</v>
      </c>
      <c r="AF80" s="7">
        <v>300</v>
      </c>
      <c r="AG80" s="7">
        <v>200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18</v>
      </c>
      <c r="AR80" s="7">
        <v>1600</v>
      </c>
      <c r="AS80" s="7">
        <v>200</v>
      </c>
      <c r="AT80" s="7">
        <v>0</v>
      </c>
      <c r="AU80" s="7">
        <v>0</v>
      </c>
      <c r="AV80" s="7">
        <v>0</v>
      </c>
      <c r="AW80" s="7">
        <v>89</v>
      </c>
      <c r="AX80" s="8">
        <v>10680</v>
      </c>
      <c r="AY80" s="7">
        <v>0</v>
      </c>
      <c r="AZ80" s="7">
        <v>0</v>
      </c>
      <c r="BA80" s="7">
        <v>0</v>
      </c>
      <c r="BB80" s="7">
        <v>0</v>
      </c>
      <c r="BC80" s="7">
        <v>159</v>
      </c>
      <c r="BD80" s="8">
        <v>19080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9">
        <v>2212.8000000000002</v>
      </c>
      <c r="BM80" s="10">
        <v>32060</v>
      </c>
      <c r="BN80" s="15">
        <f t="shared" si="2"/>
        <v>29847.200000000001</v>
      </c>
      <c r="BO80" s="16">
        <f t="shared" si="3"/>
        <v>20893.04</v>
      </c>
    </row>
    <row r="81" spans="1:67" ht="19.5" x14ac:dyDescent="0.3">
      <c r="A81" s="5" t="s">
        <v>14</v>
      </c>
      <c r="B81" s="5" t="s">
        <v>238</v>
      </c>
      <c r="C81" s="5">
        <v>469072</v>
      </c>
      <c r="D81" s="6"/>
      <c r="E81" s="5" t="s">
        <v>16</v>
      </c>
      <c r="F81" s="5" t="s">
        <v>160</v>
      </c>
      <c r="G81" s="5" t="s">
        <v>34</v>
      </c>
      <c r="H81" s="7" t="s">
        <v>8</v>
      </c>
      <c r="I81" s="7" t="s">
        <v>239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40</v>
      </c>
      <c r="AF81" s="7">
        <v>2460</v>
      </c>
      <c r="AG81" s="7">
        <v>1600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8">
        <v>0</v>
      </c>
      <c r="AS81" s="7">
        <v>0</v>
      </c>
      <c r="AT81" s="7">
        <v>0</v>
      </c>
      <c r="AU81" s="7">
        <v>0</v>
      </c>
      <c r="AV81" s="7">
        <v>0</v>
      </c>
      <c r="AW81" s="7">
        <v>60</v>
      </c>
      <c r="AX81" s="7">
        <v>7200</v>
      </c>
      <c r="AY81" s="7">
        <v>0</v>
      </c>
      <c r="AZ81" s="7">
        <v>0</v>
      </c>
      <c r="BA81" s="7">
        <v>0</v>
      </c>
      <c r="BB81" s="7">
        <v>0</v>
      </c>
      <c r="BC81" s="7">
        <v>168</v>
      </c>
      <c r="BD81" s="7">
        <v>20160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1929.6</v>
      </c>
      <c r="BM81" s="10">
        <v>31420</v>
      </c>
      <c r="BN81" s="15">
        <f t="shared" si="2"/>
        <v>29490.400000000001</v>
      </c>
      <c r="BO81" s="16">
        <f t="shared" si="3"/>
        <v>20643.28</v>
      </c>
    </row>
    <row r="82" spans="1:67" x14ac:dyDescent="0.3">
      <c r="A82" s="5" t="s">
        <v>14</v>
      </c>
      <c r="B82" s="5" t="s">
        <v>177</v>
      </c>
      <c r="C82" s="5">
        <v>378409</v>
      </c>
      <c r="D82" s="6"/>
      <c r="E82" s="5" t="s">
        <v>16</v>
      </c>
      <c r="F82" s="5" t="s">
        <v>47</v>
      </c>
      <c r="G82" s="5" t="s">
        <v>34</v>
      </c>
      <c r="H82" s="7" t="s">
        <v>8</v>
      </c>
      <c r="I82" s="7" t="s">
        <v>178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12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33</v>
      </c>
      <c r="AF82" s="8">
        <v>2320</v>
      </c>
      <c r="AG82" s="8">
        <v>1000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22</v>
      </c>
      <c r="AR82" s="8">
        <v>1400</v>
      </c>
      <c r="AS82" s="7">
        <v>800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206</v>
      </c>
      <c r="BD82" s="8">
        <v>24720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9">
        <v>1483.2</v>
      </c>
      <c r="BM82" s="10">
        <v>30240</v>
      </c>
      <c r="BN82" s="15">
        <f t="shared" si="2"/>
        <v>28756.799999999999</v>
      </c>
      <c r="BO82" s="16">
        <f t="shared" si="3"/>
        <v>20129.759999999998</v>
      </c>
    </row>
    <row r="83" spans="1:67" x14ac:dyDescent="0.3">
      <c r="A83" s="5" t="s">
        <v>14</v>
      </c>
      <c r="B83" s="5" t="s">
        <v>179</v>
      </c>
      <c r="C83" s="5">
        <v>423328</v>
      </c>
      <c r="D83" s="6"/>
      <c r="E83" s="5" t="s">
        <v>16</v>
      </c>
      <c r="F83" s="5" t="s">
        <v>30</v>
      </c>
      <c r="G83" s="5" t="s">
        <v>10</v>
      </c>
      <c r="H83" s="7" t="s">
        <v>7</v>
      </c>
      <c r="I83" s="7" t="s">
        <v>180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170</v>
      </c>
      <c r="AF83" s="8">
        <v>6480</v>
      </c>
      <c r="AG83" s="7">
        <v>11600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42</v>
      </c>
      <c r="AX83" s="7">
        <v>5040</v>
      </c>
      <c r="AY83" s="7">
        <v>0</v>
      </c>
      <c r="AZ83" s="7">
        <v>0</v>
      </c>
      <c r="BA83" s="7">
        <v>0</v>
      </c>
      <c r="BB83" s="7">
        <v>0</v>
      </c>
      <c r="BC83" s="7">
        <v>53</v>
      </c>
      <c r="BD83" s="7">
        <v>6360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885.6</v>
      </c>
      <c r="BM83" s="10">
        <v>29480</v>
      </c>
      <c r="BN83" s="15">
        <f t="shared" si="2"/>
        <v>28594.400000000001</v>
      </c>
      <c r="BO83" s="16">
        <f t="shared" si="3"/>
        <v>20016.079999999998</v>
      </c>
    </row>
    <row r="84" spans="1:67" x14ac:dyDescent="0.3">
      <c r="A84" s="5" t="s">
        <v>14</v>
      </c>
      <c r="B84" s="5" t="s">
        <v>240</v>
      </c>
      <c r="C84" s="5">
        <v>400251</v>
      </c>
      <c r="D84" s="6"/>
      <c r="E84" s="5" t="s">
        <v>16</v>
      </c>
      <c r="F84" s="5" t="s">
        <v>41</v>
      </c>
      <c r="G84" s="5" t="s">
        <v>34</v>
      </c>
      <c r="H84" s="7" t="s">
        <v>8</v>
      </c>
      <c r="I84" s="7" t="s">
        <v>241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11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180</v>
      </c>
      <c r="AF84" s="8">
        <v>660</v>
      </c>
      <c r="AG84" s="8">
        <v>17400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39</v>
      </c>
      <c r="AR84" s="8">
        <v>3900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62</v>
      </c>
      <c r="BD84" s="8">
        <v>7440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446.4</v>
      </c>
      <c r="BM84" s="10">
        <v>29400</v>
      </c>
      <c r="BN84" s="15">
        <f t="shared" si="2"/>
        <v>28953.599999999999</v>
      </c>
      <c r="BO84" s="16">
        <f t="shared" si="3"/>
        <v>20267.519999999997</v>
      </c>
    </row>
    <row r="85" spans="1:67" x14ac:dyDescent="0.3">
      <c r="A85" s="5" t="s">
        <v>14</v>
      </c>
      <c r="B85" s="5" t="s">
        <v>185</v>
      </c>
      <c r="C85" s="5">
        <v>402649</v>
      </c>
      <c r="D85" s="6"/>
      <c r="E85" s="5" t="s">
        <v>16</v>
      </c>
      <c r="F85" s="5" t="s">
        <v>41</v>
      </c>
      <c r="G85" s="5" t="s">
        <v>34</v>
      </c>
      <c r="H85" s="7" t="s">
        <v>8</v>
      </c>
      <c r="I85" s="7" t="s">
        <v>186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8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24</v>
      </c>
      <c r="AF85" s="7">
        <v>220</v>
      </c>
      <c r="AG85" s="7">
        <v>2200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20</v>
      </c>
      <c r="AR85" s="8">
        <v>1800</v>
      </c>
      <c r="AS85" s="7">
        <v>200</v>
      </c>
      <c r="AT85" s="7">
        <v>0</v>
      </c>
      <c r="AU85" s="7">
        <v>0</v>
      </c>
      <c r="AV85" s="7">
        <v>0</v>
      </c>
      <c r="AW85" s="7">
        <v>5</v>
      </c>
      <c r="AX85" s="8">
        <v>600</v>
      </c>
      <c r="AY85" s="7">
        <v>0</v>
      </c>
      <c r="AZ85" s="7">
        <v>0</v>
      </c>
      <c r="BA85" s="7">
        <v>0</v>
      </c>
      <c r="BB85" s="7">
        <v>0</v>
      </c>
      <c r="BC85" s="7">
        <v>200</v>
      </c>
      <c r="BD85" s="8">
        <v>24000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9">
        <v>1500</v>
      </c>
      <c r="BM85" s="10">
        <v>29020</v>
      </c>
      <c r="BN85" s="15">
        <f t="shared" si="2"/>
        <v>27520</v>
      </c>
      <c r="BO85" s="16">
        <f t="shared" si="3"/>
        <v>19264</v>
      </c>
    </row>
    <row r="86" spans="1:67" x14ac:dyDescent="0.3">
      <c r="A86" s="5" t="s">
        <v>14</v>
      </c>
      <c r="B86" s="5" t="s">
        <v>156</v>
      </c>
      <c r="C86" s="5">
        <v>423577</v>
      </c>
      <c r="D86" s="6"/>
      <c r="E86" s="5" t="s">
        <v>16</v>
      </c>
      <c r="F86" s="5" t="s">
        <v>157</v>
      </c>
      <c r="G86" s="5" t="s">
        <v>34</v>
      </c>
      <c r="H86" s="7" t="s">
        <v>8</v>
      </c>
      <c r="I86" s="7" t="s">
        <v>158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8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8">
        <v>0</v>
      </c>
      <c r="AG86" s="8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74</v>
      </c>
      <c r="AR86" s="8">
        <v>7200</v>
      </c>
      <c r="AS86" s="7">
        <v>200</v>
      </c>
      <c r="AT86" s="7">
        <v>0</v>
      </c>
      <c r="AU86" s="7">
        <v>0</v>
      </c>
      <c r="AV86" s="7">
        <v>0</v>
      </c>
      <c r="AW86" s="7">
        <v>0</v>
      </c>
      <c r="AX86" s="8">
        <v>0</v>
      </c>
      <c r="AY86" s="7">
        <v>0</v>
      </c>
      <c r="AZ86" s="7">
        <v>0</v>
      </c>
      <c r="BA86" s="7">
        <v>0</v>
      </c>
      <c r="BB86" s="7">
        <v>0</v>
      </c>
      <c r="BC86" s="7">
        <v>178</v>
      </c>
      <c r="BD86" s="8">
        <v>21360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9">
        <v>1281.5999999999999</v>
      </c>
      <c r="BM86" s="10">
        <v>28760</v>
      </c>
      <c r="BN86" s="15">
        <f t="shared" si="2"/>
        <v>27478.400000000001</v>
      </c>
      <c r="BO86" s="16">
        <f t="shared" si="3"/>
        <v>19234.88</v>
      </c>
    </row>
    <row r="87" spans="1:67" x14ac:dyDescent="0.3">
      <c r="A87" s="5" t="s">
        <v>14</v>
      </c>
      <c r="B87" s="5" t="s">
        <v>104</v>
      </c>
      <c r="C87" s="5">
        <v>359539</v>
      </c>
      <c r="D87" s="6"/>
      <c r="E87" s="5" t="s">
        <v>16</v>
      </c>
      <c r="F87" s="5" t="s">
        <v>105</v>
      </c>
      <c r="G87" s="5" t="s">
        <v>34</v>
      </c>
      <c r="H87" s="7" t="s">
        <v>8</v>
      </c>
      <c r="I87" s="7" t="s">
        <v>106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3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46</v>
      </c>
      <c r="AF87" s="8">
        <v>2100</v>
      </c>
      <c r="AG87" s="7">
        <v>2500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7</v>
      </c>
      <c r="AR87" s="8">
        <v>700</v>
      </c>
      <c r="AS87" s="7">
        <v>0</v>
      </c>
      <c r="AT87" s="7">
        <v>0</v>
      </c>
      <c r="AU87" s="7">
        <v>0</v>
      </c>
      <c r="AV87" s="7">
        <v>0</v>
      </c>
      <c r="AW87" s="7">
        <v>32</v>
      </c>
      <c r="AX87" s="7">
        <v>3840</v>
      </c>
      <c r="AY87" s="7">
        <v>0</v>
      </c>
      <c r="AZ87" s="7">
        <v>0</v>
      </c>
      <c r="BA87" s="7">
        <v>0</v>
      </c>
      <c r="BB87" s="7">
        <v>0</v>
      </c>
      <c r="BC87" s="7">
        <v>163</v>
      </c>
      <c r="BD87" s="8">
        <v>19560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1557.6</v>
      </c>
      <c r="BM87" s="10">
        <v>28700</v>
      </c>
      <c r="BN87" s="15">
        <f t="shared" si="2"/>
        <v>27142.400000000001</v>
      </c>
      <c r="BO87" s="16">
        <f t="shared" si="3"/>
        <v>18999.68</v>
      </c>
    </row>
    <row r="88" spans="1:67" x14ac:dyDescent="0.3">
      <c r="A88" s="5" t="s">
        <v>14</v>
      </c>
      <c r="B88" s="5" t="s">
        <v>267</v>
      </c>
      <c r="C88" s="5">
        <v>381070</v>
      </c>
      <c r="D88" s="6"/>
      <c r="E88" s="5" t="s">
        <v>16</v>
      </c>
      <c r="F88" s="5" t="s">
        <v>268</v>
      </c>
      <c r="G88" s="5" t="s">
        <v>34</v>
      </c>
      <c r="H88" s="7" t="s">
        <v>8</v>
      </c>
      <c r="I88" s="7" t="s">
        <v>269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11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2</v>
      </c>
      <c r="AF88" s="8">
        <v>0</v>
      </c>
      <c r="AG88" s="8">
        <v>200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8">
        <v>0</v>
      </c>
      <c r="AS88" s="7">
        <v>0</v>
      </c>
      <c r="AT88" s="7">
        <v>0</v>
      </c>
      <c r="AU88" s="7">
        <v>0</v>
      </c>
      <c r="AV88" s="7">
        <v>0</v>
      </c>
      <c r="AW88" s="7">
        <v>3</v>
      </c>
      <c r="AX88" s="7">
        <v>360</v>
      </c>
      <c r="AY88" s="7">
        <v>0</v>
      </c>
      <c r="AZ88" s="7">
        <v>0</v>
      </c>
      <c r="BA88" s="7">
        <v>0</v>
      </c>
      <c r="BB88" s="7">
        <v>0</v>
      </c>
      <c r="BC88" s="7">
        <v>225</v>
      </c>
      <c r="BD88" s="8">
        <v>27000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1656</v>
      </c>
      <c r="BM88" s="10">
        <v>27560</v>
      </c>
      <c r="BN88" s="15">
        <f t="shared" si="2"/>
        <v>25904</v>
      </c>
      <c r="BO88" s="16">
        <f t="shared" si="3"/>
        <v>18132.8</v>
      </c>
    </row>
    <row r="89" spans="1:67" x14ac:dyDescent="0.3">
      <c r="A89" s="5" t="s">
        <v>14</v>
      </c>
      <c r="B89" s="5" t="s">
        <v>115</v>
      </c>
      <c r="C89" s="5">
        <v>379813</v>
      </c>
      <c r="D89" s="6"/>
      <c r="E89" s="5" t="s">
        <v>16</v>
      </c>
      <c r="F89" s="5" t="s">
        <v>30</v>
      </c>
      <c r="G89" s="5" t="s">
        <v>10</v>
      </c>
      <c r="H89" s="7" t="s">
        <v>7</v>
      </c>
      <c r="I89" s="7" t="s">
        <v>116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139</v>
      </c>
      <c r="AF89" s="8">
        <v>1560</v>
      </c>
      <c r="AG89" s="8">
        <v>12600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1</v>
      </c>
      <c r="AR89" s="7">
        <v>100</v>
      </c>
      <c r="AS89" s="7">
        <v>0</v>
      </c>
      <c r="AT89" s="7">
        <v>0</v>
      </c>
      <c r="AU89" s="7">
        <v>0</v>
      </c>
      <c r="AV89" s="7">
        <v>0</v>
      </c>
      <c r="AW89" s="7">
        <v>104</v>
      </c>
      <c r="AX89" s="8">
        <v>12480</v>
      </c>
      <c r="AY89" s="7">
        <v>0</v>
      </c>
      <c r="AZ89" s="7">
        <v>0</v>
      </c>
      <c r="BA89" s="7">
        <v>0</v>
      </c>
      <c r="BB89" s="7">
        <v>0</v>
      </c>
      <c r="BC89" s="7">
        <v>5</v>
      </c>
      <c r="BD89" s="8">
        <v>600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9">
        <v>1284</v>
      </c>
      <c r="BM89" s="10">
        <v>27340</v>
      </c>
      <c r="BN89" s="15">
        <f t="shared" si="2"/>
        <v>26056</v>
      </c>
      <c r="BO89" s="16">
        <f t="shared" si="3"/>
        <v>18239.199999999997</v>
      </c>
    </row>
    <row r="90" spans="1:67" x14ac:dyDescent="0.3">
      <c r="A90" s="5" t="s">
        <v>14</v>
      </c>
      <c r="B90" s="5" t="s">
        <v>130</v>
      </c>
      <c r="C90" s="5">
        <v>359912</v>
      </c>
      <c r="D90" s="6"/>
      <c r="E90" s="5" t="s">
        <v>16</v>
      </c>
      <c r="F90" s="5" t="s">
        <v>131</v>
      </c>
      <c r="G90" s="5" t="s">
        <v>34</v>
      </c>
      <c r="H90" s="7" t="s">
        <v>8</v>
      </c>
      <c r="I90" s="7" t="s">
        <v>358</v>
      </c>
      <c r="J90" s="7">
        <v>0</v>
      </c>
      <c r="K90" s="7">
        <v>1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9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8">
        <v>0</v>
      </c>
      <c r="AD90" s="8">
        <v>0</v>
      </c>
      <c r="AE90" s="7">
        <v>46</v>
      </c>
      <c r="AF90" s="8">
        <v>100</v>
      </c>
      <c r="AG90" s="7">
        <v>4500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8">
        <v>0</v>
      </c>
      <c r="AP90" s="7">
        <v>0</v>
      </c>
      <c r="AQ90" s="7">
        <v>2</v>
      </c>
      <c r="AR90" s="8">
        <v>200</v>
      </c>
      <c r="AS90" s="7">
        <v>0</v>
      </c>
      <c r="AT90" s="7">
        <v>0</v>
      </c>
      <c r="AU90" s="7">
        <v>0</v>
      </c>
      <c r="AV90" s="7">
        <v>0</v>
      </c>
      <c r="AW90" s="7">
        <v>6</v>
      </c>
      <c r="AX90" s="7">
        <v>720</v>
      </c>
      <c r="AY90" s="7">
        <v>0</v>
      </c>
      <c r="AZ90" s="7">
        <v>0</v>
      </c>
      <c r="BA90" s="7">
        <v>0</v>
      </c>
      <c r="BB90" s="7">
        <v>0</v>
      </c>
      <c r="BC90" s="7">
        <v>182</v>
      </c>
      <c r="BD90" s="8">
        <v>20880</v>
      </c>
      <c r="BE90" s="7">
        <v>800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1324.8</v>
      </c>
      <c r="BM90" s="10">
        <v>27200</v>
      </c>
      <c r="BN90" s="15">
        <f t="shared" si="2"/>
        <v>25875.200000000001</v>
      </c>
      <c r="BO90" s="16">
        <f t="shared" si="3"/>
        <v>18112.64</v>
      </c>
    </row>
    <row r="91" spans="1:67" x14ac:dyDescent="0.3">
      <c r="A91" s="5" t="s">
        <v>14</v>
      </c>
      <c r="B91" s="5" t="s">
        <v>192</v>
      </c>
      <c r="C91" s="5">
        <v>458566</v>
      </c>
      <c r="D91" s="6"/>
      <c r="E91" s="5" t="s">
        <v>16</v>
      </c>
      <c r="F91" s="5" t="s">
        <v>30</v>
      </c>
      <c r="G91" s="5" t="s">
        <v>10</v>
      </c>
      <c r="H91" s="7" t="s">
        <v>7</v>
      </c>
      <c r="I91" s="7" t="s">
        <v>193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3</v>
      </c>
      <c r="AF91" s="7">
        <v>10880</v>
      </c>
      <c r="AG91" s="8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8">
        <v>0</v>
      </c>
      <c r="AS91" s="7">
        <v>0</v>
      </c>
      <c r="AT91" s="7">
        <v>0</v>
      </c>
      <c r="AU91" s="7">
        <v>0</v>
      </c>
      <c r="AV91" s="7">
        <v>0</v>
      </c>
      <c r="AW91" s="7">
        <v>4</v>
      </c>
      <c r="AX91" s="7">
        <v>16128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8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9">
        <v>1612.8</v>
      </c>
      <c r="BM91" s="10">
        <v>27008</v>
      </c>
      <c r="BN91" s="15">
        <f t="shared" si="2"/>
        <v>25395.200000000001</v>
      </c>
      <c r="BO91" s="16">
        <f t="shared" si="3"/>
        <v>17776.64</v>
      </c>
    </row>
    <row r="92" spans="1:67" x14ac:dyDescent="0.3">
      <c r="A92" s="5" t="s">
        <v>14</v>
      </c>
      <c r="B92" s="5" t="s">
        <v>273</v>
      </c>
      <c r="C92" s="5">
        <v>392673</v>
      </c>
      <c r="D92" s="6"/>
      <c r="E92" s="5" t="s">
        <v>16</v>
      </c>
      <c r="F92" s="5" t="s">
        <v>105</v>
      </c>
      <c r="G92" s="5" t="s">
        <v>34</v>
      </c>
      <c r="H92" s="7" t="s">
        <v>8</v>
      </c>
      <c r="I92" s="7" t="s">
        <v>274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2</v>
      </c>
      <c r="AF92" s="7">
        <v>3840</v>
      </c>
      <c r="AG92" s="8">
        <v>200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8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6</v>
      </c>
      <c r="BD92" s="8">
        <v>22800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1368</v>
      </c>
      <c r="BM92" s="10">
        <v>26840</v>
      </c>
      <c r="BN92" s="15">
        <f t="shared" si="2"/>
        <v>25472</v>
      </c>
      <c r="BO92" s="16">
        <f t="shared" si="3"/>
        <v>17830.399999999998</v>
      </c>
    </row>
    <row r="93" spans="1:67" x14ac:dyDescent="0.3">
      <c r="A93" s="5" t="s">
        <v>14</v>
      </c>
      <c r="B93" s="5" t="s">
        <v>252</v>
      </c>
      <c r="C93" s="5">
        <v>428860</v>
      </c>
      <c r="D93" s="6"/>
      <c r="E93" s="5" t="s">
        <v>16</v>
      </c>
      <c r="F93" s="5" t="s">
        <v>253</v>
      </c>
      <c r="G93" s="5" t="s">
        <v>10</v>
      </c>
      <c r="H93" s="7" t="s">
        <v>7</v>
      </c>
      <c r="I93" s="7" t="s">
        <v>254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1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8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260</v>
      </c>
      <c r="AR93" s="8">
        <v>25600</v>
      </c>
      <c r="AS93" s="7">
        <v>400</v>
      </c>
      <c r="AT93" s="7">
        <v>0</v>
      </c>
      <c r="AU93" s="7">
        <v>0</v>
      </c>
      <c r="AV93" s="7">
        <v>0</v>
      </c>
      <c r="AW93" s="7">
        <v>4</v>
      </c>
      <c r="AX93" s="7">
        <v>480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48</v>
      </c>
      <c r="BM93" s="10">
        <v>26480</v>
      </c>
      <c r="BN93" s="15">
        <f t="shared" si="2"/>
        <v>26432</v>
      </c>
      <c r="BO93" s="16">
        <f t="shared" si="3"/>
        <v>18502.399999999998</v>
      </c>
    </row>
    <row r="94" spans="1:67" x14ac:dyDescent="0.3">
      <c r="A94" s="5" t="s">
        <v>14</v>
      </c>
      <c r="B94" s="5" t="s">
        <v>194</v>
      </c>
      <c r="C94" s="5">
        <v>458568</v>
      </c>
      <c r="D94" s="6"/>
      <c r="E94" s="5" t="s">
        <v>16</v>
      </c>
      <c r="F94" s="5" t="s">
        <v>30</v>
      </c>
      <c r="G94" s="5" t="s">
        <v>10</v>
      </c>
      <c r="H94" s="7" t="s">
        <v>7</v>
      </c>
      <c r="I94" s="7" t="s">
        <v>193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</v>
      </c>
      <c r="AF94" s="8">
        <v>3200</v>
      </c>
      <c r="AG94" s="8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8">
        <v>0</v>
      </c>
      <c r="AS94" s="7">
        <v>0</v>
      </c>
      <c r="AT94" s="7">
        <v>0</v>
      </c>
      <c r="AU94" s="7">
        <v>0</v>
      </c>
      <c r="AV94" s="7">
        <v>0</v>
      </c>
      <c r="AW94" s="7">
        <v>3</v>
      </c>
      <c r="AX94" s="7">
        <v>11228</v>
      </c>
      <c r="AY94" s="7">
        <v>0</v>
      </c>
      <c r="AZ94" s="7">
        <v>0</v>
      </c>
      <c r="BA94" s="7">
        <v>0</v>
      </c>
      <c r="BB94" s="7">
        <v>0</v>
      </c>
      <c r="BC94" s="7">
        <v>3</v>
      </c>
      <c r="BD94" s="8">
        <v>11520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1814</v>
      </c>
      <c r="BM94" s="10">
        <v>25948</v>
      </c>
      <c r="BN94" s="15">
        <f t="shared" si="2"/>
        <v>24134</v>
      </c>
      <c r="BO94" s="16">
        <f t="shared" si="3"/>
        <v>16893.8</v>
      </c>
    </row>
    <row r="95" spans="1:67" x14ac:dyDescent="0.3">
      <c r="A95" s="5" t="s">
        <v>14</v>
      </c>
      <c r="B95" s="5" t="s">
        <v>532</v>
      </c>
      <c r="C95" s="5">
        <v>410566</v>
      </c>
      <c r="D95" s="6"/>
      <c r="E95" s="5" t="s">
        <v>16</v>
      </c>
      <c r="F95" s="5" t="s">
        <v>533</v>
      </c>
      <c r="G95" s="5" t="s">
        <v>34</v>
      </c>
      <c r="H95" s="7" t="s">
        <v>7</v>
      </c>
      <c r="I95" s="7" t="s">
        <v>534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8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6</v>
      </c>
      <c r="AR95" s="7">
        <v>14200</v>
      </c>
      <c r="AS95" s="7">
        <v>400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8">
        <v>0</v>
      </c>
      <c r="BE95" s="7">
        <v>0</v>
      </c>
      <c r="BF95" s="7">
        <v>0</v>
      </c>
      <c r="BG95" s="7">
        <v>0</v>
      </c>
      <c r="BH95" s="7">
        <v>0</v>
      </c>
      <c r="BI95" s="7">
        <v>4</v>
      </c>
      <c r="BJ95" s="7">
        <v>11280</v>
      </c>
      <c r="BK95" s="7">
        <v>0</v>
      </c>
      <c r="BL95" s="7">
        <v>564</v>
      </c>
      <c r="BM95" s="10">
        <v>25880</v>
      </c>
      <c r="BN95" s="15">
        <f t="shared" si="2"/>
        <v>25316</v>
      </c>
      <c r="BO95" s="16">
        <f t="shared" si="3"/>
        <v>17721.199999999997</v>
      </c>
    </row>
    <row r="96" spans="1:67" x14ac:dyDescent="0.3">
      <c r="A96" s="5" t="s">
        <v>14</v>
      </c>
      <c r="B96" s="5" t="s">
        <v>234</v>
      </c>
      <c r="C96" s="5">
        <v>251205</v>
      </c>
      <c r="D96" s="6"/>
      <c r="E96" s="5" t="s">
        <v>16</v>
      </c>
      <c r="F96" s="5" t="s">
        <v>66</v>
      </c>
      <c r="G96" s="5" t="s">
        <v>10</v>
      </c>
      <c r="H96" s="7" t="s">
        <v>7</v>
      </c>
      <c r="I96" s="7" t="s">
        <v>235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16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92</v>
      </c>
      <c r="AF96" s="8">
        <v>9200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8">
        <v>0</v>
      </c>
      <c r="AS96" s="7">
        <v>0</v>
      </c>
      <c r="AT96" s="7">
        <v>0</v>
      </c>
      <c r="AU96" s="7">
        <v>0</v>
      </c>
      <c r="AV96" s="7">
        <v>0</v>
      </c>
      <c r="AW96" s="7">
        <v>118</v>
      </c>
      <c r="AX96" s="7">
        <v>14160</v>
      </c>
      <c r="AY96" s="7">
        <v>0</v>
      </c>
      <c r="AZ96" s="7">
        <v>0</v>
      </c>
      <c r="BA96" s="7">
        <v>0</v>
      </c>
      <c r="BB96" s="7">
        <v>0</v>
      </c>
      <c r="BC96" s="7">
        <v>12</v>
      </c>
      <c r="BD96" s="7">
        <v>1440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1502.4</v>
      </c>
      <c r="BM96" s="10">
        <v>24800</v>
      </c>
      <c r="BN96" s="15">
        <f t="shared" si="2"/>
        <v>23297.599999999999</v>
      </c>
      <c r="BO96" s="16">
        <f t="shared" si="3"/>
        <v>16308.319999999998</v>
      </c>
    </row>
    <row r="97" spans="1:67" x14ac:dyDescent="0.3">
      <c r="A97" s="5" t="s">
        <v>14</v>
      </c>
      <c r="B97" s="5" t="s">
        <v>576</v>
      </c>
      <c r="C97" s="5">
        <v>476040</v>
      </c>
      <c r="D97" s="6"/>
      <c r="E97" s="5" t="s">
        <v>16</v>
      </c>
      <c r="F97" s="5" t="s">
        <v>152</v>
      </c>
      <c r="G97" s="5" t="s">
        <v>10</v>
      </c>
      <c r="H97" s="7" t="s">
        <v>7</v>
      </c>
      <c r="I97" s="7" t="s">
        <v>386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8">
        <v>0</v>
      </c>
      <c r="AG97" s="8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6</v>
      </c>
      <c r="BD97" s="8">
        <v>23040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1382.4</v>
      </c>
      <c r="BM97" s="10">
        <v>23040</v>
      </c>
      <c r="BN97" s="15">
        <f t="shared" si="2"/>
        <v>21657.599999999999</v>
      </c>
      <c r="BO97" s="16">
        <f t="shared" si="3"/>
        <v>15160.319999999998</v>
      </c>
    </row>
    <row r="98" spans="1:67" x14ac:dyDescent="0.3">
      <c r="A98" s="5" t="s">
        <v>14</v>
      </c>
      <c r="B98" s="5" t="s">
        <v>77</v>
      </c>
      <c r="C98" s="5">
        <v>387942</v>
      </c>
      <c r="D98" s="6"/>
      <c r="E98" s="5" t="s">
        <v>16</v>
      </c>
      <c r="F98" s="5" t="s">
        <v>78</v>
      </c>
      <c r="G98" s="5" t="s">
        <v>10</v>
      </c>
      <c r="H98" s="7" t="s">
        <v>7</v>
      </c>
      <c r="I98" s="7" t="s">
        <v>79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4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118</v>
      </c>
      <c r="AF98" s="8">
        <v>9340</v>
      </c>
      <c r="AG98" s="8">
        <v>4000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47</v>
      </c>
      <c r="AR98" s="8">
        <v>4700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34</v>
      </c>
      <c r="BD98" s="8">
        <v>4080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244.8</v>
      </c>
      <c r="BM98" s="10">
        <v>22120</v>
      </c>
      <c r="BN98" s="15">
        <f t="shared" si="2"/>
        <v>21875.200000000001</v>
      </c>
      <c r="BO98" s="16">
        <f t="shared" si="3"/>
        <v>15312.64</v>
      </c>
    </row>
    <row r="99" spans="1:67" x14ac:dyDescent="0.3">
      <c r="A99" s="5" t="s">
        <v>14</v>
      </c>
      <c r="B99" s="5" t="s">
        <v>231</v>
      </c>
      <c r="C99" s="5">
        <v>305522</v>
      </c>
      <c r="D99" s="6"/>
      <c r="E99" s="5" t="s">
        <v>16</v>
      </c>
      <c r="F99" s="5" t="s">
        <v>41</v>
      </c>
      <c r="G99" s="5" t="s">
        <v>34</v>
      </c>
      <c r="H99" s="7" t="s">
        <v>8</v>
      </c>
      <c r="I99" s="7" t="s">
        <v>232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104</v>
      </c>
      <c r="AF99" s="8">
        <v>5500</v>
      </c>
      <c r="AG99" s="8">
        <v>4900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47</v>
      </c>
      <c r="AR99" s="8">
        <v>4700</v>
      </c>
      <c r="AS99" s="7">
        <v>0</v>
      </c>
      <c r="AT99" s="7">
        <v>0</v>
      </c>
      <c r="AU99" s="7">
        <v>0</v>
      </c>
      <c r="AV99" s="7">
        <v>0</v>
      </c>
      <c r="AW99" s="7">
        <v>32</v>
      </c>
      <c r="AX99" s="8">
        <v>3840</v>
      </c>
      <c r="AY99" s="7">
        <v>0</v>
      </c>
      <c r="AZ99" s="7">
        <v>0</v>
      </c>
      <c r="BA99" s="7">
        <v>0</v>
      </c>
      <c r="BB99" s="7">
        <v>0</v>
      </c>
      <c r="BC99" s="7">
        <v>15</v>
      </c>
      <c r="BD99" s="8">
        <v>1800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9">
        <v>492</v>
      </c>
      <c r="BM99" s="10">
        <v>20740</v>
      </c>
      <c r="BN99" s="15">
        <f t="shared" si="2"/>
        <v>20248</v>
      </c>
      <c r="BO99" s="16">
        <f t="shared" si="3"/>
        <v>14173.599999999999</v>
      </c>
    </row>
    <row r="100" spans="1:67" x14ac:dyDescent="0.3">
      <c r="A100" s="5" t="s">
        <v>14</v>
      </c>
      <c r="B100" s="5" t="s">
        <v>207</v>
      </c>
      <c r="C100" s="5">
        <v>407733</v>
      </c>
      <c r="D100" s="6"/>
      <c r="E100" s="5" t="s">
        <v>16</v>
      </c>
      <c r="F100" s="5" t="s">
        <v>30</v>
      </c>
      <c r="G100" s="5" t="s">
        <v>10</v>
      </c>
      <c r="H100" s="7" t="s">
        <v>7</v>
      </c>
      <c r="I100" s="7" t="s">
        <v>208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9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91</v>
      </c>
      <c r="AF100" s="8">
        <v>6000</v>
      </c>
      <c r="AG100" s="8">
        <v>3100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88</v>
      </c>
      <c r="AR100" s="8">
        <v>8800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16</v>
      </c>
      <c r="BD100" s="7">
        <v>1920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115.2</v>
      </c>
      <c r="BM100" s="10">
        <v>19820</v>
      </c>
      <c r="BN100" s="15">
        <f t="shared" si="2"/>
        <v>19704.8</v>
      </c>
      <c r="BO100" s="16">
        <f t="shared" si="3"/>
        <v>13793.359999999999</v>
      </c>
    </row>
    <row r="101" spans="1:67" x14ac:dyDescent="0.3">
      <c r="A101" s="5" t="s">
        <v>14</v>
      </c>
      <c r="B101" s="5" t="s">
        <v>175</v>
      </c>
      <c r="C101" s="5">
        <v>359006</v>
      </c>
      <c r="D101" s="6"/>
      <c r="E101" s="5" t="s">
        <v>16</v>
      </c>
      <c r="F101" s="5" t="s">
        <v>128</v>
      </c>
      <c r="G101" s="5" t="s">
        <v>34</v>
      </c>
      <c r="H101" s="7" t="s">
        <v>8</v>
      </c>
      <c r="I101" s="7" t="s">
        <v>176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3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47</v>
      </c>
      <c r="AF101" s="8">
        <v>0</v>
      </c>
      <c r="AG101" s="7">
        <v>4700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27</v>
      </c>
      <c r="AR101" s="7">
        <v>2600</v>
      </c>
      <c r="AS101" s="7">
        <v>100</v>
      </c>
      <c r="AT101" s="7">
        <v>0</v>
      </c>
      <c r="AU101" s="7">
        <v>0</v>
      </c>
      <c r="AV101" s="7">
        <v>0</v>
      </c>
      <c r="AW101" s="7">
        <v>30</v>
      </c>
      <c r="AX101" s="7">
        <v>3600</v>
      </c>
      <c r="AY101" s="7">
        <v>0</v>
      </c>
      <c r="AZ101" s="7">
        <v>0</v>
      </c>
      <c r="BA101" s="7">
        <v>0</v>
      </c>
      <c r="BB101" s="7">
        <v>0</v>
      </c>
      <c r="BC101" s="7">
        <v>72</v>
      </c>
      <c r="BD101" s="8">
        <v>8640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878.4</v>
      </c>
      <c r="BM101" s="10">
        <v>19640</v>
      </c>
      <c r="BN101" s="15">
        <f t="shared" si="2"/>
        <v>18761.599999999999</v>
      </c>
      <c r="BO101" s="16">
        <f t="shared" si="3"/>
        <v>13133.119999999999</v>
      </c>
    </row>
    <row r="102" spans="1:67" x14ac:dyDescent="0.3">
      <c r="A102" s="5" t="s">
        <v>14</v>
      </c>
      <c r="B102" s="5" t="s">
        <v>171</v>
      </c>
      <c r="C102" s="5">
        <v>316658</v>
      </c>
      <c r="D102" s="6"/>
      <c r="E102" s="5" t="s">
        <v>16</v>
      </c>
      <c r="F102" s="5" t="s">
        <v>66</v>
      </c>
      <c r="G102" s="5" t="s">
        <v>10</v>
      </c>
      <c r="H102" s="7" t="s">
        <v>7</v>
      </c>
      <c r="I102" s="7" t="s">
        <v>172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1</v>
      </c>
      <c r="T102" s="7">
        <v>3</v>
      </c>
      <c r="U102" s="7">
        <v>0</v>
      </c>
      <c r="V102" s="7">
        <v>0</v>
      </c>
      <c r="W102" s="7">
        <v>100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103</v>
      </c>
      <c r="AF102" s="8">
        <v>6660</v>
      </c>
      <c r="AG102" s="8">
        <v>3900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29</v>
      </c>
      <c r="AX102" s="7">
        <v>3480</v>
      </c>
      <c r="AY102" s="7">
        <v>0</v>
      </c>
      <c r="AZ102" s="7">
        <v>0</v>
      </c>
      <c r="BA102" s="7">
        <v>0</v>
      </c>
      <c r="BB102" s="7">
        <v>0</v>
      </c>
      <c r="BC102" s="7">
        <v>45</v>
      </c>
      <c r="BD102" s="8">
        <v>5400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9">
        <v>672</v>
      </c>
      <c r="BM102" s="10">
        <v>19540</v>
      </c>
      <c r="BN102" s="15">
        <f t="shared" si="2"/>
        <v>18868</v>
      </c>
      <c r="BO102" s="16">
        <f t="shared" si="3"/>
        <v>13207.599999999999</v>
      </c>
    </row>
    <row r="103" spans="1:67" x14ac:dyDescent="0.3">
      <c r="A103" s="5" t="s">
        <v>14</v>
      </c>
      <c r="B103" s="5" t="s">
        <v>577</v>
      </c>
      <c r="C103" s="5">
        <v>419962</v>
      </c>
      <c r="D103" s="6"/>
      <c r="E103" s="5" t="s">
        <v>16</v>
      </c>
      <c r="F103" s="5" t="s">
        <v>578</v>
      </c>
      <c r="G103" s="5" t="s">
        <v>34</v>
      </c>
      <c r="H103" s="7" t="s">
        <v>8</v>
      </c>
      <c r="I103" s="7" t="s">
        <v>579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3</v>
      </c>
      <c r="AF103" s="8">
        <v>3800</v>
      </c>
      <c r="AG103" s="8">
        <v>200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2</v>
      </c>
      <c r="AR103" s="8">
        <v>7000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8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2</v>
      </c>
      <c r="BD103" s="8">
        <v>8400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504</v>
      </c>
      <c r="BM103" s="10">
        <v>19400</v>
      </c>
      <c r="BN103" s="15">
        <f t="shared" si="2"/>
        <v>18896</v>
      </c>
      <c r="BO103" s="16">
        <f t="shared" si="3"/>
        <v>13227.199999999999</v>
      </c>
    </row>
    <row r="104" spans="1:67" x14ac:dyDescent="0.3">
      <c r="A104" s="5" t="s">
        <v>14</v>
      </c>
      <c r="B104" s="5" t="s">
        <v>465</v>
      </c>
      <c r="C104" s="5">
        <v>410076</v>
      </c>
      <c r="D104" s="6"/>
      <c r="E104" s="5" t="s">
        <v>16</v>
      </c>
      <c r="F104" s="5" t="s">
        <v>66</v>
      </c>
      <c r="G104" s="5" t="s">
        <v>10</v>
      </c>
      <c r="H104" s="7" t="s">
        <v>7</v>
      </c>
      <c r="I104" s="7" t="s">
        <v>209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8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6</v>
      </c>
      <c r="AR104" s="7">
        <v>18800</v>
      </c>
      <c r="AS104" s="7">
        <v>400</v>
      </c>
      <c r="AT104" s="7">
        <v>0</v>
      </c>
      <c r="AU104" s="7">
        <v>0</v>
      </c>
      <c r="AV104" s="7">
        <v>0</v>
      </c>
      <c r="AW104" s="7">
        <v>0</v>
      </c>
      <c r="AX104" s="8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8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9">
        <v>0</v>
      </c>
      <c r="BM104" s="10">
        <v>19200</v>
      </c>
      <c r="BN104" s="15">
        <f t="shared" si="2"/>
        <v>19200</v>
      </c>
      <c r="BO104" s="16">
        <f t="shared" si="3"/>
        <v>13440</v>
      </c>
    </row>
    <row r="105" spans="1:67" x14ac:dyDescent="0.3">
      <c r="A105" s="5" t="s">
        <v>14</v>
      </c>
      <c r="B105" s="5" t="s">
        <v>391</v>
      </c>
      <c r="C105" s="5">
        <v>414343</v>
      </c>
      <c r="D105" s="6"/>
      <c r="E105" s="5" t="s">
        <v>16</v>
      </c>
      <c r="F105" s="5" t="s">
        <v>11</v>
      </c>
      <c r="G105" s="5" t="s">
        <v>10</v>
      </c>
      <c r="H105" s="7" t="s">
        <v>7</v>
      </c>
      <c r="I105" s="7" t="s">
        <v>195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</v>
      </c>
      <c r="AF105" s="7">
        <v>0</v>
      </c>
      <c r="AG105" s="8">
        <v>300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8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5</v>
      </c>
      <c r="BD105" s="8">
        <v>18840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1130.4000000000001</v>
      </c>
      <c r="BM105" s="10">
        <v>19140</v>
      </c>
      <c r="BN105" s="15">
        <f t="shared" si="2"/>
        <v>18009.599999999999</v>
      </c>
      <c r="BO105" s="16">
        <f t="shared" si="3"/>
        <v>12606.719999999998</v>
      </c>
    </row>
    <row r="106" spans="1:67" x14ac:dyDescent="0.3">
      <c r="A106" s="5" t="s">
        <v>14</v>
      </c>
      <c r="B106" s="5" t="s">
        <v>151</v>
      </c>
      <c r="C106" s="5">
        <v>433508</v>
      </c>
      <c r="D106" s="6"/>
      <c r="E106" s="5" t="s">
        <v>16</v>
      </c>
      <c r="F106" s="5" t="s">
        <v>152</v>
      </c>
      <c r="G106" s="5" t="s">
        <v>10</v>
      </c>
      <c r="H106" s="7" t="s">
        <v>7</v>
      </c>
      <c r="I106" s="7" t="s">
        <v>153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9</v>
      </c>
      <c r="AF106" s="7">
        <v>500</v>
      </c>
      <c r="AG106" s="7">
        <v>400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133</v>
      </c>
      <c r="BD106" s="8">
        <v>15960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9">
        <v>957.6</v>
      </c>
      <c r="BM106" s="10">
        <v>16860</v>
      </c>
      <c r="BN106" s="15">
        <f t="shared" si="2"/>
        <v>15902.4</v>
      </c>
      <c r="BO106" s="16">
        <f t="shared" si="3"/>
        <v>11131.679999999998</v>
      </c>
    </row>
    <row r="107" spans="1:67" x14ac:dyDescent="0.3">
      <c r="A107" s="5" t="s">
        <v>14</v>
      </c>
      <c r="B107" s="5" t="s">
        <v>199</v>
      </c>
      <c r="C107" s="5">
        <v>421661</v>
      </c>
      <c r="D107" s="6"/>
      <c r="E107" s="5" t="s">
        <v>16</v>
      </c>
      <c r="F107" s="5" t="s">
        <v>200</v>
      </c>
      <c r="G107" s="5" t="s">
        <v>34</v>
      </c>
      <c r="H107" s="7" t="s">
        <v>8</v>
      </c>
      <c r="I107" s="7" t="s">
        <v>201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60</v>
      </c>
      <c r="AF107" s="8">
        <v>1600</v>
      </c>
      <c r="AG107" s="7">
        <v>4400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8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27</v>
      </c>
      <c r="AX107" s="7">
        <v>3240</v>
      </c>
      <c r="AY107" s="7">
        <v>0</v>
      </c>
      <c r="AZ107" s="7">
        <v>0</v>
      </c>
      <c r="BA107" s="7">
        <v>0</v>
      </c>
      <c r="BB107" s="7">
        <v>0</v>
      </c>
      <c r="BC107" s="7">
        <v>58</v>
      </c>
      <c r="BD107" s="7">
        <v>6960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741.6</v>
      </c>
      <c r="BM107" s="10">
        <v>16200</v>
      </c>
      <c r="BN107" s="15">
        <f t="shared" si="2"/>
        <v>15458.4</v>
      </c>
      <c r="BO107" s="16">
        <f t="shared" si="3"/>
        <v>10820.88</v>
      </c>
    </row>
    <row r="108" spans="1:67" x14ac:dyDescent="0.3">
      <c r="A108" s="5" t="s">
        <v>14</v>
      </c>
      <c r="B108" s="5" t="s">
        <v>326</v>
      </c>
      <c r="C108" s="5">
        <v>356294</v>
      </c>
      <c r="D108" s="6"/>
      <c r="E108" s="5" t="s">
        <v>16</v>
      </c>
      <c r="F108" s="5" t="s">
        <v>41</v>
      </c>
      <c r="G108" s="5" t="s">
        <v>34</v>
      </c>
      <c r="H108" s="7" t="s">
        <v>8</v>
      </c>
      <c r="I108" s="7" t="s">
        <v>198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1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82</v>
      </c>
      <c r="AF108" s="7">
        <v>0</v>
      </c>
      <c r="AG108" s="7">
        <v>8200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18</v>
      </c>
      <c r="AX108" s="8">
        <v>2268</v>
      </c>
      <c r="AY108" s="7">
        <v>0</v>
      </c>
      <c r="AZ108" s="7">
        <v>0</v>
      </c>
      <c r="BA108" s="7">
        <v>0</v>
      </c>
      <c r="BB108" s="7">
        <v>0</v>
      </c>
      <c r="BC108" s="7">
        <v>47</v>
      </c>
      <c r="BD108" s="8">
        <v>5040</v>
      </c>
      <c r="BE108" s="7">
        <v>500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9">
        <v>529.20000000000005</v>
      </c>
      <c r="BM108" s="10">
        <v>16008</v>
      </c>
      <c r="BN108" s="15">
        <f t="shared" si="2"/>
        <v>15478.8</v>
      </c>
      <c r="BO108" s="16">
        <f t="shared" si="3"/>
        <v>10835.159999999998</v>
      </c>
    </row>
    <row r="109" spans="1:67" x14ac:dyDescent="0.3">
      <c r="A109" s="5" t="s">
        <v>14</v>
      </c>
      <c r="B109" s="5" t="s">
        <v>282</v>
      </c>
      <c r="C109" s="5">
        <v>445862</v>
      </c>
      <c r="D109" s="6"/>
      <c r="E109" s="5" t="s">
        <v>16</v>
      </c>
      <c r="F109" s="5" t="s">
        <v>47</v>
      </c>
      <c r="G109" s="5" t="s">
        <v>34</v>
      </c>
      <c r="H109" s="7" t="s">
        <v>8</v>
      </c>
      <c r="I109" s="7" t="s">
        <v>188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</v>
      </c>
      <c r="AF109" s="8">
        <v>2640</v>
      </c>
      <c r="AG109" s="7">
        <v>0</v>
      </c>
      <c r="AH109" s="7">
        <v>0</v>
      </c>
      <c r="AI109" s="7">
        <v>0</v>
      </c>
      <c r="AJ109" s="7">
        <v>0</v>
      </c>
      <c r="AK109" s="7">
        <v>1</v>
      </c>
      <c r="AL109" s="7">
        <v>0</v>
      </c>
      <c r="AM109" s="7">
        <v>100</v>
      </c>
      <c r="AN109" s="7">
        <v>0</v>
      </c>
      <c r="AO109" s="7">
        <v>0</v>
      </c>
      <c r="AP109" s="7">
        <v>0</v>
      </c>
      <c r="AQ109" s="7">
        <v>1</v>
      </c>
      <c r="AR109" s="7">
        <v>2100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8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4</v>
      </c>
      <c r="BD109" s="7">
        <v>10560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9">
        <v>633.6</v>
      </c>
      <c r="BM109" s="10">
        <v>15400</v>
      </c>
      <c r="BN109" s="15">
        <f t="shared" si="2"/>
        <v>14766.4</v>
      </c>
      <c r="BO109" s="16">
        <f t="shared" si="3"/>
        <v>10336.48</v>
      </c>
    </row>
    <row r="110" spans="1:67" x14ac:dyDescent="0.3">
      <c r="A110" s="5" t="s">
        <v>14</v>
      </c>
      <c r="B110" s="5" t="s">
        <v>509</v>
      </c>
      <c r="C110" s="5">
        <v>463951</v>
      </c>
      <c r="D110" s="6"/>
      <c r="E110" s="5" t="s">
        <v>16</v>
      </c>
      <c r="F110" s="5" t="s">
        <v>120</v>
      </c>
      <c r="G110" s="5" t="s">
        <v>10</v>
      </c>
      <c r="H110" s="7" t="s">
        <v>7</v>
      </c>
      <c r="I110" s="7" t="s">
        <v>510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8">
        <v>0</v>
      </c>
      <c r="AG110" s="8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4</v>
      </c>
      <c r="AX110" s="7">
        <v>15360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8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1536</v>
      </c>
      <c r="BM110" s="10">
        <v>15360</v>
      </c>
      <c r="BN110" s="15">
        <f t="shared" si="2"/>
        <v>13824</v>
      </c>
      <c r="BO110" s="16">
        <f t="shared" si="3"/>
        <v>9676.7999999999993</v>
      </c>
    </row>
    <row r="111" spans="1:67" x14ac:dyDescent="0.3">
      <c r="A111" s="5" t="s">
        <v>14</v>
      </c>
      <c r="B111" s="5" t="s">
        <v>504</v>
      </c>
      <c r="C111" s="5">
        <v>481360</v>
      </c>
      <c r="D111" s="6"/>
      <c r="E111" s="5" t="s">
        <v>16</v>
      </c>
      <c r="F111" s="5" t="s">
        <v>26</v>
      </c>
      <c r="G111" s="5" t="s">
        <v>10</v>
      </c>
      <c r="H111" s="7" t="s">
        <v>7</v>
      </c>
      <c r="I111" s="7" t="s">
        <v>494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1</v>
      </c>
      <c r="AR111" s="7">
        <v>0</v>
      </c>
      <c r="AS111" s="7">
        <v>200</v>
      </c>
      <c r="AT111" s="7">
        <v>0</v>
      </c>
      <c r="AU111" s="7">
        <v>0</v>
      </c>
      <c r="AV111" s="7">
        <v>0</v>
      </c>
      <c r="AW111" s="7">
        <v>0</v>
      </c>
      <c r="AX111" s="8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4</v>
      </c>
      <c r="BD111" s="8">
        <v>15120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9">
        <v>907.2</v>
      </c>
      <c r="BM111" s="10">
        <v>15320</v>
      </c>
      <c r="BN111" s="15">
        <f t="shared" si="2"/>
        <v>14412.8</v>
      </c>
      <c r="BO111" s="16">
        <f t="shared" si="3"/>
        <v>10088.959999999999</v>
      </c>
    </row>
    <row r="112" spans="1:67" x14ac:dyDescent="0.3">
      <c r="A112" s="5" t="s">
        <v>14</v>
      </c>
      <c r="B112" s="5" t="s">
        <v>279</v>
      </c>
      <c r="C112" s="5">
        <v>355320</v>
      </c>
      <c r="D112" s="6"/>
      <c r="E112" s="5" t="s">
        <v>16</v>
      </c>
      <c r="F112" s="5" t="s">
        <v>280</v>
      </c>
      <c r="G112" s="5" t="s">
        <v>34</v>
      </c>
      <c r="H112" s="7" t="s">
        <v>8</v>
      </c>
      <c r="I112" s="7" t="s">
        <v>281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11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72</v>
      </c>
      <c r="AF112" s="7">
        <v>8460</v>
      </c>
      <c r="AG112" s="7">
        <v>100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61</v>
      </c>
      <c r="AR112" s="8">
        <v>6100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8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5</v>
      </c>
      <c r="BD112" s="8">
        <v>600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9">
        <v>36</v>
      </c>
      <c r="BM112" s="10">
        <v>15260</v>
      </c>
      <c r="BN112" s="15">
        <f t="shared" si="2"/>
        <v>15224</v>
      </c>
      <c r="BO112" s="16">
        <f t="shared" si="3"/>
        <v>10656.8</v>
      </c>
    </row>
    <row r="113" spans="1:67" x14ac:dyDescent="0.3">
      <c r="A113" s="5" t="s">
        <v>14</v>
      </c>
      <c r="B113" s="5" t="s">
        <v>270</v>
      </c>
      <c r="C113" s="5">
        <v>404148</v>
      </c>
      <c r="D113" s="6"/>
      <c r="E113" s="5" t="s">
        <v>16</v>
      </c>
      <c r="F113" s="5" t="s">
        <v>271</v>
      </c>
      <c r="G113" s="5" t="s">
        <v>34</v>
      </c>
      <c r="H113" s="7" t="s">
        <v>8</v>
      </c>
      <c r="I113" s="7" t="s">
        <v>272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8">
        <v>0</v>
      </c>
      <c r="AG113" s="8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8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8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127</v>
      </c>
      <c r="BD113" s="7">
        <v>15240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914.4</v>
      </c>
      <c r="BM113" s="10">
        <v>15240</v>
      </c>
      <c r="BN113" s="15">
        <f t="shared" si="2"/>
        <v>14325.6</v>
      </c>
      <c r="BO113" s="16">
        <f t="shared" si="3"/>
        <v>10027.92</v>
      </c>
    </row>
    <row r="114" spans="1:67" x14ac:dyDescent="0.3">
      <c r="A114" s="5" t="s">
        <v>14</v>
      </c>
      <c r="B114" s="5" t="s">
        <v>132</v>
      </c>
      <c r="C114" s="5">
        <v>406849</v>
      </c>
      <c r="D114" s="6"/>
      <c r="E114" s="5" t="s">
        <v>16</v>
      </c>
      <c r="F114" s="5" t="s">
        <v>112</v>
      </c>
      <c r="G114" s="5" t="s">
        <v>10</v>
      </c>
      <c r="H114" s="7" t="s">
        <v>7</v>
      </c>
      <c r="I114" s="7" t="s">
        <v>133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8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151</v>
      </c>
      <c r="AF114" s="8">
        <v>10000</v>
      </c>
      <c r="AG114" s="8">
        <v>5100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8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8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15100</v>
      </c>
      <c r="BN114" s="15">
        <f t="shared" si="2"/>
        <v>15100</v>
      </c>
      <c r="BO114" s="16">
        <f t="shared" si="3"/>
        <v>10570</v>
      </c>
    </row>
    <row r="115" spans="1:67" x14ac:dyDescent="0.3">
      <c r="A115" s="5" t="s">
        <v>14</v>
      </c>
      <c r="B115" s="5" t="s">
        <v>580</v>
      </c>
      <c r="C115" s="5">
        <v>485660</v>
      </c>
      <c r="D115" s="6"/>
      <c r="E115" s="5" t="s">
        <v>16</v>
      </c>
      <c r="F115" s="5" t="s">
        <v>128</v>
      </c>
      <c r="G115" s="5" t="s">
        <v>34</v>
      </c>
      <c r="H115" s="7" t="s">
        <v>289</v>
      </c>
      <c r="I115" s="7" t="s">
        <v>562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2</v>
      </c>
      <c r="AF115" s="8">
        <v>3200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2</v>
      </c>
      <c r="AR115" s="8">
        <v>4700</v>
      </c>
      <c r="AS115" s="7">
        <v>900</v>
      </c>
      <c r="AT115" s="7">
        <v>0</v>
      </c>
      <c r="AU115" s="7">
        <v>0</v>
      </c>
      <c r="AV115" s="7">
        <v>0</v>
      </c>
      <c r="AW115" s="7">
        <v>1</v>
      </c>
      <c r="AX115" s="7">
        <v>3360</v>
      </c>
      <c r="AY115" s="7">
        <v>0</v>
      </c>
      <c r="AZ115" s="7">
        <v>0</v>
      </c>
      <c r="BA115" s="7">
        <v>0</v>
      </c>
      <c r="BB115" s="7">
        <v>0</v>
      </c>
      <c r="BC115" s="7">
        <v>1</v>
      </c>
      <c r="BD115" s="8">
        <v>2880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508.8</v>
      </c>
      <c r="BM115" s="10">
        <v>15040</v>
      </c>
      <c r="BN115" s="15">
        <f t="shared" si="2"/>
        <v>14531.2</v>
      </c>
      <c r="BO115" s="16">
        <f t="shared" si="3"/>
        <v>10171.84</v>
      </c>
    </row>
    <row r="116" spans="1:67" x14ac:dyDescent="0.3">
      <c r="A116" s="5" t="s">
        <v>14</v>
      </c>
      <c r="B116" s="5" t="s">
        <v>122</v>
      </c>
      <c r="C116" s="5">
        <v>386704</v>
      </c>
      <c r="D116" s="6"/>
      <c r="E116" s="5" t="s">
        <v>16</v>
      </c>
      <c r="F116" s="5" t="s">
        <v>123</v>
      </c>
      <c r="G116" s="5" t="s">
        <v>34</v>
      </c>
      <c r="H116" s="7" t="s">
        <v>8</v>
      </c>
      <c r="I116" s="7" t="s">
        <v>124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10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29</v>
      </c>
      <c r="AF116" s="7">
        <v>1100</v>
      </c>
      <c r="AG116" s="8">
        <v>1800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8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97</v>
      </c>
      <c r="BD116" s="8">
        <v>11640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698.4</v>
      </c>
      <c r="BM116" s="10">
        <v>14540</v>
      </c>
      <c r="BN116" s="15">
        <f t="shared" si="2"/>
        <v>13841.6</v>
      </c>
      <c r="BO116" s="16">
        <f t="shared" si="3"/>
        <v>9689.119999999999</v>
      </c>
    </row>
    <row r="117" spans="1:67" x14ac:dyDescent="0.3">
      <c r="A117" s="5" t="s">
        <v>14</v>
      </c>
      <c r="B117" s="5" t="s">
        <v>230</v>
      </c>
      <c r="C117" s="5">
        <v>356295</v>
      </c>
      <c r="D117" s="6"/>
      <c r="E117" s="5" t="s">
        <v>16</v>
      </c>
      <c r="F117" s="5" t="s">
        <v>41</v>
      </c>
      <c r="G117" s="5" t="s">
        <v>34</v>
      </c>
      <c r="H117" s="7" t="s">
        <v>8</v>
      </c>
      <c r="I117" s="7" t="s">
        <v>198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66</v>
      </c>
      <c r="AF117" s="8">
        <v>360</v>
      </c>
      <c r="AG117" s="8">
        <v>6300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1</v>
      </c>
      <c r="AX117" s="8">
        <v>120</v>
      </c>
      <c r="AY117" s="7">
        <v>0</v>
      </c>
      <c r="AZ117" s="7">
        <v>0</v>
      </c>
      <c r="BA117" s="7">
        <v>0</v>
      </c>
      <c r="BB117" s="7">
        <v>0</v>
      </c>
      <c r="BC117" s="7">
        <v>62</v>
      </c>
      <c r="BD117" s="8">
        <v>7440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458.4</v>
      </c>
      <c r="BM117" s="10">
        <v>14220</v>
      </c>
      <c r="BN117" s="15">
        <f t="shared" si="2"/>
        <v>13761.6</v>
      </c>
      <c r="BO117" s="16">
        <f t="shared" si="3"/>
        <v>9633.119999999999</v>
      </c>
    </row>
    <row r="118" spans="1:67" x14ac:dyDescent="0.3">
      <c r="A118" s="5" t="s">
        <v>14</v>
      </c>
      <c r="B118" s="5" t="s">
        <v>362</v>
      </c>
      <c r="C118" s="5">
        <v>471701</v>
      </c>
      <c r="D118" s="6"/>
      <c r="E118" s="5" t="s">
        <v>16</v>
      </c>
      <c r="F118" s="5" t="s">
        <v>363</v>
      </c>
      <c r="G118" s="5" t="s">
        <v>374</v>
      </c>
      <c r="H118" s="7" t="s">
        <v>9</v>
      </c>
      <c r="I118" s="7" t="s">
        <v>364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</v>
      </c>
      <c r="AF118" s="8">
        <v>120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5</v>
      </c>
      <c r="AX118" s="7">
        <v>765</v>
      </c>
      <c r="AY118" s="7">
        <v>0</v>
      </c>
      <c r="AZ118" s="7">
        <v>0</v>
      </c>
      <c r="BA118" s="7">
        <v>0</v>
      </c>
      <c r="BB118" s="7">
        <v>0</v>
      </c>
      <c r="BC118" s="7">
        <v>108</v>
      </c>
      <c r="BD118" s="8">
        <v>12960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854.1</v>
      </c>
      <c r="BM118" s="10">
        <v>13845</v>
      </c>
      <c r="BN118" s="15">
        <f t="shared" si="2"/>
        <v>12990.9</v>
      </c>
      <c r="BO118" s="16">
        <f t="shared" si="3"/>
        <v>9093.6299999999992</v>
      </c>
    </row>
    <row r="119" spans="1:67" x14ac:dyDescent="0.3">
      <c r="A119" s="5" t="s">
        <v>14</v>
      </c>
      <c r="B119" s="5" t="s">
        <v>245</v>
      </c>
      <c r="C119" s="5">
        <v>297776</v>
      </c>
      <c r="D119" s="6"/>
      <c r="E119" s="5" t="s">
        <v>16</v>
      </c>
      <c r="F119" s="5" t="s">
        <v>246</v>
      </c>
      <c r="G119" s="5" t="s">
        <v>382</v>
      </c>
      <c r="H119" s="7" t="s">
        <v>9</v>
      </c>
      <c r="I119" s="7" t="s">
        <v>247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6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72</v>
      </c>
      <c r="AF119" s="7">
        <v>0</v>
      </c>
      <c r="AG119" s="8">
        <v>7200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21</v>
      </c>
      <c r="AR119" s="7">
        <v>2100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34</v>
      </c>
      <c r="BD119" s="8">
        <v>4080</v>
      </c>
      <c r="BE119" s="8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244.8</v>
      </c>
      <c r="BM119" s="10">
        <v>13380</v>
      </c>
      <c r="BN119" s="15">
        <f t="shared" si="2"/>
        <v>13135.2</v>
      </c>
      <c r="BO119" s="16">
        <f t="shared" si="3"/>
        <v>9194.64</v>
      </c>
    </row>
    <row r="120" spans="1:67" ht="19.5" x14ac:dyDescent="0.3">
      <c r="A120" s="5" t="s">
        <v>14</v>
      </c>
      <c r="B120" s="5" t="s">
        <v>581</v>
      </c>
      <c r="C120" s="5">
        <v>397371</v>
      </c>
      <c r="D120" s="6"/>
      <c r="E120" s="5" t="s">
        <v>16</v>
      </c>
      <c r="F120" s="5" t="s">
        <v>582</v>
      </c>
      <c r="G120" s="5" t="s">
        <v>34</v>
      </c>
      <c r="H120" s="7" t="s">
        <v>289</v>
      </c>
      <c r="I120" s="7" t="s">
        <v>583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5</v>
      </c>
      <c r="AF120" s="8">
        <v>13000</v>
      </c>
      <c r="AG120" s="8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0">
        <v>13000</v>
      </c>
      <c r="BN120" s="15">
        <f t="shared" si="2"/>
        <v>13000</v>
      </c>
      <c r="BO120" s="16">
        <f t="shared" si="3"/>
        <v>9100</v>
      </c>
    </row>
    <row r="121" spans="1:67" x14ac:dyDescent="0.3">
      <c r="A121" s="5" t="s">
        <v>14</v>
      </c>
      <c r="B121" s="5" t="s">
        <v>298</v>
      </c>
      <c r="C121" s="5">
        <v>431330</v>
      </c>
      <c r="D121" s="6"/>
      <c r="E121" s="5" t="s">
        <v>16</v>
      </c>
      <c r="F121" s="5" t="s">
        <v>256</v>
      </c>
      <c r="G121" s="5" t="s">
        <v>34</v>
      </c>
      <c r="H121" s="7" t="s">
        <v>8</v>
      </c>
      <c r="I121" s="7" t="s">
        <v>299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33</v>
      </c>
      <c r="AF121" s="7">
        <v>0</v>
      </c>
      <c r="AG121" s="8">
        <v>3300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35</v>
      </c>
      <c r="AR121" s="7">
        <v>3500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45</v>
      </c>
      <c r="BD121" s="8">
        <v>5400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324</v>
      </c>
      <c r="BM121" s="10">
        <v>12200</v>
      </c>
      <c r="BN121" s="15">
        <f t="shared" si="2"/>
        <v>11876</v>
      </c>
      <c r="BO121" s="16">
        <f t="shared" si="3"/>
        <v>8313.1999999999989</v>
      </c>
    </row>
    <row r="122" spans="1:67" x14ac:dyDescent="0.3">
      <c r="A122" s="5" t="s">
        <v>14</v>
      </c>
      <c r="B122" s="5" t="s">
        <v>165</v>
      </c>
      <c r="C122" s="5">
        <v>429496</v>
      </c>
      <c r="D122" s="6"/>
      <c r="E122" s="5" t="s">
        <v>16</v>
      </c>
      <c r="F122" s="5" t="s">
        <v>166</v>
      </c>
      <c r="G122" s="5" t="s">
        <v>374</v>
      </c>
      <c r="H122" s="7" t="s">
        <v>7</v>
      </c>
      <c r="I122" s="7" t="s">
        <v>167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8</v>
      </c>
      <c r="AF122" s="8">
        <v>0</v>
      </c>
      <c r="AG122" s="7">
        <v>800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1</v>
      </c>
      <c r="AR122" s="8">
        <v>100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94</v>
      </c>
      <c r="BD122" s="7">
        <v>11280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676.8</v>
      </c>
      <c r="BM122" s="10">
        <v>12180</v>
      </c>
      <c r="BN122" s="15">
        <f t="shared" si="2"/>
        <v>11503.2</v>
      </c>
      <c r="BO122" s="16">
        <f t="shared" si="3"/>
        <v>8052.24</v>
      </c>
    </row>
    <row r="123" spans="1:67" x14ac:dyDescent="0.3">
      <c r="A123" s="5" t="s">
        <v>14</v>
      </c>
      <c r="B123" s="5" t="s">
        <v>584</v>
      </c>
      <c r="C123" s="5">
        <v>483174</v>
      </c>
      <c r="D123" s="6"/>
      <c r="E123" s="5" t="s">
        <v>16</v>
      </c>
      <c r="F123" s="5" t="s">
        <v>571</v>
      </c>
      <c r="G123" s="5" t="s">
        <v>382</v>
      </c>
      <c r="H123" s="7" t="s">
        <v>8</v>
      </c>
      <c r="I123" s="7" t="s">
        <v>572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3</v>
      </c>
      <c r="AF123" s="8">
        <v>0</v>
      </c>
      <c r="AG123" s="8">
        <v>9000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1</v>
      </c>
      <c r="AR123" s="7">
        <v>3000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8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8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10">
        <v>12000</v>
      </c>
      <c r="BN123" s="15">
        <f t="shared" si="2"/>
        <v>12000</v>
      </c>
      <c r="BO123" s="16">
        <f t="shared" si="3"/>
        <v>8400</v>
      </c>
    </row>
    <row r="124" spans="1:67" x14ac:dyDescent="0.3">
      <c r="A124" s="5" t="s">
        <v>14</v>
      </c>
      <c r="B124" s="5" t="s">
        <v>369</v>
      </c>
      <c r="C124" s="5">
        <v>373610</v>
      </c>
      <c r="D124" s="6"/>
      <c r="E124" s="5" t="s">
        <v>16</v>
      </c>
      <c r="F124" s="5" t="s">
        <v>370</v>
      </c>
      <c r="G124" s="5" t="s">
        <v>10</v>
      </c>
      <c r="H124" s="7" t="s">
        <v>7</v>
      </c>
      <c r="I124" s="7" t="s">
        <v>371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8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92</v>
      </c>
      <c r="AR124" s="7">
        <v>7000</v>
      </c>
      <c r="AS124" s="7">
        <v>2200</v>
      </c>
      <c r="AT124" s="7">
        <v>0</v>
      </c>
      <c r="AU124" s="7">
        <v>0</v>
      </c>
      <c r="AV124" s="7">
        <v>0</v>
      </c>
      <c r="AW124" s="7">
        <v>0</v>
      </c>
      <c r="AX124" s="8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21</v>
      </c>
      <c r="BD124" s="7">
        <v>2520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9">
        <v>151.19999999999999</v>
      </c>
      <c r="BM124" s="10">
        <v>11720</v>
      </c>
      <c r="BN124" s="15">
        <f t="shared" si="2"/>
        <v>11568.8</v>
      </c>
      <c r="BO124" s="16">
        <f t="shared" si="3"/>
        <v>8098.1599999999989</v>
      </c>
    </row>
    <row r="125" spans="1:67" x14ac:dyDescent="0.3">
      <c r="A125" s="5" t="s">
        <v>14</v>
      </c>
      <c r="B125" s="5" t="s">
        <v>277</v>
      </c>
      <c r="C125" s="5">
        <v>391329</v>
      </c>
      <c r="D125" s="6"/>
      <c r="E125" s="5" t="s">
        <v>16</v>
      </c>
      <c r="F125" s="5" t="s">
        <v>66</v>
      </c>
      <c r="G125" s="5" t="s">
        <v>10</v>
      </c>
      <c r="H125" s="7" t="s">
        <v>7</v>
      </c>
      <c r="I125" s="7" t="s">
        <v>278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1</v>
      </c>
      <c r="AF125" s="7">
        <v>3840</v>
      </c>
      <c r="AG125" s="8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2</v>
      </c>
      <c r="AX125" s="8">
        <v>7680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8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768</v>
      </c>
      <c r="BM125" s="10">
        <v>11520</v>
      </c>
      <c r="BN125" s="15">
        <f t="shared" si="2"/>
        <v>10752</v>
      </c>
      <c r="BO125" s="16">
        <f t="shared" si="3"/>
        <v>7526.4</v>
      </c>
    </row>
    <row r="126" spans="1:67" x14ac:dyDescent="0.3">
      <c r="A126" s="5" t="s">
        <v>14</v>
      </c>
      <c r="B126" s="5" t="s">
        <v>511</v>
      </c>
      <c r="C126" s="5">
        <v>393275</v>
      </c>
      <c r="D126" s="6"/>
      <c r="E126" s="5" t="s">
        <v>16</v>
      </c>
      <c r="F126" s="5" t="s">
        <v>182</v>
      </c>
      <c r="G126" s="5" t="s">
        <v>10</v>
      </c>
      <c r="H126" s="7" t="s">
        <v>7</v>
      </c>
      <c r="I126" s="7" t="s">
        <v>512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1</v>
      </c>
      <c r="AR126" s="7">
        <v>2400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3</v>
      </c>
      <c r="BD126" s="8">
        <v>8640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518.4</v>
      </c>
      <c r="BM126" s="10">
        <v>11040</v>
      </c>
      <c r="BN126" s="15">
        <f t="shared" si="2"/>
        <v>10521.6</v>
      </c>
      <c r="BO126" s="16">
        <f t="shared" si="3"/>
        <v>7365.12</v>
      </c>
    </row>
    <row r="127" spans="1:67" x14ac:dyDescent="0.3">
      <c r="A127" s="5" t="s">
        <v>14</v>
      </c>
      <c r="B127" s="5" t="s">
        <v>91</v>
      </c>
      <c r="C127" s="5">
        <v>462353</v>
      </c>
      <c r="D127" s="6"/>
      <c r="E127" s="5" t="s">
        <v>16</v>
      </c>
      <c r="F127" s="5" t="s">
        <v>39</v>
      </c>
      <c r="G127" s="5" t="s">
        <v>10</v>
      </c>
      <c r="H127" s="7" t="s">
        <v>7</v>
      </c>
      <c r="I127" s="7" t="s">
        <v>92</v>
      </c>
      <c r="J127" s="7">
        <v>7</v>
      </c>
      <c r="K127" s="7">
        <v>0</v>
      </c>
      <c r="L127" s="7">
        <v>700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5</v>
      </c>
      <c r="AF127" s="7">
        <v>0</v>
      </c>
      <c r="AG127" s="7">
        <v>500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14</v>
      </c>
      <c r="AR127" s="8">
        <v>1400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69</v>
      </c>
      <c r="BD127" s="8">
        <v>8280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496.8</v>
      </c>
      <c r="BM127" s="10">
        <v>10880</v>
      </c>
      <c r="BN127" s="15">
        <f t="shared" si="2"/>
        <v>10383.200000000001</v>
      </c>
      <c r="BO127" s="16">
        <f t="shared" si="3"/>
        <v>7268.24</v>
      </c>
    </row>
    <row r="128" spans="1:67" x14ac:dyDescent="0.3">
      <c r="A128" s="5" t="s">
        <v>14</v>
      </c>
      <c r="B128" s="5" t="s">
        <v>283</v>
      </c>
      <c r="C128" s="5">
        <v>427091</v>
      </c>
      <c r="D128" s="6"/>
      <c r="E128" s="5" t="s">
        <v>16</v>
      </c>
      <c r="F128" s="5" t="s">
        <v>41</v>
      </c>
      <c r="G128" s="5" t="s">
        <v>34</v>
      </c>
      <c r="H128" s="7" t="s">
        <v>8</v>
      </c>
      <c r="I128" s="7" t="s">
        <v>284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4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8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43</v>
      </c>
      <c r="AX128" s="8">
        <v>5160</v>
      </c>
      <c r="AY128" s="7">
        <v>0</v>
      </c>
      <c r="AZ128" s="7">
        <v>0</v>
      </c>
      <c r="BA128" s="7">
        <v>0</v>
      </c>
      <c r="BB128" s="7">
        <v>0</v>
      </c>
      <c r="BC128" s="7">
        <v>47</v>
      </c>
      <c r="BD128" s="8">
        <v>5640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854.4</v>
      </c>
      <c r="BM128" s="10">
        <v>10800</v>
      </c>
      <c r="BN128" s="15">
        <f t="shared" si="2"/>
        <v>9945.6</v>
      </c>
      <c r="BO128" s="16">
        <f t="shared" si="3"/>
        <v>6961.92</v>
      </c>
    </row>
    <row r="129" spans="1:67" x14ac:dyDescent="0.3">
      <c r="A129" s="5" t="s">
        <v>14</v>
      </c>
      <c r="B129" s="5" t="s">
        <v>359</v>
      </c>
      <c r="C129" s="5">
        <v>471707</v>
      </c>
      <c r="D129" s="6"/>
      <c r="E129" s="5" t="s">
        <v>16</v>
      </c>
      <c r="F129" s="5" t="s">
        <v>360</v>
      </c>
      <c r="G129" s="5" t="s">
        <v>10</v>
      </c>
      <c r="H129" s="7" t="s">
        <v>7</v>
      </c>
      <c r="I129" s="7" t="s">
        <v>361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61</v>
      </c>
      <c r="AF129" s="7">
        <v>5800</v>
      </c>
      <c r="AG129" s="7">
        <v>300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22</v>
      </c>
      <c r="AX129" s="7">
        <v>2640</v>
      </c>
      <c r="AY129" s="7">
        <v>0</v>
      </c>
      <c r="AZ129" s="7">
        <v>0</v>
      </c>
      <c r="BA129" s="7">
        <v>0</v>
      </c>
      <c r="BB129" s="7">
        <v>0</v>
      </c>
      <c r="BC129" s="7">
        <v>6</v>
      </c>
      <c r="BD129" s="8">
        <v>720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307.2</v>
      </c>
      <c r="BM129" s="10">
        <v>9460</v>
      </c>
      <c r="BN129" s="15">
        <f t="shared" si="2"/>
        <v>9152.7999999999993</v>
      </c>
      <c r="BO129" s="16">
        <f t="shared" si="3"/>
        <v>6406.9599999999991</v>
      </c>
    </row>
    <row r="130" spans="1:67" x14ac:dyDescent="0.3">
      <c r="A130" s="5" t="s">
        <v>14</v>
      </c>
      <c r="B130" s="5" t="s">
        <v>168</v>
      </c>
      <c r="C130" s="5">
        <v>419744</v>
      </c>
      <c r="D130" s="6"/>
      <c r="E130" s="5" t="s">
        <v>16</v>
      </c>
      <c r="F130" s="5" t="s">
        <v>169</v>
      </c>
      <c r="G130" s="5" t="s">
        <v>10</v>
      </c>
      <c r="H130" s="7" t="s">
        <v>7</v>
      </c>
      <c r="I130" s="7" t="s">
        <v>170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4</v>
      </c>
      <c r="AF130" s="7">
        <v>0</v>
      </c>
      <c r="AG130" s="8">
        <v>400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8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73</v>
      </c>
      <c r="BD130" s="7">
        <v>8760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525.6</v>
      </c>
      <c r="BM130" s="10">
        <v>9160</v>
      </c>
      <c r="BN130" s="15">
        <f t="shared" si="2"/>
        <v>8634.4</v>
      </c>
      <c r="BO130" s="16">
        <f t="shared" si="3"/>
        <v>6044.079999999999</v>
      </c>
    </row>
    <row r="131" spans="1:67" x14ac:dyDescent="0.3">
      <c r="A131" s="5" t="s">
        <v>14</v>
      </c>
      <c r="B131" s="5" t="s">
        <v>585</v>
      </c>
      <c r="C131" s="5">
        <v>388468</v>
      </c>
      <c r="D131" s="6"/>
      <c r="E131" s="5" t="s">
        <v>16</v>
      </c>
      <c r="F131" s="5" t="s">
        <v>578</v>
      </c>
      <c r="G131" s="5" t="s">
        <v>34</v>
      </c>
      <c r="H131" s="7" t="s">
        <v>8</v>
      </c>
      <c r="I131" s="7" t="s">
        <v>586</v>
      </c>
      <c r="J131" s="7">
        <v>0</v>
      </c>
      <c r="K131" s="7">
        <v>8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5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4</v>
      </c>
      <c r="AF131" s="7">
        <v>400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1</v>
      </c>
      <c r="AR131" s="8">
        <v>100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71</v>
      </c>
      <c r="BD131" s="8">
        <v>8520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511.2</v>
      </c>
      <c r="BM131" s="10">
        <v>9020</v>
      </c>
      <c r="BN131" s="15">
        <f t="shared" ref="BN131:BN185" si="4">BM131-BL131</f>
        <v>8508.7999999999993</v>
      </c>
      <c r="BO131" s="16">
        <f t="shared" ref="BO131:BO185" si="5">BN131*70%</f>
        <v>5956.1599999999989</v>
      </c>
    </row>
    <row r="132" spans="1:67" x14ac:dyDescent="0.3">
      <c r="A132" s="5" t="s">
        <v>14</v>
      </c>
      <c r="B132" s="5" t="s">
        <v>300</v>
      </c>
      <c r="C132" s="5">
        <v>414120</v>
      </c>
      <c r="D132" s="6"/>
      <c r="E132" s="5" t="s">
        <v>16</v>
      </c>
      <c r="F132" s="5" t="s">
        <v>41</v>
      </c>
      <c r="G132" s="5" t="s">
        <v>34</v>
      </c>
      <c r="H132" s="7" t="s">
        <v>8</v>
      </c>
      <c r="I132" s="7" t="s">
        <v>195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2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27</v>
      </c>
      <c r="AF132" s="7">
        <v>2700</v>
      </c>
      <c r="AG132" s="8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8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52</v>
      </c>
      <c r="BD132" s="8">
        <v>6240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374.4</v>
      </c>
      <c r="BM132" s="10">
        <v>8940</v>
      </c>
      <c r="BN132" s="15">
        <f t="shared" si="4"/>
        <v>8565.6</v>
      </c>
      <c r="BO132" s="16">
        <f t="shared" si="5"/>
        <v>5995.92</v>
      </c>
    </row>
    <row r="133" spans="1:67" x14ac:dyDescent="0.3">
      <c r="A133" s="5" t="s">
        <v>14</v>
      </c>
      <c r="B133" s="5" t="s">
        <v>471</v>
      </c>
      <c r="C133" s="5">
        <v>441966</v>
      </c>
      <c r="D133" s="6"/>
      <c r="E133" s="5" t="s">
        <v>16</v>
      </c>
      <c r="F133" s="5" t="s">
        <v>108</v>
      </c>
      <c r="G133" s="5" t="s">
        <v>382</v>
      </c>
      <c r="H133" s="7" t="s">
        <v>8</v>
      </c>
      <c r="I133" s="7" t="s">
        <v>472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8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8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3</v>
      </c>
      <c r="BD133" s="7">
        <v>8640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518.4</v>
      </c>
      <c r="BM133" s="10">
        <v>8640</v>
      </c>
      <c r="BN133" s="15">
        <f t="shared" si="4"/>
        <v>8121.6</v>
      </c>
      <c r="BO133" s="16">
        <f t="shared" si="5"/>
        <v>5685.12</v>
      </c>
    </row>
    <row r="134" spans="1:67" x14ac:dyDescent="0.3">
      <c r="A134" s="5" t="s">
        <v>14</v>
      </c>
      <c r="B134" s="5" t="s">
        <v>275</v>
      </c>
      <c r="C134" s="5">
        <v>328894</v>
      </c>
      <c r="D134" s="6"/>
      <c r="E134" s="5" t="s">
        <v>16</v>
      </c>
      <c r="F134" s="5" t="s">
        <v>200</v>
      </c>
      <c r="G134" s="5" t="s">
        <v>34</v>
      </c>
      <c r="H134" s="7" t="s">
        <v>8</v>
      </c>
      <c r="I134" s="7" t="s">
        <v>276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4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35</v>
      </c>
      <c r="AF134" s="8">
        <v>0</v>
      </c>
      <c r="AG134" s="7">
        <v>3500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8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42</v>
      </c>
      <c r="BD134" s="7">
        <v>5040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302.39999999999998</v>
      </c>
      <c r="BM134" s="10">
        <v>8540</v>
      </c>
      <c r="BN134" s="15">
        <f t="shared" si="4"/>
        <v>8237.6</v>
      </c>
      <c r="BO134" s="16">
        <f t="shared" si="5"/>
        <v>5766.32</v>
      </c>
    </row>
    <row r="135" spans="1:67" x14ac:dyDescent="0.3">
      <c r="A135" s="5" t="s">
        <v>14</v>
      </c>
      <c r="B135" s="5" t="s">
        <v>285</v>
      </c>
      <c r="C135" s="5">
        <v>385169</v>
      </c>
      <c r="D135" s="6"/>
      <c r="E135" s="5" t="s">
        <v>16</v>
      </c>
      <c r="F135" s="5" t="s">
        <v>200</v>
      </c>
      <c r="G135" s="5" t="s">
        <v>34</v>
      </c>
      <c r="H135" s="7" t="s">
        <v>8</v>
      </c>
      <c r="I135" s="7" t="s">
        <v>281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8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71</v>
      </c>
      <c r="BD135" s="8">
        <v>8520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511.2</v>
      </c>
      <c r="BM135" s="10">
        <v>8520</v>
      </c>
      <c r="BN135" s="15">
        <f t="shared" si="4"/>
        <v>8008.8</v>
      </c>
      <c r="BO135" s="16">
        <f t="shared" si="5"/>
        <v>5606.16</v>
      </c>
    </row>
    <row r="136" spans="1:67" x14ac:dyDescent="0.3">
      <c r="A136" s="5" t="s">
        <v>14</v>
      </c>
      <c r="B136" s="5" t="s">
        <v>478</v>
      </c>
      <c r="C136" s="5">
        <v>299970</v>
      </c>
      <c r="D136" s="6"/>
      <c r="E136" s="5" t="s">
        <v>16</v>
      </c>
      <c r="F136" s="5" t="s">
        <v>315</v>
      </c>
      <c r="G136" s="5" t="s">
        <v>10</v>
      </c>
      <c r="H136" s="7" t="s">
        <v>7</v>
      </c>
      <c r="I136" s="7" t="s">
        <v>479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1</v>
      </c>
      <c r="AC136" s="7">
        <v>0</v>
      </c>
      <c r="AD136" s="7">
        <v>300</v>
      </c>
      <c r="AE136" s="7">
        <v>0</v>
      </c>
      <c r="AF136" s="8">
        <v>0</v>
      </c>
      <c r="AG136" s="8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8">
        <v>0</v>
      </c>
      <c r="AY136" s="7">
        <v>0</v>
      </c>
      <c r="AZ136" s="7">
        <v>8</v>
      </c>
      <c r="BA136" s="7">
        <v>7320</v>
      </c>
      <c r="BB136" s="7">
        <v>800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439.2</v>
      </c>
      <c r="BM136" s="10">
        <v>8420</v>
      </c>
      <c r="BN136" s="15">
        <f t="shared" si="4"/>
        <v>7980.8</v>
      </c>
      <c r="BO136" s="16">
        <f t="shared" si="5"/>
        <v>5586.5599999999995</v>
      </c>
    </row>
    <row r="137" spans="1:67" x14ac:dyDescent="0.3">
      <c r="A137" s="5" t="s">
        <v>14</v>
      </c>
      <c r="B137" s="5" t="s">
        <v>587</v>
      </c>
      <c r="C137" s="5">
        <v>444220</v>
      </c>
      <c r="D137" s="6"/>
      <c r="E137" s="5" t="s">
        <v>16</v>
      </c>
      <c r="F137" s="5" t="s">
        <v>123</v>
      </c>
      <c r="G137" s="5" t="s">
        <v>34</v>
      </c>
      <c r="H137" s="7" t="s">
        <v>289</v>
      </c>
      <c r="I137" s="7" t="s">
        <v>562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3</v>
      </c>
      <c r="AF137" s="8">
        <v>8400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8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10">
        <v>8400</v>
      </c>
      <c r="BN137" s="15">
        <f t="shared" si="4"/>
        <v>8400</v>
      </c>
      <c r="BO137" s="16">
        <f t="shared" si="5"/>
        <v>5880</v>
      </c>
    </row>
    <row r="138" spans="1:67" x14ac:dyDescent="0.3">
      <c r="A138" s="5" t="s">
        <v>14</v>
      </c>
      <c r="B138" s="5" t="s">
        <v>311</v>
      </c>
      <c r="C138" s="5">
        <v>406872</v>
      </c>
      <c r="D138" s="6"/>
      <c r="E138" s="5" t="s">
        <v>16</v>
      </c>
      <c r="F138" s="5" t="s">
        <v>312</v>
      </c>
      <c r="G138" s="5" t="s">
        <v>382</v>
      </c>
      <c r="H138" s="7" t="s">
        <v>9</v>
      </c>
      <c r="I138" s="7" t="s">
        <v>313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6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70</v>
      </c>
      <c r="AX138" s="7">
        <v>8400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8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840</v>
      </c>
      <c r="BM138" s="10">
        <v>8400</v>
      </c>
      <c r="BN138" s="15">
        <f t="shared" si="4"/>
        <v>7560</v>
      </c>
      <c r="BO138" s="16">
        <f t="shared" si="5"/>
        <v>5292</v>
      </c>
    </row>
    <row r="139" spans="1:67" x14ac:dyDescent="0.3">
      <c r="A139" s="5" t="s">
        <v>14</v>
      </c>
      <c r="B139" s="5" t="s">
        <v>588</v>
      </c>
      <c r="C139" s="5">
        <v>475991</v>
      </c>
      <c r="D139" s="6"/>
      <c r="E139" s="5" t="s">
        <v>16</v>
      </c>
      <c r="F139" s="5" t="s">
        <v>360</v>
      </c>
      <c r="G139" s="5" t="s">
        <v>10</v>
      </c>
      <c r="H139" s="7" t="s">
        <v>7</v>
      </c>
      <c r="I139" s="7" t="s">
        <v>386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1</v>
      </c>
      <c r="AF139" s="7">
        <v>3840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1</v>
      </c>
      <c r="BD139" s="8">
        <v>3840</v>
      </c>
      <c r="BE139" s="8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230.4</v>
      </c>
      <c r="BM139" s="10">
        <v>7680</v>
      </c>
      <c r="BN139" s="15">
        <f t="shared" si="4"/>
        <v>7449.6</v>
      </c>
      <c r="BO139" s="16">
        <f t="shared" si="5"/>
        <v>5214.72</v>
      </c>
    </row>
    <row r="140" spans="1:67" x14ac:dyDescent="0.3">
      <c r="A140" s="5" t="s">
        <v>14</v>
      </c>
      <c r="B140" s="5" t="s">
        <v>513</v>
      </c>
      <c r="C140" s="5">
        <v>480778</v>
      </c>
      <c r="D140" s="6"/>
      <c r="E140" s="5" t="s">
        <v>16</v>
      </c>
      <c r="F140" s="5" t="s">
        <v>69</v>
      </c>
      <c r="G140" s="5" t="s">
        <v>10</v>
      </c>
      <c r="H140" s="7" t="s">
        <v>7</v>
      </c>
      <c r="I140" s="7" t="s">
        <v>514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8">
        <v>0</v>
      </c>
      <c r="AG140" s="8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8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2</v>
      </c>
      <c r="BD140" s="8">
        <v>7680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460.8</v>
      </c>
      <c r="BM140" s="10">
        <v>7680</v>
      </c>
      <c r="BN140" s="15">
        <f t="shared" si="4"/>
        <v>7219.2</v>
      </c>
      <c r="BO140" s="16">
        <f t="shared" si="5"/>
        <v>5053.4399999999996</v>
      </c>
    </row>
    <row r="141" spans="1:67" x14ac:dyDescent="0.3">
      <c r="A141" s="5" t="s">
        <v>14</v>
      </c>
      <c r="B141" s="5" t="s">
        <v>306</v>
      </c>
      <c r="C141" s="5">
        <v>358202</v>
      </c>
      <c r="D141" s="6"/>
      <c r="E141" s="5" t="s">
        <v>16</v>
      </c>
      <c r="F141" s="5" t="s">
        <v>256</v>
      </c>
      <c r="G141" s="5" t="s">
        <v>34</v>
      </c>
      <c r="H141" s="7" t="s">
        <v>8</v>
      </c>
      <c r="I141" s="7" t="s">
        <v>307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35</v>
      </c>
      <c r="AF141" s="7">
        <v>3500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8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31</v>
      </c>
      <c r="BD141" s="8">
        <v>3480</v>
      </c>
      <c r="BE141" s="7">
        <v>200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208.8</v>
      </c>
      <c r="BM141" s="10">
        <v>7180</v>
      </c>
      <c r="BN141" s="15">
        <f t="shared" si="4"/>
        <v>6971.2</v>
      </c>
      <c r="BO141" s="16">
        <f t="shared" si="5"/>
        <v>4879.8399999999992</v>
      </c>
    </row>
    <row r="142" spans="1:67" x14ac:dyDescent="0.3">
      <c r="A142" s="5" t="s">
        <v>14</v>
      </c>
      <c r="B142" s="5" t="s">
        <v>339</v>
      </c>
      <c r="C142" s="5">
        <v>446880</v>
      </c>
      <c r="D142" s="6"/>
      <c r="E142" s="5" t="s">
        <v>16</v>
      </c>
      <c r="F142" s="5" t="s">
        <v>256</v>
      </c>
      <c r="G142" s="5" t="s">
        <v>34</v>
      </c>
      <c r="H142" s="7" t="s">
        <v>289</v>
      </c>
      <c r="I142" s="7" t="s">
        <v>299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2</v>
      </c>
      <c r="AF142" s="8">
        <v>6900</v>
      </c>
      <c r="AG142" s="7">
        <v>100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10">
        <v>7000</v>
      </c>
      <c r="BN142" s="15">
        <f t="shared" si="4"/>
        <v>7000</v>
      </c>
      <c r="BO142" s="16">
        <f t="shared" si="5"/>
        <v>4900</v>
      </c>
    </row>
    <row r="143" spans="1:67" ht="19.5" x14ac:dyDescent="0.3">
      <c r="A143" s="5" t="s">
        <v>14</v>
      </c>
      <c r="B143" s="5" t="s">
        <v>184</v>
      </c>
      <c r="C143" s="5">
        <v>467503</v>
      </c>
      <c r="D143" s="6"/>
      <c r="E143" s="5" t="s">
        <v>16</v>
      </c>
      <c r="F143" s="5" t="s">
        <v>160</v>
      </c>
      <c r="G143" s="5" t="s">
        <v>34</v>
      </c>
      <c r="H143" s="7" t="s">
        <v>8</v>
      </c>
      <c r="I143" s="7" t="s">
        <v>27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2</v>
      </c>
      <c r="AF143" s="8">
        <v>400</v>
      </c>
      <c r="AG143" s="7">
        <v>3200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1</v>
      </c>
      <c r="BD143" s="7">
        <v>3360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201.6</v>
      </c>
      <c r="BM143" s="10">
        <v>6960</v>
      </c>
      <c r="BN143" s="15">
        <f t="shared" si="4"/>
        <v>6758.4</v>
      </c>
      <c r="BO143" s="16">
        <f t="shared" si="5"/>
        <v>4730.8799999999992</v>
      </c>
    </row>
    <row r="144" spans="1:67" x14ac:dyDescent="0.3">
      <c r="A144" s="5" t="s">
        <v>14</v>
      </c>
      <c r="B144" s="5" t="s">
        <v>286</v>
      </c>
      <c r="C144" s="5">
        <v>377088</v>
      </c>
      <c r="D144" s="6"/>
      <c r="E144" s="5" t="s">
        <v>16</v>
      </c>
      <c r="F144" s="5" t="s">
        <v>287</v>
      </c>
      <c r="G144" s="5" t="s">
        <v>34</v>
      </c>
      <c r="H144" s="7" t="s">
        <v>8</v>
      </c>
      <c r="I144" s="7" t="s">
        <v>288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2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53</v>
      </c>
      <c r="AF144" s="7">
        <v>5920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8</v>
      </c>
      <c r="BD144" s="8">
        <v>960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57.6</v>
      </c>
      <c r="BM144" s="10">
        <v>6880</v>
      </c>
      <c r="BN144" s="15">
        <f t="shared" si="4"/>
        <v>6822.4</v>
      </c>
      <c r="BO144" s="16">
        <f t="shared" si="5"/>
        <v>4775.6799999999994</v>
      </c>
    </row>
    <row r="145" spans="1:67" x14ac:dyDescent="0.3">
      <c r="A145" s="5" t="s">
        <v>14</v>
      </c>
      <c r="B145" s="5" t="s">
        <v>187</v>
      </c>
      <c r="C145" s="5">
        <v>445861</v>
      </c>
      <c r="D145" s="6"/>
      <c r="E145" s="5" t="s">
        <v>16</v>
      </c>
      <c r="F145" s="5" t="s">
        <v>47</v>
      </c>
      <c r="G145" s="5" t="s">
        <v>34</v>
      </c>
      <c r="H145" s="7" t="s">
        <v>8</v>
      </c>
      <c r="I145" s="7" t="s">
        <v>188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2</v>
      </c>
      <c r="AF145" s="7">
        <v>6160</v>
      </c>
      <c r="AG145" s="8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8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10">
        <v>6160</v>
      </c>
      <c r="BN145" s="15">
        <f t="shared" si="4"/>
        <v>6160</v>
      </c>
      <c r="BO145" s="16">
        <f t="shared" si="5"/>
        <v>4312</v>
      </c>
    </row>
    <row r="146" spans="1:67" ht="19.5" x14ac:dyDescent="0.3">
      <c r="A146" s="5" t="s">
        <v>14</v>
      </c>
      <c r="B146" s="5" t="s">
        <v>159</v>
      </c>
      <c r="C146" s="5">
        <v>467470</v>
      </c>
      <c r="D146" s="6"/>
      <c r="E146" s="5" t="s">
        <v>16</v>
      </c>
      <c r="F146" s="5" t="s">
        <v>160</v>
      </c>
      <c r="G146" s="5" t="s">
        <v>34</v>
      </c>
      <c r="H146" s="7" t="s">
        <v>8</v>
      </c>
      <c r="I146" s="7" t="s">
        <v>161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2</v>
      </c>
      <c r="AF146" s="7">
        <v>2200</v>
      </c>
      <c r="AG146" s="7">
        <v>3000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1</v>
      </c>
      <c r="BD146" s="8">
        <v>960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57.6</v>
      </c>
      <c r="BM146" s="10">
        <v>6160</v>
      </c>
      <c r="BN146" s="15">
        <f t="shared" si="4"/>
        <v>6102.4</v>
      </c>
      <c r="BO146" s="16">
        <f t="shared" si="5"/>
        <v>4271.6799999999994</v>
      </c>
    </row>
    <row r="147" spans="1:67" ht="19.5" x14ac:dyDescent="0.3">
      <c r="A147" s="5" t="s">
        <v>14</v>
      </c>
      <c r="B147" s="5" t="s">
        <v>333</v>
      </c>
      <c r="C147" s="5">
        <v>458432</v>
      </c>
      <c r="D147" s="6"/>
      <c r="E147" s="5" t="s">
        <v>16</v>
      </c>
      <c r="F147" s="5" t="s">
        <v>128</v>
      </c>
      <c r="G147" s="5" t="s">
        <v>34</v>
      </c>
      <c r="H147" s="7" t="s">
        <v>289</v>
      </c>
      <c r="I147" s="7" t="s">
        <v>334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2</v>
      </c>
      <c r="AF147" s="7">
        <v>3000</v>
      </c>
      <c r="AG147" s="7">
        <v>3000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8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10">
        <v>6000</v>
      </c>
      <c r="BN147" s="15">
        <f t="shared" si="4"/>
        <v>6000</v>
      </c>
      <c r="BO147" s="16">
        <f t="shared" si="5"/>
        <v>4200</v>
      </c>
    </row>
    <row r="148" spans="1:67" x14ac:dyDescent="0.3">
      <c r="A148" s="5" t="s">
        <v>14</v>
      </c>
      <c r="B148" s="5" t="s">
        <v>258</v>
      </c>
      <c r="C148" s="5">
        <v>417258</v>
      </c>
      <c r="D148" s="6"/>
      <c r="E148" s="5" t="s">
        <v>16</v>
      </c>
      <c r="F148" s="5" t="s">
        <v>259</v>
      </c>
      <c r="G148" s="5" t="s">
        <v>34</v>
      </c>
      <c r="H148" s="7" t="s">
        <v>8</v>
      </c>
      <c r="I148" s="7" t="s">
        <v>260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47</v>
      </c>
      <c r="AF148" s="8">
        <v>5640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8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10">
        <v>5640</v>
      </c>
      <c r="BN148" s="15">
        <f t="shared" si="4"/>
        <v>5640</v>
      </c>
      <c r="BO148" s="16">
        <f t="shared" si="5"/>
        <v>3947.9999999999995</v>
      </c>
    </row>
    <row r="149" spans="1:67" x14ac:dyDescent="0.3">
      <c r="A149" s="5" t="s">
        <v>14</v>
      </c>
      <c r="B149" s="5" t="s">
        <v>589</v>
      </c>
      <c r="C149" s="5">
        <v>383716</v>
      </c>
      <c r="D149" s="6"/>
      <c r="E149" s="5" t="s">
        <v>16</v>
      </c>
      <c r="F149" s="5" t="s">
        <v>256</v>
      </c>
      <c r="G149" s="5" t="s">
        <v>34</v>
      </c>
      <c r="H149" s="7" t="s">
        <v>289</v>
      </c>
      <c r="I149" s="7" t="s">
        <v>325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6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56</v>
      </c>
      <c r="AF149" s="8">
        <v>300</v>
      </c>
      <c r="AG149" s="8">
        <v>5300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10">
        <v>5600</v>
      </c>
      <c r="BN149" s="15">
        <f t="shared" si="4"/>
        <v>5600</v>
      </c>
      <c r="BO149" s="16">
        <f t="shared" si="5"/>
        <v>3919.9999999999995</v>
      </c>
    </row>
    <row r="150" spans="1:67" x14ac:dyDescent="0.3">
      <c r="A150" s="5" t="s">
        <v>14</v>
      </c>
      <c r="B150" s="5" t="s">
        <v>590</v>
      </c>
      <c r="C150" s="5">
        <v>484916</v>
      </c>
      <c r="D150" s="6"/>
      <c r="E150" s="5" t="s">
        <v>16</v>
      </c>
      <c r="F150" s="5" t="s">
        <v>591</v>
      </c>
      <c r="G150" s="5" t="s">
        <v>34</v>
      </c>
      <c r="H150" s="7" t="s">
        <v>7</v>
      </c>
      <c r="I150" s="7" t="s">
        <v>592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30</v>
      </c>
      <c r="AF150" s="8">
        <v>2100</v>
      </c>
      <c r="AG150" s="8">
        <v>900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12</v>
      </c>
      <c r="AR150" s="7">
        <v>1200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11</v>
      </c>
      <c r="BD150" s="8">
        <v>1320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79.2</v>
      </c>
      <c r="BM150" s="10">
        <v>5520</v>
      </c>
      <c r="BN150" s="15">
        <f t="shared" si="4"/>
        <v>5440.8</v>
      </c>
      <c r="BO150" s="16">
        <f t="shared" si="5"/>
        <v>3808.56</v>
      </c>
    </row>
    <row r="151" spans="1:67" x14ac:dyDescent="0.3">
      <c r="A151" s="5" t="s">
        <v>14</v>
      </c>
      <c r="B151" s="5" t="s">
        <v>255</v>
      </c>
      <c r="C151" s="5">
        <v>407159</v>
      </c>
      <c r="D151" s="6"/>
      <c r="E151" s="5" t="s">
        <v>16</v>
      </c>
      <c r="F151" s="5" t="s">
        <v>256</v>
      </c>
      <c r="G151" s="5" t="s">
        <v>34</v>
      </c>
      <c r="H151" s="7" t="s">
        <v>8</v>
      </c>
      <c r="I151" s="7" t="s">
        <v>257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8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43</v>
      </c>
      <c r="BD151" s="7">
        <v>5160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309.60000000000002</v>
      </c>
      <c r="BM151" s="10">
        <v>5160</v>
      </c>
      <c r="BN151" s="15">
        <f t="shared" si="4"/>
        <v>4850.3999999999996</v>
      </c>
      <c r="BO151" s="16">
        <f t="shared" si="5"/>
        <v>3395.2799999999997</v>
      </c>
    </row>
    <row r="152" spans="1:67" x14ac:dyDescent="0.3">
      <c r="A152" s="5" t="s">
        <v>14</v>
      </c>
      <c r="B152" s="5" t="s">
        <v>469</v>
      </c>
      <c r="C152" s="5">
        <v>469075</v>
      </c>
      <c r="D152" s="6"/>
      <c r="E152" s="5" t="s">
        <v>16</v>
      </c>
      <c r="F152" s="5" t="s">
        <v>58</v>
      </c>
      <c r="G152" s="5" t="s">
        <v>382</v>
      </c>
      <c r="H152" s="7" t="s">
        <v>9</v>
      </c>
      <c r="I152" s="7" t="s">
        <v>470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8">
        <v>0</v>
      </c>
      <c r="AG152" s="8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8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1</v>
      </c>
      <c r="BD152" s="7">
        <v>4920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295.2</v>
      </c>
      <c r="BM152" s="10">
        <v>4920</v>
      </c>
      <c r="BN152" s="15">
        <f t="shared" si="4"/>
        <v>4624.8</v>
      </c>
      <c r="BO152" s="16">
        <f t="shared" si="5"/>
        <v>3237.36</v>
      </c>
    </row>
    <row r="153" spans="1:67" x14ac:dyDescent="0.3">
      <c r="A153" s="5" t="s">
        <v>14</v>
      </c>
      <c r="B153" s="5" t="s">
        <v>337</v>
      </c>
      <c r="C153" s="5">
        <v>397392</v>
      </c>
      <c r="D153" s="6"/>
      <c r="E153" s="5" t="s">
        <v>16</v>
      </c>
      <c r="F153" s="5" t="s">
        <v>128</v>
      </c>
      <c r="G153" s="5" t="s">
        <v>34</v>
      </c>
      <c r="H153" s="7" t="s">
        <v>289</v>
      </c>
      <c r="I153" s="7" t="s">
        <v>338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8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1</v>
      </c>
      <c r="AR153" s="7">
        <v>2200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1</v>
      </c>
      <c r="BD153" s="7">
        <v>2640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158.4</v>
      </c>
      <c r="BM153" s="10">
        <v>4840</v>
      </c>
      <c r="BN153" s="15">
        <f t="shared" si="4"/>
        <v>4681.6000000000004</v>
      </c>
      <c r="BO153" s="16">
        <f t="shared" si="5"/>
        <v>3277.12</v>
      </c>
    </row>
    <row r="154" spans="1:67" x14ac:dyDescent="0.3">
      <c r="A154" s="5" t="s">
        <v>14</v>
      </c>
      <c r="B154" s="5" t="s">
        <v>323</v>
      </c>
      <c r="C154" s="5">
        <v>384107</v>
      </c>
      <c r="D154" s="6"/>
      <c r="E154" s="5" t="s">
        <v>16</v>
      </c>
      <c r="F154" s="5" t="s">
        <v>324</v>
      </c>
      <c r="G154" s="5" t="s">
        <v>34</v>
      </c>
      <c r="H154" s="7" t="s">
        <v>289</v>
      </c>
      <c r="I154" s="7" t="s">
        <v>325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7</v>
      </c>
      <c r="AF154" s="8">
        <v>700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8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34</v>
      </c>
      <c r="BD154" s="8">
        <v>4080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244.8</v>
      </c>
      <c r="BM154" s="10">
        <v>4780</v>
      </c>
      <c r="BN154" s="15">
        <f t="shared" si="4"/>
        <v>4535.2</v>
      </c>
      <c r="BO154" s="16">
        <f t="shared" si="5"/>
        <v>3174.64</v>
      </c>
    </row>
    <row r="155" spans="1:67" x14ac:dyDescent="0.3">
      <c r="A155" s="5" t="s">
        <v>14</v>
      </c>
      <c r="B155" s="5" t="s">
        <v>210</v>
      </c>
      <c r="C155" s="5">
        <v>434877</v>
      </c>
      <c r="D155" s="6"/>
      <c r="E155" s="5" t="s">
        <v>16</v>
      </c>
      <c r="F155" s="5" t="s">
        <v>211</v>
      </c>
      <c r="G155" s="5" t="s">
        <v>10</v>
      </c>
      <c r="H155" s="7" t="s">
        <v>7</v>
      </c>
      <c r="I155" s="7" t="s">
        <v>212</v>
      </c>
      <c r="J155" s="7">
        <v>9</v>
      </c>
      <c r="K155" s="7">
        <v>0</v>
      </c>
      <c r="L155" s="7">
        <v>900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38</v>
      </c>
      <c r="AF155" s="7">
        <v>3600</v>
      </c>
      <c r="AG155" s="7">
        <v>200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8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10">
        <v>4700</v>
      </c>
      <c r="BN155" s="15">
        <f t="shared" si="4"/>
        <v>4700</v>
      </c>
      <c r="BO155" s="16">
        <f t="shared" si="5"/>
        <v>3290</v>
      </c>
    </row>
    <row r="156" spans="1:67" x14ac:dyDescent="0.3">
      <c r="A156" s="5" t="s">
        <v>14</v>
      </c>
      <c r="B156" s="5" t="s">
        <v>308</v>
      </c>
      <c r="C156" s="5">
        <v>157002</v>
      </c>
      <c r="D156" s="6" t="s">
        <v>309</v>
      </c>
      <c r="E156" s="5" t="s">
        <v>16</v>
      </c>
      <c r="F156" s="5" t="s">
        <v>30</v>
      </c>
      <c r="G156" s="5" t="s">
        <v>10</v>
      </c>
      <c r="H156" s="7" t="s">
        <v>7</v>
      </c>
      <c r="I156" s="7" t="s">
        <v>310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8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19</v>
      </c>
      <c r="AX156" s="7">
        <v>2340</v>
      </c>
      <c r="AY156" s="7">
        <v>0</v>
      </c>
      <c r="AZ156" s="7">
        <v>0</v>
      </c>
      <c r="BA156" s="7">
        <v>0</v>
      </c>
      <c r="BB156" s="7">
        <v>0</v>
      </c>
      <c r="BC156" s="7">
        <v>19</v>
      </c>
      <c r="BD156" s="7">
        <v>2280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370.8</v>
      </c>
      <c r="BM156" s="10">
        <v>4620</v>
      </c>
      <c r="BN156" s="15">
        <f t="shared" si="4"/>
        <v>4249.2</v>
      </c>
      <c r="BO156" s="16">
        <f t="shared" si="5"/>
        <v>2974.4399999999996</v>
      </c>
    </row>
    <row r="157" spans="1:67" x14ac:dyDescent="0.3">
      <c r="A157" s="5" t="s">
        <v>14</v>
      </c>
      <c r="B157" s="5" t="s">
        <v>593</v>
      </c>
      <c r="C157" s="5">
        <v>393162</v>
      </c>
      <c r="D157" s="6"/>
      <c r="E157" s="5" t="s">
        <v>16</v>
      </c>
      <c r="F157" s="5" t="s">
        <v>123</v>
      </c>
      <c r="G157" s="5" t="s">
        <v>34</v>
      </c>
      <c r="H157" s="7" t="s">
        <v>289</v>
      </c>
      <c r="I157" s="7" t="s">
        <v>594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37</v>
      </c>
      <c r="BD157" s="8">
        <v>4440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266.39999999999998</v>
      </c>
      <c r="BM157" s="10">
        <v>4440</v>
      </c>
      <c r="BN157" s="15">
        <f t="shared" si="4"/>
        <v>4173.6000000000004</v>
      </c>
      <c r="BO157" s="16">
        <f t="shared" si="5"/>
        <v>2921.52</v>
      </c>
    </row>
    <row r="158" spans="1:67" x14ac:dyDescent="0.3">
      <c r="A158" s="5" t="s">
        <v>14</v>
      </c>
      <c r="B158" s="5" t="s">
        <v>397</v>
      </c>
      <c r="C158" s="5">
        <v>355732</v>
      </c>
      <c r="D158" s="6"/>
      <c r="E158" s="5" t="s">
        <v>16</v>
      </c>
      <c r="F158" s="5" t="s">
        <v>398</v>
      </c>
      <c r="G158" s="5" t="s">
        <v>34</v>
      </c>
      <c r="H158" s="7" t="s">
        <v>8</v>
      </c>
      <c r="I158" s="7" t="s">
        <v>399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44</v>
      </c>
      <c r="AF158" s="7">
        <v>4400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8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10">
        <v>4400</v>
      </c>
      <c r="BN158" s="15">
        <f t="shared" si="4"/>
        <v>4400</v>
      </c>
      <c r="BO158" s="16">
        <f t="shared" si="5"/>
        <v>3080</v>
      </c>
    </row>
    <row r="159" spans="1:67" x14ac:dyDescent="0.3">
      <c r="A159" s="5" t="s">
        <v>14</v>
      </c>
      <c r="B159" s="5" t="s">
        <v>595</v>
      </c>
      <c r="C159" s="5">
        <v>385172</v>
      </c>
      <c r="D159" s="6"/>
      <c r="E159" s="5" t="s">
        <v>16</v>
      </c>
      <c r="F159" s="5" t="s">
        <v>200</v>
      </c>
      <c r="G159" s="5" t="s">
        <v>34</v>
      </c>
      <c r="H159" s="7" t="s">
        <v>289</v>
      </c>
      <c r="I159" s="7" t="s">
        <v>281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8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1</v>
      </c>
      <c r="BD159" s="8">
        <v>4320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259.2</v>
      </c>
      <c r="BM159" s="10">
        <v>4320</v>
      </c>
      <c r="BN159" s="15">
        <f t="shared" si="4"/>
        <v>4060.8</v>
      </c>
      <c r="BO159" s="16">
        <f t="shared" si="5"/>
        <v>2842.56</v>
      </c>
    </row>
    <row r="160" spans="1:67" x14ac:dyDescent="0.3">
      <c r="A160" s="5" t="s">
        <v>14</v>
      </c>
      <c r="B160" s="5" t="s">
        <v>292</v>
      </c>
      <c r="C160" s="5">
        <v>467494</v>
      </c>
      <c r="D160" s="6"/>
      <c r="E160" s="5" t="s">
        <v>16</v>
      </c>
      <c r="F160" s="5" t="s">
        <v>293</v>
      </c>
      <c r="G160" s="5" t="s">
        <v>34</v>
      </c>
      <c r="H160" s="7" t="s">
        <v>8</v>
      </c>
      <c r="I160" s="7" t="s">
        <v>21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1</v>
      </c>
      <c r="AF160" s="7">
        <v>0</v>
      </c>
      <c r="AG160" s="7">
        <v>1300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8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1</v>
      </c>
      <c r="BD160" s="8">
        <v>2760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165.6</v>
      </c>
      <c r="BM160" s="10">
        <v>4060</v>
      </c>
      <c r="BN160" s="15">
        <f t="shared" si="4"/>
        <v>3894.4</v>
      </c>
      <c r="BO160" s="16">
        <f t="shared" si="5"/>
        <v>2726.08</v>
      </c>
    </row>
    <row r="161" spans="1:67" x14ac:dyDescent="0.3">
      <c r="A161" s="5" t="s">
        <v>14</v>
      </c>
      <c r="B161" s="5" t="s">
        <v>327</v>
      </c>
      <c r="C161" s="5">
        <v>387687</v>
      </c>
      <c r="D161" s="6"/>
      <c r="E161" s="5" t="s">
        <v>16</v>
      </c>
      <c r="F161" s="5" t="s">
        <v>118</v>
      </c>
      <c r="G161" s="5" t="s">
        <v>34</v>
      </c>
      <c r="H161" s="7" t="s">
        <v>8</v>
      </c>
      <c r="I161" s="7" t="s">
        <v>328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18</v>
      </c>
      <c r="AF161" s="7">
        <v>1800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18</v>
      </c>
      <c r="BD161" s="8">
        <v>2160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129.6</v>
      </c>
      <c r="BM161" s="10">
        <v>3960</v>
      </c>
      <c r="BN161" s="15">
        <f t="shared" si="4"/>
        <v>3830.4</v>
      </c>
      <c r="BO161" s="16">
        <f t="shared" si="5"/>
        <v>2681.2799999999997</v>
      </c>
    </row>
    <row r="162" spans="1:67" x14ac:dyDescent="0.3">
      <c r="A162" s="5" t="s">
        <v>14</v>
      </c>
      <c r="B162" s="5" t="s">
        <v>233</v>
      </c>
      <c r="C162" s="5">
        <v>458561</v>
      </c>
      <c r="D162" s="6"/>
      <c r="E162" s="5" t="s">
        <v>16</v>
      </c>
      <c r="F162" s="5" t="s">
        <v>30</v>
      </c>
      <c r="G162" s="5" t="s">
        <v>10</v>
      </c>
      <c r="H162" s="7" t="s">
        <v>7</v>
      </c>
      <c r="I162" s="7" t="s">
        <v>193</v>
      </c>
      <c r="J162" s="7">
        <v>16</v>
      </c>
      <c r="K162" s="7">
        <v>0</v>
      </c>
      <c r="L162" s="7">
        <v>1600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4</v>
      </c>
      <c r="AF162" s="8">
        <v>0</v>
      </c>
      <c r="AG162" s="7">
        <v>400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13</v>
      </c>
      <c r="AX162" s="7">
        <v>1560</v>
      </c>
      <c r="AY162" s="7">
        <v>0</v>
      </c>
      <c r="AZ162" s="7">
        <v>0</v>
      </c>
      <c r="BA162" s="7">
        <v>0</v>
      </c>
      <c r="BB162" s="7">
        <v>0</v>
      </c>
      <c r="BC162" s="7">
        <v>3</v>
      </c>
      <c r="BD162" s="7">
        <v>360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177.6</v>
      </c>
      <c r="BM162" s="10">
        <v>3920</v>
      </c>
      <c r="BN162" s="15">
        <f t="shared" si="4"/>
        <v>3742.4</v>
      </c>
      <c r="BO162" s="16">
        <f t="shared" si="5"/>
        <v>2619.6799999999998</v>
      </c>
    </row>
    <row r="163" spans="1:67" x14ac:dyDescent="0.3">
      <c r="A163" s="5" t="s">
        <v>14</v>
      </c>
      <c r="B163" s="5" t="s">
        <v>549</v>
      </c>
      <c r="C163" s="5">
        <v>419222</v>
      </c>
      <c r="D163" s="6"/>
      <c r="E163" s="5" t="s">
        <v>16</v>
      </c>
      <c r="F163" s="5" t="s">
        <v>256</v>
      </c>
      <c r="G163" s="5" t="s">
        <v>34</v>
      </c>
      <c r="H163" s="7" t="s">
        <v>289</v>
      </c>
      <c r="I163" s="7" t="s">
        <v>257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1</v>
      </c>
      <c r="AR163" s="7">
        <v>3800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8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10">
        <v>3800</v>
      </c>
      <c r="BN163" s="15">
        <f t="shared" si="4"/>
        <v>3800</v>
      </c>
      <c r="BO163" s="16">
        <f t="shared" si="5"/>
        <v>2660</v>
      </c>
    </row>
    <row r="164" spans="1:67" x14ac:dyDescent="0.3">
      <c r="A164" s="5" t="s">
        <v>14</v>
      </c>
      <c r="B164" s="5" t="s">
        <v>596</v>
      </c>
      <c r="C164" s="5">
        <v>410077</v>
      </c>
      <c r="D164" s="6"/>
      <c r="E164" s="5" t="s">
        <v>16</v>
      </c>
      <c r="F164" s="5" t="s">
        <v>597</v>
      </c>
      <c r="G164" s="5" t="s">
        <v>10</v>
      </c>
      <c r="H164" s="7" t="s">
        <v>7</v>
      </c>
      <c r="I164" s="7" t="s">
        <v>209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1</v>
      </c>
      <c r="AF164" s="7">
        <v>0</v>
      </c>
      <c r="AG164" s="7">
        <v>400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1</v>
      </c>
      <c r="BD164" s="8">
        <v>3360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201.6</v>
      </c>
      <c r="BM164" s="10">
        <v>3760</v>
      </c>
      <c r="BN164" s="15">
        <f t="shared" si="4"/>
        <v>3558.4</v>
      </c>
      <c r="BO164" s="16">
        <f t="shared" si="5"/>
        <v>2490.88</v>
      </c>
    </row>
    <row r="165" spans="1:67" x14ac:dyDescent="0.3">
      <c r="A165" s="5" t="s">
        <v>14</v>
      </c>
      <c r="B165" s="5" t="s">
        <v>598</v>
      </c>
      <c r="C165" s="5">
        <v>391008</v>
      </c>
      <c r="D165" s="6"/>
      <c r="E165" s="5" t="s">
        <v>16</v>
      </c>
      <c r="F165" s="5" t="s">
        <v>123</v>
      </c>
      <c r="G165" s="5" t="s">
        <v>34</v>
      </c>
      <c r="H165" s="7" t="s">
        <v>8</v>
      </c>
      <c r="I165" s="7" t="s">
        <v>599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8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31</v>
      </c>
      <c r="BD165" s="7">
        <v>3720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223.2</v>
      </c>
      <c r="BM165" s="10">
        <v>3720</v>
      </c>
      <c r="BN165" s="15">
        <f t="shared" si="4"/>
        <v>3496.8</v>
      </c>
      <c r="BO165" s="16">
        <f t="shared" si="5"/>
        <v>2447.7599999999998</v>
      </c>
    </row>
    <row r="166" spans="1:67" ht="19.5" x14ac:dyDescent="0.3">
      <c r="A166" s="5" t="s">
        <v>14</v>
      </c>
      <c r="B166" s="5" t="s">
        <v>600</v>
      </c>
      <c r="C166" s="5">
        <v>485655</v>
      </c>
      <c r="D166" s="6"/>
      <c r="E166" s="5" t="s">
        <v>16</v>
      </c>
      <c r="F166" s="5" t="s">
        <v>601</v>
      </c>
      <c r="G166" s="5" t="s">
        <v>34</v>
      </c>
      <c r="H166" s="7" t="s">
        <v>289</v>
      </c>
      <c r="I166" s="7" t="s">
        <v>562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1</v>
      </c>
      <c r="AF166" s="7">
        <v>0</v>
      </c>
      <c r="AG166" s="8">
        <v>3700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10">
        <v>3700</v>
      </c>
      <c r="BN166" s="15">
        <f t="shared" si="4"/>
        <v>3700</v>
      </c>
      <c r="BO166" s="16">
        <f t="shared" si="5"/>
        <v>2590</v>
      </c>
    </row>
    <row r="167" spans="1:67" x14ac:dyDescent="0.3">
      <c r="A167" s="5" t="s">
        <v>14</v>
      </c>
      <c r="B167" s="5" t="s">
        <v>290</v>
      </c>
      <c r="C167" s="5">
        <v>382325</v>
      </c>
      <c r="D167" s="6"/>
      <c r="E167" s="5" t="s">
        <v>16</v>
      </c>
      <c r="F167" s="5" t="s">
        <v>33</v>
      </c>
      <c r="G167" s="5" t="s">
        <v>34</v>
      </c>
      <c r="H167" s="7" t="s">
        <v>8</v>
      </c>
      <c r="I167" s="7" t="s">
        <v>291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3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32</v>
      </c>
      <c r="AF167" s="7">
        <v>0</v>
      </c>
      <c r="AG167" s="7">
        <v>3200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2</v>
      </c>
      <c r="BD167" s="7">
        <v>240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8">
        <v>0</v>
      </c>
      <c r="BK167" s="7">
        <v>0</v>
      </c>
      <c r="BL167" s="7">
        <v>14.4</v>
      </c>
      <c r="BM167" s="10">
        <v>3440</v>
      </c>
      <c r="BN167" s="15">
        <f t="shared" si="4"/>
        <v>3425.6</v>
      </c>
      <c r="BO167" s="16">
        <f t="shared" si="5"/>
        <v>2397.9199999999996</v>
      </c>
    </row>
    <row r="168" spans="1:67" x14ac:dyDescent="0.3">
      <c r="A168" s="5" t="s">
        <v>14</v>
      </c>
      <c r="B168" s="5" t="s">
        <v>539</v>
      </c>
      <c r="C168" s="5">
        <v>395497</v>
      </c>
      <c r="D168" s="6"/>
      <c r="E168" s="5" t="s">
        <v>16</v>
      </c>
      <c r="F168" s="5" t="s">
        <v>540</v>
      </c>
      <c r="G168" s="5" t="s">
        <v>34</v>
      </c>
      <c r="H168" s="7" t="s">
        <v>8</v>
      </c>
      <c r="I168" s="7" t="s">
        <v>541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33</v>
      </c>
      <c r="AF168" s="7">
        <v>0</v>
      </c>
      <c r="AG168" s="7">
        <v>3300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8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1</v>
      </c>
      <c r="BD168" s="7">
        <v>120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7.2</v>
      </c>
      <c r="BM168" s="10">
        <v>3420</v>
      </c>
      <c r="BN168" s="15">
        <f t="shared" si="4"/>
        <v>3412.8</v>
      </c>
      <c r="BO168" s="16">
        <f t="shared" si="5"/>
        <v>2388.96</v>
      </c>
    </row>
    <row r="169" spans="1:67" x14ac:dyDescent="0.3">
      <c r="A169" s="5" t="s">
        <v>14</v>
      </c>
      <c r="B169" s="5" t="s">
        <v>602</v>
      </c>
      <c r="C169" s="5">
        <v>426276</v>
      </c>
      <c r="D169" s="6"/>
      <c r="E169" s="5" t="s">
        <v>16</v>
      </c>
      <c r="F169" s="5" t="s">
        <v>123</v>
      </c>
      <c r="G169" s="5" t="s">
        <v>34</v>
      </c>
      <c r="H169" s="7" t="s">
        <v>289</v>
      </c>
      <c r="I169" s="7" t="s">
        <v>603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1</v>
      </c>
      <c r="AF169" s="7">
        <v>0</v>
      </c>
      <c r="AG169" s="7">
        <v>3300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8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10">
        <v>3300</v>
      </c>
      <c r="BN169" s="15">
        <f t="shared" si="4"/>
        <v>3300</v>
      </c>
      <c r="BO169" s="16">
        <f t="shared" si="5"/>
        <v>2310</v>
      </c>
    </row>
    <row r="170" spans="1:67" x14ac:dyDescent="0.3">
      <c r="A170" s="5" t="s">
        <v>14</v>
      </c>
      <c r="B170" s="5" t="s">
        <v>604</v>
      </c>
      <c r="C170" s="5">
        <v>304651</v>
      </c>
      <c r="D170" s="6"/>
      <c r="E170" s="5" t="s">
        <v>16</v>
      </c>
      <c r="F170" s="5" t="s">
        <v>66</v>
      </c>
      <c r="G170" s="5" t="s">
        <v>10</v>
      </c>
      <c r="H170" s="7" t="s">
        <v>7</v>
      </c>
      <c r="I170" s="7" t="s">
        <v>605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8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3</v>
      </c>
      <c r="BA170" s="7">
        <v>3240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194.4</v>
      </c>
      <c r="BM170" s="10">
        <v>3240</v>
      </c>
      <c r="BN170" s="15">
        <f t="shared" si="4"/>
        <v>3045.6</v>
      </c>
      <c r="BO170" s="16">
        <f t="shared" si="5"/>
        <v>2131.9199999999996</v>
      </c>
    </row>
    <row r="171" spans="1:67" x14ac:dyDescent="0.3">
      <c r="A171" s="5" t="s">
        <v>14</v>
      </c>
      <c r="B171" s="5" t="s">
        <v>225</v>
      </c>
      <c r="C171" s="5">
        <v>429534</v>
      </c>
      <c r="D171" s="6"/>
      <c r="E171" s="5" t="s">
        <v>16</v>
      </c>
      <c r="F171" s="5" t="s">
        <v>166</v>
      </c>
      <c r="G171" s="5" t="s">
        <v>374</v>
      </c>
      <c r="H171" s="7" t="s">
        <v>7</v>
      </c>
      <c r="I171" s="7" t="s">
        <v>226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1</v>
      </c>
      <c r="AF171" s="7">
        <v>0</v>
      </c>
      <c r="AG171" s="7">
        <v>700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8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1</v>
      </c>
      <c r="BD171" s="7">
        <v>2520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151.19999999999999</v>
      </c>
      <c r="BM171" s="10">
        <v>3220</v>
      </c>
      <c r="BN171" s="15">
        <f t="shared" si="4"/>
        <v>3068.8</v>
      </c>
      <c r="BO171" s="16">
        <f t="shared" si="5"/>
        <v>2148.16</v>
      </c>
    </row>
    <row r="172" spans="1:67" x14ac:dyDescent="0.3">
      <c r="A172" s="5" t="s">
        <v>14</v>
      </c>
      <c r="B172" s="5" t="s">
        <v>506</v>
      </c>
      <c r="C172" s="5">
        <v>134596</v>
      </c>
      <c r="D172" s="6" t="s">
        <v>507</v>
      </c>
      <c r="E172" s="5" t="s">
        <v>16</v>
      </c>
      <c r="F172" s="5" t="s">
        <v>30</v>
      </c>
      <c r="G172" s="5" t="s">
        <v>10</v>
      </c>
      <c r="H172" s="7" t="s">
        <v>7</v>
      </c>
      <c r="I172" s="7" t="s">
        <v>508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1</v>
      </c>
      <c r="AF172" s="8">
        <v>3200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10">
        <v>3200</v>
      </c>
      <c r="BN172" s="15">
        <f t="shared" si="4"/>
        <v>3200</v>
      </c>
      <c r="BO172" s="16">
        <f t="shared" si="5"/>
        <v>2240</v>
      </c>
    </row>
    <row r="173" spans="1:67" x14ac:dyDescent="0.3">
      <c r="A173" s="5" t="s">
        <v>14</v>
      </c>
      <c r="B173" s="5" t="s">
        <v>332</v>
      </c>
      <c r="C173" s="5">
        <v>425648</v>
      </c>
      <c r="D173" s="6"/>
      <c r="E173" s="5" t="s">
        <v>16</v>
      </c>
      <c r="F173" s="5" t="s">
        <v>220</v>
      </c>
      <c r="G173" s="5" t="s">
        <v>34</v>
      </c>
      <c r="H173" s="7" t="s">
        <v>289</v>
      </c>
      <c r="I173" s="7" t="s">
        <v>221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1</v>
      </c>
      <c r="AF173" s="7">
        <v>3200</v>
      </c>
      <c r="AG173" s="8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10">
        <v>3200</v>
      </c>
      <c r="BN173" s="15">
        <f t="shared" si="4"/>
        <v>3200</v>
      </c>
      <c r="BO173" s="16">
        <f t="shared" si="5"/>
        <v>2240</v>
      </c>
    </row>
    <row r="174" spans="1:67" x14ac:dyDescent="0.3">
      <c r="A174" s="5" t="s">
        <v>14</v>
      </c>
      <c r="B174" s="5" t="s">
        <v>606</v>
      </c>
      <c r="C174" s="5">
        <v>389857</v>
      </c>
      <c r="D174" s="6"/>
      <c r="E174" s="5" t="s">
        <v>16</v>
      </c>
      <c r="F174" s="5" t="s">
        <v>39</v>
      </c>
      <c r="G174" s="5" t="s">
        <v>10</v>
      </c>
      <c r="H174" s="7" t="s">
        <v>7</v>
      </c>
      <c r="I174" s="7" t="s">
        <v>319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1</v>
      </c>
      <c r="AF174" s="7">
        <v>0</v>
      </c>
      <c r="AG174" s="8">
        <v>3200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10">
        <v>3200</v>
      </c>
      <c r="BN174" s="15">
        <f t="shared" si="4"/>
        <v>3200</v>
      </c>
      <c r="BO174" s="16">
        <f t="shared" si="5"/>
        <v>2240</v>
      </c>
    </row>
    <row r="175" spans="1:67" x14ac:dyDescent="0.3">
      <c r="A175" s="5" t="s">
        <v>14</v>
      </c>
      <c r="B175" s="5" t="s">
        <v>296</v>
      </c>
      <c r="C175" s="5">
        <v>430085</v>
      </c>
      <c r="D175" s="6"/>
      <c r="E175" s="5" t="s">
        <v>16</v>
      </c>
      <c r="F175" s="5" t="s">
        <v>86</v>
      </c>
      <c r="G175" s="5" t="s">
        <v>10</v>
      </c>
      <c r="H175" s="7" t="s">
        <v>9</v>
      </c>
      <c r="I175" s="7" t="s">
        <v>297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1</v>
      </c>
      <c r="AF175" s="7">
        <v>0</v>
      </c>
      <c r="AG175" s="8">
        <v>3200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8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10">
        <v>3200</v>
      </c>
      <c r="BN175" s="15">
        <f t="shared" si="4"/>
        <v>3200</v>
      </c>
      <c r="BO175" s="16">
        <f t="shared" si="5"/>
        <v>2240</v>
      </c>
    </row>
    <row r="176" spans="1:67" ht="19.5" x14ac:dyDescent="0.3">
      <c r="A176" s="5" t="s">
        <v>14</v>
      </c>
      <c r="B176" s="5" t="s">
        <v>395</v>
      </c>
      <c r="C176" s="5">
        <v>421814</v>
      </c>
      <c r="D176" s="6"/>
      <c r="E176" s="5" t="s">
        <v>16</v>
      </c>
      <c r="F176" s="5" t="s">
        <v>41</v>
      </c>
      <c r="G176" s="5" t="s">
        <v>34</v>
      </c>
      <c r="H176" s="7" t="s">
        <v>289</v>
      </c>
      <c r="I176" s="7" t="s">
        <v>186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1</v>
      </c>
      <c r="AR176" s="7">
        <v>2900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8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10">
        <v>2900</v>
      </c>
      <c r="BN176" s="15">
        <f t="shared" si="4"/>
        <v>2900</v>
      </c>
      <c r="BO176" s="16">
        <f t="shared" si="5"/>
        <v>2029.9999999999998</v>
      </c>
    </row>
    <row r="177" spans="1:67" x14ac:dyDescent="0.3">
      <c r="A177" s="5" t="s">
        <v>14</v>
      </c>
      <c r="B177" s="5" t="s">
        <v>303</v>
      </c>
      <c r="C177" s="5">
        <v>366144</v>
      </c>
      <c r="D177" s="6"/>
      <c r="E177" s="5" t="s">
        <v>16</v>
      </c>
      <c r="F177" s="5" t="s">
        <v>304</v>
      </c>
      <c r="G177" s="5" t="s">
        <v>34</v>
      </c>
      <c r="H177" s="7" t="s">
        <v>8</v>
      </c>
      <c r="I177" s="7" t="s">
        <v>305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2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29</v>
      </c>
      <c r="AF177" s="7">
        <v>0</v>
      </c>
      <c r="AG177" s="8">
        <v>2900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10">
        <v>2900</v>
      </c>
      <c r="BN177" s="15">
        <f t="shared" si="4"/>
        <v>2900</v>
      </c>
      <c r="BO177" s="16">
        <f t="shared" si="5"/>
        <v>2029.9999999999998</v>
      </c>
    </row>
    <row r="178" spans="1:67" x14ac:dyDescent="0.3">
      <c r="A178" s="5" t="s">
        <v>14</v>
      </c>
      <c r="B178" s="5" t="s">
        <v>372</v>
      </c>
      <c r="C178" s="5">
        <v>360192</v>
      </c>
      <c r="D178" s="6"/>
      <c r="E178" s="5" t="s">
        <v>16</v>
      </c>
      <c r="F178" s="5" t="s">
        <v>345</v>
      </c>
      <c r="G178" s="5" t="s">
        <v>34</v>
      </c>
      <c r="H178" s="7" t="s">
        <v>8</v>
      </c>
      <c r="I178" s="7" t="s">
        <v>373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3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29</v>
      </c>
      <c r="AR178" s="7">
        <v>2900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10">
        <v>2900</v>
      </c>
      <c r="BN178" s="15">
        <f t="shared" si="4"/>
        <v>2900</v>
      </c>
      <c r="BO178" s="16">
        <f t="shared" si="5"/>
        <v>2029.9999999999998</v>
      </c>
    </row>
    <row r="179" spans="1:67" x14ac:dyDescent="0.3">
      <c r="A179" s="5" t="s">
        <v>14</v>
      </c>
      <c r="B179" s="5" t="s">
        <v>607</v>
      </c>
      <c r="C179" s="5">
        <v>431802</v>
      </c>
      <c r="D179" s="6"/>
      <c r="E179" s="5" t="s">
        <v>16</v>
      </c>
      <c r="F179" s="5" t="s">
        <v>128</v>
      </c>
      <c r="G179" s="5" t="s">
        <v>34</v>
      </c>
      <c r="H179" s="7" t="s">
        <v>289</v>
      </c>
      <c r="I179" s="7" t="s">
        <v>608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1</v>
      </c>
      <c r="BD179" s="8">
        <v>2880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172.8</v>
      </c>
      <c r="BM179" s="10">
        <v>2880</v>
      </c>
      <c r="BN179" s="15">
        <f t="shared" si="4"/>
        <v>2707.2</v>
      </c>
      <c r="BO179" s="16">
        <f t="shared" si="5"/>
        <v>1895.0399999999997</v>
      </c>
    </row>
    <row r="180" spans="1:67" x14ac:dyDescent="0.3">
      <c r="A180" s="5" t="s">
        <v>14</v>
      </c>
      <c r="B180" s="5" t="s">
        <v>609</v>
      </c>
      <c r="C180" s="5">
        <v>331654</v>
      </c>
      <c r="D180" s="6"/>
      <c r="E180" s="5" t="s">
        <v>16</v>
      </c>
      <c r="F180" s="5" t="s">
        <v>200</v>
      </c>
      <c r="G180" s="5" t="s">
        <v>34</v>
      </c>
      <c r="H180" s="7" t="s">
        <v>289</v>
      </c>
      <c r="I180" s="7" t="s">
        <v>610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1</v>
      </c>
      <c r="AF180" s="7">
        <v>1900</v>
      </c>
      <c r="AG180" s="8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1</v>
      </c>
      <c r="AR180" s="7">
        <v>0</v>
      </c>
      <c r="AS180" s="7">
        <v>900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10">
        <v>2800</v>
      </c>
      <c r="BN180" s="15">
        <f t="shared" si="4"/>
        <v>2800</v>
      </c>
      <c r="BO180" s="16">
        <f t="shared" si="5"/>
        <v>1959.9999999999998</v>
      </c>
    </row>
    <row r="181" spans="1:67" x14ac:dyDescent="0.3">
      <c r="A181" s="5" t="s">
        <v>14</v>
      </c>
      <c r="B181" s="5" t="s">
        <v>482</v>
      </c>
      <c r="C181" s="5">
        <v>420277</v>
      </c>
      <c r="D181" s="6"/>
      <c r="E181" s="5" t="s">
        <v>16</v>
      </c>
      <c r="F181" s="5" t="s">
        <v>256</v>
      </c>
      <c r="G181" s="5" t="s">
        <v>34</v>
      </c>
      <c r="H181" s="7" t="s">
        <v>8</v>
      </c>
      <c r="I181" s="7" t="s">
        <v>266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21</v>
      </c>
      <c r="BD181" s="8">
        <v>2520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151.19999999999999</v>
      </c>
      <c r="BM181" s="10">
        <v>2520</v>
      </c>
      <c r="BN181" s="15">
        <f t="shared" si="4"/>
        <v>2368.8000000000002</v>
      </c>
      <c r="BO181" s="16">
        <f t="shared" si="5"/>
        <v>1658.16</v>
      </c>
    </row>
    <row r="182" spans="1:67" x14ac:dyDescent="0.3">
      <c r="A182" s="5" t="s">
        <v>14</v>
      </c>
      <c r="B182" s="5" t="s">
        <v>329</v>
      </c>
      <c r="C182" s="5">
        <v>424589</v>
      </c>
      <c r="D182" s="6"/>
      <c r="E182" s="5" t="s">
        <v>16</v>
      </c>
      <c r="F182" s="5" t="s">
        <v>330</v>
      </c>
      <c r="G182" s="5" t="s">
        <v>382</v>
      </c>
      <c r="H182" s="7" t="s">
        <v>8</v>
      </c>
      <c r="I182" s="7" t="s">
        <v>331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18</v>
      </c>
      <c r="AF182" s="7">
        <v>0</v>
      </c>
      <c r="AG182" s="7">
        <v>1800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6</v>
      </c>
      <c r="BD182" s="7">
        <v>720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43.2</v>
      </c>
      <c r="BM182" s="10">
        <v>2520</v>
      </c>
      <c r="BN182" s="15">
        <f t="shared" si="4"/>
        <v>2476.8000000000002</v>
      </c>
      <c r="BO182" s="16">
        <f t="shared" si="5"/>
        <v>1733.76</v>
      </c>
    </row>
    <row r="183" spans="1:67" x14ac:dyDescent="0.3">
      <c r="A183" s="5" t="s">
        <v>14</v>
      </c>
      <c r="B183" s="5" t="s">
        <v>535</v>
      </c>
      <c r="C183" s="5">
        <v>381822</v>
      </c>
      <c r="D183" s="6"/>
      <c r="E183" s="5" t="s">
        <v>16</v>
      </c>
      <c r="F183" s="5" t="s">
        <v>52</v>
      </c>
      <c r="G183" s="5" t="s">
        <v>34</v>
      </c>
      <c r="H183" s="7" t="s">
        <v>7</v>
      </c>
      <c r="I183" s="7" t="s">
        <v>291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1</v>
      </c>
      <c r="AX183" s="7">
        <v>480</v>
      </c>
      <c r="AY183" s="7">
        <v>0</v>
      </c>
      <c r="AZ183" s="7">
        <v>0</v>
      </c>
      <c r="BA183" s="7">
        <v>0</v>
      </c>
      <c r="BB183" s="7">
        <v>0</v>
      </c>
      <c r="BC183" s="7">
        <v>4</v>
      </c>
      <c r="BD183" s="7">
        <v>1920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163.19999999999999</v>
      </c>
      <c r="BM183" s="11">
        <v>2400</v>
      </c>
      <c r="BN183" s="15">
        <f t="shared" si="4"/>
        <v>2236.8000000000002</v>
      </c>
      <c r="BO183" s="16">
        <f t="shared" si="5"/>
        <v>1565.76</v>
      </c>
    </row>
    <row r="184" spans="1:67" x14ac:dyDescent="0.3">
      <c r="A184" s="5" t="s">
        <v>14</v>
      </c>
      <c r="B184" s="5" t="s">
        <v>136</v>
      </c>
      <c r="C184" s="5">
        <v>399034</v>
      </c>
      <c r="D184" s="6"/>
      <c r="E184" s="5" t="s">
        <v>16</v>
      </c>
      <c r="F184" s="5" t="s">
        <v>137</v>
      </c>
      <c r="G184" s="5" t="s">
        <v>34</v>
      </c>
      <c r="H184" s="7" t="s">
        <v>8</v>
      </c>
      <c r="I184" s="7" t="s">
        <v>138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17</v>
      </c>
      <c r="AX184" s="7">
        <v>2040</v>
      </c>
      <c r="AY184" s="7">
        <v>0</v>
      </c>
      <c r="AZ184" s="7">
        <v>0</v>
      </c>
      <c r="BA184" s="7">
        <v>0</v>
      </c>
      <c r="BB184" s="7">
        <v>0</v>
      </c>
      <c r="BC184" s="7">
        <v>3</v>
      </c>
      <c r="BD184" s="7">
        <v>360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225.6</v>
      </c>
      <c r="BM184" s="11">
        <v>2400</v>
      </c>
      <c r="BN184" s="15">
        <f t="shared" si="4"/>
        <v>2174.4</v>
      </c>
      <c r="BO184" s="16">
        <f t="shared" si="5"/>
        <v>1522.08</v>
      </c>
    </row>
    <row r="185" spans="1:67" x14ac:dyDescent="0.3">
      <c r="A185" s="5" t="s">
        <v>14</v>
      </c>
      <c r="B185" s="5" t="s">
        <v>314</v>
      </c>
      <c r="C185" s="5">
        <v>278898</v>
      </c>
      <c r="D185" s="6"/>
      <c r="E185" s="5" t="s">
        <v>16</v>
      </c>
      <c r="F185" s="5" t="s">
        <v>315</v>
      </c>
      <c r="G185" s="5" t="s">
        <v>10</v>
      </c>
      <c r="H185" s="7" t="s">
        <v>7</v>
      </c>
      <c r="I185" s="7" t="s">
        <v>316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4</v>
      </c>
      <c r="AF185" s="7">
        <v>0</v>
      </c>
      <c r="AG185" s="7">
        <v>400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1</v>
      </c>
      <c r="AR185" s="7">
        <v>100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15</v>
      </c>
      <c r="BD185" s="7">
        <v>1800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108</v>
      </c>
      <c r="BM185" s="11">
        <v>2300</v>
      </c>
      <c r="BN185" s="15">
        <f t="shared" si="4"/>
        <v>2192</v>
      </c>
      <c r="BO185" s="16">
        <f t="shared" si="5"/>
        <v>1534.3999999999999</v>
      </c>
    </row>
    <row r="186" spans="1:67" x14ac:dyDescent="0.3">
      <c r="A186" s="5" t="s">
        <v>14</v>
      </c>
      <c r="B186" s="5" t="s">
        <v>322</v>
      </c>
      <c r="C186" s="5">
        <v>408191</v>
      </c>
      <c r="D186" s="6"/>
      <c r="E186" s="5" t="s">
        <v>16</v>
      </c>
      <c r="F186" s="5" t="s">
        <v>128</v>
      </c>
      <c r="G186" s="5" t="s">
        <v>34</v>
      </c>
      <c r="H186" s="7" t="s">
        <v>8</v>
      </c>
      <c r="I186" s="7" t="s">
        <v>224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1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21</v>
      </c>
      <c r="AF186" s="7">
        <v>2000</v>
      </c>
      <c r="AG186" s="7">
        <v>100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11">
        <v>2100</v>
      </c>
      <c r="BN186" s="15">
        <f t="shared" ref="BN186:BN247" si="6">BM186-BL186</f>
        <v>2100</v>
      </c>
      <c r="BO186" s="16">
        <f t="shared" ref="BO186:BO247" si="7">BN186*70%</f>
        <v>1470</v>
      </c>
    </row>
    <row r="187" spans="1:67" x14ac:dyDescent="0.3">
      <c r="A187" s="5" t="s">
        <v>14</v>
      </c>
      <c r="B187" s="5" t="s">
        <v>542</v>
      </c>
      <c r="C187" s="5">
        <v>463949</v>
      </c>
      <c r="D187" s="6"/>
      <c r="E187" s="5" t="s">
        <v>16</v>
      </c>
      <c r="F187" s="5" t="s">
        <v>543</v>
      </c>
      <c r="G187" s="5" t="s">
        <v>10</v>
      </c>
      <c r="H187" s="7" t="s">
        <v>7</v>
      </c>
      <c r="I187" s="7" t="s">
        <v>56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7</v>
      </c>
      <c r="AF187" s="7">
        <v>0</v>
      </c>
      <c r="AG187" s="7">
        <v>700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11</v>
      </c>
      <c r="BD187" s="7">
        <v>1320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79.2</v>
      </c>
      <c r="BM187" s="11">
        <v>2020</v>
      </c>
      <c r="BN187" s="15">
        <f t="shared" si="6"/>
        <v>1940.8</v>
      </c>
      <c r="BO187" s="16">
        <f t="shared" si="7"/>
        <v>1358.56</v>
      </c>
    </row>
    <row r="188" spans="1:67" x14ac:dyDescent="0.3">
      <c r="A188" s="5" t="s">
        <v>14</v>
      </c>
      <c r="B188" s="5" t="s">
        <v>529</v>
      </c>
      <c r="C188" s="5">
        <v>481179</v>
      </c>
      <c r="D188" s="6"/>
      <c r="E188" s="5" t="s">
        <v>16</v>
      </c>
      <c r="F188" s="5" t="s">
        <v>530</v>
      </c>
      <c r="G188" s="5" t="s">
        <v>382</v>
      </c>
      <c r="H188" s="7" t="s">
        <v>289</v>
      </c>
      <c r="I188" s="7" t="s">
        <v>531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1</v>
      </c>
      <c r="AF188" s="7">
        <v>2000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11">
        <v>2000</v>
      </c>
      <c r="BN188" s="15">
        <f t="shared" si="6"/>
        <v>2000</v>
      </c>
      <c r="BO188" s="16">
        <f t="shared" si="7"/>
        <v>1400</v>
      </c>
    </row>
    <row r="189" spans="1:67" x14ac:dyDescent="0.3">
      <c r="A189" s="5" t="s">
        <v>14</v>
      </c>
      <c r="B189" s="5" t="s">
        <v>202</v>
      </c>
      <c r="C189" s="5">
        <v>393598</v>
      </c>
      <c r="D189" s="6"/>
      <c r="E189" s="5" t="s">
        <v>16</v>
      </c>
      <c r="F189" s="5" t="s">
        <v>203</v>
      </c>
      <c r="G189" s="5" t="s">
        <v>34</v>
      </c>
      <c r="H189" s="7" t="s">
        <v>8</v>
      </c>
      <c r="I189" s="7" t="s">
        <v>204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12</v>
      </c>
      <c r="AF189" s="7">
        <v>0</v>
      </c>
      <c r="AG189" s="7">
        <v>1200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6</v>
      </c>
      <c r="BD189" s="7">
        <v>720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43.2</v>
      </c>
      <c r="BM189" s="11">
        <v>1920</v>
      </c>
      <c r="BN189" s="15">
        <f t="shared" si="6"/>
        <v>1876.8</v>
      </c>
      <c r="BO189" s="16">
        <f t="shared" si="7"/>
        <v>1313.76</v>
      </c>
    </row>
    <row r="190" spans="1:67" x14ac:dyDescent="0.3">
      <c r="A190" s="5" t="s">
        <v>14</v>
      </c>
      <c r="B190" s="5" t="s">
        <v>611</v>
      </c>
      <c r="C190" s="5">
        <v>467498</v>
      </c>
      <c r="D190" s="6"/>
      <c r="E190" s="5" t="s">
        <v>16</v>
      </c>
      <c r="F190" s="5" t="s">
        <v>293</v>
      </c>
      <c r="G190" s="5" t="s">
        <v>34</v>
      </c>
      <c r="H190" s="7" t="s">
        <v>8</v>
      </c>
      <c r="I190" s="7" t="s">
        <v>21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1</v>
      </c>
      <c r="AF190" s="7">
        <v>0</v>
      </c>
      <c r="AG190" s="7">
        <v>1800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11">
        <v>1800</v>
      </c>
      <c r="BN190" s="15">
        <f t="shared" si="6"/>
        <v>1800</v>
      </c>
      <c r="BO190" s="16">
        <f t="shared" si="7"/>
        <v>1260</v>
      </c>
    </row>
    <row r="191" spans="1:67" ht="19.5" x14ac:dyDescent="0.3">
      <c r="A191" s="5" t="s">
        <v>14</v>
      </c>
      <c r="B191" s="5" t="s">
        <v>612</v>
      </c>
      <c r="C191" s="5">
        <v>470381</v>
      </c>
      <c r="D191" s="6"/>
      <c r="E191" s="5" t="s">
        <v>16</v>
      </c>
      <c r="F191" s="5" t="s">
        <v>75</v>
      </c>
      <c r="G191" s="5" t="s">
        <v>382</v>
      </c>
      <c r="H191" s="7" t="s">
        <v>7</v>
      </c>
      <c r="I191" s="7" t="s">
        <v>18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1</v>
      </c>
      <c r="BD191" s="7">
        <v>1800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108</v>
      </c>
      <c r="BM191" s="11">
        <v>1800</v>
      </c>
      <c r="BN191" s="15">
        <f t="shared" si="6"/>
        <v>1692</v>
      </c>
      <c r="BO191" s="16">
        <f t="shared" si="7"/>
        <v>1184.3999999999999</v>
      </c>
    </row>
    <row r="192" spans="1:67" x14ac:dyDescent="0.3">
      <c r="A192" s="5" t="s">
        <v>14</v>
      </c>
      <c r="B192" s="5" t="s">
        <v>261</v>
      </c>
      <c r="C192" s="5">
        <v>358724</v>
      </c>
      <c r="D192" s="6"/>
      <c r="E192" s="5" t="s">
        <v>16</v>
      </c>
      <c r="F192" s="5" t="s">
        <v>262</v>
      </c>
      <c r="G192" s="5" t="s">
        <v>34</v>
      </c>
      <c r="H192" s="7" t="s">
        <v>8</v>
      </c>
      <c r="I192" s="7" t="s">
        <v>106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1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17</v>
      </c>
      <c r="AF192" s="7">
        <v>0</v>
      </c>
      <c r="AG192" s="7">
        <v>1700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1</v>
      </c>
      <c r="AR192" s="7">
        <v>100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11">
        <v>1800</v>
      </c>
      <c r="BN192" s="15">
        <f t="shared" si="6"/>
        <v>1800</v>
      </c>
      <c r="BO192" s="16">
        <f t="shared" si="7"/>
        <v>1260</v>
      </c>
    </row>
    <row r="193" spans="1:67" x14ac:dyDescent="0.3">
      <c r="A193" s="5" t="s">
        <v>14</v>
      </c>
      <c r="B193" s="5" t="s">
        <v>519</v>
      </c>
      <c r="C193" s="5">
        <v>335995</v>
      </c>
      <c r="D193" s="6"/>
      <c r="E193" s="5" t="s">
        <v>16</v>
      </c>
      <c r="F193" s="5" t="s">
        <v>190</v>
      </c>
      <c r="G193" s="5" t="s">
        <v>10</v>
      </c>
      <c r="H193" s="7" t="s">
        <v>7</v>
      </c>
      <c r="I193" s="7" t="s">
        <v>520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17</v>
      </c>
      <c r="AF193" s="7">
        <v>1700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11">
        <v>1700</v>
      </c>
      <c r="BN193" s="15">
        <f t="shared" si="6"/>
        <v>1700</v>
      </c>
      <c r="BO193" s="16">
        <f t="shared" si="7"/>
        <v>1190</v>
      </c>
    </row>
    <row r="194" spans="1:67" x14ac:dyDescent="0.3">
      <c r="A194" s="5" t="s">
        <v>14</v>
      </c>
      <c r="B194" s="5" t="s">
        <v>483</v>
      </c>
      <c r="C194" s="5">
        <v>408471</v>
      </c>
      <c r="D194" s="6"/>
      <c r="E194" s="5" t="s">
        <v>16</v>
      </c>
      <c r="F194" s="5" t="s">
        <v>200</v>
      </c>
      <c r="G194" s="5" t="s">
        <v>34</v>
      </c>
      <c r="H194" s="7" t="s">
        <v>8</v>
      </c>
      <c r="I194" s="7" t="s">
        <v>484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14</v>
      </c>
      <c r="BD194" s="7">
        <v>1680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100.8</v>
      </c>
      <c r="BM194" s="11">
        <v>1680</v>
      </c>
      <c r="BN194" s="15">
        <f t="shared" si="6"/>
        <v>1579.2</v>
      </c>
      <c r="BO194" s="16">
        <f t="shared" si="7"/>
        <v>1105.44</v>
      </c>
    </row>
    <row r="195" spans="1:67" x14ac:dyDescent="0.3">
      <c r="A195" s="5" t="s">
        <v>14</v>
      </c>
      <c r="B195" s="5" t="s">
        <v>516</v>
      </c>
      <c r="C195" s="5">
        <v>481350</v>
      </c>
      <c r="D195" s="6"/>
      <c r="E195" s="5" t="s">
        <v>16</v>
      </c>
      <c r="F195" s="5" t="s">
        <v>517</v>
      </c>
      <c r="G195" s="5" t="s">
        <v>10</v>
      </c>
      <c r="H195" s="7" t="s">
        <v>7</v>
      </c>
      <c r="I195" s="7" t="s">
        <v>494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11</v>
      </c>
      <c r="BD195" s="7">
        <v>1320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79.2</v>
      </c>
      <c r="BM195" s="11">
        <v>1320</v>
      </c>
      <c r="BN195" s="15">
        <f t="shared" si="6"/>
        <v>1240.8</v>
      </c>
      <c r="BO195" s="16">
        <f t="shared" si="7"/>
        <v>868.56</v>
      </c>
    </row>
    <row r="196" spans="1:67" x14ac:dyDescent="0.3">
      <c r="A196" s="5" t="s">
        <v>14</v>
      </c>
      <c r="B196" s="5" t="s">
        <v>242</v>
      </c>
      <c r="C196" s="5">
        <v>434853</v>
      </c>
      <c r="D196" s="6"/>
      <c r="E196" s="5" t="s">
        <v>16</v>
      </c>
      <c r="F196" s="5" t="s">
        <v>243</v>
      </c>
      <c r="G196" s="5" t="s">
        <v>10</v>
      </c>
      <c r="H196" s="7" t="s">
        <v>7</v>
      </c>
      <c r="I196" s="7" t="s">
        <v>244</v>
      </c>
      <c r="J196" s="7">
        <v>10</v>
      </c>
      <c r="K196" s="7">
        <v>0</v>
      </c>
      <c r="L196" s="7">
        <v>1000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1</v>
      </c>
      <c r="BD196" s="7">
        <v>120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7.2</v>
      </c>
      <c r="BM196" s="11">
        <v>1120</v>
      </c>
      <c r="BN196" s="15">
        <f t="shared" si="6"/>
        <v>1112.8</v>
      </c>
      <c r="BO196" s="16">
        <f t="shared" si="7"/>
        <v>778.95999999999992</v>
      </c>
    </row>
    <row r="197" spans="1:67" x14ac:dyDescent="0.3">
      <c r="A197" s="5" t="s">
        <v>14</v>
      </c>
      <c r="B197" s="5" t="s">
        <v>613</v>
      </c>
      <c r="C197" s="5">
        <v>483175</v>
      </c>
      <c r="D197" s="6"/>
      <c r="E197" s="5" t="s">
        <v>16</v>
      </c>
      <c r="F197" s="5" t="s">
        <v>571</v>
      </c>
      <c r="G197" s="5" t="s">
        <v>382</v>
      </c>
      <c r="H197" s="7" t="s">
        <v>8</v>
      </c>
      <c r="I197" s="7" t="s">
        <v>572</v>
      </c>
      <c r="J197" s="8">
        <v>0</v>
      </c>
      <c r="K197" s="8">
        <v>0</v>
      </c>
      <c r="L197" s="8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8">
        <v>1</v>
      </c>
      <c r="AF197" s="8">
        <v>0</v>
      </c>
      <c r="AG197" s="8">
        <v>1000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8">
        <v>0</v>
      </c>
      <c r="AN197" s="7">
        <v>0</v>
      </c>
      <c r="AO197" s="7">
        <v>0</v>
      </c>
      <c r="AP197" s="7">
        <v>0</v>
      </c>
      <c r="AQ197" s="7">
        <v>0</v>
      </c>
      <c r="AR197" s="8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8">
        <v>0</v>
      </c>
      <c r="BE197" s="7">
        <v>0</v>
      </c>
      <c r="BF197" s="7">
        <v>0</v>
      </c>
      <c r="BG197" s="7">
        <v>0</v>
      </c>
      <c r="BH197" s="7">
        <v>0</v>
      </c>
      <c r="BI197" s="8">
        <v>0</v>
      </c>
      <c r="BJ197" s="8">
        <v>0</v>
      </c>
      <c r="BK197" s="7">
        <v>0</v>
      </c>
      <c r="BL197" s="9">
        <v>0</v>
      </c>
      <c r="BM197" s="10">
        <v>1000</v>
      </c>
      <c r="BN197" s="15">
        <f t="shared" si="6"/>
        <v>1000</v>
      </c>
      <c r="BO197" s="16">
        <f t="shared" si="7"/>
        <v>700</v>
      </c>
    </row>
    <row r="198" spans="1:67" ht="19.5" x14ac:dyDescent="0.3">
      <c r="A198" s="5" t="s">
        <v>14</v>
      </c>
      <c r="B198" s="5" t="s">
        <v>366</v>
      </c>
      <c r="C198" s="5">
        <v>472228</v>
      </c>
      <c r="D198" s="6"/>
      <c r="E198" s="5" t="s">
        <v>16</v>
      </c>
      <c r="F198" s="5" t="s">
        <v>367</v>
      </c>
      <c r="G198" s="5" t="s">
        <v>382</v>
      </c>
      <c r="H198" s="7" t="s">
        <v>8</v>
      </c>
      <c r="I198" s="7" t="s">
        <v>368</v>
      </c>
      <c r="J198" s="8">
        <v>0</v>
      </c>
      <c r="K198" s="8">
        <v>0</v>
      </c>
      <c r="L198" s="8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8">
        <v>0</v>
      </c>
      <c r="AF198" s="8">
        <v>0</v>
      </c>
      <c r="AG198" s="8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8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7</v>
      </c>
      <c r="BD198" s="7">
        <v>840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8">
        <v>0</v>
      </c>
      <c r="BK198" s="7">
        <v>0</v>
      </c>
      <c r="BL198" s="7">
        <v>50.4</v>
      </c>
      <c r="BM198" s="10">
        <v>840</v>
      </c>
      <c r="BN198" s="15">
        <f t="shared" si="6"/>
        <v>789.6</v>
      </c>
      <c r="BO198" s="16">
        <f t="shared" si="7"/>
        <v>552.72</v>
      </c>
    </row>
    <row r="199" spans="1:67" x14ac:dyDescent="0.3">
      <c r="A199" s="5" t="s">
        <v>14</v>
      </c>
      <c r="B199" s="5" t="s">
        <v>196</v>
      </c>
      <c r="C199" s="5">
        <v>332138</v>
      </c>
      <c r="D199" s="6"/>
      <c r="E199" s="5" t="s">
        <v>16</v>
      </c>
      <c r="F199" s="5" t="s">
        <v>197</v>
      </c>
      <c r="G199" s="5" t="s">
        <v>34</v>
      </c>
      <c r="H199" s="7" t="s">
        <v>9</v>
      </c>
      <c r="I199" s="7" t="s">
        <v>198</v>
      </c>
      <c r="J199" s="7">
        <v>1</v>
      </c>
      <c r="K199" s="8">
        <v>0</v>
      </c>
      <c r="L199" s="7">
        <v>100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8">
        <v>4</v>
      </c>
      <c r="AF199" s="8">
        <v>120</v>
      </c>
      <c r="AG199" s="8">
        <v>300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8">
        <v>0</v>
      </c>
      <c r="AR199" s="8">
        <v>0</v>
      </c>
      <c r="AS199" s="8">
        <v>0</v>
      </c>
      <c r="AT199" s="7">
        <v>0</v>
      </c>
      <c r="AU199" s="7">
        <v>0</v>
      </c>
      <c r="AV199" s="7">
        <v>0</v>
      </c>
      <c r="AW199" s="7">
        <v>0</v>
      </c>
      <c r="AX199" s="8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8">
        <v>0</v>
      </c>
      <c r="BE199" s="7">
        <v>0</v>
      </c>
      <c r="BF199" s="7">
        <v>0</v>
      </c>
      <c r="BG199" s="7">
        <v>0</v>
      </c>
      <c r="BH199" s="7">
        <v>0</v>
      </c>
      <c r="BI199" s="8">
        <v>0</v>
      </c>
      <c r="BJ199" s="8">
        <v>0</v>
      </c>
      <c r="BK199" s="7">
        <v>0</v>
      </c>
      <c r="BL199" s="9">
        <v>0</v>
      </c>
      <c r="BM199" s="10">
        <v>520</v>
      </c>
      <c r="BN199" s="15">
        <f t="shared" si="6"/>
        <v>520</v>
      </c>
      <c r="BO199" s="16">
        <f t="shared" si="7"/>
        <v>364</v>
      </c>
    </row>
    <row r="200" spans="1:67" x14ac:dyDescent="0.3">
      <c r="A200" s="5" t="s">
        <v>14</v>
      </c>
      <c r="B200" s="5" t="s">
        <v>351</v>
      </c>
      <c r="C200" s="5">
        <v>407003</v>
      </c>
      <c r="D200" s="6"/>
      <c r="E200" s="5" t="s">
        <v>16</v>
      </c>
      <c r="F200" s="5" t="s">
        <v>324</v>
      </c>
      <c r="G200" s="5" t="s">
        <v>34</v>
      </c>
      <c r="H200" s="7" t="s">
        <v>289</v>
      </c>
      <c r="I200" s="7" t="s">
        <v>352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8">
        <v>5</v>
      </c>
      <c r="AF200" s="8">
        <v>500</v>
      </c>
      <c r="AG200" s="8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8">
        <v>0</v>
      </c>
      <c r="AS200" s="8">
        <v>0</v>
      </c>
      <c r="AT200" s="7">
        <v>0</v>
      </c>
      <c r="AU200" s="7">
        <v>0</v>
      </c>
      <c r="AV200" s="7">
        <v>0</v>
      </c>
      <c r="AW200" s="7">
        <v>0</v>
      </c>
      <c r="AX200" s="8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8">
        <v>0</v>
      </c>
      <c r="BK200" s="7">
        <v>0</v>
      </c>
      <c r="BL200" s="9">
        <v>0</v>
      </c>
      <c r="BM200" s="10">
        <v>500</v>
      </c>
      <c r="BN200" s="15">
        <f t="shared" si="6"/>
        <v>500</v>
      </c>
      <c r="BO200" s="16">
        <f t="shared" si="7"/>
        <v>350</v>
      </c>
    </row>
    <row r="201" spans="1:67" x14ac:dyDescent="0.3">
      <c r="A201" s="5" t="s">
        <v>14</v>
      </c>
      <c r="B201" s="5" t="s">
        <v>521</v>
      </c>
      <c r="C201" s="5">
        <v>428374</v>
      </c>
      <c r="D201" s="6"/>
      <c r="E201" s="5" t="s">
        <v>16</v>
      </c>
      <c r="F201" s="5" t="s">
        <v>522</v>
      </c>
      <c r="G201" s="5" t="s">
        <v>382</v>
      </c>
      <c r="H201" s="7" t="s">
        <v>7</v>
      </c>
      <c r="I201" s="7" t="s">
        <v>109</v>
      </c>
      <c r="J201" s="7">
        <v>0</v>
      </c>
      <c r="K201" s="8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8">
        <v>0</v>
      </c>
      <c r="AF201" s="8">
        <v>0</v>
      </c>
      <c r="AG201" s="8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8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8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4</v>
      </c>
      <c r="BD201" s="7">
        <v>480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8">
        <v>0</v>
      </c>
      <c r="BK201" s="8">
        <v>0</v>
      </c>
      <c r="BL201" s="9">
        <v>28.8</v>
      </c>
      <c r="BM201" s="10">
        <v>480</v>
      </c>
      <c r="BN201" s="15">
        <f t="shared" si="6"/>
        <v>451.2</v>
      </c>
      <c r="BO201" s="16">
        <f t="shared" si="7"/>
        <v>315.83999999999997</v>
      </c>
    </row>
    <row r="202" spans="1:67" x14ac:dyDescent="0.3">
      <c r="A202" s="5" t="s">
        <v>14</v>
      </c>
      <c r="B202" s="5" t="s">
        <v>248</v>
      </c>
      <c r="C202" s="5">
        <v>353788</v>
      </c>
      <c r="D202" s="6"/>
      <c r="E202" s="5" t="s">
        <v>16</v>
      </c>
      <c r="F202" s="5" t="s">
        <v>200</v>
      </c>
      <c r="G202" s="5" t="s">
        <v>34</v>
      </c>
      <c r="H202" s="7" t="s">
        <v>8</v>
      </c>
      <c r="I202" s="7" t="s">
        <v>249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8">
        <v>0</v>
      </c>
      <c r="AF202" s="8">
        <v>0</v>
      </c>
      <c r="AG202" s="8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8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4</v>
      </c>
      <c r="BD202" s="7">
        <v>480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8">
        <v>0</v>
      </c>
      <c r="BK202" s="7">
        <v>0</v>
      </c>
      <c r="BL202" s="9">
        <v>28.8</v>
      </c>
      <c r="BM202" s="10">
        <v>480</v>
      </c>
      <c r="BN202" s="15">
        <f t="shared" si="6"/>
        <v>451.2</v>
      </c>
      <c r="BO202" s="16">
        <f t="shared" si="7"/>
        <v>315.83999999999997</v>
      </c>
    </row>
    <row r="203" spans="1:67" x14ac:dyDescent="0.3">
      <c r="A203" s="5" t="s">
        <v>14</v>
      </c>
      <c r="B203" s="5" t="s">
        <v>301</v>
      </c>
      <c r="C203" s="5">
        <v>389960</v>
      </c>
      <c r="D203" s="6"/>
      <c r="E203" s="5" t="s">
        <v>16</v>
      </c>
      <c r="F203" s="5" t="s">
        <v>108</v>
      </c>
      <c r="G203" s="5" t="s">
        <v>382</v>
      </c>
      <c r="H203" s="7" t="s">
        <v>9</v>
      </c>
      <c r="I203" s="7" t="s">
        <v>302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8">
        <v>0</v>
      </c>
      <c r="AF203" s="8">
        <v>0</v>
      </c>
      <c r="AG203" s="8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8">
        <v>0</v>
      </c>
      <c r="AS203" s="8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3</v>
      </c>
      <c r="BD203" s="7">
        <v>360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8">
        <v>0</v>
      </c>
      <c r="BK203" s="7">
        <v>0</v>
      </c>
      <c r="BL203" s="9">
        <v>21.6</v>
      </c>
      <c r="BM203" s="10">
        <v>360</v>
      </c>
      <c r="BN203" s="15">
        <f t="shared" si="6"/>
        <v>338.4</v>
      </c>
      <c r="BO203" s="16">
        <f t="shared" si="7"/>
        <v>236.87999999999997</v>
      </c>
    </row>
    <row r="204" spans="1:67" x14ac:dyDescent="0.3">
      <c r="A204" s="5" t="s">
        <v>14</v>
      </c>
      <c r="B204" s="5" t="s">
        <v>614</v>
      </c>
      <c r="C204" s="5">
        <v>467500</v>
      </c>
      <c r="D204" s="6"/>
      <c r="E204" s="5" t="s">
        <v>16</v>
      </c>
      <c r="F204" s="5" t="s">
        <v>293</v>
      </c>
      <c r="G204" s="5" t="s">
        <v>34</v>
      </c>
      <c r="H204" s="7" t="s">
        <v>8</v>
      </c>
      <c r="I204" s="7" t="s">
        <v>21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8">
        <v>1</v>
      </c>
      <c r="AF204" s="8">
        <v>0</v>
      </c>
      <c r="AG204" s="8">
        <v>300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8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8">
        <v>0</v>
      </c>
      <c r="BK204" s="7">
        <v>0</v>
      </c>
      <c r="BL204" s="9">
        <v>0</v>
      </c>
      <c r="BM204" s="10">
        <v>300</v>
      </c>
      <c r="BN204" s="15">
        <f t="shared" si="6"/>
        <v>300</v>
      </c>
      <c r="BO204" s="16">
        <f t="shared" si="7"/>
        <v>210</v>
      </c>
    </row>
    <row r="205" spans="1:67" x14ac:dyDescent="0.3">
      <c r="A205" s="5" t="s">
        <v>14</v>
      </c>
      <c r="B205" s="5" t="s">
        <v>213</v>
      </c>
      <c r="C205" s="5">
        <v>434558</v>
      </c>
      <c r="D205" s="6"/>
      <c r="E205" s="5" t="s">
        <v>16</v>
      </c>
      <c r="F205" s="5" t="s">
        <v>214</v>
      </c>
      <c r="G205" s="5" t="s">
        <v>10</v>
      </c>
      <c r="H205" s="7" t="s">
        <v>7</v>
      </c>
      <c r="I205" s="7" t="s">
        <v>215</v>
      </c>
      <c r="J205" s="7">
        <v>3</v>
      </c>
      <c r="K205" s="7">
        <v>0</v>
      </c>
      <c r="L205" s="8">
        <v>300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8">
        <v>0</v>
      </c>
      <c r="AG205" s="8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8">
        <v>0</v>
      </c>
      <c r="AS205" s="8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8">
        <v>0</v>
      </c>
      <c r="BK205" s="7">
        <v>0</v>
      </c>
      <c r="BL205" s="9">
        <v>0</v>
      </c>
      <c r="BM205" s="10">
        <v>300</v>
      </c>
      <c r="BN205" s="15">
        <f t="shared" si="6"/>
        <v>300</v>
      </c>
      <c r="BO205" s="16">
        <f t="shared" si="7"/>
        <v>210</v>
      </c>
    </row>
    <row r="206" spans="1:67" x14ac:dyDescent="0.3">
      <c r="A206" s="5" t="s">
        <v>14</v>
      </c>
      <c r="B206" s="5" t="s">
        <v>263</v>
      </c>
      <c r="C206" s="5">
        <v>327548</v>
      </c>
      <c r="D206" s="6"/>
      <c r="E206" s="5" t="s">
        <v>16</v>
      </c>
      <c r="F206" s="5" t="s">
        <v>200</v>
      </c>
      <c r="G206" s="5" t="s">
        <v>34</v>
      </c>
      <c r="H206" s="7" t="s">
        <v>8</v>
      </c>
      <c r="I206" s="7" t="s">
        <v>264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8">
        <v>0</v>
      </c>
      <c r="AE206" s="7">
        <v>2</v>
      </c>
      <c r="AF206" s="8">
        <v>200</v>
      </c>
      <c r="AG206" s="8">
        <v>0</v>
      </c>
      <c r="AH206" s="7">
        <v>0</v>
      </c>
      <c r="AI206" s="7">
        <v>0</v>
      </c>
      <c r="AJ206" s="8">
        <v>0</v>
      </c>
      <c r="AK206" s="7">
        <v>0</v>
      </c>
      <c r="AL206" s="7">
        <v>0</v>
      </c>
      <c r="AM206" s="7">
        <v>0</v>
      </c>
      <c r="AN206" s="7">
        <v>0</v>
      </c>
      <c r="AO206" s="8">
        <v>0</v>
      </c>
      <c r="AP206" s="7">
        <v>0</v>
      </c>
      <c r="AQ206" s="7">
        <v>0</v>
      </c>
      <c r="AR206" s="8">
        <v>0</v>
      </c>
      <c r="AS206" s="8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8">
        <v>0</v>
      </c>
      <c r="BH206" s="7">
        <v>0</v>
      </c>
      <c r="BI206" s="7">
        <v>0</v>
      </c>
      <c r="BJ206" s="8">
        <v>0</v>
      </c>
      <c r="BK206" s="7">
        <v>0</v>
      </c>
      <c r="BL206" s="9">
        <v>0</v>
      </c>
      <c r="BM206" s="10">
        <v>200</v>
      </c>
      <c r="BN206" s="15">
        <f t="shared" si="6"/>
        <v>200</v>
      </c>
      <c r="BO206" s="16">
        <f t="shared" si="7"/>
        <v>140</v>
      </c>
    </row>
    <row r="207" spans="1:67" x14ac:dyDescent="0.3">
      <c r="A207" s="5" t="s">
        <v>14</v>
      </c>
      <c r="B207" s="5" t="s">
        <v>536</v>
      </c>
      <c r="C207" s="5">
        <v>351726</v>
      </c>
      <c r="D207" s="6"/>
      <c r="E207" s="5" t="s">
        <v>16</v>
      </c>
      <c r="F207" s="5" t="s">
        <v>537</v>
      </c>
      <c r="G207" s="5" t="s">
        <v>10</v>
      </c>
      <c r="H207" s="7" t="s">
        <v>7</v>
      </c>
      <c r="I207" s="7" t="s">
        <v>538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8">
        <v>2</v>
      </c>
      <c r="AF207" s="8">
        <v>0</v>
      </c>
      <c r="AG207" s="8">
        <v>200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8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8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8">
        <v>0</v>
      </c>
      <c r="BK207" s="7">
        <v>0</v>
      </c>
      <c r="BL207" s="9">
        <v>0</v>
      </c>
      <c r="BM207" s="10">
        <v>200</v>
      </c>
      <c r="BN207" s="15">
        <f t="shared" si="6"/>
        <v>200</v>
      </c>
      <c r="BO207" s="16">
        <f t="shared" si="7"/>
        <v>140</v>
      </c>
    </row>
    <row r="208" spans="1:67" x14ac:dyDescent="0.3">
      <c r="A208" s="5" t="s">
        <v>14</v>
      </c>
      <c r="B208" s="5" t="s">
        <v>480</v>
      </c>
      <c r="C208" s="5">
        <v>450457</v>
      </c>
      <c r="D208" s="6"/>
      <c r="E208" s="5" t="s">
        <v>16</v>
      </c>
      <c r="F208" s="5" t="s">
        <v>481</v>
      </c>
      <c r="G208" s="5" t="s">
        <v>10</v>
      </c>
      <c r="H208" s="7" t="s">
        <v>7</v>
      </c>
      <c r="I208" s="7" t="s">
        <v>615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2</v>
      </c>
      <c r="AF208" s="7">
        <v>100</v>
      </c>
      <c r="AG208" s="8">
        <v>100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8">
        <v>0</v>
      </c>
      <c r="BK208" s="7">
        <v>0</v>
      </c>
      <c r="BL208" s="9">
        <v>0</v>
      </c>
      <c r="BM208" s="10">
        <v>200</v>
      </c>
      <c r="BN208" s="15">
        <f t="shared" si="6"/>
        <v>200</v>
      </c>
      <c r="BO208" s="16">
        <f t="shared" si="7"/>
        <v>140</v>
      </c>
    </row>
    <row r="209" spans="1:67" x14ac:dyDescent="0.3">
      <c r="A209" s="5" t="s">
        <v>14</v>
      </c>
      <c r="B209" s="5" t="s">
        <v>317</v>
      </c>
      <c r="C209" s="5">
        <v>388508</v>
      </c>
      <c r="D209" s="6"/>
      <c r="E209" s="5" t="s">
        <v>16</v>
      </c>
      <c r="F209" s="5" t="s">
        <v>318</v>
      </c>
      <c r="G209" s="5" t="s">
        <v>382</v>
      </c>
      <c r="H209" s="7" t="s">
        <v>7</v>
      </c>
      <c r="I209" s="7" t="s">
        <v>319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8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1</v>
      </c>
      <c r="BD209" s="7">
        <v>120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7.2</v>
      </c>
      <c r="BM209" s="10">
        <v>120</v>
      </c>
      <c r="BN209" s="15">
        <f t="shared" si="6"/>
        <v>112.8</v>
      </c>
      <c r="BO209" s="16">
        <f t="shared" si="7"/>
        <v>78.959999999999994</v>
      </c>
    </row>
    <row r="210" spans="1:67" x14ac:dyDescent="0.3">
      <c r="A210" s="5" t="s">
        <v>14</v>
      </c>
      <c r="B210" s="5" t="s">
        <v>355</v>
      </c>
      <c r="C210" s="5">
        <v>380275</v>
      </c>
      <c r="D210" s="6"/>
      <c r="E210" s="5" t="s">
        <v>16</v>
      </c>
      <c r="F210" s="5" t="s">
        <v>41</v>
      </c>
      <c r="G210" s="5" t="s">
        <v>34</v>
      </c>
      <c r="H210" s="7" t="s">
        <v>289</v>
      </c>
      <c r="I210" s="7" t="s">
        <v>356</v>
      </c>
      <c r="J210" s="7">
        <v>0</v>
      </c>
      <c r="K210" s="7">
        <v>0</v>
      </c>
      <c r="L210" s="8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8">
        <v>0</v>
      </c>
      <c r="AG210" s="8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8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1</v>
      </c>
      <c r="BD210" s="7">
        <v>120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8">
        <v>0</v>
      </c>
      <c r="BK210" s="7">
        <v>0</v>
      </c>
      <c r="BL210" s="9">
        <v>7.2</v>
      </c>
      <c r="BM210" s="10">
        <v>120</v>
      </c>
      <c r="BN210" s="15">
        <f t="shared" si="6"/>
        <v>112.8</v>
      </c>
      <c r="BO210" s="16">
        <f t="shared" si="7"/>
        <v>78.959999999999994</v>
      </c>
    </row>
    <row r="211" spans="1:67" x14ac:dyDescent="0.3">
      <c r="A211" s="5" t="s">
        <v>14</v>
      </c>
      <c r="B211" s="5" t="s">
        <v>162</v>
      </c>
      <c r="C211" s="5">
        <v>387822</v>
      </c>
      <c r="D211" s="6"/>
      <c r="E211" s="5" t="s">
        <v>16</v>
      </c>
      <c r="F211" s="5" t="s">
        <v>163</v>
      </c>
      <c r="G211" s="5" t="s">
        <v>34</v>
      </c>
      <c r="H211" s="7" t="s">
        <v>8</v>
      </c>
      <c r="I211" s="7" t="s">
        <v>164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8">
        <v>0</v>
      </c>
      <c r="AG211" s="8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8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1</v>
      </c>
      <c r="AX211" s="7">
        <v>120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8">
        <v>0</v>
      </c>
      <c r="BK211" s="7">
        <v>0</v>
      </c>
      <c r="BL211" s="9">
        <v>12</v>
      </c>
      <c r="BM211" s="10">
        <v>120</v>
      </c>
      <c r="BN211" s="15">
        <f t="shared" si="6"/>
        <v>108</v>
      </c>
      <c r="BO211" s="16">
        <f t="shared" si="7"/>
        <v>75.599999999999994</v>
      </c>
    </row>
    <row r="212" spans="1:67" x14ac:dyDescent="0.3">
      <c r="A212" s="5" t="s">
        <v>14</v>
      </c>
      <c r="B212" s="5" t="s">
        <v>616</v>
      </c>
      <c r="C212" s="5">
        <v>385872</v>
      </c>
      <c r="D212" s="6"/>
      <c r="E212" s="5" t="s">
        <v>16</v>
      </c>
      <c r="F212" s="5" t="s">
        <v>617</v>
      </c>
      <c r="G212" s="5" t="s">
        <v>10</v>
      </c>
      <c r="H212" s="7" t="s">
        <v>7</v>
      </c>
      <c r="I212" s="7" t="s">
        <v>618</v>
      </c>
      <c r="J212" s="7">
        <v>0</v>
      </c>
      <c r="K212" s="8">
        <v>5</v>
      </c>
      <c r="L212" s="8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8">
        <v>0</v>
      </c>
      <c r="AG212" s="8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8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8">
        <v>0</v>
      </c>
      <c r="BK212" s="7">
        <v>0</v>
      </c>
      <c r="BL212" s="9">
        <v>0</v>
      </c>
      <c r="BM212" s="10">
        <v>0</v>
      </c>
      <c r="BN212" s="15">
        <f t="shared" si="6"/>
        <v>0</v>
      </c>
      <c r="BO212" s="16">
        <f t="shared" si="7"/>
        <v>0</v>
      </c>
    </row>
    <row r="213" spans="1:67" ht="19.5" x14ac:dyDescent="0.3">
      <c r="A213" s="5" t="s">
        <v>396</v>
      </c>
      <c r="B213" s="5" t="s">
        <v>491</v>
      </c>
      <c r="C213" s="5">
        <v>482098</v>
      </c>
      <c r="D213" s="6"/>
      <c r="E213" s="5" t="s">
        <v>16</v>
      </c>
      <c r="F213" s="5" t="s">
        <v>41</v>
      </c>
      <c r="G213" s="5" t="s">
        <v>382</v>
      </c>
      <c r="H213" s="7" t="s">
        <v>8</v>
      </c>
      <c r="I213" s="7" t="s">
        <v>562</v>
      </c>
      <c r="J213" s="7">
        <v>203</v>
      </c>
      <c r="K213" s="7">
        <v>13666</v>
      </c>
      <c r="L213" s="7">
        <v>20300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8573</v>
      </c>
      <c r="AF213" s="8">
        <v>686720</v>
      </c>
      <c r="AG213" s="8">
        <v>264300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2000</v>
      </c>
      <c r="AR213" s="8">
        <v>196600</v>
      </c>
      <c r="AS213" s="7">
        <v>3400</v>
      </c>
      <c r="AT213" s="7">
        <v>0</v>
      </c>
      <c r="AU213" s="7">
        <v>0</v>
      </c>
      <c r="AV213" s="7">
        <v>0</v>
      </c>
      <c r="AW213" s="7">
        <v>17</v>
      </c>
      <c r="AX213" s="7">
        <v>2040</v>
      </c>
      <c r="AY213" s="7">
        <v>0</v>
      </c>
      <c r="AZ213" s="7">
        <v>0</v>
      </c>
      <c r="BA213" s="7">
        <v>0</v>
      </c>
      <c r="BB213" s="7">
        <v>0</v>
      </c>
      <c r="BC213" s="7">
        <v>252</v>
      </c>
      <c r="BD213" s="7">
        <v>30240</v>
      </c>
      <c r="BE213" s="7">
        <v>0</v>
      </c>
      <c r="BF213" s="7">
        <v>0</v>
      </c>
      <c r="BG213" s="7">
        <v>0</v>
      </c>
      <c r="BH213" s="7">
        <v>0</v>
      </c>
      <c r="BI213" s="7">
        <v>3226</v>
      </c>
      <c r="BJ213" s="8">
        <v>387000</v>
      </c>
      <c r="BK213" s="7">
        <v>100</v>
      </c>
      <c r="BL213" s="9">
        <v>21368.400000000001</v>
      </c>
      <c r="BM213" s="10">
        <v>1590700</v>
      </c>
      <c r="BN213" s="15">
        <f t="shared" si="6"/>
        <v>1569331.6</v>
      </c>
      <c r="BO213" s="16">
        <f t="shared" si="7"/>
        <v>1098532.1200000001</v>
      </c>
    </row>
    <row r="214" spans="1:67" ht="19.5" x14ac:dyDescent="0.3">
      <c r="A214" s="5" t="s">
        <v>396</v>
      </c>
      <c r="B214" s="5" t="s">
        <v>15</v>
      </c>
      <c r="C214" s="5">
        <v>465248</v>
      </c>
      <c r="D214" s="6"/>
      <c r="E214" s="5" t="s">
        <v>16</v>
      </c>
      <c r="F214" s="5" t="s">
        <v>17</v>
      </c>
      <c r="G214" s="5" t="s">
        <v>382</v>
      </c>
      <c r="H214" s="7" t="s">
        <v>9</v>
      </c>
      <c r="I214" s="7" t="s">
        <v>18</v>
      </c>
      <c r="J214" s="7">
        <v>291</v>
      </c>
      <c r="K214" s="7">
        <v>7638</v>
      </c>
      <c r="L214" s="7">
        <v>29100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10248</v>
      </c>
      <c r="AF214" s="8">
        <v>588480</v>
      </c>
      <c r="AG214" s="8">
        <v>486100</v>
      </c>
      <c r="AH214" s="7">
        <v>0</v>
      </c>
      <c r="AI214" s="7">
        <v>0</v>
      </c>
      <c r="AJ214" s="7">
        <v>0</v>
      </c>
      <c r="AK214" s="7">
        <v>5</v>
      </c>
      <c r="AL214" s="7">
        <v>0</v>
      </c>
      <c r="AM214" s="7">
        <v>500</v>
      </c>
      <c r="AN214" s="7">
        <v>0</v>
      </c>
      <c r="AO214" s="7">
        <v>0</v>
      </c>
      <c r="AP214" s="7">
        <v>0</v>
      </c>
      <c r="AQ214" s="7">
        <v>1473</v>
      </c>
      <c r="AR214" s="7">
        <v>145800</v>
      </c>
      <c r="AS214" s="7">
        <v>1500</v>
      </c>
      <c r="AT214" s="7">
        <v>0</v>
      </c>
      <c r="AU214" s="7">
        <v>0</v>
      </c>
      <c r="AV214" s="7">
        <v>0</v>
      </c>
      <c r="AW214" s="7">
        <v>52</v>
      </c>
      <c r="AX214" s="7">
        <v>6240</v>
      </c>
      <c r="AY214" s="7">
        <v>0</v>
      </c>
      <c r="AZ214" s="7">
        <v>0</v>
      </c>
      <c r="BA214" s="7">
        <v>0</v>
      </c>
      <c r="BB214" s="7">
        <v>0</v>
      </c>
      <c r="BC214" s="7">
        <v>165</v>
      </c>
      <c r="BD214" s="7">
        <v>18840</v>
      </c>
      <c r="BE214" s="7">
        <v>800</v>
      </c>
      <c r="BF214" s="7">
        <v>0</v>
      </c>
      <c r="BG214" s="7">
        <v>0</v>
      </c>
      <c r="BH214" s="7">
        <v>0</v>
      </c>
      <c r="BI214" s="7">
        <v>1524</v>
      </c>
      <c r="BJ214" s="7">
        <v>182280</v>
      </c>
      <c r="BK214" s="7">
        <v>500</v>
      </c>
      <c r="BL214" s="7">
        <v>10868.4</v>
      </c>
      <c r="BM214" s="10">
        <v>1460140</v>
      </c>
      <c r="BN214" s="15">
        <f t="shared" si="6"/>
        <v>1449271.6</v>
      </c>
      <c r="BO214" s="16">
        <f t="shared" si="7"/>
        <v>1014490.12</v>
      </c>
    </row>
    <row r="215" spans="1:67" ht="19.5" x14ac:dyDescent="0.3">
      <c r="A215" s="5" t="s">
        <v>396</v>
      </c>
      <c r="B215" s="5" t="s">
        <v>498</v>
      </c>
      <c r="C215" s="5">
        <v>478744</v>
      </c>
      <c r="D215" s="6"/>
      <c r="E215" s="5" t="s">
        <v>16</v>
      </c>
      <c r="F215" s="5" t="s">
        <v>499</v>
      </c>
      <c r="G215" s="5" t="s">
        <v>10</v>
      </c>
      <c r="H215" s="7" t="s">
        <v>7</v>
      </c>
      <c r="I215" s="7" t="s">
        <v>564</v>
      </c>
      <c r="J215" s="7">
        <v>9599</v>
      </c>
      <c r="K215" s="7">
        <v>14379</v>
      </c>
      <c r="L215" s="7">
        <v>959900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12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1641</v>
      </c>
      <c r="AF215" s="8">
        <v>70000</v>
      </c>
      <c r="AG215" s="8">
        <v>103100</v>
      </c>
      <c r="AH215" s="7">
        <v>0</v>
      </c>
      <c r="AI215" s="7">
        <v>0</v>
      </c>
      <c r="AJ215" s="7">
        <v>0</v>
      </c>
      <c r="AK215" s="7">
        <v>7</v>
      </c>
      <c r="AL215" s="7">
        <v>0</v>
      </c>
      <c r="AM215" s="7">
        <v>700</v>
      </c>
      <c r="AN215" s="7">
        <v>0</v>
      </c>
      <c r="AO215" s="7">
        <v>0</v>
      </c>
      <c r="AP215" s="7">
        <v>0</v>
      </c>
      <c r="AQ215" s="7">
        <v>138</v>
      </c>
      <c r="AR215" s="7">
        <v>13600</v>
      </c>
      <c r="AS215" s="7">
        <v>200</v>
      </c>
      <c r="AT215" s="7">
        <v>0</v>
      </c>
      <c r="AU215" s="7">
        <v>0</v>
      </c>
      <c r="AV215" s="7">
        <v>0</v>
      </c>
      <c r="AW215" s="7">
        <v>1</v>
      </c>
      <c r="AX215" s="7">
        <v>120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260</v>
      </c>
      <c r="BJ215" s="7">
        <v>31200</v>
      </c>
      <c r="BK215" s="7">
        <v>0</v>
      </c>
      <c r="BL215" s="7">
        <v>1572</v>
      </c>
      <c r="BM215" s="10">
        <v>1178820</v>
      </c>
      <c r="BN215" s="15">
        <f t="shared" si="6"/>
        <v>1177248</v>
      </c>
      <c r="BO215" s="16">
        <f t="shared" si="7"/>
        <v>824073.6</v>
      </c>
    </row>
    <row r="216" spans="1:67" ht="19.5" x14ac:dyDescent="0.3">
      <c r="A216" s="5" t="s">
        <v>396</v>
      </c>
      <c r="B216" s="5" t="s">
        <v>36</v>
      </c>
      <c r="C216" s="5">
        <v>178856</v>
      </c>
      <c r="D216" s="6"/>
      <c r="E216" s="5" t="s">
        <v>16</v>
      </c>
      <c r="F216" s="5" t="s">
        <v>30</v>
      </c>
      <c r="G216" s="5" t="s">
        <v>10</v>
      </c>
      <c r="H216" s="7" t="s">
        <v>9</v>
      </c>
      <c r="I216" s="7" t="s">
        <v>37</v>
      </c>
      <c r="J216" s="7">
        <v>0</v>
      </c>
      <c r="K216" s="8">
        <v>0</v>
      </c>
      <c r="L216" s="8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277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2127</v>
      </c>
      <c r="AF216" s="8">
        <v>182640</v>
      </c>
      <c r="AG216" s="8">
        <v>55800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58</v>
      </c>
      <c r="AR216" s="7">
        <v>4900</v>
      </c>
      <c r="AS216" s="7">
        <v>900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987</v>
      </c>
      <c r="BJ216" s="8">
        <v>118440</v>
      </c>
      <c r="BK216" s="7">
        <v>0</v>
      </c>
      <c r="BL216" s="7">
        <v>5922</v>
      </c>
      <c r="BM216" s="10">
        <v>362680</v>
      </c>
      <c r="BN216" s="15">
        <f t="shared" si="6"/>
        <v>356758</v>
      </c>
      <c r="BO216" s="16">
        <f t="shared" si="7"/>
        <v>249730.59999999998</v>
      </c>
    </row>
    <row r="217" spans="1:67" ht="19.5" x14ac:dyDescent="0.3">
      <c r="A217" s="5" t="s">
        <v>396</v>
      </c>
      <c r="B217" s="5" t="s">
        <v>568</v>
      </c>
      <c r="C217" s="5">
        <v>484142</v>
      </c>
      <c r="D217" s="6"/>
      <c r="E217" s="5" t="s">
        <v>16</v>
      </c>
      <c r="F217" s="5" t="s">
        <v>569</v>
      </c>
      <c r="G217" s="5" t="s">
        <v>382</v>
      </c>
      <c r="H217" s="7" t="s">
        <v>8</v>
      </c>
      <c r="I217" s="7" t="s">
        <v>500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8">
        <v>0</v>
      </c>
      <c r="AD217" s="7">
        <v>0</v>
      </c>
      <c r="AE217" s="7">
        <v>1666</v>
      </c>
      <c r="AF217" s="7">
        <v>130820</v>
      </c>
      <c r="AG217" s="7">
        <v>51300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795</v>
      </c>
      <c r="AR217" s="7">
        <v>76400</v>
      </c>
      <c r="AS217" s="7">
        <v>3100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33</v>
      </c>
      <c r="BD217" s="7">
        <v>3960</v>
      </c>
      <c r="BE217" s="7">
        <v>0</v>
      </c>
      <c r="BF217" s="7">
        <v>0</v>
      </c>
      <c r="BG217" s="8">
        <v>0</v>
      </c>
      <c r="BH217" s="7">
        <v>0</v>
      </c>
      <c r="BI217" s="7">
        <v>678</v>
      </c>
      <c r="BJ217" s="8">
        <v>81360</v>
      </c>
      <c r="BK217" s="7">
        <v>0</v>
      </c>
      <c r="BL217" s="9">
        <v>4305.6000000000004</v>
      </c>
      <c r="BM217" s="10">
        <v>346940</v>
      </c>
      <c r="BN217" s="15">
        <f t="shared" si="6"/>
        <v>342634.4</v>
      </c>
      <c r="BO217" s="16">
        <f t="shared" si="7"/>
        <v>239844.08</v>
      </c>
    </row>
    <row r="218" spans="1:67" ht="19.5" x14ac:dyDescent="0.3">
      <c r="A218" s="5" t="s">
        <v>396</v>
      </c>
      <c r="B218" s="5" t="s">
        <v>357</v>
      </c>
      <c r="C218" s="5">
        <v>472512</v>
      </c>
      <c r="D218" s="6"/>
      <c r="E218" s="5" t="s">
        <v>16</v>
      </c>
      <c r="F218" s="5" t="s">
        <v>39</v>
      </c>
      <c r="G218" s="5" t="s">
        <v>10</v>
      </c>
      <c r="H218" s="7" t="s">
        <v>7</v>
      </c>
      <c r="I218" s="7" t="s">
        <v>563</v>
      </c>
      <c r="J218" s="7">
        <v>0</v>
      </c>
      <c r="K218" s="7">
        <v>2579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44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1693</v>
      </c>
      <c r="AF218" s="8">
        <v>117980</v>
      </c>
      <c r="AG218" s="8">
        <v>62200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378</v>
      </c>
      <c r="AR218" s="8">
        <v>36900</v>
      </c>
      <c r="AS218" s="7">
        <v>900</v>
      </c>
      <c r="AT218" s="7">
        <v>0</v>
      </c>
      <c r="AU218" s="7">
        <v>0</v>
      </c>
      <c r="AV218" s="7">
        <v>0</v>
      </c>
      <c r="AW218" s="7">
        <v>5</v>
      </c>
      <c r="AX218" s="7">
        <v>600</v>
      </c>
      <c r="AY218" s="7">
        <v>0</v>
      </c>
      <c r="AZ218" s="7">
        <v>0</v>
      </c>
      <c r="BA218" s="7">
        <v>0</v>
      </c>
      <c r="BB218" s="7">
        <v>0</v>
      </c>
      <c r="BC218" s="7">
        <v>22</v>
      </c>
      <c r="BD218" s="7">
        <v>2640</v>
      </c>
      <c r="BE218" s="7">
        <v>0</v>
      </c>
      <c r="BF218" s="7">
        <v>0</v>
      </c>
      <c r="BG218" s="7">
        <v>0</v>
      </c>
      <c r="BH218" s="7">
        <v>0</v>
      </c>
      <c r="BI218" s="7">
        <v>838</v>
      </c>
      <c r="BJ218" s="8">
        <v>100560</v>
      </c>
      <c r="BK218" s="7">
        <v>0</v>
      </c>
      <c r="BL218" s="7">
        <v>5246.4</v>
      </c>
      <c r="BM218" s="10">
        <v>321780</v>
      </c>
      <c r="BN218" s="15">
        <f t="shared" si="6"/>
        <v>316533.59999999998</v>
      </c>
      <c r="BO218" s="16">
        <f t="shared" si="7"/>
        <v>221573.51999999996</v>
      </c>
    </row>
    <row r="219" spans="1:67" ht="19.5" x14ac:dyDescent="0.3">
      <c r="A219" s="5" t="s">
        <v>396</v>
      </c>
      <c r="B219" s="5" t="s">
        <v>565</v>
      </c>
      <c r="C219" s="5">
        <v>484300</v>
      </c>
      <c r="D219" s="6"/>
      <c r="E219" s="5" t="s">
        <v>16</v>
      </c>
      <c r="F219" s="5" t="s">
        <v>566</v>
      </c>
      <c r="G219" s="5" t="s">
        <v>10</v>
      </c>
      <c r="H219" s="7" t="s">
        <v>7</v>
      </c>
      <c r="I219" s="7" t="s">
        <v>567</v>
      </c>
      <c r="J219" s="7">
        <v>2</v>
      </c>
      <c r="K219" s="7">
        <v>0</v>
      </c>
      <c r="L219" s="7">
        <v>200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728</v>
      </c>
      <c r="AF219" s="8">
        <v>76680</v>
      </c>
      <c r="AG219" s="8">
        <v>3600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833</v>
      </c>
      <c r="AR219" s="8">
        <v>80800</v>
      </c>
      <c r="AS219" s="7">
        <v>2500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461</v>
      </c>
      <c r="BJ219" s="8">
        <v>55320</v>
      </c>
      <c r="BK219" s="7">
        <v>0</v>
      </c>
      <c r="BL219" s="7">
        <v>2766</v>
      </c>
      <c r="BM219" s="10">
        <v>219100</v>
      </c>
      <c r="BN219" s="15">
        <f t="shared" si="6"/>
        <v>216334</v>
      </c>
      <c r="BO219" s="16">
        <f t="shared" si="7"/>
        <v>151433.79999999999</v>
      </c>
    </row>
    <row r="220" spans="1:67" ht="19.5" x14ac:dyDescent="0.3">
      <c r="A220" s="5" t="s">
        <v>396</v>
      </c>
      <c r="B220" s="5" t="s">
        <v>344</v>
      </c>
      <c r="C220" s="5">
        <v>387975</v>
      </c>
      <c r="D220" s="6"/>
      <c r="E220" s="5" t="s">
        <v>16</v>
      </c>
      <c r="F220" s="5" t="s">
        <v>147</v>
      </c>
      <c r="G220" s="5" t="s">
        <v>34</v>
      </c>
      <c r="H220" s="7" t="s">
        <v>289</v>
      </c>
      <c r="I220" s="7" t="s">
        <v>140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27</v>
      </c>
      <c r="AF220" s="8">
        <v>32700</v>
      </c>
      <c r="AG220" s="8">
        <v>59400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13</v>
      </c>
      <c r="AR220" s="7">
        <v>51000</v>
      </c>
      <c r="AS220" s="7">
        <v>800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11</v>
      </c>
      <c r="BJ220" s="7">
        <v>44640</v>
      </c>
      <c r="BK220" s="7">
        <v>0</v>
      </c>
      <c r="BL220" s="7">
        <v>2232</v>
      </c>
      <c r="BM220" s="10">
        <v>188540</v>
      </c>
      <c r="BN220" s="15">
        <f t="shared" si="6"/>
        <v>186308</v>
      </c>
      <c r="BO220" s="16">
        <f t="shared" si="7"/>
        <v>130415.59999999999</v>
      </c>
    </row>
    <row r="221" spans="1:67" ht="19.5" x14ac:dyDescent="0.3">
      <c r="A221" s="5" t="s">
        <v>396</v>
      </c>
      <c r="B221" s="5" t="s">
        <v>46</v>
      </c>
      <c r="C221" s="5">
        <v>412919</v>
      </c>
      <c r="D221" s="6"/>
      <c r="E221" s="5" t="s">
        <v>16</v>
      </c>
      <c r="F221" s="5" t="s">
        <v>47</v>
      </c>
      <c r="G221" s="5" t="s">
        <v>34</v>
      </c>
      <c r="H221" s="7" t="s">
        <v>8</v>
      </c>
      <c r="I221" s="7" t="s">
        <v>48</v>
      </c>
      <c r="J221" s="7">
        <v>0</v>
      </c>
      <c r="K221" s="7">
        <v>2900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63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703</v>
      </c>
      <c r="AF221" s="8">
        <v>41400</v>
      </c>
      <c r="AG221" s="8">
        <v>31400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278</v>
      </c>
      <c r="AR221" s="7">
        <v>27200</v>
      </c>
      <c r="AS221" s="7">
        <v>600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1</v>
      </c>
      <c r="BD221" s="7">
        <v>120</v>
      </c>
      <c r="BE221" s="7">
        <v>0</v>
      </c>
      <c r="BF221" s="7">
        <v>0</v>
      </c>
      <c r="BG221" s="7">
        <v>0</v>
      </c>
      <c r="BH221" s="7">
        <v>0</v>
      </c>
      <c r="BI221" s="7">
        <v>397</v>
      </c>
      <c r="BJ221" s="7">
        <v>47640</v>
      </c>
      <c r="BK221" s="7">
        <v>0</v>
      </c>
      <c r="BL221" s="7">
        <v>2389.1999999999998</v>
      </c>
      <c r="BM221" s="10">
        <v>148360</v>
      </c>
      <c r="BN221" s="15">
        <f t="shared" si="6"/>
        <v>145970.79999999999</v>
      </c>
      <c r="BO221" s="16">
        <f t="shared" si="7"/>
        <v>102179.55999999998</v>
      </c>
    </row>
    <row r="222" spans="1:67" ht="19.5" x14ac:dyDescent="0.3">
      <c r="A222" s="5" t="s">
        <v>396</v>
      </c>
      <c r="B222" s="5" t="s">
        <v>38</v>
      </c>
      <c r="C222" s="5">
        <v>454534</v>
      </c>
      <c r="D222" s="6"/>
      <c r="E222" s="5" t="s">
        <v>16</v>
      </c>
      <c r="F222" s="5" t="s">
        <v>39</v>
      </c>
      <c r="G222" s="5" t="s">
        <v>10</v>
      </c>
      <c r="H222" s="7" t="s">
        <v>7</v>
      </c>
      <c r="I222" s="7" t="s">
        <v>461</v>
      </c>
      <c r="J222" s="7">
        <v>0</v>
      </c>
      <c r="K222" s="7">
        <v>272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32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725</v>
      </c>
      <c r="AF222" s="8">
        <v>67100</v>
      </c>
      <c r="AG222" s="8">
        <v>12100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146</v>
      </c>
      <c r="AR222" s="8">
        <v>14600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389</v>
      </c>
      <c r="BJ222" s="7">
        <v>46680</v>
      </c>
      <c r="BK222" s="7">
        <v>0</v>
      </c>
      <c r="BL222" s="7">
        <v>2334</v>
      </c>
      <c r="BM222" s="10">
        <v>140480</v>
      </c>
      <c r="BN222" s="15">
        <f t="shared" si="6"/>
        <v>138146</v>
      </c>
      <c r="BO222" s="16">
        <f t="shared" si="7"/>
        <v>96702.2</v>
      </c>
    </row>
    <row r="223" spans="1:67" ht="19.5" x14ac:dyDescent="0.3">
      <c r="A223" s="5" t="s">
        <v>396</v>
      </c>
      <c r="B223" s="5" t="s">
        <v>29</v>
      </c>
      <c r="C223" s="5">
        <v>369220</v>
      </c>
      <c r="D223" s="6"/>
      <c r="E223" s="5" t="s">
        <v>16</v>
      </c>
      <c r="F223" s="5" t="s">
        <v>30</v>
      </c>
      <c r="G223" s="5" t="s">
        <v>10</v>
      </c>
      <c r="H223" s="7" t="s">
        <v>7</v>
      </c>
      <c r="I223" s="7" t="s">
        <v>31</v>
      </c>
      <c r="J223" s="7">
        <v>3</v>
      </c>
      <c r="K223" s="7">
        <v>1</v>
      </c>
      <c r="L223" s="7">
        <v>300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40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430</v>
      </c>
      <c r="AF223" s="8">
        <v>29900</v>
      </c>
      <c r="AG223" s="8">
        <v>13100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82</v>
      </c>
      <c r="AR223" s="8">
        <v>7700</v>
      </c>
      <c r="AS223" s="7">
        <v>500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1</v>
      </c>
      <c r="BD223" s="7">
        <v>120</v>
      </c>
      <c r="BE223" s="7">
        <v>0</v>
      </c>
      <c r="BF223" s="7">
        <v>0</v>
      </c>
      <c r="BG223" s="7">
        <v>0</v>
      </c>
      <c r="BH223" s="7">
        <v>0</v>
      </c>
      <c r="BI223" s="7">
        <v>640</v>
      </c>
      <c r="BJ223" s="8">
        <v>76800</v>
      </c>
      <c r="BK223" s="7">
        <v>0</v>
      </c>
      <c r="BL223" s="7">
        <v>3847.2</v>
      </c>
      <c r="BM223" s="10">
        <v>128420</v>
      </c>
      <c r="BN223" s="15">
        <f t="shared" si="6"/>
        <v>124572.8</v>
      </c>
      <c r="BO223" s="16">
        <f t="shared" si="7"/>
        <v>87200.959999999992</v>
      </c>
    </row>
    <row r="224" spans="1:67" ht="19.5" x14ac:dyDescent="0.3">
      <c r="A224" s="5" t="s">
        <v>396</v>
      </c>
      <c r="B224" s="5" t="s">
        <v>74</v>
      </c>
      <c r="C224" s="5">
        <v>465250</v>
      </c>
      <c r="D224" s="6"/>
      <c r="E224" s="5" t="s">
        <v>16</v>
      </c>
      <c r="F224" s="5" t="s">
        <v>75</v>
      </c>
      <c r="G224" s="5" t="s">
        <v>382</v>
      </c>
      <c r="H224" s="7" t="s">
        <v>7</v>
      </c>
      <c r="I224" s="7" t="s">
        <v>76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350</v>
      </c>
      <c r="AF224" s="7">
        <v>41300</v>
      </c>
      <c r="AG224" s="8">
        <v>200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39</v>
      </c>
      <c r="AR224" s="7">
        <v>3000</v>
      </c>
      <c r="AS224" s="7">
        <v>900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391</v>
      </c>
      <c r="BJ224" s="8">
        <v>45960</v>
      </c>
      <c r="BK224" s="7">
        <v>800</v>
      </c>
      <c r="BL224" s="9">
        <v>2298</v>
      </c>
      <c r="BM224" s="10">
        <v>92160</v>
      </c>
      <c r="BN224" s="15">
        <f t="shared" si="6"/>
        <v>89862</v>
      </c>
      <c r="BO224" s="16">
        <f t="shared" si="7"/>
        <v>62903.399999999994</v>
      </c>
    </row>
    <row r="225" spans="1:67" ht="19.5" x14ac:dyDescent="0.3">
      <c r="A225" s="5" t="s">
        <v>396</v>
      </c>
      <c r="B225" s="5" t="s">
        <v>42</v>
      </c>
      <c r="C225" s="5">
        <v>321812</v>
      </c>
      <c r="D225" s="6"/>
      <c r="E225" s="5" t="s">
        <v>16</v>
      </c>
      <c r="F225" s="5" t="s">
        <v>30</v>
      </c>
      <c r="G225" s="5" t="s">
        <v>10</v>
      </c>
      <c r="H225" s="7" t="s">
        <v>7</v>
      </c>
      <c r="I225" s="7" t="s">
        <v>43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25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408</v>
      </c>
      <c r="AF225" s="8">
        <v>29720</v>
      </c>
      <c r="AG225" s="8">
        <v>14800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258</v>
      </c>
      <c r="AR225" s="7">
        <v>25600</v>
      </c>
      <c r="AS225" s="7">
        <v>200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66</v>
      </c>
      <c r="BJ225" s="8">
        <v>7920</v>
      </c>
      <c r="BK225" s="7">
        <v>0</v>
      </c>
      <c r="BL225" s="7">
        <v>396</v>
      </c>
      <c r="BM225" s="10">
        <v>78240</v>
      </c>
      <c r="BN225" s="15">
        <f t="shared" si="6"/>
        <v>77844</v>
      </c>
      <c r="BO225" s="16">
        <f t="shared" si="7"/>
        <v>54490.799999999996</v>
      </c>
    </row>
    <row r="226" spans="1:67" ht="19.5" x14ac:dyDescent="0.3">
      <c r="A226" s="5" t="s">
        <v>396</v>
      </c>
      <c r="B226" s="5" t="s">
        <v>365</v>
      </c>
      <c r="C226" s="5">
        <v>470379</v>
      </c>
      <c r="D226" s="6"/>
      <c r="E226" s="5" t="s">
        <v>16</v>
      </c>
      <c r="F226" s="5" t="s">
        <v>75</v>
      </c>
      <c r="G226" s="5" t="s">
        <v>382</v>
      </c>
      <c r="H226" s="7" t="s">
        <v>7</v>
      </c>
      <c r="I226" s="7" t="s">
        <v>18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3</v>
      </c>
      <c r="AF226" s="8">
        <v>12600</v>
      </c>
      <c r="AG226" s="8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3</v>
      </c>
      <c r="AR226" s="8">
        <v>10500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13</v>
      </c>
      <c r="BJ226" s="7">
        <v>53640</v>
      </c>
      <c r="BK226" s="7">
        <v>800</v>
      </c>
      <c r="BL226" s="7">
        <v>2682</v>
      </c>
      <c r="BM226" s="10">
        <v>77540</v>
      </c>
      <c r="BN226" s="15">
        <f t="shared" si="6"/>
        <v>74858</v>
      </c>
      <c r="BO226" s="16">
        <f t="shared" si="7"/>
        <v>52400.6</v>
      </c>
    </row>
    <row r="227" spans="1:67" ht="19.5" x14ac:dyDescent="0.3">
      <c r="A227" s="5" t="s">
        <v>396</v>
      </c>
      <c r="B227" s="5" t="s">
        <v>100</v>
      </c>
      <c r="C227" s="5">
        <v>287641</v>
      </c>
      <c r="D227" s="6"/>
      <c r="E227" s="5" t="s">
        <v>16</v>
      </c>
      <c r="F227" s="5" t="s">
        <v>30</v>
      </c>
      <c r="G227" s="5" t="s">
        <v>10</v>
      </c>
      <c r="H227" s="7" t="s">
        <v>7</v>
      </c>
      <c r="I227" s="7" t="s">
        <v>101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8</v>
      </c>
      <c r="AF227" s="8">
        <v>30720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11</v>
      </c>
      <c r="BJ227" s="7">
        <v>42240</v>
      </c>
      <c r="BK227" s="7">
        <v>0</v>
      </c>
      <c r="BL227" s="7">
        <v>2112</v>
      </c>
      <c r="BM227" s="10">
        <v>72960</v>
      </c>
      <c r="BN227" s="15">
        <f t="shared" si="6"/>
        <v>70848</v>
      </c>
      <c r="BO227" s="16">
        <f t="shared" si="7"/>
        <v>49593.599999999999</v>
      </c>
    </row>
    <row r="228" spans="1:67" ht="19.5" x14ac:dyDescent="0.3">
      <c r="A228" s="5" t="s">
        <v>396</v>
      </c>
      <c r="B228" s="5" t="s">
        <v>65</v>
      </c>
      <c r="C228" s="5">
        <v>387417</v>
      </c>
      <c r="D228" s="6"/>
      <c r="E228" s="5" t="s">
        <v>16</v>
      </c>
      <c r="F228" s="5" t="s">
        <v>66</v>
      </c>
      <c r="G228" s="5" t="s">
        <v>10</v>
      </c>
      <c r="H228" s="7" t="s">
        <v>7</v>
      </c>
      <c r="I228" s="7" t="s">
        <v>67</v>
      </c>
      <c r="J228" s="7">
        <v>0</v>
      </c>
      <c r="K228" s="7">
        <v>176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25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355</v>
      </c>
      <c r="AF228" s="7">
        <v>36920</v>
      </c>
      <c r="AG228" s="8">
        <v>600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171</v>
      </c>
      <c r="AR228" s="7">
        <v>17100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8">
        <v>0</v>
      </c>
      <c r="BK228" s="7">
        <v>0</v>
      </c>
      <c r="BL228" s="7">
        <v>0</v>
      </c>
      <c r="BM228" s="10">
        <v>54620</v>
      </c>
      <c r="BN228" s="15">
        <f t="shared" si="6"/>
        <v>54620</v>
      </c>
      <c r="BO228" s="16">
        <f t="shared" si="7"/>
        <v>38234</v>
      </c>
    </row>
    <row r="229" spans="1:67" ht="19.5" x14ac:dyDescent="0.3">
      <c r="A229" s="5" t="s">
        <v>396</v>
      </c>
      <c r="B229" s="5" t="s">
        <v>523</v>
      </c>
      <c r="C229" s="5">
        <v>483176</v>
      </c>
      <c r="D229" s="6"/>
      <c r="E229" s="5" t="s">
        <v>16</v>
      </c>
      <c r="F229" s="5" t="s">
        <v>41</v>
      </c>
      <c r="G229" s="5" t="s">
        <v>34</v>
      </c>
      <c r="H229" s="7" t="s">
        <v>289</v>
      </c>
      <c r="I229" s="7" t="s">
        <v>524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10</v>
      </c>
      <c r="AF229" s="7">
        <v>25600</v>
      </c>
      <c r="AG229" s="7">
        <v>6000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1</v>
      </c>
      <c r="AR229" s="8">
        <v>3000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5</v>
      </c>
      <c r="BJ229" s="7">
        <v>16800</v>
      </c>
      <c r="BK229" s="7">
        <v>0</v>
      </c>
      <c r="BL229" s="7">
        <v>840</v>
      </c>
      <c r="BM229" s="10">
        <v>51400</v>
      </c>
      <c r="BN229" s="15">
        <f t="shared" si="6"/>
        <v>50560</v>
      </c>
      <c r="BO229" s="16">
        <f t="shared" si="7"/>
        <v>35392</v>
      </c>
    </row>
    <row r="230" spans="1:67" ht="19.5" x14ac:dyDescent="0.3">
      <c r="A230" s="5" t="s">
        <v>396</v>
      </c>
      <c r="B230" s="5" t="s">
        <v>570</v>
      </c>
      <c r="C230" s="5">
        <v>483173</v>
      </c>
      <c r="D230" s="6"/>
      <c r="E230" s="5" t="s">
        <v>16</v>
      </c>
      <c r="F230" s="5" t="s">
        <v>571</v>
      </c>
      <c r="G230" s="5" t="s">
        <v>382</v>
      </c>
      <c r="H230" s="7" t="s">
        <v>8</v>
      </c>
      <c r="I230" s="7" t="s">
        <v>572</v>
      </c>
      <c r="J230" s="7">
        <v>0</v>
      </c>
      <c r="K230" s="7">
        <v>110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139</v>
      </c>
      <c r="AF230" s="8">
        <v>14460</v>
      </c>
      <c r="AG230" s="8">
        <v>200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117</v>
      </c>
      <c r="AR230" s="7">
        <v>9400</v>
      </c>
      <c r="AS230" s="7">
        <v>2300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43</v>
      </c>
      <c r="BD230" s="7">
        <v>5160</v>
      </c>
      <c r="BE230" s="7">
        <v>0</v>
      </c>
      <c r="BF230" s="7">
        <v>0</v>
      </c>
      <c r="BG230" s="7">
        <v>0</v>
      </c>
      <c r="BH230" s="7">
        <v>0</v>
      </c>
      <c r="BI230" s="7">
        <v>98</v>
      </c>
      <c r="BJ230" s="7">
        <v>11760</v>
      </c>
      <c r="BK230" s="7">
        <v>0</v>
      </c>
      <c r="BL230" s="7">
        <v>897.6</v>
      </c>
      <c r="BM230" s="10">
        <v>43280</v>
      </c>
      <c r="BN230" s="15">
        <f t="shared" si="6"/>
        <v>42382.400000000001</v>
      </c>
      <c r="BO230" s="16">
        <f t="shared" si="7"/>
        <v>29667.68</v>
      </c>
    </row>
    <row r="231" spans="1:67" ht="19.5" x14ac:dyDescent="0.3">
      <c r="A231" s="5" t="s">
        <v>396</v>
      </c>
      <c r="B231" s="5" t="s">
        <v>71</v>
      </c>
      <c r="C231" s="5">
        <v>219203</v>
      </c>
      <c r="D231" s="6"/>
      <c r="E231" s="5" t="s">
        <v>16</v>
      </c>
      <c r="F231" s="5" t="s">
        <v>72</v>
      </c>
      <c r="G231" s="5" t="s">
        <v>10</v>
      </c>
      <c r="H231" s="7" t="s">
        <v>7</v>
      </c>
      <c r="I231" s="7" t="s">
        <v>73</v>
      </c>
      <c r="J231" s="7">
        <v>0</v>
      </c>
      <c r="K231" s="7">
        <v>5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90</v>
      </c>
      <c r="AC231" s="7">
        <v>10800</v>
      </c>
      <c r="AD231" s="7">
        <v>0</v>
      </c>
      <c r="AE231" s="7">
        <v>5</v>
      </c>
      <c r="AF231" s="8">
        <v>1500</v>
      </c>
      <c r="AG231" s="8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101</v>
      </c>
      <c r="AR231" s="8">
        <v>20100</v>
      </c>
      <c r="AS231" s="7">
        <v>10200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8">
        <v>0</v>
      </c>
      <c r="BK231" s="7">
        <v>0</v>
      </c>
      <c r="BL231" s="7">
        <v>0</v>
      </c>
      <c r="BM231" s="10">
        <v>42600</v>
      </c>
      <c r="BN231" s="15">
        <f t="shared" si="6"/>
        <v>42600</v>
      </c>
      <c r="BO231" s="16">
        <f t="shared" si="7"/>
        <v>29819.999999999996</v>
      </c>
    </row>
    <row r="232" spans="1:67" ht="19.5" x14ac:dyDescent="0.3">
      <c r="A232" s="5" t="s">
        <v>396</v>
      </c>
      <c r="B232" s="5" t="s">
        <v>606</v>
      </c>
      <c r="C232" s="5">
        <v>389857</v>
      </c>
      <c r="D232" s="6"/>
      <c r="E232" s="5" t="s">
        <v>16</v>
      </c>
      <c r="F232" s="5" t="s">
        <v>39</v>
      </c>
      <c r="G232" s="5" t="s">
        <v>10</v>
      </c>
      <c r="H232" s="7" t="s">
        <v>7</v>
      </c>
      <c r="I232" s="7" t="s">
        <v>319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11</v>
      </c>
      <c r="AF232" s="8">
        <v>42240</v>
      </c>
      <c r="AG232" s="8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8">
        <v>0</v>
      </c>
      <c r="AS232" s="8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8">
        <v>0</v>
      </c>
      <c r="BK232" s="7">
        <v>0</v>
      </c>
      <c r="BL232" s="7">
        <v>0</v>
      </c>
      <c r="BM232" s="10">
        <v>42240</v>
      </c>
      <c r="BN232" s="15">
        <f t="shared" si="6"/>
        <v>42240</v>
      </c>
      <c r="BO232" s="16">
        <f t="shared" si="7"/>
        <v>29567.999999999996</v>
      </c>
    </row>
    <row r="233" spans="1:67" ht="19.5" x14ac:dyDescent="0.3">
      <c r="A233" s="5" t="s">
        <v>396</v>
      </c>
      <c r="B233" s="5" t="s">
        <v>544</v>
      </c>
      <c r="C233" s="5">
        <v>481170</v>
      </c>
      <c r="D233" s="6"/>
      <c r="E233" s="5" t="s">
        <v>16</v>
      </c>
      <c r="F233" s="5" t="s">
        <v>502</v>
      </c>
      <c r="G233" s="5" t="s">
        <v>34</v>
      </c>
      <c r="H233" s="7" t="s">
        <v>289</v>
      </c>
      <c r="I233" s="7" t="s">
        <v>545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8</v>
      </c>
      <c r="AF233" s="8">
        <v>12480</v>
      </c>
      <c r="AG233" s="7">
        <v>8200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8">
        <v>0</v>
      </c>
      <c r="AN233" s="7">
        <v>0</v>
      </c>
      <c r="AO233" s="7">
        <v>0</v>
      </c>
      <c r="AP233" s="7">
        <v>0</v>
      </c>
      <c r="AQ233" s="7">
        <v>0</v>
      </c>
      <c r="AR233" s="8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7</v>
      </c>
      <c r="BJ233" s="8">
        <v>21360</v>
      </c>
      <c r="BK233" s="7">
        <v>0</v>
      </c>
      <c r="BL233" s="7">
        <v>1068</v>
      </c>
      <c r="BM233" s="10">
        <v>42040</v>
      </c>
      <c r="BN233" s="15">
        <f t="shared" si="6"/>
        <v>40972</v>
      </c>
      <c r="BO233" s="16">
        <f t="shared" si="7"/>
        <v>28680.399999999998</v>
      </c>
    </row>
    <row r="234" spans="1:67" ht="19.5" x14ac:dyDescent="0.3">
      <c r="A234" s="5" t="s">
        <v>396</v>
      </c>
      <c r="B234" s="5" t="s">
        <v>580</v>
      </c>
      <c r="C234" s="5">
        <v>485660</v>
      </c>
      <c r="D234" s="6"/>
      <c r="E234" s="5" t="s">
        <v>16</v>
      </c>
      <c r="F234" s="5" t="s">
        <v>128</v>
      </c>
      <c r="G234" s="5" t="s">
        <v>34</v>
      </c>
      <c r="H234" s="7" t="s">
        <v>289</v>
      </c>
      <c r="I234" s="7" t="s">
        <v>562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8">
        <v>0</v>
      </c>
      <c r="AE234" s="7">
        <v>10</v>
      </c>
      <c r="AF234" s="7">
        <v>30240</v>
      </c>
      <c r="AG234" s="8">
        <v>2800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2</v>
      </c>
      <c r="BJ234" s="8">
        <v>6720</v>
      </c>
      <c r="BK234" s="7">
        <v>0</v>
      </c>
      <c r="BL234" s="7">
        <v>336</v>
      </c>
      <c r="BM234" s="10">
        <v>39760</v>
      </c>
      <c r="BN234" s="15">
        <f t="shared" si="6"/>
        <v>39424</v>
      </c>
      <c r="BO234" s="16">
        <f t="shared" si="7"/>
        <v>27596.799999999999</v>
      </c>
    </row>
    <row r="235" spans="1:67" ht="19.5" x14ac:dyDescent="0.3">
      <c r="A235" s="5" t="s">
        <v>396</v>
      </c>
      <c r="B235" s="5" t="s">
        <v>529</v>
      </c>
      <c r="C235" s="5">
        <v>481179</v>
      </c>
      <c r="D235" s="6"/>
      <c r="E235" s="5" t="s">
        <v>16</v>
      </c>
      <c r="F235" s="5" t="s">
        <v>530</v>
      </c>
      <c r="G235" s="5" t="s">
        <v>382</v>
      </c>
      <c r="H235" s="7" t="s">
        <v>289</v>
      </c>
      <c r="I235" s="7" t="s">
        <v>531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11</v>
      </c>
      <c r="AF235" s="8">
        <v>22800</v>
      </c>
      <c r="AG235" s="7">
        <v>2000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3</v>
      </c>
      <c r="AR235" s="7">
        <v>4000</v>
      </c>
      <c r="AS235" s="7">
        <v>2000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3</v>
      </c>
      <c r="BJ235" s="7">
        <v>7200</v>
      </c>
      <c r="BK235" s="7">
        <v>0</v>
      </c>
      <c r="BL235" s="7">
        <v>360</v>
      </c>
      <c r="BM235" s="10">
        <v>38000</v>
      </c>
      <c r="BN235" s="15">
        <f t="shared" si="6"/>
        <v>37640</v>
      </c>
      <c r="BO235" s="16">
        <f t="shared" si="7"/>
        <v>26348</v>
      </c>
    </row>
    <row r="236" spans="1:67" ht="19.5" x14ac:dyDescent="0.3">
      <c r="A236" s="5" t="s">
        <v>396</v>
      </c>
      <c r="B236" s="5" t="s">
        <v>335</v>
      </c>
      <c r="C236" s="5">
        <v>428126</v>
      </c>
      <c r="D236" s="6"/>
      <c r="E236" s="5" t="s">
        <v>16</v>
      </c>
      <c r="F236" s="5" t="s">
        <v>47</v>
      </c>
      <c r="G236" s="5" t="s">
        <v>34</v>
      </c>
      <c r="H236" s="7" t="s">
        <v>289</v>
      </c>
      <c r="I236" s="7" t="s">
        <v>336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5</v>
      </c>
      <c r="AF236" s="8">
        <v>15400</v>
      </c>
      <c r="AG236" s="8">
        <v>100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8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5</v>
      </c>
      <c r="BJ236" s="8">
        <v>20880</v>
      </c>
      <c r="BK236" s="7">
        <v>0</v>
      </c>
      <c r="BL236" s="7">
        <v>1044</v>
      </c>
      <c r="BM236" s="10">
        <v>36380</v>
      </c>
      <c r="BN236" s="15">
        <f t="shared" si="6"/>
        <v>35336</v>
      </c>
      <c r="BO236" s="16">
        <f t="shared" si="7"/>
        <v>24735.199999999997</v>
      </c>
    </row>
    <row r="237" spans="1:67" ht="19.5" x14ac:dyDescent="0.3">
      <c r="A237" s="5" t="s">
        <v>396</v>
      </c>
      <c r="B237" s="5" t="s">
        <v>600</v>
      </c>
      <c r="C237" s="5">
        <v>485655</v>
      </c>
      <c r="D237" s="6"/>
      <c r="E237" s="5" t="s">
        <v>16</v>
      </c>
      <c r="F237" s="5" t="s">
        <v>601</v>
      </c>
      <c r="G237" s="5" t="s">
        <v>34</v>
      </c>
      <c r="H237" s="7" t="s">
        <v>289</v>
      </c>
      <c r="I237" s="7" t="s">
        <v>562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5</v>
      </c>
      <c r="AF237" s="7">
        <v>16020</v>
      </c>
      <c r="AG237" s="8">
        <v>3700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4</v>
      </c>
      <c r="AR237" s="7">
        <v>12100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1</v>
      </c>
      <c r="BJ237" s="8">
        <v>4440</v>
      </c>
      <c r="BK237" s="7">
        <v>0</v>
      </c>
      <c r="BL237" s="7">
        <v>222</v>
      </c>
      <c r="BM237" s="10">
        <v>36260</v>
      </c>
      <c r="BN237" s="15">
        <f t="shared" si="6"/>
        <v>36038</v>
      </c>
      <c r="BO237" s="16">
        <f t="shared" si="7"/>
        <v>25226.6</v>
      </c>
    </row>
    <row r="238" spans="1:67" ht="19.5" x14ac:dyDescent="0.3">
      <c r="A238" s="5" t="s">
        <v>396</v>
      </c>
      <c r="B238" s="5" t="s">
        <v>127</v>
      </c>
      <c r="C238" s="5">
        <v>383229</v>
      </c>
      <c r="D238" s="6"/>
      <c r="E238" s="5" t="s">
        <v>16</v>
      </c>
      <c r="F238" s="5" t="s">
        <v>128</v>
      </c>
      <c r="G238" s="5" t="s">
        <v>34</v>
      </c>
      <c r="H238" s="7" t="s">
        <v>8</v>
      </c>
      <c r="I238" s="7" t="s">
        <v>129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15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213</v>
      </c>
      <c r="AF238" s="8">
        <v>6700</v>
      </c>
      <c r="AG238" s="7">
        <v>14700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8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112</v>
      </c>
      <c r="BJ238" s="8">
        <v>13440</v>
      </c>
      <c r="BK238" s="7">
        <v>0</v>
      </c>
      <c r="BL238" s="7">
        <v>672</v>
      </c>
      <c r="BM238" s="10">
        <v>34840</v>
      </c>
      <c r="BN238" s="15">
        <f t="shared" si="6"/>
        <v>34168</v>
      </c>
      <c r="BO238" s="16">
        <f t="shared" si="7"/>
        <v>23917.599999999999</v>
      </c>
    </row>
    <row r="239" spans="1:67" ht="19.5" x14ac:dyDescent="0.3">
      <c r="A239" s="5" t="s">
        <v>396</v>
      </c>
      <c r="B239" s="5" t="s">
        <v>619</v>
      </c>
      <c r="C239" s="5">
        <v>485788</v>
      </c>
      <c r="D239" s="6"/>
      <c r="E239" s="5" t="s">
        <v>16</v>
      </c>
      <c r="F239" s="5" t="s">
        <v>463</v>
      </c>
      <c r="G239" s="5" t="s">
        <v>10</v>
      </c>
      <c r="H239" s="7" t="s">
        <v>7</v>
      </c>
      <c r="I239" s="7" t="s">
        <v>620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6</v>
      </c>
      <c r="AF239" s="8">
        <v>23040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3</v>
      </c>
      <c r="AR239" s="7">
        <v>9600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10">
        <v>32640</v>
      </c>
      <c r="BN239" s="15">
        <f t="shared" si="6"/>
        <v>32640</v>
      </c>
      <c r="BO239" s="16">
        <f t="shared" si="7"/>
        <v>22848</v>
      </c>
    </row>
    <row r="240" spans="1:67" ht="19.5" x14ac:dyDescent="0.3">
      <c r="A240" s="5" t="s">
        <v>396</v>
      </c>
      <c r="B240" s="5" t="s">
        <v>387</v>
      </c>
      <c r="C240" s="5">
        <v>476783</v>
      </c>
      <c r="D240" s="6"/>
      <c r="E240" s="5" t="s">
        <v>16</v>
      </c>
      <c r="F240" s="5" t="s">
        <v>388</v>
      </c>
      <c r="G240" s="5" t="s">
        <v>34</v>
      </c>
      <c r="H240" s="7" t="s">
        <v>8</v>
      </c>
      <c r="I240" s="7" t="s">
        <v>389</v>
      </c>
      <c r="J240" s="7">
        <v>19</v>
      </c>
      <c r="K240" s="7">
        <v>956</v>
      </c>
      <c r="L240" s="7">
        <v>1900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218</v>
      </c>
      <c r="AF240" s="8">
        <v>20680</v>
      </c>
      <c r="AG240" s="8">
        <v>4000</v>
      </c>
      <c r="AH240" s="7">
        <v>0</v>
      </c>
      <c r="AI240" s="7">
        <v>0</v>
      </c>
      <c r="AJ240" s="7">
        <v>0</v>
      </c>
      <c r="AK240" s="7">
        <v>2</v>
      </c>
      <c r="AL240" s="7">
        <v>240</v>
      </c>
      <c r="AM240" s="7">
        <v>0</v>
      </c>
      <c r="AN240" s="7">
        <v>0</v>
      </c>
      <c r="AO240" s="7">
        <v>0</v>
      </c>
      <c r="AP240" s="7">
        <v>0</v>
      </c>
      <c r="AQ240" s="7">
        <v>8</v>
      </c>
      <c r="AR240" s="7">
        <v>800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40</v>
      </c>
      <c r="BJ240" s="7">
        <v>4800</v>
      </c>
      <c r="BK240" s="7">
        <v>0</v>
      </c>
      <c r="BL240" s="7">
        <v>312</v>
      </c>
      <c r="BM240" s="10">
        <v>32420</v>
      </c>
      <c r="BN240" s="15">
        <f t="shared" si="6"/>
        <v>32108</v>
      </c>
      <c r="BO240" s="16">
        <f t="shared" si="7"/>
        <v>22475.599999999999</v>
      </c>
    </row>
    <row r="241" spans="1:67" ht="19.5" x14ac:dyDescent="0.3">
      <c r="A241" s="5" t="s">
        <v>396</v>
      </c>
      <c r="B241" s="5" t="s">
        <v>621</v>
      </c>
      <c r="C241" s="5">
        <v>441789</v>
      </c>
      <c r="D241" s="6"/>
      <c r="E241" s="5" t="s">
        <v>16</v>
      </c>
      <c r="F241" s="5" t="s">
        <v>52</v>
      </c>
      <c r="G241" s="5" t="s">
        <v>34</v>
      </c>
      <c r="H241" s="7" t="s">
        <v>289</v>
      </c>
      <c r="I241" s="7" t="s">
        <v>562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6</v>
      </c>
      <c r="AF241" s="7">
        <v>16000</v>
      </c>
      <c r="AG241" s="8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8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5</v>
      </c>
      <c r="BJ241" s="8">
        <v>15000</v>
      </c>
      <c r="BK241" s="7">
        <v>0</v>
      </c>
      <c r="BL241" s="7">
        <v>750</v>
      </c>
      <c r="BM241" s="10">
        <v>31000</v>
      </c>
      <c r="BN241" s="15">
        <f t="shared" si="6"/>
        <v>30250</v>
      </c>
      <c r="BO241" s="16">
        <f t="shared" si="7"/>
        <v>21175</v>
      </c>
    </row>
    <row r="242" spans="1:67" ht="19.5" x14ac:dyDescent="0.3">
      <c r="A242" s="5" t="s">
        <v>396</v>
      </c>
      <c r="B242" s="5" t="s">
        <v>44</v>
      </c>
      <c r="C242" s="5">
        <v>324335</v>
      </c>
      <c r="D242" s="6"/>
      <c r="E242" s="5" t="s">
        <v>16</v>
      </c>
      <c r="F242" s="5" t="s">
        <v>30</v>
      </c>
      <c r="G242" s="5" t="s">
        <v>10</v>
      </c>
      <c r="H242" s="7" t="s">
        <v>9</v>
      </c>
      <c r="I242" s="7" t="s">
        <v>45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2</v>
      </c>
      <c r="AF242" s="8">
        <v>3840</v>
      </c>
      <c r="AG242" s="8">
        <v>3200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8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6</v>
      </c>
      <c r="BD242" s="7">
        <v>23040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8">
        <v>0</v>
      </c>
      <c r="BK242" s="7">
        <v>0</v>
      </c>
      <c r="BL242" s="7">
        <v>1382.4</v>
      </c>
      <c r="BM242" s="10">
        <v>30080</v>
      </c>
      <c r="BN242" s="15">
        <f t="shared" si="6"/>
        <v>28697.599999999999</v>
      </c>
      <c r="BO242" s="16">
        <f t="shared" si="7"/>
        <v>20088.319999999996</v>
      </c>
    </row>
    <row r="243" spans="1:67" ht="19.5" x14ac:dyDescent="0.3">
      <c r="A243" s="5" t="s">
        <v>396</v>
      </c>
      <c r="B243" s="5" t="s">
        <v>77</v>
      </c>
      <c r="C243" s="5">
        <v>387942</v>
      </c>
      <c r="D243" s="6"/>
      <c r="E243" s="5" t="s">
        <v>16</v>
      </c>
      <c r="F243" s="5" t="s">
        <v>78</v>
      </c>
      <c r="G243" s="5" t="s">
        <v>10</v>
      </c>
      <c r="H243" s="7" t="s">
        <v>7</v>
      </c>
      <c r="I243" s="7" t="s">
        <v>79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17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94</v>
      </c>
      <c r="AF243" s="8">
        <v>9400</v>
      </c>
      <c r="AG243" s="8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8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161</v>
      </c>
      <c r="BJ243" s="8">
        <v>19320</v>
      </c>
      <c r="BK243" s="7">
        <v>0</v>
      </c>
      <c r="BL243" s="7">
        <v>966</v>
      </c>
      <c r="BM243" s="10">
        <v>28720</v>
      </c>
      <c r="BN243" s="15">
        <f t="shared" si="6"/>
        <v>27754</v>
      </c>
      <c r="BO243" s="16">
        <f t="shared" si="7"/>
        <v>19427.8</v>
      </c>
    </row>
    <row r="244" spans="1:67" ht="19.5" x14ac:dyDescent="0.3">
      <c r="A244" s="5" t="s">
        <v>396</v>
      </c>
      <c r="B244" s="5" t="s">
        <v>25</v>
      </c>
      <c r="C244" s="5">
        <v>449889</v>
      </c>
      <c r="D244" s="6"/>
      <c r="E244" s="5" t="s">
        <v>16</v>
      </c>
      <c r="F244" s="5" t="s">
        <v>26</v>
      </c>
      <c r="G244" s="5" t="s">
        <v>10</v>
      </c>
      <c r="H244" s="7" t="s">
        <v>7</v>
      </c>
      <c r="I244" s="7" t="s">
        <v>27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9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130</v>
      </c>
      <c r="AF244" s="8">
        <v>12300</v>
      </c>
      <c r="AG244" s="7">
        <v>700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145</v>
      </c>
      <c r="AR244" s="8">
        <v>14500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9</v>
      </c>
      <c r="BD244" s="7">
        <v>1080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64.8</v>
      </c>
      <c r="BM244" s="10">
        <v>28580</v>
      </c>
      <c r="BN244" s="15">
        <f t="shared" si="6"/>
        <v>28515.200000000001</v>
      </c>
      <c r="BO244" s="16">
        <f t="shared" si="7"/>
        <v>19960.64</v>
      </c>
    </row>
    <row r="245" spans="1:67" ht="19.5" x14ac:dyDescent="0.3">
      <c r="A245" s="5" t="s">
        <v>396</v>
      </c>
      <c r="B245" s="5" t="s">
        <v>380</v>
      </c>
      <c r="C245" s="5">
        <v>428408</v>
      </c>
      <c r="D245" s="6"/>
      <c r="E245" s="5" t="s">
        <v>16</v>
      </c>
      <c r="F245" s="5" t="s">
        <v>41</v>
      </c>
      <c r="G245" s="5" t="s">
        <v>34</v>
      </c>
      <c r="H245" s="7" t="s">
        <v>289</v>
      </c>
      <c r="I245" s="7" t="s">
        <v>206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10</v>
      </c>
      <c r="AF245" s="8">
        <v>17680</v>
      </c>
      <c r="AG245" s="8">
        <v>7900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1</v>
      </c>
      <c r="BJ245" s="8">
        <v>3000</v>
      </c>
      <c r="BK245" s="7">
        <v>0</v>
      </c>
      <c r="BL245" s="7">
        <v>150</v>
      </c>
      <c r="BM245" s="10">
        <v>28580</v>
      </c>
      <c r="BN245" s="15">
        <f t="shared" si="6"/>
        <v>28430</v>
      </c>
      <c r="BO245" s="16">
        <f t="shared" si="7"/>
        <v>19901</v>
      </c>
    </row>
    <row r="246" spans="1:67" ht="19.5" x14ac:dyDescent="0.3">
      <c r="A246" s="5" t="s">
        <v>396</v>
      </c>
      <c r="B246" s="5" t="s">
        <v>501</v>
      </c>
      <c r="C246" s="5">
        <v>483179</v>
      </c>
      <c r="D246" s="6"/>
      <c r="E246" s="5" t="s">
        <v>16</v>
      </c>
      <c r="F246" s="5" t="s">
        <v>502</v>
      </c>
      <c r="G246" s="5" t="s">
        <v>34</v>
      </c>
      <c r="H246" s="7" t="s">
        <v>8</v>
      </c>
      <c r="I246" s="7" t="s">
        <v>503</v>
      </c>
      <c r="J246" s="7">
        <v>0</v>
      </c>
      <c r="K246" s="7">
        <v>41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132</v>
      </c>
      <c r="AF246" s="8">
        <v>6960</v>
      </c>
      <c r="AG246" s="7">
        <v>7400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23</v>
      </c>
      <c r="AR246" s="7">
        <v>2300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8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94</v>
      </c>
      <c r="BJ246" s="7">
        <v>11280</v>
      </c>
      <c r="BK246" s="7">
        <v>0</v>
      </c>
      <c r="BL246" s="7">
        <v>564</v>
      </c>
      <c r="BM246" s="10">
        <v>27940</v>
      </c>
      <c r="BN246" s="15">
        <f t="shared" si="6"/>
        <v>27376</v>
      </c>
      <c r="BO246" s="16">
        <f t="shared" si="7"/>
        <v>19163.199999999997</v>
      </c>
    </row>
    <row r="247" spans="1:67" ht="19.5" x14ac:dyDescent="0.3">
      <c r="A247" s="5" t="s">
        <v>396</v>
      </c>
      <c r="B247" s="5" t="s">
        <v>113</v>
      </c>
      <c r="C247" s="5">
        <v>415710</v>
      </c>
      <c r="D247" s="6"/>
      <c r="E247" s="5" t="s">
        <v>16</v>
      </c>
      <c r="F247" s="5" t="s">
        <v>52</v>
      </c>
      <c r="G247" s="5" t="s">
        <v>34</v>
      </c>
      <c r="H247" s="7" t="s">
        <v>8</v>
      </c>
      <c r="I247" s="7" t="s">
        <v>114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10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171</v>
      </c>
      <c r="AF247" s="7">
        <v>16800</v>
      </c>
      <c r="AG247" s="8">
        <v>3100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7</v>
      </c>
      <c r="AR247" s="7">
        <v>700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47</v>
      </c>
      <c r="BJ247" s="8">
        <v>5640</v>
      </c>
      <c r="BK247" s="7">
        <v>0</v>
      </c>
      <c r="BL247" s="7">
        <v>282</v>
      </c>
      <c r="BM247" s="10">
        <v>26240</v>
      </c>
      <c r="BN247" s="15">
        <f t="shared" si="6"/>
        <v>25958</v>
      </c>
      <c r="BO247" s="16">
        <f t="shared" si="7"/>
        <v>18170.599999999999</v>
      </c>
    </row>
    <row r="248" spans="1:67" ht="19.5" x14ac:dyDescent="0.3">
      <c r="A248" s="5" t="s">
        <v>396</v>
      </c>
      <c r="B248" s="5" t="s">
        <v>476</v>
      </c>
      <c r="C248" s="5">
        <v>441962</v>
      </c>
      <c r="D248" s="6"/>
      <c r="E248" s="5" t="s">
        <v>16</v>
      </c>
      <c r="F248" s="5" t="s">
        <v>393</v>
      </c>
      <c r="G248" s="5" t="s">
        <v>382</v>
      </c>
      <c r="H248" s="7" t="s">
        <v>8</v>
      </c>
      <c r="I248" s="7" t="s">
        <v>477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5</v>
      </c>
      <c r="AF248" s="7">
        <v>2800</v>
      </c>
      <c r="AG248" s="8">
        <v>11200</v>
      </c>
      <c r="AH248" s="7">
        <v>0</v>
      </c>
      <c r="AI248" s="7">
        <v>0</v>
      </c>
      <c r="AJ248" s="7">
        <v>0</v>
      </c>
      <c r="AK248" s="7">
        <v>1</v>
      </c>
      <c r="AL248" s="7">
        <v>0</v>
      </c>
      <c r="AM248" s="7">
        <v>2800</v>
      </c>
      <c r="AN248" s="7">
        <v>0</v>
      </c>
      <c r="AO248" s="7">
        <v>0</v>
      </c>
      <c r="AP248" s="7">
        <v>0</v>
      </c>
      <c r="AQ248" s="7">
        <v>2</v>
      </c>
      <c r="AR248" s="7">
        <v>5600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1</v>
      </c>
      <c r="BJ248" s="8">
        <v>3360</v>
      </c>
      <c r="BK248" s="7">
        <v>0</v>
      </c>
      <c r="BL248" s="7">
        <v>168</v>
      </c>
      <c r="BM248" s="10">
        <v>25760</v>
      </c>
      <c r="BN248" s="15">
        <f t="shared" ref="BN248:BN311" si="8">BM248-BL248</f>
        <v>25592</v>
      </c>
      <c r="BO248" s="16">
        <f t="shared" ref="BO248:BO311" si="9">BN248*70%</f>
        <v>17914.399999999998</v>
      </c>
    </row>
    <row r="249" spans="1:67" ht="19.5" x14ac:dyDescent="0.3">
      <c r="A249" s="5" t="s">
        <v>396</v>
      </c>
      <c r="B249" s="5" t="s">
        <v>40</v>
      </c>
      <c r="C249" s="5">
        <v>457807</v>
      </c>
      <c r="D249" s="6"/>
      <c r="E249" s="5" t="s">
        <v>16</v>
      </c>
      <c r="F249" s="5" t="s">
        <v>41</v>
      </c>
      <c r="G249" s="5" t="s">
        <v>34</v>
      </c>
      <c r="H249" s="7" t="s">
        <v>8</v>
      </c>
      <c r="I249" s="7" t="s">
        <v>381</v>
      </c>
      <c r="J249" s="7">
        <v>31</v>
      </c>
      <c r="K249" s="7">
        <v>0</v>
      </c>
      <c r="L249" s="7">
        <v>3100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3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120</v>
      </c>
      <c r="AF249" s="8">
        <v>11940</v>
      </c>
      <c r="AG249" s="7">
        <v>1500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45</v>
      </c>
      <c r="AR249" s="8">
        <v>4500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32</v>
      </c>
      <c r="BJ249" s="8">
        <v>3840</v>
      </c>
      <c r="BK249" s="7">
        <v>0</v>
      </c>
      <c r="BL249" s="7">
        <v>192</v>
      </c>
      <c r="BM249" s="10">
        <v>24880</v>
      </c>
      <c r="BN249" s="15">
        <f t="shared" si="8"/>
        <v>24688</v>
      </c>
      <c r="BO249" s="16">
        <f t="shared" si="9"/>
        <v>17281.599999999999</v>
      </c>
    </row>
    <row r="250" spans="1:67" ht="19.5" x14ac:dyDescent="0.3">
      <c r="A250" s="5" t="s">
        <v>396</v>
      </c>
      <c r="B250" s="5" t="s">
        <v>622</v>
      </c>
      <c r="C250" s="5">
        <v>388541</v>
      </c>
      <c r="D250" s="6"/>
      <c r="E250" s="5" t="s">
        <v>16</v>
      </c>
      <c r="F250" s="5" t="s">
        <v>41</v>
      </c>
      <c r="G250" s="5" t="s">
        <v>34</v>
      </c>
      <c r="H250" s="7" t="s">
        <v>289</v>
      </c>
      <c r="I250" s="7" t="s">
        <v>623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3</v>
      </c>
      <c r="AF250" s="7">
        <v>17780</v>
      </c>
      <c r="AG250" s="7">
        <v>100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8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1</v>
      </c>
      <c r="AX250" s="7">
        <v>360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1</v>
      </c>
      <c r="BJ250" s="8">
        <v>5760</v>
      </c>
      <c r="BK250" s="7">
        <v>0</v>
      </c>
      <c r="BL250" s="7">
        <v>324</v>
      </c>
      <c r="BM250" s="10">
        <v>24000</v>
      </c>
      <c r="BN250" s="15">
        <f t="shared" si="8"/>
        <v>23676</v>
      </c>
      <c r="BO250" s="16">
        <f t="shared" si="9"/>
        <v>16573.2</v>
      </c>
    </row>
    <row r="251" spans="1:67" ht="19.5" x14ac:dyDescent="0.3">
      <c r="A251" s="5" t="s">
        <v>396</v>
      </c>
      <c r="B251" s="5" t="s">
        <v>624</v>
      </c>
      <c r="C251" s="5">
        <v>360524</v>
      </c>
      <c r="D251" s="6"/>
      <c r="E251" s="5" t="s">
        <v>16</v>
      </c>
      <c r="F251" s="5" t="s">
        <v>41</v>
      </c>
      <c r="G251" s="5" t="s">
        <v>34</v>
      </c>
      <c r="H251" s="7" t="s">
        <v>289</v>
      </c>
      <c r="I251" s="7" t="s">
        <v>373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3</v>
      </c>
      <c r="AF251" s="8">
        <v>14400</v>
      </c>
      <c r="AG251" s="8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2</v>
      </c>
      <c r="BJ251" s="7">
        <v>9600</v>
      </c>
      <c r="BK251" s="7">
        <v>0</v>
      </c>
      <c r="BL251" s="7">
        <v>480</v>
      </c>
      <c r="BM251" s="10">
        <v>24000</v>
      </c>
      <c r="BN251" s="15">
        <f t="shared" si="8"/>
        <v>23520</v>
      </c>
      <c r="BO251" s="16">
        <f t="shared" si="9"/>
        <v>16464</v>
      </c>
    </row>
    <row r="252" spans="1:67" ht="19.5" x14ac:dyDescent="0.3">
      <c r="A252" s="5" t="s">
        <v>396</v>
      </c>
      <c r="B252" s="5" t="s">
        <v>342</v>
      </c>
      <c r="C252" s="5">
        <v>383234</v>
      </c>
      <c r="D252" s="6"/>
      <c r="E252" s="5" t="s">
        <v>16</v>
      </c>
      <c r="F252" s="5" t="s">
        <v>128</v>
      </c>
      <c r="G252" s="5" t="s">
        <v>34</v>
      </c>
      <c r="H252" s="7" t="s">
        <v>289</v>
      </c>
      <c r="I252" s="7" t="s">
        <v>129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5</v>
      </c>
      <c r="AF252" s="8">
        <v>12940</v>
      </c>
      <c r="AG252" s="7">
        <v>3200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8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2</v>
      </c>
      <c r="BD252" s="7">
        <v>7680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460.8</v>
      </c>
      <c r="BM252" s="10">
        <v>23820</v>
      </c>
      <c r="BN252" s="15">
        <f t="shared" si="8"/>
        <v>23359.200000000001</v>
      </c>
      <c r="BO252" s="16">
        <f t="shared" si="9"/>
        <v>16351.439999999999</v>
      </c>
    </row>
    <row r="253" spans="1:67" ht="19.5" x14ac:dyDescent="0.3">
      <c r="A253" s="5" t="s">
        <v>396</v>
      </c>
      <c r="B253" s="5" t="s">
        <v>333</v>
      </c>
      <c r="C253" s="5">
        <v>458432</v>
      </c>
      <c r="D253" s="6"/>
      <c r="E253" s="5" t="s">
        <v>16</v>
      </c>
      <c r="F253" s="5" t="s">
        <v>128</v>
      </c>
      <c r="G253" s="5" t="s">
        <v>34</v>
      </c>
      <c r="H253" s="7" t="s">
        <v>289</v>
      </c>
      <c r="I253" s="7" t="s">
        <v>334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5</v>
      </c>
      <c r="AF253" s="8">
        <v>10200</v>
      </c>
      <c r="AG253" s="7">
        <v>5900</v>
      </c>
      <c r="AH253" s="7">
        <v>0</v>
      </c>
      <c r="AI253" s="7">
        <v>0</v>
      </c>
      <c r="AJ253" s="7">
        <v>0</v>
      </c>
      <c r="AK253" s="7">
        <v>1</v>
      </c>
      <c r="AL253" s="7">
        <v>0</v>
      </c>
      <c r="AM253" s="7">
        <v>100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1</v>
      </c>
      <c r="BD253" s="7">
        <v>3600</v>
      </c>
      <c r="BE253" s="7">
        <v>0</v>
      </c>
      <c r="BF253" s="7">
        <v>0</v>
      </c>
      <c r="BG253" s="7">
        <v>0</v>
      </c>
      <c r="BH253" s="7">
        <v>0</v>
      </c>
      <c r="BI253" s="7">
        <v>1</v>
      </c>
      <c r="BJ253" s="8">
        <v>3600</v>
      </c>
      <c r="BK253" s="7">
        <v>0</v>
      </c>
      <c r="BL253" s="7">
        <v>396</v>
      </c>
      <c r="BM253" s="10">
        <v>23400</v>
      </c>
      <c r="BN253" s="15">
        <f t="shared" si="8"/>
        <v>23004</v>
      </c>
      <c r="BO253" s="16">
        <f t="shared" si="9"/>
        <v>16102.8</v>
      </c>
    </row>
    <row r="254" spans="1:67" ht="19.5" x14ac:dyDescent="0.3">
      <c r="A254" s="5" t="s">
        <v>396</v>
      </c>
      <c r="B254" s="5" t="s">
        <v>192</v>
      </c>
      <c r="C254" s="5">
        <v>458566</v>
      </c>
      <c r="D254" s="6"/>
      <c r="E254" s="5" t="s">
        <v>16</v>
      </c>
      <c r="F254" s="5" t="s">
        <v>30</v>
      </c>
      <c r="G254" s="5" t="s">
        <v>10</v>
      </c>
      <c r="H254" s="7" t="s">
        <v>7</v>
      </c>
      <c r="I254" s="7" t="s">
        <v>193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8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6</v>
      </c>
      <c r="BJ254" s="8">
        <v>23040</v>
      </c>
      <c r="BK254" s="7">
        <v>0</v>
      </c>
      <c r="BL254" s="7">
        <v>1152</v>
      </c>
      <c r="BM254" s="10">
        <v>23040</v>
      </c>
      <c r="BN254" s="15">
        <f t="shared" si="8"/>
        <v>21888</v>
      </c>
      <c r="BO254" s="16">
        <f t="shared" si="9"/>
        <v>15321.599999999999</v>
      </c>
    </row>
    <row r="255" spans="1:67" ht="19.5" x14ac:dyDescent="0.3">
      <c r="A255" s="5" t="s">
        <v>396</v>
      </c>
      <c r="B255" s="5" t="s">
        <v>355</v>
      </c>
      <c r="C255" s="5">
        <v>380275</v>
      </c>
      <c r="D255" s="6"/>
      <c r="E255" s="5" t="s">
        <v>16</v>
      </c>
      <c r="F255" s="5" t="s">
        <v>41</v>
      </c>
      <c r="G255" s="5" t="s">
        <v>34</v>
      </c>
      <c r="H255" s="7" t="s">
        <v>289</v>
      </c>
      <c r="I255" s="7" t="s">
        <v>356</v>
      </c>
      <c r="J255" s="7">
        <v>0</v>
      </c>
      <c r="K255" s="7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13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8">
        <v>0</v>
      </c>
      <c r="AD255" s="7">
        <v>0</v>
      </c>
      <c r="AE255" s="7">
        <v>116</v>
      </c>
      <c r="AF255" s="7">
        <v>11120</v>
      </c>
      <c r="AG255" s="7">
        <v>1100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18</v>
      </c>
      <c r="AR255" s="7">
        <v>1800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74</v>
      </c>
      <c r="BJ255" s="7">
        <v>8880</v>
      </c>
      <c r="BK255" s="7">
        <v>0</v>
      </c>
      <c r="BL255" s="7">
        <v>444</v>
      </c>
      <c r="BM255" s="10">
        <v>22900</v>
      </c>
      <c r="BN255" s="15">
        <f t="shared" si="8"/>
        <v>22456</v>
      </c>
      <c r="BO255" s="16">
        <f t="shared" si="9"/>
        <v>15719.199999999999</v>
      </c>
    </row>
    <row r="256" spans="1:67" ht="19.5" x14ac:dyDescent="0.3">
      <c r="A256" s="5" t="s">
        <v>396</v>
      </c>
      <c r="B256" s="5" t="s">
        <v>245</v>
      </c>
      <c r="C256" s="5">
        <v>297776</v>
      </c>
      <c r="D256" s="6"/>
      <c r="E256" s="5" t="s">
        <v>16</v>
      </c>
      <c r="F256" s="5" t="s">
        <v>246</v>
      </c>
      <c r="G256" s="5" t="s">
        <v>382</v>
      </c>
      <c r="H256" s="7" t="s">
        <v>9</v>
      </c>
      <c r="I256" s="7" t="s">
        <v>247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9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133</v>
      </c>
      <c r="AF256" s="8">
        <v>15740</v>
      </c>
      <c r="AG256" s="7">
        <v>100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63</v>
      </c>
      <c r="AR256" s="7">
        <v>6100</v>
      </c>
      <c r="AS256" s="7">
        <v>200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1</v>
      </c>
      <c r="BJ256" s="8">
        <v>120</v>
      </c>
      <c r="BK256" s="7">
        <v>0</v>
      </c>
      <c r="BL256" s="7">
        <v>6</v>
      </c>
      <c r="BM256" s="10">
        <v>22260</v>
      </c>
      <c r="BN256" s="15">
        <f t="shared" si="8"/>
        <v>22254</v>
      </c>
      <c r="BO256" s="16">
        <f t="shared" si="9"/>
        <v>15577.8</v>
      </c>
    </row>
    <row r="257" spans="1:67" ht="19.5" x14ac:dyDescent="0.3">
      <c r="A257" s="5" t="s">
        <v>396</v>
      </c>
      <c r="B257" s="5" t="s">
        <v>625</v>
      </c>
      <c r="C257" s="5">
        <v>428121</v>
      </c>
      <c r="D257" s="6"/>
      <c r="E257" s="5" t="s">
        <v>16</v>
      </c>
      <c r="F257" s="5" t="s">
        <v>518</v>
      </c>
      <c r="G257" s="5" t="s">
        <v>34</v>
      </c>
      <c r="H257" s="7" t="s">
        <v>289</v>
      </c>
      <c r="I257" s="7" t="s">
        <v>562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2</v>
      </c>
      <c r="AF257" s="8">
        <v>3300</v>
      </c>
      <c r="AG257" s="7">
        <v>3300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1</v>
      </c>
      <c r="AR257" s="7">
        <v>3300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3</v>
      </c>
      <c r="BJ257" s="7">
        <v>11880</v>
      </c>
      <c r="BK257" s="7">
        <v>0</v>
      </c>
      <c r="BL257" s="7">
        <v>594</v>
      </c>
      <c r="BM257" s="10">
        <v>21780</v>
      </c>
      <c r="BN257" s="15">
        <f t="shared" si="8"/>
        <v>21186</v>
      </c>
      <c r="BO257" s="16">
        <f t="shared" si="9"/>
        <v>14830.199999999999</v>
      </c>
    </row>
    <row r="258" spans="1:67" ht="19.5" x14ac:dyDescent="0.3">
      <c r="A258" s="5" t="s">
        <v>396</v>
      </c>
      <c r="B258" s="5" t="s">
        <v>60</v>
      </c>
      <c r="C258" s="5">
        <v>245889</v>
      </c>
      <c r="D258" s="6"/>
      <c r="E258" s="5" t="s">
        <v>16</v>
      </c>
      <c r="F258" s="5" t="s">
        <v>30</v>
      </c>
      <c r="G258" s="5" t="s">
        <v>10</v>
      </c>
      <c r="H258" s="7" t="s">
        <v>7</v>
      </c>
      <c r="I258" s="7" t="s">
        <v>61</v>
      </c>
      <c r="J258" s="7">
        <v>3</v>
      </c>
      <c r="K258" s="7">
        <v>0</v>
      </c>
      <c r="L258" s="7">
        <v>300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11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40</v>
      </c>
      <c r="AF258" s="8">
        <v>0</v>
      </c>
      <c r="AG258" s="7">
        <v>4000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143</v>
      </c>
      <c r="BJ258" s="7">
        <v>17160</v>
      </c>
      <c r="BK258" s="7">
        <v>0</v>
      </c>
      <c r="BL258" s="7">
        <v>858</v>
      </c>
      <c r="BM258" s="10">
        <v>21460</v>
      </c>
      <c r="BN258" s="15">
        <f t="shared" si="8"/>
        <v>20602</v>
      </c>
      <c r="BO258" s="16">
        <f t="shared" si="9"/>
        <v>14421.4</v>
      </c>
    </row>
    <row r="259" spans="1:67" ht="19.5" x14ac:dyDescent="0.3">
      <c r="A259" s="5" t="s">
        <v>396</v>
      </c>
      <c r="B259" s="5" t="s">
        <v>626</v>
      </c>
      <c r="C259" s="5">
        <v>485792</v>
      </c>
      <c r="D259" s="6"/>
      <c r="E259" s="5" t="s">
        <v>16</v>
      </c>
      <c r="F259" s="5" t="s">
        <v>627</v>
      </c>
      <c r="G259" s="5" t="s">
        <v>382</v>
      </c>
      <c r="H259" s="7" t="s">
        <v>289</v>
      </c>
      <c r="I259" s="7" t="s">
        <v>583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3</v>
      </c>
      <c r="AF259" s="7">
        <v>5400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3</v>
      </c>
      <c r="AR259" s="7">
        <v>4500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6</v>
      </c>
      <c r="BJ259" s="8">
        <v>10800</v>
      </c>
      <c r="BK259" s="7">
        <v>0</v>
      </c>
      <c r="BL259" s="7">
        <v>540</v>
      </c>
      <c r="BM259" s="10">
        <v>20700</v>
      </c>
      <c r="BN259" s="15">
        <f t="shared" si="8"/>
        <v>20160</v>
      </c>
      <c r="BO259" s="16">
        <f t="shared" si="9"/>
        <v>14112</v>
      </c>
    </row>
    <row r="260" spans="1:67" ht="19.5" x14ac:dyDescent="0.3">
      <c r="A260" s="5" t="s">
        <v>396</v>
      </c>
      <c r="B260" s="5" t="s">
        <v>146</v>
      </c>
      <c r="C260" s="5">
        <v>350894</v>
      </c>
      <c r="D260" s="6"/>
      <c r="E260" s="5" t="s">
        <v>16</v>
      </c>
      <c r="F260" s="5" t="s">
        <v>147</v>
      </c>
      <c r="G260" s="5" t="s">
        <v>34</v>
      </c>
      <c r="H260" s="7" t="s">
        <v>8</v>
      </c>
      <c r="I260" s="7" t="s">
        <v>148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10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161</v>
      </c>
      <c r="AF260" s="8">
        <v>14980</v>
      </c>
      <c r="AG260" s="7">
        <v>2400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3</v>
      </c>
      <c r="AR260" s="8">
        <v>300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16</v>
      </c>
      <c r="BJ260" s="7">
        <v>1920</v>
      </c>
      <c r="BK260" s="7">
        <v>0</v>
      </c>
      <c r="BL260" s="7">
        <v>96</v>
      </c>
      <c r="BM260" s="10">
        <v>19600</v>
      </c>
      <c r="BN260" s="15">
        <f t="shared" si="8"/>
        <v>19504</v>
      </c>
      <c r="BO260" s="16">
        <f t="shared" si="9"/>
        <v>13652.8</v>
      </c>
    </row>
    <row r="261" spans="1:67" ht="19.5" x14ac:dyDescent="0.3">
      <c r="A261" s="5" t="s">
        <v>396</v>
      </c>
      <c r="B261" s="5" t="s">
        <v>19</v>
      </c>
      <c r="C261" s="5">
        <v>463799</v>
      </c>
      <c r="D261" s="6"/>
      <c r="E261" s="5" t="s">
        <v>16</v>
      </c>
      <c r="F261" s="5" t="s">
        <v>20</v>
      </c>
      <c r="G261" s="5" t="s">
        <v>10</v>
      </c>
      <c r="H261" s="7" t="s">
        <v>7</v>
      </c>
      <c r="I261" s="7" t="s">
        <v>21</v>
      </c>
      <c r="J261" s="7">
        <v>1</v>
      </c>
      <c r="K261" s="7">
        <v>0</v>
      </c>
      <c r="L261" s="7">
        <v>100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4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124</v>
      </c>
      <c r="AF261" s="8">
        <v>0</v>
      </c>
      <c r="AG261" s="8">
        <v>12400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1</v>
      </c>
      <c r="AR261" s="8">
        <v>100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50</v>
      </c>
      <c r="BJ261" s="7">
        <v>6000</v>
      </c>
      <c r="BK261" s="7">
        <v>0</v>
      </c>
      <c r="BL261" s="7">
        <v>300</v>
      </c>
      <c r="BM261" s="10">
        <v>18600</v>
      </c>
      <c r="BN261" s="15">
        <f t="shared" si="8"/>
        <v>18300</v>
      </c>
      <c r="BO261" s="16">
        <f t="shared" si="9"/>
        <v>12810</v>
      </c>
    </row>
    <row r="262" spans="1:67" ht="19.5" x14ac:dyDescent="0.3">
      <c r="A262" s="5" t="s">
        <v>396</v>
      </c>
      <c r="B262" s="5" t="s">
        <v>233</v>
      </c>
      <c r="C262" s="5">
        <v>458561</v>
      </c>
      <c r="D262" s="6"/>
      <c r="E262" s="5" t="s">
        <v>16</v>
      </c>
      <c r="F262" s="5" t="s">
        <v>30</v>
      </c>
      <c r="G262" s="5" t="s">
        <v>10</v>
      </c>
      <c r="H262" s="7" t="s">
        <v>7</v>
      </c>
      <c r="I262" s="7" t="s">
        <v>193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62</v>
      </c>
      <c r="AF262" s="8">
        <v>7440</v>
      </c>
      <c r="AG262" s="8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85</v>
      </c>
      <c r="AR262" s="8">
        <v>8300</v>
      </c>
      <c r="AS262" s="7">
        <v>200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14</v>
      </c>
      <c r="BJ262" s="8">
        <v>1680</v>
      </c>
      <c r="BK262" s="7">
        <v>0</v>
      </c>
      <c r="BL262" s="7">
        <v>84</v>
      </c>
      <c r="BM262" s="10">
        <v>17620</v>
      </c>
      <c r="BN262" s="15">
        <f t="shared" si="8"/>
        <v>17536</v>
      </c>
      <c r="BO262" s="16">
        <f t="shared" si="9"/>
        <v>12275.199999999999</v>
      </c>
    </row>
    <row r="263" spans="1:67" ht="19.5" x14ac:dyDescent="0.3">
      <c r="A263" s="5" t="s">
        <v>396</v>
      </c>
      <c r="B263" s="5" t="s">
        <v>219</v>
      </c>
      <c r="C263" s="5">
        <v>399878</v>
      </c>
      <c r="D263" s="6"/>
      <c r="E263" s="5" t="s">
        <v>16</v>
      </c>
      <c r="F263" s="5" t="s">
        <v>220</v>
      </c>
      <c r="G263" s="5" t="s">
        <v>34</v>
      </c>
      <c r="H263" s="7" t="s">
        <v>8</v>
      </c>
      <c r="I263" s="7" t="s">
        <v>221</v>
      </c>
      <c r="J263" s="7">
        <v>0</v>
      </c>
      <c r="K263" s="7">
        <v>632</v>
      </c>
      <c r="L263" s="8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13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71</v>
      </c>
      <c r="AF263" s="8">
        <v>4980</v>
      </c>
      <c r="AG263" s="8">
        <v>2500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70</v>
      </c>
      <c r="AR263" s="7">
        <v>6600</v>
      </c>
      <c r="AS263" s="7">
        <v>400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23</v>
      </c>
      <c r="BJ263" s="8">
        <v>2760</v>
      </c>
      <c r="BK263" s="7">
        <v>0</v>
      </c>
      <c r="BL263" s="7">
        <v>138</v>
      </c>
      <c r="BM263" s="10">
        <v>17240</v>
      </c>
      <c r="BN263" s="15">
        <f t="shared" si="8"/>
        <v>17102</v>
      </c>
      <c r="BO263" s="16">
        <f t="shared" si="9"/>
        <v>11971.4</v>
      </c>
    </row>
    <row r="264" spans="1:67" ht="19.5" x14ac:dyDescent="0.3">
      <c r="A264" s="5" t="s">
        <v>396</v>
      </c>
      <c r="B264" s="5" t="s">
        <v>117</v>
      </c>
      <c r="C264" s="5">
        <v>390809</v>
      </c>
      <c r="D264" s="6"/>
      <c r="E264" s="5" t="s">
        <v>16</v>
      </c>
      <c r="F264" s="5" t="s">
        <v>118</v>
      </c>
      <c r="G264" s="5" t="s">
        <v>34</v>
      </c>
      <c r="H264" s="7" t="s">
        <v>8</v>
      </c>
      <c r="I264" s="7" t="s">
        <v>35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6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18</v>
      </c>
      <c r="AF264" s="7">
        <v>1820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62</v>
      </c>
      <c r="AR264" s="8">
        <v>6200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76</v>
      </c>
      <c r="BJ264" s="7">
        <v>9120</v>
      </c>
      <c r="BK264" s="7">
        <v>0</v>
      </c>
      <c r="BL264" s="7">
        <v>456</v>
      </c>
      <c r="BM264" s="10">
        <v>17140</v>
      </c>
      <c r="BN264" s="15">
        <f t="shared" si="8"/>
        <v>16684</v>
      </c>
      <c r="BO264" s="16">
        <f t="shared" si="9"/>
        <v>11678.8</v>
      </c>
    </row>
    <row r="265" spans="1:67" ht="19.5" x14ac:dyDescent="0.3">
      <c r="A265" s="5" t="s">
        <v>396</v>
      </c>
      <c r="B265" s="5" t="s">
        <v>587</v>
      </c>
      <c r="C265" s="5">
        <v>444220</v>
      </c>
      <c r="D265" s="6"/>
      <c r="E265" s="5" t="s">
        <v>16</v>
      </c>
      <c r="F265" s="5" t="s">
        <v>123</v>
      </c>
      <c r="G265" s="5" t="s">
        <v>34</v>
      </c>
      <c r="H265" s="7" t="s">
        <v>289</v>
      </c>
      <c r="I265" s="7" t="s">
        <v>562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4</v>
      </c>
      <c r="AF265" s="8">
        <v>13440</v>
      </c>
      <c r="AG265" s="8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1</v>
      </c>
      <c r="BJ265" s="7">
        <v>3360</v>
      </c>
      <c r="BK265" s="7">
        <v>0</v>
      </c>
      <c r="BL265" s="7">
        <v>168</v>
      </c>
      <c r="BM265" s="10">
        <v>16800</v>
      </c>
      <c r="BN265" s="15">
        <f t="shared" si="8"/>
        <v>16632</v>
      </c>
      <c r="BO265" s="16">
        <f t="shared" si="9"/>
        <v>11642.4</v>
      </c>
    </row>
    <row r="266" spans="1:67" ht="19.5" x14ac:dyDescent="0.3">
      <c r="A266" s="5" t="s">
        <v>396</v>
      </c>
      <c r="B266" s="5" t="s">
        <v>628</v>
      </c>
      <c r="C266" s="5">
        <v>431783</v>
      </c>
      <c r="D266" s="6"/>
      <c r="E266" s="5" t="s">
        <v>16</v>
      </c>
      <c r="F266" s="5" t="s">
        <v>41</v>
      </c>
      <c r="G266" s="5" t="s">
        <v>34</v>
      </c>
      <c r="H266" s="7" t="s">
        <v>289</v>
      </c>
      <c r="I266" s="7" t="s">
        <v>562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2</v>
      </c>
      <c r="AF266" s="8">
        <v>11040</v>
      </c>
      <c r="AG266" s="8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1</v>
      </c>
      <c r="BJ266" s="7">
        <v>5520</v>
      </c>
      <c r="BK266" s="7">
        <v>0</v>
      </c>
      <c r="BL266" s="7">
        <v>276</v>
      </c>
      <c r="BM266" s="10">
        <v>16560</v>
      </c>
      <c r="BN266" s="15">
        <f t="shared" si="8"/>
        <v>16284</v>
      </c>
      <c r="BO266" s="16">
        <f t="shared" si="9"/>
        <v>11398.8</v>
      </c>
    </row>
    <row r="267" spans="1:67" ht="19.5" x14ac:dyDescent="0.3">
      <c r="A267" s="5" t="s">
        <v>396</v>
      </c>
      <c r="B267" s="5" t="s">
        <v>151</v>
      </c>
      <c r="C267" s="5">
        <v>433508</v>
      </c>
      <c r="D267" s="6"/>
      <c r="E267" s="5" t="s">
        <v>16</v>
      </c>
      <c r="F267" s="5" t="s">
        <v>152</v>
      </c>
      <c r="G267" s="5" t="s">
        <v>10</v>
      </c>
      <c r="H267" s="7" t="s">
        <v>7</v>
      </c>
      <c r="I267" s="7" t="s">
        <v>153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11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164</v>
      </c>
      <c r="AF267" s="8">
        <v>16100</v>
      </c>
      <c r="AG267" s="7">
        <v>300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8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10">
        <v>16400</v>
      </c>
      <c r="BN267" s="15">
        <f t="shared" si="8"/>
        <v>16400</v>
      </c>
      <c r="BO267" s="16">
        <f t="shared" si="9"/>
        <v>11480</v>
      </c>
    </row>
    <row r="268" spans="1:67" ht="19.5" x14ac:dyDescent="0.3">
      <c r="A268" s="5" t="s">
        <v>396</v>
      </c>
      <c r="B268" s="5" t="s">
        <v>384</v>
      </c>
      <c r="C268" s="5">
        <v>476035</v>
      </c>
      <c r="D268" s="6"/>
      <c r="E268" s="5" t="s">
        <v>16</v>
      </c>
      <c r="F268" s="5" t="s">
        <v>385</v>
      </c>
      <c r="G268" s="5" t="s">
        <v>382</v>
      </c>
      <c r="H268" s="7" t="s">
        <v>9</v>
      </c>
      <c r="I268" s="7" t="s">
        <v>386</v>
      </c>
      <c r="J268" s="7">
        <v>31</v>
      </c>
      <c r="K268" s="7">
        <v>574</v>
      </c>
      <c r="L268" s="7">
        <v>3100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83</v>
      </c>
      <c r="AF268" s="8">
        <v>8000</v>
      </c>
      <c r="AG268" s="7">
        <v>1600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14</v>
      </c>
      <c r="AR268" s="8">
        <v>1400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19</v>
      </c>
      <c r="BJ268" s="8">
        <v>2280</v>
      </c>
      <c r="BK268" s="7">
        <v>0</v>
      </c>
      <c r="BL268" s="7">
        <v>114</v>
      </c>
      <c r="BM268" s="10">
        <v>16380</v>
      </c>
      <c r="BN268" s="15">
        <f t="shared" si="8"/>
        <v>16266</v>
      </c>
      <c r="BO268" s="16">
        <f t="shared" si="9"/>
        <v>11386.199999999999</v>
      </c>
    </row>
    <row r="269" spans="1:67" ht="19.5" x14ac:dyDescent="0.3">
      <c r="A269" s="5" t="s">
        <v>396</v>
      </c>
      <c r="B269" s="5" t="s">
        <v>236</v>
      </c>
      <c r="C269" s="5">
        <v>462361</v>
      </c>
      <c r="D269" s="6"/>
      <c r="E269" s="5" t="s">
        <v>16</v>
      </c>
      <c r="F269" s="5" t="s">
        <v>39</v>
      </c>
      <c r="G269" s="5" t="s">
        <v>10</v>
      </c>
      <c r="H269" s="7" t="s">
        <v>7</v>
      </c>
      <c r="I269" s="7" t="s">
        <v>237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5</v>
      </c>
      <c r="AF269" s="7">
        <v>0</v>
      </c>
      <c r="AG269" s="7">
        <v>16000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8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10">
        <v>16000</v>
      </c>
      <c r="BN269" s="15">
        <f t="shared" si="8"/>
        <v>16000</v>
      </c>
      <c r="BO269" s="16">
        <f t="shared" si="9"/>
        <v>11200</v>
      </c>
    </row>
    <row r="270" spans="1:67" ht="19.5" x14ac:dyDescent="0.3">
      <c r="A270" s="5" t="s">
        <v>396</v>
      </c>
      <c r="B270" s="5" t="s">
        <v>185</v>
      </c>
      <c r="C270" s="5">
        <v>402649</v>
      </c>
      <c r="D270" s="6"/>
      <c r="E270" s="5" t="s">
        <v>16</v>
      </c>
      <c r="F270" s="5" t="s">
        <v>41</v>
      </c>
      <c r="G270" s="5" t="s">
        <v>34</v>
      </c>
      <c r="H270" s="7" t="s">
        <v>8</v>
      </c>
      <c r="I270" s="7" t="s">
        <v>186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5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112</v>
      </c>
      <c r="AF270" s="8">
        <v>13320</v>
      </c>
      <c r="AG270" s="8">
        <v>100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19</v>
      </c>
      <c r="BJ270" s="7">
        <v>2280</v>
      </c>
      <c r="BK270" s="7">
        <v>0</v>
      </c>
      <c r="BL270" s="7">
        <v>114</v>
      </c>
      <c r="BM270" s="10">
        <v>15700</v>
      </c>
      <c r="BN270" s="15">
        <f t="shared" si="8"/>
        <v>15586</v>
      </c>
      <c r="BO270" s="16">
        <f t="shared" si="9"/>
        <v>10910.199999999999</v>
      </c>
    </row>
    <row r="271" spans="1:67" ht="19.5" x14ac:dyDescent="0.3">
      <c r="A271" s="5" t="s">
        <v>396</v>
      </c>
      <c r="B271" s="5" t="s">
        <v>349</v>
      </c>
      <c r="C271" s="5">
        <v>426259</v>
      </c>
      <c r="D271" s="6"/>
      <c r="E271" s="5" t="s">
        <v>16</v>
      </c>
      <c r="F271" s="5" t="s">
        <v>128</v>
      </c>
      <c r="G271" s="5" t="s">
        <v>34</v>
      </c>
      <c r="H271" s="7" t="s">
        <v>289</v>
      </c>
      <c r="I271" s="7" t="s">
        <v>350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3</v>
      </c>
      <c r="AF271" s="8">
        <v>6160</v>
      </c>
      <c r="AG271" s="7">
        <v>2800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2</v>
      </c>
      <c r="BJ271" s="7">
        <v>6720</v>
      </c>
      <c r="BK271" s="7">
        <v>0</v>
      </c>
      <c r="BL271" s="7">
        <v>336</v>
      </c>
      <c r="BM271" s="10">
        <v>15680</v>
      </c>
      <c r="BN271" s="15">
        <f t="shared" si="8"/>
        <v>15344</v>
      </c>
      <c r="BO271" s="16">
        <f t="shared" si="9"/>
        <v>10740.8</v>
      </c>
    </row>
    <row r="272" spans="1:67" ht="19.5" x14ac:dyDescent="0.3">
      <c r="A272" s="5" t="s">
        <v>396</v>
      </c>
      <c r="B272" s="5" t="s">
        <v>194</v>
      </c>
      <c r="C272" s="5">
        <v>458568</v>
      </c>
      <c r="D272" s="6"/>
      <c r="E272" s="5" t="s">
        <v>16</v>
      </c>
      <c r="F272" s="5" t="s">
        <v>30</v>
      </c>
      <c r="G272" s="5" t="s">
        <v>10</v>
      </c>
      <c r="H272" s="7" t="s">
        <v>7</v>
      </c>
      <c r="I272" s="7" t="s">
        <v>193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2</v>
      </c>
      <c r="AF272" s="8">
        <v>3840</v>
      </c>
      <c r="AG272" s="7">
        <v>200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3</v>
      </c>
      <c r="BJ272" s="7">
        <v>11280</v>
      </c>
      <c r="BK272" s="7">
        <v>0</v>
      </c>
      <c r="BL272" s="7">
        <v>564</v>
      </c>
      <c r="BM272" s="10">
        <v>15320</v>
      </c>
      <c r="BN272" s="15">
        <f t="shared" si="8"/>
        <v>14756</v>
      </c>
      <c r="BO272" s="16">
        <f t="shared" si="9"/>
        <v>10329.199999999999</v>
      </c>
    </row>
    <row r="273" spans="1:67" ht="19.5" x14ac:dyDescent="0.3">
      <c r="A273" s="5" t="s">
        <v>396</v>
      </c>
      <c r="B273" s="5" t="s">
        <v>581</v>
      </c>
      <c r="C273" s="5">
        <v>397371</v>
      </c>
      <c r="D273" s="6"/>
      <c r="E273" s="5" t="s">
        <v>16</v>
      </c>
      <c r="F273" s="5" t="s">
        <v>582</v>
      </c>
      <c r="G273" s="5" t="s">
        <v>34</v>
      </c>
      <c r="H273" s="7" t="s">
        <v>289</v>
      </c>
      <c r="I273" s="7" t="s">
        <v>583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5</v>
      </c>
      <c r="AF273" s="7">
        <v>15080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8">
        <v>0</v>
      </c>
      <c r="BK273" s="7">
        <v>0</v>
      </c>
      <c r="BL273" s="7">
        <v>0</v>
      </c>
      <c r="BM273" s="10">
        <v>15080</v>
      </c>
      <c r="BN273" s="15">
        <f t="shared" si="8"/>
        <v>15080</v>
      </c>
      <c r="BO273" s="16">
        <f t="shared" si="9"/>
        <v>10556</v>
      </c>
    </row>
    <row r="274" spans="1:67" ht="19.5" x14ac:dyDescent="0.3">
      <c r="A274" s="5" t="s">
        <v>396</v>
      </c>
      <c r="B274" s="5" t="s">
        <v>629</v>
      </c>
      <c r="C274" s="5">
        <v>426278</v>
      </c>
      <c r="D274" s="6"/>
      <c r="E274" s="5" t="s">
        <v>16</v>
      </c>
      <c r="F274" s="5" t="s">
        <v>630</v>
      </c>
      <c r="G274" s="5" t="s">
        <v>34</v>
      </c>
      <c r="H274" s="7" t="s">
        <v>289</v>
      </c>
      <c r="I274" s="7" t="s">
        <v>610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3</v>
      </c>
      <c r="AF274" s="8">
        <v>7680</v>
      </c>
      <c r="AG274" s="7">
        <v>3200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1</v>
      </c>
      <c r="BJ274" s="7">
        <v>3840</v>
      </c>
      <c r="BK274" s="7">
        <v>0</v>
      </c>
      <c r="BL274" s="7">
        <v>192</v>
      </c>
      <c r="BM274" s="10">
        <v>14720</v>
      </c>
      <c r="BN274" s="15">
        <f t="shared" si="8"/>
        <v>14528</v>
      </c>
      <c r="BO274" s="16">
        <f t="shared" si="9"/>
        <v>10169.599999999999</v>
      </c>
    </row>
    <row r="275" spans="1:67" ht="19.5" x14ac:dyDescent="0.3">
      <c r="A275" s="5" t="s">
        <v>396</v>
      </c>
      <c r="B275" s="5" t="s">
        <v>273</v>
      </c>
      <c r="C275" s="5">
        <v>392673</v>
      </c>
      <c r="D275" s="6"/>
      <c r="E275" s="5" t="s">
        <v>16</v>
      </c>
      <c r="F275" s="5" t="s">
        <v>105</v>
      </c>
      <c r="G275" s="5" t="s">
        <v>34</v>
      </c>
      <c r="H275" s="7" t="s">
        <v>8</v>
      </c>
      <c r="I275" s="7" t="s">
        <v>274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3</v>
      </c>
      <c r="AF275" s="8">
        <v>7680</v>
      </c>
      <c r="AG275" s="7">
        <v>3200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1</v>
      </c>
      <c r="BJ275" s="7">
        <v>3840</v>
      </c>
      <c r="BK275" s="7">
        <v>0</v>
      </c>
      <c r="BL275" s="7">
        <v>192</v>
      </c>
      <c r="BM275" s="10">
        <v>14720</v>
      </c>
      <c r="BN275" s="15">
        <f t="shared" si="8"/>
        <v>14528</v>
      </c>
      <c r="BO275" s="16">
        <f t="shared" si="9"/>
        <v>10169.599999999999</v>
      </c>
    </row>
    <row r="276" spans="1:67" ht="19.5" x14ac:dyDescent="0.3">
      <c r="A276" s="5" t="s">
        <v>396</v>
      </c>
      <c r="B276" s="5" t="s">
        <v>294</v>
      </c>
      <c r="C276" s="5">
        <v>363413</v>
      </c>
      <c r="D276" s="6"/>
      <c r="E276" s="5" t="s">
        <v>16</v>
      </c>
      <c r="F276" s="5" t="s">
        <v>105</v>
      </c>
      <c r="G276" s="5" t="s">
        <v>34</v>
      </c>
      <c r="H276" s="7" t="s">
        <v>8</v>
      </c>
      <c r="I276" s="7" t="s">
        <v>295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68</v>
      </c>
      <c r="AF276" s="8">
        <v>8160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31</v>
      </c>
      <c r="AR276" s="7">
        <v>3100</v>
      </c>
      <c r="AS276" s="7">
        <v>0</v>
      </c>
      <c r="AT276" s="7">
        <v>0</v>
      </c>
      <c r="AU276" s="7">
        <v>0</v>
      </c>
      <c r="AV276" s="7">
        <v>0</v>
      </c>
      <c r="AW276" s="7">
        <v>7</v>
      </c>
      <c r="AX276" s="7">
        <v>840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19</v>
      </c>
      <c r="BJ276" s="7">
        <v>2280</v>
      </c>
      <c r="BK276" s="7">
        <v>0</v>
      </c>
      <c r="BL276" s="7">
        <v>198</v>
      </c>
      <c r="BM276" s="10">
        <v>14380</v>
      </c>
      <c r="BN276" s="15">
        <f t="shared" si="8"/>
        <v>14182</v>
      </c>
      <c r="BO276" s="16">
        <f t="shared" si="9"/>
        <v>9927.4</v>
      </c>
    </row>
    <row r="277" spans="1:67" ht="19.5" x14ac:dyDescent="0.3">
      <c r="A277" s="5" t="s">
        <v>396</v>
      </c>
      <c r="B277" s="5" t="s">
        <v>395</v>
      </c>
      <c r="C277" s="5">
        <v>421814</v>
      </c>
      <c r="D277" s="6"/>
      <c r="E277" s="5" t="s">
        <v>16</v>
      </c>
      <c r="F277" s="5" t="s">
        <v>41</v>
      </c>
      <c r="G277" s="5" t="s">
        <v>34</v>
      </c>
      <c r="H277" s="7" t="s">
        <v>289</v>
      </c>
      <c r="I277" s="7" t="s">
        <v>186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3</v>
      </c>
      <c r="AF277" s="7">
        <v>10440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1</v>
      </c>
      <c r="BJ277" s="8">
        <v>3480</v>
      </c>
      <c r="BK277" s="7">
        <v>0</v>
      </c>
      <c r="BL277" s="7">
        <v>174</v>
      </c>
      <c r="BM277" s="10">
        <v>13920</v>
      </c>
      <c r="BN277" s="15">
        <f t="shared" si="8"/>
        <v>13746</v>
      </c>
      <c r="BO277" s="16">
        <f t="shared" si="9"/>
        <v>9622.1999999999989</v>
      </c>
    </row>
    <row r="278" spans="1:67" ht="19.5" x14ac:dyDescent="0.3">
      <c r="A278" s="5" t="s">
        <v>396</v>
      </c>
      <c r="B278" s="5" t="s">
        <v>474</v>
      </c>
      <c r="C278" s="5">
        <v>399402</v>
      </c>
      <c r="D278" s="6"/>
      <c r="E278" s="5" t="s">
        <v>16</v>
      </c>
      <c r="F278" s="5" t="s">
        <v>41</v>
      </c>
      <c r="G278" s="5" t="s">
        <v>34</v>
      </c>
      <c r="H278" s="7" t="s">
        <v>289</v>
      </c>
      <c r="I278" s="7" t="s">
        <v>475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3</v>
      </c>
      <c r="AF278" s="7">
        <v>10800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1</v>
      </c>
      <c r="AR278" s="7">
        <v>3000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8">
        <v>0</v>
      </c>
      <c r="BK278" s="7">
        <v>0</v>
      </c>
      <c r="BL278" s="7">
        <v>0</v>
      </c>
      <c r="BM278" s="10">
        <v>13800</v>
      </c>
      <c r="BN278" s="15">
        <f t="shared" si="8"/>
        <v>13800</v>
      </c>
      <c r="BO278" s="16">
        <f t="shared" si="9"/>
        <v>9660</v>
      </c>
    </row>
    <row r="279" spans="1:67" ht="19.5" x14ac:dyDescent="0.3">
      <c r="A279" s="5" t="s">
        <v>396</v>
      </c>
      <c r="B279" s="5" t="s">
        <v>110</v>
      </c>
      <c r="C279" s="5">
        <v>425289</v>
      </c>
      <c r="D279" s="6"/>
      <c r="E279" s="5" t="s">
        <v>16</v>
      </c>
      <c r="F279" s="5" t="s">
        <v>96</v>
      </c>
      <c r="G279" s="5" t="s">
        <v>10</v>
      </c>
      <c r="H279" s="7" t="s">
        <v>7</v>
      </c>
      <c r="I279" s="7" t="s">
        <v>111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113</v>
      </c>
      <c r="AF279" s="8">
        <v>13560</v>
      </c>
      <c r="AG279" s="8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10">
        <v>13560</v>
      </c>
      <c r="BN279" s="15">
        <f t="shared" si="8"/>
        <v>13560</v>
      </c>
      <c r="BO279" s="16">
        <f t="shared" si="9"/>
        <v>9492</v>
      </c>
    </row>
    <row r="280" spans="1:67" ht="19.5" x14ac:dyDescent="0.3">
      <c r="A280" s="5" t="s">
        <v>396</v>
      </c>
      <c r="B280" s="5" t="s">
        <v>573</v>
      </c>
      <c r="C280" s="5">
        <v>381176</v>
      </c>
      <c r="D280" s="6"/>
      <c r="E280" s="5" t="s">
        <v>16</v>
      </c>
      <c r="F280" s="5" t="s">
        <v>39</v>
      </c>
      <c r="G280" s="5" t="s">
        <v>10</v>
      </c>
      <c r="H280" s="7" t="s">
        <v>7</v>
      </c>
      <c r="I280" s="7" t="s">
        <v>574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5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8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112</v>
      </c>
      <c r="BJ280" s="7">
        <v>13440</v>
      </c>
      <c r="BK280" s="7">
        <v>0</v>
      </c>
      <c r="BL280" s="7">
        <v>672</v>
      </c>
      <c r="BM280" s="10">
        <v>13440</v>
      </c>
      <c r="BN280" s="15">
        <f t="shared" si="8"/>
        <v>12768</v>
      </c>
      <c r="BO280" s="16">
        <f t="shared" si="9"/>
        <v>8937.5999999999985</v>
      </c>
    </row>
    <row r="281" spans="1:67" ht="19.5" x14ac:dyDescent="0.3">
      <c r="A281" s="5" t="s">
        <v>396</v>
      </c>
      <c r="B281" s="5" t="s">
        <v>95</v>
      </c>
      <c r="C281" s="5">
        <v>395179</v>
      </c>
      <c r="D281" s="6"/>
      <c r="E281" s="5" t="s">
        <v>16</v>
      </c>
      <c r="F281" s="5" t="s">
        <v>96</v>
      </c>
      <c r="G281" s="5" t="s">
        <v>10</v>
      </c>
      <c r="H281" s="7" t="s">
        <v>7</v>
      </c>
      <c r="I281" s="7" t="s">
        <v>97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2</v>
      </c>
      <c r="AF281" s="7">
        <v>6360</v>
      </c>
      <c r="AG281" s="8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2</v>
      </c>
      <c r="BD281" s="7">
        <v>5160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8">
        <v>0</v>
      </c>
      <c r="BK281" s="7">
        <v>0</v>
      </c>
      <c r="BL281" s="7">
        <v>309.60000000000002</v>
      </c>
      <c r="BM281" s="10">
        <v>11520</v>
      </c>
      <c r="BN281" s="15">
        <f t="shared" si="8"/>
        <v>11210.4</v>
      </c>
      <c r="BO281" s="16">
        <f t="shared" si="9"/>
        <v>7847.2799999999988</v>
      </c>
    </row>
    <row r="282" spans="1:67" ht="19.5" x14ac:dyDescent="0.3">
      <c r="A282" s="5" t="s">
        <v>396</v>
      </c>
      <c r="B282" s="5" t="s">
        <v>577</v>
      </c>
      <c r="C282" s="5">
        <v>419962</v>
      </c>
      <c r="D282" s="6"/>
      <c r="E282" s="5" t="s">
        <v>16</v>
      </c>
      <c r="F282" s="5" t="s">
        <v>578</v>
      </c>
      <c r="G282" s="5" t="s">
        <v>34</v>
      </c>
      <c r="H282" s="7" t="s">
        <v>8</v>
      </c>
      <c r="I282" s="7" t="s">
        <v>579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1</v>
      </c>
      <c r="AF282" s="8">
        <v>0</v>
      </c>
      <c r="AG282" s="7">
        <v>500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3</v>
      </c>
      <c r="AR282" s="7">
        <v>10300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10">
        <v>10800</v>
      </c>
      <c r="BN282" s="15">
        <f t="shared" si="8"/>
        <v>10800</v>
      </c>
      <c r="BO282" s="16">
        <f t="shared" si="9"/>
        <v>7559.9999999999991</v>
      </c>
    </row>
    <row r="283" spans="1:67" ht="19.5" x14ac:dyDescent="0.3">
      <c r="A283" s="5" t="s">
        <v>396</v>
      </c>
      <c r="B283" s="5" t="s">
        <v>207</v>
      </c>
      <c r="C283" s="5">
        <v>407733</v>
      </c>
      <c r="D283" s="6"/>
      <c r="E283" s="5" t="s">
        <v>16</v>
      </c>
      <c r="F283" s="5" t="s">
        <v>30</v>
      </c>
      <c r="G283" s="5" t="s">
        <v>10</v>
      </c>
      <c r="H283" s="7" t="s">
        <v>7</v>
      </c>
      <c r="I283" s="7" t="s">
        <v>208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9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8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89</v>
      </c>
      <c r="BJ283" s="7">
        <v>10680</v>
      </c>
      <c r="BK283" s="7">
        <v>0</v>
      </c>
      <c r="BL283" s="7">
        <v>534</v>
      </c>
      <c r="BM283" s="10">
        <v>10680</v>
      </c>
      <c r="BN283" s="15">
        <f t="shared" si="8"/>
        <v>10146</v>
      </c>
      <c r="BO283" s="16">
        <f t="shared" si="9"/>
        <v>7102.2</v>
      </c>
    </row>
    <row r="284" spans="1:67" ht="19.5" x14ac:dyDescent="0.3">
      <c r="A284" s="5" t="s">
        <v>396</v>
      </c>
      <c r="B284" s="5" t="s">
        <v>552</v>
      </c>
      <c r="C284" s="5">
        <v>336316</v>
      </c>
      <c r="D284" s="6"/>
      <c r="E284" s="5" t="s">
        <v>16</v>
      </c>
      <c r="F284" s="5" t="s">
        <v>553</v>
      </c>
      <c r="G284" s="5" t="s">
        <v>34</v>
      </c>
      <c r="H284" s="7" t="s">
        <v>8</v>
      </c>
      <c r="I284" s="7" t="s">
        <v>554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2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100</v>
      </c>
      <c r="AF284" s="7">
        <v>3000</v>
      </c>
      <c r="AG284" s="7">
        <v>7500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8">
        <v>0</v>
      </c>
      <c r="BK284" s="7">
        <v>0</v>
      </c>
      <c r="BL284" s="7">
        <v>0</v>
      </c>
      <c r="BM284" s="10">
        <v>10500</v>
      </c>
      <c r="BN284" s="15">
        <f t="shared" si="8"/>
        <v>10500</v>
      </c>
      <c r="BO284" s="16">
        <f t="shared" si="9"/>
        <v>7349.9999999999991</v>
      </c>
    </row>
    <row r="285" spans="1:67" ht="19.5" x14ac:dyDescent="0.3">
      <c r="A285" s="5" t="s">
        <v>396</v>
      </c>
      <c r="B285" s="5" t="s">
        <v>495</v>
      </c>
      <c r="C285" s="5">
        <v>482273</v>
      </c>
      <c r="D285" s="6"/>
      <c r="E285" s="5" t="s">
        <v>16</v>
      </c>
      <c r="F285" s="5" t="s">
        <v>496</v>
      </c>
      <c r="G285" s="5" t="s">
        <v>10</v>
      </c>
      <c r="H285" s="7" t="s">
        <v>7</v>
      </c>
      <c r="I285" s="7" t="s">
        <v>497</v>
      </c>
      <c r="J285" s="7">
        <v>0</v>
      </c>
      <c r="K285" s="7">
        <v>20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24</v>
      </c>
      <c r="AF285" s="8">
        <v>600</v>
      </c>
      <c r="AG285" s="8">
        <v>1900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8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60</v>
      </c>
      <c r="BJ285" s="7">
        <v>7200</v>
      </c>
      <c r="BK285" s="7">
        <v>0</v>
      </c>
      <c r="BL285" s="7">
        <v>360</v>
      </c>
      <c r="BM285" s="10">
        <v>9700</v>
      </c>
      <c r="BN285" s="15">
        <f t="shared" si="8"/>
        <v>9340</v>
      </c>
      <c r="BO285" s="16">
        <f t="shared" si="9"/>
        <v>6538</v>
      </c>
    </row>
    <row r="286" spans="1:67" ht="19.5" x14ac:dyDescent="0.3">
      <c r="A286" s="5" t="s">
        <v>396</v>
      </c>
      <c r="B286" s="5" t="s">
        <v>607</v>
      </c>
      <c r="C286" s="5">
        <v>431802</v>
      </c>
      <c r="D286" s="6"/>
      <c r="E286" s="5" t="s">
        <v>16</v>
      </c>
      <c r="F286" s="5" t="s">
        <v>128</v>
      </c>
      <c r="G286" s="5" t="s">
        <v>34</v>
      </c>
      <c r="H286" s="7" t="s">
        <v>289</v>
      </c>
      <c r="I286" s="7" t="s">
        <v>608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4</v>
      </c>
      <c r="AF286" s="7">
        <v>0</v>
      </c>
      <c r="AG286" s="8">
        <v>9600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8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10">
        <v>9600</v>
      </c>
      <c r="BN286" s="15">
        <f t="shared" si="8"/>
        <v>9600</v>
      </c>
      <c r="BO286" s="16">
        <f t="shared" si="9"/>
        <v>6720</v>
      </c>
    </row>
    <row r="287" spans="1:67" ht="19.5" x14ac:dyDescent="0.3">
      <c r="A287" s="5" t="s">
        <v>396</v>
      </c>
      <c r="B287" s="5" t="s">
        <v>351</v>
      </c>
      <c r="C287" s="5">
        <v>407003</v>
      </c>
      <c r="D287" s="6"/>
      <c r="E287" s="5" t="s">
        <v>16</v>
      </c>
      <c r="F287" s="5" t="s">
        <v>324</v>
      </c>
      <c r="G287" s="5" t="s">
        <v>34</v>
      </c>
      <c r="H287" s="7" t="s">
        <v>289</v>
      </c>
      <c r="I287" s="7" t="s">
        <v>352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50</v>
      </c>
      <c r="AF287" s="8">
        <v>5800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34</v>
      </c>
      <c r="AR287" s="8">
        <v>3200</v>
      </c>
      <c r="AS287" s="7">
        <v>200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10">
        <v>9200</v>
      </c>
      <c r="BN287" s="15">
        <f t="shared" si="8"/>
        <v>9200</v>
      </c>
      <c r="BO287" s="16">
        <f t="shared" si="9"/>
        <v>6440</v>
      </c>
    </row>
    <row r="288" spans="1:67" ht="19.5" x14ac:dyDescent="0.3">
      <c r="A288" s="5" t="s">
        <v>396</v>
      </c>
      <c r="B288" s="5" t="s">
        <v>107</v>
      </c>
      <c r="C288" s="5">
        <v>428379</v>
      </c>
      <c r="D288" s="6"/>
      <c r="E288" s="5" t="s">
        <v>16</v>
      </c>
      <c r="F288" s="5" t="s">
        <v>108</v>
      </c>
      <c r="G288" s="5" t="s">
        <v>382</v>
      </c>
      <c r="H288" s="7" t="s">
        <v>8</v>
      </c>
      <c r="I288" s="7" t="s">
        <v>109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13</v>
      </c>
      <c r="AF288" s="8">
        <v>1160</v>
      </c>
      <c r="AG288" s="7">
        <v>300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46</v>
      </c>
      <c r="AR288" s="8">
        <v>4600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26</v>
      </c>
      <c r="BJ288" s="7">
        <v>3120</v>
      </c>
      <c r="BK288" s="7">
        <v>0</v>
      </c>
      <c r="BL288" s="7">
        <v>156</v>
      </c>
      <c r="BM288" s="10">
        <v>9180</v>
      </c>
      <c r="BN288" s="15">
        <f t="shared" si="8"/>
        <v>9024</v>
      </c>
      <c r="BO288" s="16">
        <f t="shared" si="9"/>
        <v>6316.7999999999993</v>
      </c>
    </row>
    <row r="289" spans="1:67" ht="19.5" x14ac:dyDescent="0.3">
      <c r="A289" s="5" t="s">
        <v>396</v>
      </c>
      <c r="B289" s="5" t="s">
        <v>270</v>
      </c>
      <c r="C289" s="5">
        <v>404148</v>
      </c>
      <c r="D289" s="6"/>
      <c r="E289" s="5" t="s">
        <v>16</v>
      </c>
      <c r="F289" s="5" t="s">
        <v>271</v>
      </c>
      <c r="G289" s="5" t="s">
        <v>34</v>
      </c>
      <c r="H289" s="7" t="s">
        <v>8</v>
      </c>
      <c r="I289" s="7" t="s">
        <v>272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1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15</v>
      </c>
      <c r="AF289" s="7">
        <v>1440</v>
      </c>
      <c r="AG289" s="7">
        <v>100</v>
      </c>
      <c r="AH289" s="7">
        <v>0</v>
      </c>
      <c r="AI289" s="7">
        <v>0</v>
      </c>
      <c r="AJ289" s="7">
        <v>0</v>
      </c>
      <c r="AK289" s="7">
        <v>1</v>
      </c>
      <c r="AL289" s="7">
        <v>0</v>
      </c>
      <c r="AM289" s="7">
        <v>100</v>
      </c>
      <c r="AN289" s="7">
        <v>0</v>
      </c>
      <c r="AO289" s="7">
        <v>0</v>
      </c>
      <c r="AP289" s="7">
        <v>0</v>
      </c>
      <c r="AQ289" s="7">
        <v>75</v>
      </c>
      <c r="AR289" s="8">
        <v>7500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10">
        <v>9140</v>
      </c>
      <c r="BN289" s="15">
        <f t="shared" si="8"/>
        <v>9140</v>
      </c>
      <c r="BO289" s="16">
        <f t="shared" si="9"/>
        <v>6398</v>
      </c>
    </row>
    <row r="290" spans="1:67" ht="19.5" x14ac:dyDescent="0.3">
      <c r="A290" s="5" t="s">
        <v>396</v>
      </c>
      <c r="B290" s="5" t="s">
        <v>549</v>
      </c>
      <c r="C290" s="5">
        <v>419222</v>
      </c>
      <c r="D290" s="6"/>
      <c r="E290" s="5" t="s">
        <v>16</v>
      </c>
      <c r="F290" s="5" t="s">
        <v>256</v>
      </c>
      <c r="G290" s="5" t="s">
        <v>34</v>
      </c>
      <c r="H290" s="7" t="s">
        <v>289</v>
      </c>
      <c r="I290" s="7" t="s">
        <v>257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2</v>
      </c>
      <c r="AF290" s="8">
        <v>9120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10">
        <v>9120</v>
      </c>
      <c r="BN290" s="15">
        <f t="shared" si="8"/>
        <v>9120</v>
      </c>
      <c r="BO290" s="16">
        <f t="shared" si="9"/>
        <v>6384</v>
      </c>
    </row>
    <row r="291" spans="1:67" ht="19.5" x14ac:dyDescent="0.3">
      <c r="A291" s="5" t="s">
        <v>396</v>
      </c>
      <c r="B291" s="5" t="s">
        <v>631</v>
      </c>
      <c r="C291" s="5">
        <v>381684</v>
      </c>
      <c r="D291" s="6"/>
      <c r="E291" s="5" t="s">
        <v>16</v>
      </c>
      <c r="F291" s="5" t="s">
        <v>131</v>
      </c>
      <c r="G291" s="5" t="s">
        <v>34</v>
      </c>
      <c r="H291" s="7" t="s">
        <v>289</v>
      </c>
      <c r="I291" s="7" t="s">
        <v>632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1</v>
      </c>
      <c r="AF291" s="7">
        <v>4560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8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1</v>
      </c>
      <c r="BJ291" s="7">
        <v>4560</v>
      </c>
      <c r="BK291" s="7">
        <v>0</v>
      </c>
      <c r="BL291" s="7">
        <v>228</v>
      </c>
      <c r="BM291" s="10">
        <v>9120</v>
      </c>
      <c r="BN291" s="15">
        <f t="shared" si="8"/>
        <v>8892</v>
      </c>
      <c r="BO291" s="16">
        <f t="shared" si="9"/>
        <v>6224.4</v>
      </c>
    </row>
    <row r="292" spans="1:67" ht="19.5" x14ac:dyDescent="0.3">
      <c r="A292" s="5" t="s">
        <v>396</v>
      </c>
      <c r="B292" s="5" t="s">
        <v>255</v>
      </c>
      <c r="C292" s="5">
        <v>407159</v>
      </c>
      <c r="D292" s="6"/>
      <c r="E292" s="5" t="s">
        <v>16</v>
      </c>
      <c r="F292" s="5" t="s">
        <v>256</v>
      </c>
      <c r="G292" s="5" t="s">
        <v>34</v>
      </c>
      <c r="H292" s="7" t="s">
        <v>8</v>
      </c>
      <c r="I292" s="7" t="s">
        <v>257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8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76</v>
      </c>
      <c r="AF292" s="8">
        <v>9120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10">
        <v>9120</v>
      </c>
      <c r="BN292" s="15">
        <f t="shared" si="8"/>
        <v>9120</v>
      </c>
      <c r="BO292" s="16">
        <f t="shared" si="9"/>
        <v>6384</v>
      </c>
    </row>
    <row r="293" spans="1:67" ht="19.5" x14ac:dyDescent="0.3">
      <c r="A293" s="5" t="s">
        <v>396</v>
      </c>
      <c r="B293" s="5" t="s">
        <v>464</v>
      </c>
      <c r="C293" s="5">
        <v>473533</v>
      </c>
      <c r="D293" s="6"/>
      <c r="E293" s="5" t="s">
        <v>16</v>
      </c>
      <c r="F293" s="5" t="s">
        <v>392</v>
      </c>
      <c r="G293" s="5" t="s">
        <v>10</v>
      </c>
      <c r="H293" s="7" t="s">
        <v>7</v>
      </c>
      <c r="I293" s="7" t="s">
        <v>564</v>
      </c>
      <c r="J293" s="7">
        <v>0</v>
      </c>
      <c r="K293" s="7">
        <v>227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56</v>
      </c>
      <c r="AF293" s="7">
        <v>4820</v>
      </c>
      <c r="AG293" s="7">
        <v>1400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2</v>
      </c>
      <c r="AR293" s="7">
        <v>200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2</v>
      </c>
      <c r="BD293" s="7">
        <v>240</v>
      </c>
      <c r="BE293" s="7">
        <v>0</v>
      </c>
      <c r="BF293" s="7">
        <v>0</v>
      </c>
      <c r="BG293" s="7">
        <v>0</v>
      </c>
      <c r="BH293" s="7">
        <v>0</v>
      </c>
      <c r="BI293" s="7">
        <v>14</v>
      </c>
      <c r="BJ293" s="8">
        <v>1680</v>
      </c>
      <c r="BK293" s="7">
        <v>0</v>
      </c>
      <c r="BL293" s="7">
        <v>98.4</v>
      </c>
      <c r="BM293" s="10">
        <v>8340</v>
      </c>
      <c r="BN293" s="15">
        <f t="shared" si="8"/>
        <v>8241.6</v>
      </c>
      <c r="BO293" s="16">
        <f t="shared" si="9"/>
        <v>5769.12</v>
      </c>
    </row>
    <row r="294" spans="1:67" ht="19.5" x14ac:dyDescent="0.3">
      <c r="A294" s="5" t="s">
        <v>396</v>
      </c>
      <c r="B294" s="5" t="s">
        <v>459</v>
      </c>
      <c r="C294" s="5">
        <v>478890</v>
      </c>
      <c r="D294" s="6"/>
      <c r="E294" s="5" t="s">
        <v>16</v>
      </c>
      <c r="F294" s="5" t="s">
        <v>393</v>
      </c>
      <c r="G294" s="5" t="s">
        <v>382</v>
      </c>
      <c r="H294" s="7" t="s">
        <v>8</v>
      </c>
      <c r="I294" s="7" t="s">
        <v>460</v>
      </c>
      <c r="J294" s="7">
        <v>23</v>
      </c>
      <c r="K294" s="7">
        <v>0</v>
      </c>
      <c r="L294" s="7">
        <v>2300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54</v>
      </c>
      <c r="AF294" s="7">
        <v>120</v>
      </c>
      <c r="AG294" s="7">
        <v>5300</v>
      </c>
      <c r="AH294" s="7">
        <v>0</v>
      </c>
      <c r="AI294" s="7">
        <v>0</v>
      </c>
      <c r="AJ294" s="7">
        <v>0</v>
      </c>
      <c r="AK294" s="7">
        <v>1</v>
      </c>
      <c r="AL294" s="7">
        <v>0</v>
      </c>
      <c r="AM294" s="7">
        <v>100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8">
        <v>0</v>
      </c>
      <c r="BK294" s="7">
        <v>0</v>
      </c>
      <c r="BL294" s="7">
        <v>0</v>
      </c>
      <c r="BM294" s="10">
        <v>7820</v>
      </c>
      <c r="BN294" s="15">
        <f t="shared" si="8"/>
        <v>7820</v>
      </c>
      <c r="BO294" s="16">
        <f t="shared" si="9"/>
        <v>5474</v>
      </c>
    </row>
    <row r="295" spans="1:67" ht="19.5" x14ac:dyDescent="0.3">
      <c r="A295" s="5" t="s">
        <v>396</v>
      </c>
      <c r="B295" s="5" t="s">
        <v>633</v>
      </c>
      <c r="C295" s="5">
        <v>419071</v>
      </c>
      <c r="D295" s="6"/>
      <c r="E295" s="5" t="s">
        <v>16</v>
      </c>
      <c r="F295" s="5" t="s">
        <v>634</v>
      </c>
      <c r="G295" s="5" t="s">
        <v>34</v>
      </c>
      <c r="H295" s="7" t="s">
        <v>289</v>
      </c>
      <c r="I295" s="7" t="s">
        <v>562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2</v>
      </c>
      <c r="AF295" s="8">
        <v>0</v>
      </c>
      <c r="AG295" s="7">
        <v>3900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1</v>
      </c>
      <c r="AR295" s="7">
        <v>2000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1</v>
      </c>
      <c r="BD295" s="7">
        <v>1800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108</v>
      </c>
      <c r="BM295" s="10">
        <v>7700</v>
      </c>
      <c r="BN295" s="15">
        <f t="shared" si="8"/>
        <v>7592</v>
      </c>
      <c r="BO295" s="16">
        <f t="shared" si="9"/>
        <v>5314.4</v>
      </c>
    </row>
    <row r="296" spans="1:67" ht="19.5" x14ac:dyDescent="0.3">
      <c r="A296" s="5" t="s">
        <v>396</v>
      </c>
      <c r="B296" s="5" t="s">
        <v>332</v>
      </c>
      <c r="C296" s="5">
        <v>425648</v>
      </c>
      <c r="D296" s="6"/>
      <c r="E296" s="5" t="s">
        <v>16</v>
      </c>
      <c r="F296" s="5" t="s">
        <v>220</v>
      </c>
      <c r="G296" s="5" t="s">
        <v>34</v>
      </c>
      <c r="H296" s="7" t="s">
        <v>289</v>
      </c>
      <c r="I296" s="7" t="s">
        <v>221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8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8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2</v>
      </c>
      <c r="BJ296" s="7">
        <v>7680</v>
      </c>
      <c r="BK296" s="7">
        <v>0</v>
      </c>
      <c r="BL296" s="7">
        <v>384</v>
      </c>
      <c r="BM296" s="10">
        <v>7680</v>
      </c>
      <c r="BN296" s="15">
        <f t="shared" si="8"/>
        <v>7296</v>
      </c>
      <c r="BO296" s="16">
        <f t="shared" si="9"/>
        <v>5107.2</v>
      </c>
    </row>
    <row r="297" spans="1:67" ht="19.5" x14ac:dyDescent="0.3">
      <c r="A297" s="5" t="s">
        <v>396</v>
      </c>
      <c r="B297" s="5" t="s">
        <v>83</v>
      </c>
      <c r="C297" s="5">
        <v>370935</v>
      </c>
      <c r="D297" s="6"/>
      <c r="E297" s="5" t="s">
        <v>16</v>
      </c>
      <c r="F297" s="5" t="s">
        <v>30</v>
      </c>
      <c r="G297" s="5" t="s">
        <v>10</v>
      </c>
      <c r="H297" s="7" t="s">
        <v>7</v>
      </c>
      <c r="I297" s="7" t="s">
        <v>84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2</v>
      </c>
      <c r="AF297" s="7">
        <v>7680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8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10">
        <v>7680</v>
      </c>
      <c r="BN297" s="15">
        <f t="shared" si="8"/>
        <v>7680</v>
      </c>
      <c r="BO297" s="16">
        <f t="shared" si="9"/>
        <v>5376</v>
      </c>
    </row>
    <row r="298" spans="1:67" ht="19.5" x14ac:dyDescent="0.3">
      <c r="A298" s="5" t="s">
        <v>396</v>
      </c>
      <c r="B298" s="5" t="s">
        <v>49</v>
      </c>
      <c r="C298" s="5">
        <v>459997</v>
      </c>
      <c r="D298" s="6"/>
      <c r="E298" s="5" t="s">
        <v>16</v>
      </c>
      <c r="F298" s="5" t="s">
        <v>50</v>
      </c>
      <c r="G298" s="5" t="s">
        <v>10</v>
      </c>
      <c r="H298" s="7" t="s">
        <v>7</v>
      </c>
      <c r="I298" s="7" t="s">
        <v>575</v>
      </c>
      <c r="J298" s="7">
        <v>0</v>
      </c>
      <c r="K298" s="7">
        <v>136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10</v>
      </c>
      <c r="AF298" s="7">
        <v>1180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59</v>
      </c>
      <c r="AR298" s="7">
        <v>3800</v>
      </c>
      <c r="AS298" s="7">
        <v>2100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3</v>
      </c>
      <c r="BJ298" s="8">
        <v>360</v>
      </c>
      <c r="BK298" s="7">
        <v>0</v>
      </c>
      <c r="BL298" s="7">
        <v>18</v>
      </c>
      <c r="BM298" s="10">
        <v>7440</v>
      </c>
      <c r="BN298" s="15">
        <f t="shared" si="8"/>
        <v>7422</v>
      </c>
      <c r="BO298" s="16">
        <f t="shared" si="9"/>
        <v>5195.3999999999996</v>
      </c>
    </row>
    <row r="299" spans="1:67" ht="19.5" x14ac:dyDescent="0.3">
      <c r="A299" s="5" t="s">
        <v>396</v>
      </c>
      <c r="B299" s="5" t="s">
        <v>88</v>
      </c>
      <c r="C299" s="5">
        <v>364724</v>
      </c>
      <c r="D299" s="6"/>
      <c r="E299" s="5" t="s">
        <v>16</v>
      </c>
      <c r="F299" s="5" t="s">
        <v>89</v>
      </c>
      <c r="G299" s="5" t="s">
        <v>10</v>
      </c>
      <c r="H299" s="7" t="s">
        <v>7</v>
      </c>
      <c r="I299" s="7" t="s">
        <v>90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2</v>
      </c>
      <c r="AF299" s="7">
        <v>0</v>
      </c>
      <c r="AG299" s="8">
        <v>200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60</v>
      </c>
      <c r="BJ299" s="8">
        <v>7200</v>
      </c>
      <c r="BK299" s="7">
        <v>0</v>
      </c>
      <c r="BL299" s="7">
        <v>360</v>
      </c>
      <c r="BM299" s="10">
        <v>7400</v>
      </c>
      <c r="BN299" s="15">
        <f t="shared" si="8"/>
        <v>7040</v>
      </c>
      <c r="BO299" s="16">
        <f t="shared" si="9"/>
        <v>4928</v>
      </c>
    </row>
    <row r="300" spans="1:67" ht="19.5" x14ac:dyDescent="0.3">
      <c r="A300" s="5" t="s">
        <v>396</v>
      </c>
      <c r="B300" s="5" t="s">
        <v>550</v>
      </c>
      <c r="C300" s="5">
        <v>381821</v>
      </c>
      <c r="D300" s="6"/>
      <c r="E300" s="5" t="s">
        <v>16</v>
      </c>
      <c r="F300" s="5" t="s">
        <v>52</v>
      </c>
      <c r="G300" s="5" t="s">
        <v>34</v>
      </c>
      <c r="H300" s="7" t="s">
        <v>289</v>
      </c>
      <c r="I300" s="7" t="s">
        <v>291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8">
        <v>0</v>
      </c>
      <c r="AG300" s="8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2</v>
      </c>
      <c r="BJ300" s="7">
        <v>7200</v>
      </c>
      <c r="BK300" s="7">
        <v>0</v>
      </c>
      <c r="BL300" s="7">
        <v>360</v>
      </c>
      <c r="BM300" s="10">
        <v>7200</v>
      </c>
      <c r="BN300" s="15">
        <f t="shared" si="8"/>
        <v>6840</v>
      </c>
      <c r="BO300" s="16">
        <f t="shared" si="9"/>
        <v>4788</v>
      </c>
    </row>
    <row r="301" spans="1:67" ht="19.5" x14ac:dyDescent="0.3">
      <c r="A301" s="5" t="s">
        <v>396</v>
      </c>
      <c r="B301" s="5" t="s">
        <v>62</v>
      </c>
      <c r="C301" s="5">
        <v>386960</v>
      </c>
      <c r="D301" s="6"/>
      <c r="E301" s="5" t="s">
        <v>16</v>
      </c>
      <c r="F301" s="5" t="s">
        <v>63</v>
      </c>
      <c r="G301" s="5" t="s">
        <v>10</v>
      </c>
      <c r="H301" s="7" t="s">
        <v>7</v>
      </c>
      <c r="I301" s="7" t="s">
        <v>64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8">
        <v>0</v>
      </c>
      <c r="AG301" s="8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70</v>
      </c>
      <c r="AR301" s="7">
        <v>7000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10">
        <v>7000</v>
      </c>
      <c r="BN301" s="15">
        <f t="shared" si="8"/>
        <v>7000</v>
      </c>
      <c r="BO301" s="16">
        <f t="shared" si="9"/>
        <v>4900</v>
      </c>
    </row>
    <row r="302" spans="1:67" ht="19.5" x14ac:dyDescent="0.3">
      <c r="A302" s="5" t="s">
        <v>396</v>
      </c>
      <c r="B302" s="5" t="s">
        <v>635</v>
      </c>
      <c r="C302" s="5">
        <v>418307</v>
      </c>
      <c r="D302" s="6"/>
      <c r="E302" s="5" t="s">
        <v>16</v>
      </c>
      <c r="F302" s="5" t="s">
        <v>268</v>
      </c>
      <c r="G302" s="5" t="s">
        <v>34</v>
      </c>
      <c r="H302" s="7" t="s">
        <v>289</v>
      </c>
      <c r="I302" s="7" t="s">
        <v>636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2</v>
      </c>
      <c r="AF302" s="7">
        <v>7000</v>
      </c>
      <c r="AG302" s="8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10">
        <v>7000</v>
      </c>
      <c r="BN302" s="15">
        <f t="shared" si="8"/>
        <v>7000</v>
      </c>
      <c r="BO302" s="16">
        <f t="shared" si="9"/>
        <v>4900</v>
      </c>
    </row>
    <row r="303" spans="1:67" ht="19.5" x14ac:dyDescent="0.3">
      <c r="A303" s="5" t="s">
        <v>396</v>
      </c>
      <c r="B303" s="5" t="s">
        <v>238</v>
      </c>
      <c r="C303" s="5">
        <v>469072</v>
      </c>
      <c r="D303" s="6"/>
      <c r="E303" s="5" t="s">
        <v>16</v>
      </c>
      <c r="F303" s="5" t="s">
        <v>160</v>
      </c>
      <c r="G303" s="5" t="s">
        <v>34</v>
      </c>
      <c r="H303" s="7" t="s">
        <v>8</v>
      </c>
      <c r="I303" s="7" t="s">
        <v>239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65</v>
      </c>
      <c r="AF303" s="7">
        <v>120</v>
      </c>
      <c r="AG303" s="7">
        <v>6400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8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2</v>
      </c>
      <c r="BJ303" s="7">
        <v>240</v>
      </c>
      <c r="BK303" s="7">
        <v>0</v>
      </c>
      <c r="BL303" s="7">
        <v>12</v>
      </c>
      <c r="BM303" s="10">
        <v>6760</v>
      </c>
      <c r="BN303" s="15">
        <f t="shared" si="8"/>
        <v>6748</v>
      </c>
      <c r="BO303" s="16">
        <f t="shared" si="9"/>
        <v>4723.5999999999995</v>
      </c>
    </row>
    <row r="304" spans="1:67" ht="19.5" x14ac:dyDescent="0.3">
      <c r="A304" s="5" t="s">
        <v>396</v>
      </c>
      <c r="B304" s="5" t="s">
        <v>187</v>
      </c>
      <c r="C304" s="5">
        <v>445861</v>
      </c>
      <c r="D304" s="6"/>
      <c r="E304" s="5" t="s">
        <v>16</v>
      </c>
      <c r="F304" s="5" t="s">
        <v>47</v>
      </c>
      <c r="G304" s="5" t="s">
        <v>34</v>
      </c>
      <c r="H304" s="7" t="s">
        <v>8</v>
      </c>
      <c r="I304" s="7" t="s">
        <v>188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2</v>
      </c>
      <c r="AF304" s="7">
        <v>6720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8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10">
        <v>6720</v>
      </c>
      <c r="BN304" s="15">
        <f t="shared" si="8"/>
        <v>6720</v>
      </c>
      <c r="BO304" s="16">
        <f t="shared" si="9"/>
        <v>4704</v>
      </c>
    </row>
    <row r="305" spans="1:67" ht="19.5" x14ac:dyDescent="0.3">
      <c r="A305" s="5" t="s">
        <v>396</v>
      </c>
      <c r="B305" s="5" t="s">
        <v>492</v>
      </c>
      <c r="C305" s="5">
        <v>481322</v>
      </c>
      <c r="D305" s="6"/>
      <c r="E305" s="5" t="s">
        <v>16</v>
      </c>
      <c r="F305" s="5" t="s">
        <v>493</v>
      </c>
      <c r="G305" s="5" t="s">
        <v>10</v>
      </c>
      <c r="H305" s="7" t="s">
        <v>7</v>
      </c>
      <c r="I305" s="7" t="s">
        <v>494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48</v>
      </c>
      <c r="AF305" s="7">
        <v>0</v>
      </c>
      <c r="AG305" s="8">
        <v>4800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18</v>
      </c>
      <c r="AR305" s="7">
        <v>1800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10">
        <v>6600</v>
      </c>
      <c r="BN305" s="15">
        <f t="shared" si="8"/>
        <v>6600</v>
      </c>
      <c r="BO305" s="16">
        <f t="shared" si="9"/>
        <v>4620</v>
      </c>
    </row>
    <row r="306" spans="1:67" ht="19.5" x14ac:dyDescent="0.3">
      <c r="A306" s="5" t="s">
        <v>396</v>
      </c>
      <c r="B306" s="5" t="s">
        <v>560</v>
      </c>
      <c r="C306" s="5">
        <v>418305</v>
      </c>
      <c r="D306" s="6"/>
      <c r="E306" s="5" t="s">
        <v>16</v>
      </c>
      <c r="F306" s="5" t="s">
        <v>118</v>
      </c>
      <c r="G306" s="5" t="s">
        <v>34</v>
      </c>
      <c r="H306" s="7" t="s">
        <v>289</v>
      </c>
      <c r="I306" s="7" t="s">
        <v>558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2</v>
      </c>
      <c r="AF306" s="7">
        <v>6600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8">
        <v>0</v>
      </c>
      <c r="BK306" s="7">
        <v>0</v>
      </c>
      <c r="BL306" s="7">
        <v>0</v>
      </c>
      <c r="BM306" s="10">
        <v>6600</v>
      </c>
      <c r="BN306" s="15">
        <f t="shared" si="8"/>
        <v>6600</v>
      </c>
      <c r="BO306" s="16">
        <f t="shared" si="9"/>
        <v>4620</v>
      </c>
    </row>
    <row r="307" spans="1:67" ht="19.5" x14ac:dyDescent="0.3">
      <c r="A307" s="5" t="s">
        <v>396</v>
      </c>
      <c r="B307" s="5" t="s">
        <v>28</v>
      </c>
      <c r="C307" s="5">
        <v>414278</v>
      </c>
      <c r="D307" s="6"/>
      <c r="E307" s="5" t="s">
        <v>16</v>
      </c>
      <c r="F307" s="5" t="s">
        <v>11</v>
      </c>
      <c r="G307" s="5" t="s">
        <v>10</v>
      </c>
      <c r="H307" s="7" t="s">
        <v>8</v>
      </c>
      <c r="I307" s="7" t="s">
        <v>386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2</v>
      </c>
      <c r="AF307" s="8">
        <v>6400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10">
        <v>6400</v>
      </c>
      <c r="BN307" s="15">
        <f t="shared" si="8"/>
        <v>6400</v>
      </c>
      <c r="BO307" s="16">
        <f t="shared" si="9"/>
        <v>4480</v>
      </c>
    </row>
    <row r="308" spans="1:67" ht="19.5" x14ac:dyDescent="0.3">
      <c r="A308" s="5" t="s">
        <v>396</v>
      </c>
      <c r="B308" s="5" t="s">
        <v>390</v>
      </c>
      <c r="C308" s="5">
        <v>476003</v>
      </c>
      <c r="D308" s="6"/>
      <c r="E308" s="5" t="s">
        <v>16</v>
      </c>
      <c r="F308" s="5" t="s">
        <v>30</v>
      </c>
      <c r="G308" s="5" t="s">
        <v>10</v>
      </c>
      <c r="H308" s="7" t="s">
        <v>8</v>
      </c>
      <c r="I308" s="7" t="s">
        <v>386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2</v>
      </c>
      <c r="AF308" s="8">
        <v>0</v>
      </c>
      <c r="AG308" s="7">
        <v>6400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10">
        <v>6400</v>
      </c>
      <c r="BN308" s="15">
        <f t="shared" si="8"/>
        <v>6400</v>
      </c>
      <c r="BO308" s="16">
        <f t="shared" si="9"/>
        <v>4480</v>
      </c>
    </row>
    <row r="309" spans="1:67" ht="19.5" x14ac:dyDescent="0.3">
      <c r="A309" s="5" t="s">
        <v>396</v>
      </c>
      <c r="B309" s="5" t="s">
        <v>593</v>
      </c>
      <c r="C309" s="5">
        <v>393162</v>
      </c>
      <c r="D309" s="6"/>
      <c r="E309" s="5" t="s">
        <v>16</v>
      </c>
      <c r="F309" s="5" t="s">
        <v>123</v>
      </c>
      <c r="G309" s="5" t="s">
        <v>34</v>
      </c>
      <c r="H309" s="7" t="s">
        <v>289</v>
      </c>
      <c r="I309" s="7" t="s">
        <v>594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7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8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64</v>
      </c>
      <c r="AR309" s="7">
        <v>6400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10">
        <v>6400</v>
      </c>
      <c r="BN309" s="15">
        <f t="shared" si="8"/>
        <v>6400</v>
      </c>
      <c r="BO309" s="16">
        <f t="shared" si="9"/>
        <v>4480</v>
      </c>
    </row>
    <row r="310" spans="1:67" ht="19.5" x14ac:dyDescent="0.3">
      <c r="A310" s="5" t="s">
        <v>396</v>
      </c>
      <c r="B310" s="5" t="s">
        <v>130</v>
      </c>
      <c r="C310" s="5">
        <v>359912</v>
      </c>
      <c r="D310" s="6"/>
      <c r="E310" s="5" t="s">
        <v>16</v>
      </c>
      <c r="F310" s="5" t="s">
        <v>131</v>
      </c>
      <c r="G310" s="5" t="s">
        <v>34</v>
      </c>
      <c r="H310" s="7" t="s">
        <v>8</v>
      </c>
      <c r="I310" s="7" t="s">
        <v>358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1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31</v>
      </c>
      <c r="AF310" s="8">
        <v>1440</v>
      </c>
      <c r="AG310" s="8">
        <v>1900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17</v>
      </c>
      <c r="AR310" s="7">
        <v>1700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10</v>
      </c>
      <c r="BJ310" s="7">
        <v>1200</v>
      </c>
      <c r="BK310" s="7">
        <v>0</v>
      </c>
      <c r="BL310" s="7">
        <v>60</v>
      </c>
      <c r="BM310" s="10">
        <v>6240</v>
      </c>
      <c r="BN310" s="15">
        <f t="shared" si="8"/>
        <v>6180</v>
      </c>
      <c r="BO310" s="16">
        <f t="shared" si="9"/>
        <v>4326</v>
      </c>
    </row>
    <row r="311" spans="1:67" ht="19.5" x14ac:dyDescent="0.3">
      <c r="A311" s="5" t="s">
        <v>396</v>
      </c>
      <c r="B311" s="5" t="s">
        <v>637</v>
      </c>
      <c r="C311" s="5">
        <v>424575</v>
      </c>
      <c r="D311" s="6"/>
      <c r="E311" s="5" t="s">
        <v>16</v>
      </c>
      <c r="F311" s="5" t="s">
        <v>41</v>
      </c>
      <c r="G311" s="5" t="s">
        <v>34</v>
      </c>
      <c r="H311" s="7" t="s">
        <v>289</v>
      </c>
      <c r="I311" s="7" t="s">
        <v>638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2</v>
      </c>
      <c r="AF311" s="8">
        <v>6000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10">
        <v>6000</v>
      </c>
      <c r="BN311" s="15">
        <f t="shared" si="8"/>
        <v>6000</v>
      </c>
      <c r="BO311" s="16">
        <f t="shared" si="9"/>
        <v>4200</v>
      </c>
    </row>
    <row r="312" spans="1:67" ht="19.5" x14ac:dyDescent="0.3">
      <c r="A312" s="5" t="s">
        <v>396</v>
      </c>
      <c r="B312" s="5" t="s">
        <v>376</v>
      </c>
      <c r="C312" s="5">
        <v>473531</v>
      </c>
      <c r="D312" s="6"/>
      <c r="E312" s="5" t="s">
        <v>16</v>
      </c>
      <c r="F312" s="5" t="s">
        <v>377</v>
      </c>
      <c r="G312" s="5" t="s">
        <v>34</v>
      </c>
      <c r="H312" s="7" t="s">
        <v>289</v>
      </c>
      <c r="I312" s="7" t="s">
        <v>378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2</v>
      </c>
      <c r="AR312" s="7">
        <v>6000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8">
        <v>0</v>
      </c>
      <c r="BK312" s="7">
        <v>0</v>
      </c>
      <c r="BL312" s="7">
        <v>0</v>
      </c>
      <c r="BM312" s="10">
        <v>6000</v>
      </c>
      <c r="BN312" s="15">
        <f t="shared" ref="BN312:BN374" si="10">BM312-BL312</f>
        <v>6000</v>
      </c>
      <c r="BO312" s="16">
        <f t="shared" ref="BO312:BO374" si="11">BN312*70%</f>
        <v>4200</v>
      </c>
    </row>
    <row r="313" spans="1:67" ht="19.5" x14ac:dyDescent="0.3">
      <c r="A313" s="5" t="s">
        <v>396</v>
      </c>
      <c r="B313" s="5" t="s">
        <v>141</v>
      </c>
      <c r="C313" s="5">
        <v>328404</v>
      </c>
      <c r="D313" s="6"/>
      <c r="E313" s="5" t="s">
        <v>16</v>
      </c>
      <c r="F313" s="5" t="s">
        <v>33</v>
      </c>
      <c r="G313" s="5" t="s">
        <v>34</v>
      </c>
      <c r="H313" s="7" t="s">
        <v>8</v>
      </c>
      <c r="I313" s="7" t="s">
        <v>142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2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22</v>
      </c>
      <c r="AF313" s="8">
        <v>2640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1</v>
      </c>
      <c r="AR313" s="7">
        <v>100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27</v>
      </c>
      <c r="BJ313" s="7">
        <v>3240</v>
      </c>
      <c r="BK313" s="7">
        <v>0</v>
      </c>
      <c r="BL313" s="7">
        <v>162</v>
      </c>
      <c r="BM313" s="10">
        <v>5980</v>
      </c>
      <c r="BN313" s="15">
        <f t="shared" si="10"/>
        <v>5818</v>
      </c>
      <c r="BO313" s="16">
        <f t="shared" si="11"/>
        <v>4072.6</v>
      </c>
    </row>
    <row r="314" spans="1:67" ht="19.5" x14ac:dyDescent="0.3">
      <c r="A314" s="5" t="s">
        <v>396</v>
      </c>
      <c r="B314" s="5" t="s">
        <v>93</v>
      </c>
      <c r="C314" s="5">
        <v>211158</v>
      </c>
      <c r="D314" s="6"/>
      <c r="E314" s="5" t="s">
        <v>16</v>
      </c>
      <c r="F314" s="5" t="s">
        <v>30</v>
      </c>
      <c r="G314" s="5" t="s">
        <v>10</v>
      </c>
      <c r="H314" s="7" t="s">
        <v>7</v>
      </c>
      <c r="I314" s="7" t="s">
        <v>94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21</v>
      </c>
      <c r="AF314" s="8">
        <v>2100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32</v>
      </c>
      <c r="BJ314" s="7">
        <v>3840</v>
      </c>
      <c r="BK314" s="7">
        <v>0</v>
      </c>
      <c r="BL314" s="7">
        <v>192</v>
      </c>
      <c r="BM314" s="10">
        <v>5940</v>
      </c>
      <c r="BN314" s="15">
        <f t="shared" si="10"/>
        <v>5748</v>
      </c>
      <c r="BO314" s="16">
        <f t="shared" si="11"/>
        <v>4023.6</v>
      </c>
    </row>
    <row r="315" spans="1:67" ht="19.5" x14ac:dyDescent="0.3">
      <c r="A315" s="5" t="s">
        <v>396</v>
      </c>
      <c r="B315" s="5" t="s">
        <v>102</v>
      </c>
      <c r="C315" s="5">
        <v>394830</v>
      </c>
      <c r="D315" s="6"/>
      <c r="E315" s="5" t="s">
        <v>16</v>
      </c>
      <c r="F315" s="5" t="s">
        <v>41</v>
      </c>
      <c r="G315" s="5" t="s">
        <v>34</v>
      </c>
      <c r="H315" s="7" t="s">
        <v>8</v>
      </c>
      <c r="I315" s="7" t="s">
        <v>103</v>
      </c>
      <c r="J315" s="7">
        <v>0</v>
      </c>
      <c r="K315" s="7">
        <v>5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1</v>
      </c>
      <c r="AF315" s="8">
        <v>100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58</v>
      </c>
      <c r="AR315" s="7">
        <v>5800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10">
        <v>5900</v>
      </c>
      <c r="BN315" s="15">
        <f t="shared" si="10"/>
        <v>5900</v>
      </c>
      <c r="BO315" s="16">
        <f t="shared" si="11"/>
        <v>4130</v>
      </c>
    </row>
    <row r="316" spans="1:67" ht="19.5" x14ac:dyDescent="0.3">
      <c r="A316" s="5" t="s">
        <v>396</v>
      </c>
      <c r="B316" s="5" t="s">
        <v>134</v>
      </c>
      <c r="C316" s="5">
        <v>337887</v>
      </c>
      <c r="D316" s="6"/>
      <c r="E316" s="5" t="s">
        <v>16</v>
      </c>
      <c r="F316" s="5" t="s">
        <v>131</v>
      </c>
      <c r="G316" s="5" t="s">
        <v>34</v>
      </c>
      <c r="H316" s="7" t="s">
        <v>8</v>
      </c>
      <c r="I316" s="7" t="s">
        <v>135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4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41</v>
      </c>
      <c r="AF316" s="8">
        <v>2960</v>
      </c>
      <c r="AG316" s="7">
        <v>1200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9</v>
      </c>
      <c r="BJ316" s="7">
        <v>1080</v>
      </c>
      <c r="BK316" s="7">
        <v>0</v>
      </c>
      <c r="BL316" s="7">
        <v>54</v>
      </c>
      <c r="BM316" s="10">
        <v>5240</v>
      </c>
      <c r="BN316" s="15">
        <f t="shared" si="10"/>
        <v>5186</v>
      </c>
      <c r="BO316" s="16">
        <f t="shared" si="11"/>
        <v>3630.2</v>
      </c>
    </row>
    <row r="317" spans="1:67" ht="19.5" x14ac:dyDescent="0.3">
      <c r="A317" s="5" t="s">
        <v>396</v>
      </c>
      <c r="B317" s="5" t="s">
        <v>222</v>
      </c>
      <c r="C317" s="5">
        <v>382446</v>
      </c>
      <c r="D317" s="6"/>
      <c r="E317" s="5" t="s">
        <v>16</v>
      </c>
      <c r="F317" s="5" t="s">
        <v>52</v>
      </c>
      <c r="G317" s="5" t="s">
        <v>34</v>
      </c>
      <c r="H317" s="7" t="s">
        <v>8</v>
      </c>
      <c r="I317" s="7" t="s">
        <v>223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8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43</v>
      </c>
      <c r="BJ317" s="7">
        <v>5160</v>
      </c>
      <c r="BK317" s="7">
        <v>0</v>
      </c>
      <c r="BL317" s="7">
        <v>258</v>
      </c>
      <c r="BM317" s="10">
        <v>5160</v>
      </c>
      <c r="BN317" s="15">
        <f t="shared" si="10"/>
        <v>4902</v>
      </c>
      <c r="BO317" s="16">
        <f t="shared" si="11"/>
        <v>3431.3999999999996</v>
      </c>
    </row>
    <row r="318" spans="1:67" ht="19.5" x14ac:dyDescent="0.3">
      <c r="A318" s="5" t="s">
        <v>396</v>
      </c>
      <c r="B318" s="5" t="s">
        <v>337</v>
      </c>
      <c r="C318" s="5">
        <v>397392</v>
      </c>
      <c r="D318" s="6"/>
      <c r="E318" s="5" t="s">
        <v>16</v>
      </c>
      <c r="F318" s="5" t="s">
        <v>128</v>
      </c>
      <c r="G318" s="5" t="s">
        <v>34</v>
      </c>
      <c r="H318" s="7" t="s">
        <v>289</v>
      </c>
      <c r="I318" s="7" t="s">
        <v>338</v>
      </c>
      <c r="J318" s="7">
        <v>0</v>
      </c>
      <c r="K318" s="7">
        <v>0</v>
      </c>
      <c r="L318" s="8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2</v>
      </c>
      <c r="AF318" s="7">
        <v>4440</v>
      </c>
      <c r="AG318" s="7">
        <v>700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10">
        <v>5140</v>
      </c>
      <c r="BN318" s="15">
        <f t="shared" si="10"/>
        <v>5140</v>
      </c>
      <c r="BO318" s="16">
        <f t="shared" si="11"/>
        <v>3597.9999999999995</v>
      </c>
    </row>
    <row r="319" spans="1:67" ht="19.5" x14ac:dyDescent="0.3">
      <c r="A319" s="5" t="s">
        <v>396</v>
      </c>
      <c r="B319" s="5" t="s">
        <v>189</v>
      </c>
      <c r="C319" s="5">
        <v>371774</v>
      </c>
      <c r="D319" s="6"/>
      <c r="E319" s="5" t="s">
        <v>16</v>
      </c>
      <c r="F319" s="5" t="s">
        <v>190</v>
      </c>
      <c r="G319" s="5" t="s">
        <v>10</v>
      </c>
      <c r="H319" s="7" t="s">
        <v>7</v>
      </c>
      <c r="I319" s="7" t="s">
        <v>191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42</v>
      </c>
      <c r="AF319" s="8">
        <v>5040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10">
        <v>5040</v>
      </c>
      <c r="BN319" s="15">
        <f t="shared" si="10"/>
        <v>5040</v>
      </c>
      <c r="BO319" s="16">
        <f t="shared" si="11"/>
        <v>3528</v>
      </c>
    </row>
    <row r="320" spans="1:67" ht="19.5" x14ac:dyDescent="0.3">
      <c r="A320" s="5" t="s">
        <v>396</v>
      </c>
      <c r="B320" s="5" t="s">
        <v>469</v>
      </c>
      <c r="C320" s="5">
        <v>469075</v>
      </c>
      <c r="D320" s="6"/>
      <c r="E320" s="5" t="s">
        <v>16</v>
      </c>
      <c r="F320" s="5" t="s">
        <v>58</v>
      </c>
      <c r="G320" s="5" t="s">
        <v>382</v>
      </c>
      <c r="H320" s="7" t="s">
        <v>9</v>
      </c>
      <c r="I320" s="7" t="s">
        <v>470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1</v>
      </c>
      <c r="AF320" s="7">
        <v>0</v>
      </c>
      <c r="AG320" s="7">
        <v>300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1</v>
      </c>
      <c r="BJ320" s="8">
        <v>4560</v>
      </c>
      <c r="BK320" s="7">
        <v>0</v>
      </c>
      <c r="BL320" s="7">
        <v>228</v>
      </c>
      <c r="BM320" s="10">
        <v>4860</v>
      </c>
      <c r="BN320" s="15">
        <f t="shared" si="10"/>
        <v>4632</v>
      </c>
      <c r="BO320" s="16">
        <f t="shared" si="11"/>
        <v>3242.3999999999996</v>
      </c>
    </row>
    <row r="321" spans="1:67" ht="19.5" x14ac:dyDescent="0.3">
      <c r="A321" s="5" t="s">
        <v>396</v>
      </c>
      <c r="B321" s="5" t="s">
        <v>639</v>
      </c>
      <c r="C321" s="5">
        <v>383717</v>
      </c>
      <c r="D321" s="6"/>
      <c r="E321" s="5" t="s">
        <v>16</v>
      </c>
      <c r="F321" s="5" t="s">
        <v>256</v>
      </c>
      <c r="G321" s="5" t="s">
        <v>34</v>
      </c>
      <c r="H321" s="7" t="s">
        <v>289</v>
      </c>
      <c r="I321" s="7" t="s">
        <v>129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8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1</v>
      </c>
      <c r="BJ321" s="7">
        <v>4800</v>
      </c>
      <c r="BK321" s="7">
        <v>0</v>
      </c>
      <c r="BL321" s="7">
        <v>240</v>
      </c>
      <c r="BM321" s="10">
        <v>4800</v>
      </c>
      <c r="BN321" s="15">
        <f t="shared" si="10"/>
        <v>4560</v>
      </c>
      <c r="BO321" s="16">
        <f t="shared" si="11"/>
        <v>3192</v>
      </c>
    </row>
    <row r="322" spans="1:67" ht="19.5" x14ac:dyDescent="0.3">
      <c r="A322" s="5" t="s">
        <v>396</v>
      </c>
      <c r="B322" s="5" t="s">
        <v>230</v>
      </c>
      <c r="C322" s="5">
        <v>356295</v>
      </c>
      <c r="D322" s="6"/>
      <c r="E322" s="5" t="s">
        <v>16</v>
      </c>
      <c r="F322" s="5" t="s">
        <v>41</v>
      </c>
      <c r="G322" s="5" t="s">
        <v>34</v>
      </c>
      <c r="H322" s="7" t="s">
        <v>8</v>
      </c>
      <c r="I322" s="7" t="s">
        <v>198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47</v>
      </c>
      <c r="AF322" s="8">
        <v>0</v>
      </c>
      <c r="AG322" s="7">
        <v>4700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10">
        <v>4700</v>
      </c>
      <c r="BN322" s="15">
        <f t="shared" si="10"/>
        <v>4700</v>
      </c>
      <c r="BO322" s="16">
        <f t="shared" si="11"/>
        <v>3290</v>
      </c>
    </row>
    <row r="323" spans="1:67" ht="19.5" x14ac:dyDescent="0.3">
      <c r="A323" s="5" t="s">
        <v>396</v>
      </c>
      <c r="B323" s="5" t="s">
        <v>551</v>
      </c>
      <c r="C323" s="5">
        <v>483177</v>
      </c>
      <c r="D323" s="6"/>
      <c r="E323" s="5" t="s">
        <v>16</v>
      </c>
      <c r="F323" s="5" t="s">
        <v>41</v>
      </c>
      <c r="G323" s="5" t="s">
        <v>34</v>
      </c>
      <c r="H323" s="7" t="s">
        <v>289</v>
      </c>
      <c r="I323" s="7" t="s">
        <v>524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3</v>
      </c>
      <c r="AF323" s="7">
        <v>2400</v>
      </c>
      <c r="AG323" s="8">
        <v>1000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1</v>
      </c>
      <c r="BJ323" s="7">
        <v>1200</v>
      </c>
      <c r="BK323" s="7">
        <v>0</v>
      </c>
      <c r="BL323" s="7">
        <v>60</v>
      </c>
      <c r="BM323" s="10">
        <v>4600</v>
      </c>
      <c r="BN323" s="15">
        <f t="shared" si="10"/>
        <v>4540</v>
      </c>
      <c r="BO323" s="16">
        <f t="shared" si="11"/>
        <v>3178</v>
      </c>
    </row>
    <row r="324" spans="1:67" ht="19.5" x14ac:dyDescent="0.3">
      <c r="A324" s="5" t="s">
        <v>396</v>
      </c>
      <c r="B324" s="5" t="s">
        <v>231</v>
      </c>
      <c r="C324" s="5">
        <v>305522</v>
      </c>
      <c r="D324" s="6"/>
      <c r="E324" s="5" t="s">
        <v>16</v>
      </c>
      <c r="F324" s="5" t="s">
        <v>41</v>
      </c>
      <c r="G324" s="5" t="s">
        <v>34</v>
      </c>
      <c r="H324" s="7" t="s">
        <v>8</v>
      </c>
      <c r="I324" s="7" t="s">
        <v>232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40</v>
      </c>
      <c r="AF324" s="8">
        <v>0</v>
      </c>
      <c r="AG324" s="7">
        <v>4000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3</v>
      </c>
      <c r="AR324" s="7">
        <v>300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10">
        <v>4300</v>
      </c>
      <c r="BN324" s="15">
        <f t="shared" si="10"/>
        <v>4300</v>
      </c>
      <c r="BO324" s="16">
        <f t="shared" si="11"/>
        <v>3010</v>
      </c>
    </row>
    <row r="325" spans="1:67" ht="19.5" x14ac:dyDescent="0.3">
      <c r="A325" s="5" t="s">
        <v>396</v>
      </c>
      <c r="B325" s="5" t="s">
        <v>640</v>
      </c>
      <c r="C325" s="5">
        <v>414678</v>
      </c>
      <c r="D325" s="6"/>
      <c r="E325" s="5" t="s">
        <v>16</v>
      </c>
      <c r="F325" s="5" t="s">
        <v>137</v>
      </c>
      <c r="G325" s="5" t="s">
        <v>34</v>
      </c>
      <c r="H325" s="7" t="s">
        <v>289</v>
      </c>
      <c r="I325" s="7" t="s">
        <v>138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8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1</v>
      </c>
      <c r="BJ325" s="7">
        <v>4200</v>
      </c>
      <c r="BK325" s="7">
        <v>0</v>
      </c>
      <c r="BL325" s="7">
        <v>210</v>
      </c>
      <c r="BM325" s="10">
        <v>4200</v>
      </c>
      <c r="BN325" s="15">
        <f t="shared" si="10"/>
        <v>3990</v>
      </c>
      <c r="BO325" s="16">
        <f t="shared" si="11"/>
        <v>2793</v>
      </c>
    </row>
    <row r="326" spans="1:67" ht="19.5" x14ac:dyDescent="0.3">
      <c r="A326" s="5" t="s">
        <v>396</v>
      </c>
      <c r="B326" s="5" t="s">
        <v>175</v>
      </c>
      <c r="C326" s="5">
        <v>359006</v>
      </c>
      <c r="D326" s="6"/>
      <c r="E326" s="5" t="s">
        <v>16</v>
      </c>
      <c r="F326" s="5" t="s">
        <v>128</v>
      </c>
      <c r="G326" s="5" t="s">
        <v>34</v>
      </c>
      <c r="H326" s="7" t="s">
        <v>8</v>
      </c>
      <c r="I326" s="7" t="s">
        <v>176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4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41</v>
      </c>
      <c r="AF326" s="7">
        <v>0</v>
      </c>
      <c r="AG326" s="8">
        <v>4100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10">
        <v>4100</v>
      </c>
      <c r="BN326" s="15">
        <f t="shared" si="10"/>
        <v>4100</v>
      </c>
      <c r="BO326" s="16">
        <f t="shared" si="11"/>
        <v>2870</v>
      </c>
    </row>
    <row r="327" spans="1:67" ht="19.5" x14ac:dyDescent="0.3">
      <c r="A327" s="5" t="s">
        <v>396</v>
      </c>
      <c r="B327" s="5" t="s">
        <v>527</v>
      </c>
      <c r="C327" s="5">
        <v>306913</v>
      </c>
      <c r="D327" s="6"/>
      <c r="E327" s="5" t="s">
        <v>16</v>
      </c>
      <c r="F327" s="5" t="s">
        <v>256</v>
      </c>
      <c r="G327" s="5" t="s">
        <v>34</v>
      </c>
      <c r="H327" s="7" t="s">
        <v>8</v>
      </c>
      <c r="I327" s="7" t="s">
        <v>528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33</v>
      </c>
      <c r="AF327" s="8">
        <v>3960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8">
        <v>0</v>
      </c>
      <c r="BK327" s="7">
        <v>0</v>
      </c>
      <c r="BL327" s="7">
        <v>0</v>
      </c>
      <c r="BM327" s="10">
        <v>3960</v>
      </c>
      <c r="BN327" s="15">
        <f t="shared" si="10"/>
        <v>3960</v>
      </c>
      <c r="BO327" s="16">
        <f t="shared" si="11"/>
        <v>2772</v>
      </c>
    </row>
    <row r="328" spans="1:67" ht="19.5" x14ac:dyDescent="0.3">
      <c r="A328" s="5" t="s">
        <v>396</v>
      </c>
      <c r="B328" s="5" t="s">
        <v>265</v>
      </c>
      <c r="C328" s="5">
        <v>416378</v>
      </c>
      <c r="D328" s="6"/>
      <c r="E328" s="5" t="s">
        <v>16</v>
      </c>
      <c r="F328" s="5" t="s">
        <v>123</v>
      </c>
      <c r="G328" s="5" t="s">
        <v>34</v>
      </c>
      <c r="H328" s="7" t="s">
        <v>8</v>
      </c>
      <c r="I328" s="7" t="s">
        <v>266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3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33</v>
      </c>
      <c r="AF328" s="7">
        <v>3960</v>
      </c>
      <c r="AG328" s="8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10">
        <v>3960</v>
      </c>
      <c r="BN328" s="15">
        <f t="shared" si="10"/>
        <v>3960</v>
      </c>
      <c r="BO328" s="16">
        <f t="shared" si="11"/>
        <v>2772</v>
      </c>
    </row>
    <row r="329" spans="1:67" ht="19.5" x14ac:dyDescent="0.3">
      <c r="A329" s="5" t="s">
        <v>396</v>
      </c>
      <c r="B329" s="5" t="s">
        <v>275</v>
      </c>
      <c r="C329" s="5">
        <v>328894</v>
      </c>
      <c r="D329" s="6"/>
      <c r="E329" s="5" t="s">
        <v>16</v>
      </c>
      <c r="F329" s="5" t="s">
        <v>200</v>
      </c>
      <c r="G329" s="5" t="s">
        <v>34</v>
      </c>
      <c r="H329" s="7" t="s">
        <v>8</v>
      </c>
      <c r="I329" s="7" t="s">
        <v>276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12</v>
      </c>
      <c r="AF329" s="8">
        <v>1280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22</v>
      </c>
      <c r="BJ329" s="7">
        <v>2640</v>
      </c>
      <c r="BK329" s="7">
        <v>0</v>
      </c>
      <c r="BL329" s="7">
        <v>132</v>
      </c>
      <c r="BM329" s="10">
        <v>3920</v>
      </c>
      <c r="BN329" s="15">
        <f t="shared" si="10"/>
        <v>3788</v>
      </c>
      <c r="BO329" s="16">
        <f t="shared" si="11"/>
        <v>2651.6</v>
      </c>
    </row>
    <row r="330" spans="1:67" ht="19.5" x14ac:dyDescent="0.3">
      <c r="A330" s="5" t="s">
        <v>396</v>
      </c>
      <c r="B330" s="5" t="s">
        <v>154</v>
      </c>
      <c r="C330" s="5">
        <v>376361</v>
      </c>
      <c r="D330" s="6"/>
      <c r="E330" s="5" t="s">
        <v>16</v>
      </c>
      <c r="F330" s="5" t="s">
        <v>47</v>
      </c>
      <c r="G330" s="5" t="s">
        <v>34</v>
      </c>
      <c r="H330" s="7" t="s">
        <v>8</v>
      </c>
      <c r="I330" s="7" t="s">
        <v>155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11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36</v>
      </c>
      <c r="AF330" s="7">
        <v>440</v>
      </c>
      <c r="AG330" s="8">
        <v>3200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2</v>
      </c>
      <c r="BJ330" s="7">
        <v>240</v>
      </c>
      <c r="BK330" s="7">
        <v>0</v>
      </c>
      <c r="BL330" s="7">
        <v>12</v>
      </c>
      <c r="BM330" s="10">
        <v>3880</v>
      </c>
      <c r="BN330" s="15">
        <f t="shared" si="10"/>
        <v>3868</v>
      </c>
      <c r="BO330" s="16">
        <f t="shared" si="11"/>
        <v>2707.6</v>
      </c>
    </row>
    <row r="331" spans="1:67" ht="19.5" x14ac:dyDescent="0.3">
      <c r="A331" s="5" t="s">
        <v>396</v>
      </c>
      <c r="B331" s="5" t="s">
        <v>506</v>
      </c>
      <c r="C331" s="5">
        <v>134596</v>
      </c>
      <c r="D331" s="6" t="s">
        <v>507</v>
      </c>
      <c r="E331" s="5" t="s">
        <v>16</v>
      </c>
      <c r="F331" s="5" t="s">
        <v>30</v>
      </c>
      <c r="G331" s="5" t="s">
        <v>10</v>
      </c>
      <c r="H331" s="7" t="s">
        <v>7</v>
      </c>
      <c r="I331" s="7" t="s">
        <v>508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1</v>
      </c>
      <c r="AF331" s="7">
        <v>3840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8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10">
        <v>3840</v>
      </c>
      <c r="BN331" s="15">
        <f t="shared" si="10"/>
        <v>3840</v>
      </c>
      <c r="BO331" s="16">
        <f t="shared" si="11"/>
        <v>2688</v>
      </c>
    </row>
    <row r="332" spans="1:67" ht="19.5" x14ac:dyDescent="0.3">
      <c r="A332" s="5" t="s">
        <v>396</v>
      </c>
      <c r="B332" s="5" t="s">
        <v>277</v>
      </c>
      <c r="C332" s="5">
        <v>391329</v>
      </c>
      <c r="D332" s="6"/>
      <c r="E332" s="5" t="s">
        <v>16</v>
      </c>
      <c r="F332" s="5" t="s">
        <v>66</v>
      </c>
      <c r="G332" s="5" t="s">
        <v>10</v>
      </c>
      <c r="H332" s="7" t="s">
        <v>7</v>
      </c>
      <c r="I332" s="7" t="s">
        <v>278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1</v>
      </c>
      <c r="AF332" s="7">
        <v>3840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10">
        <v>3840</v>
      </c>
      <c r="BN332" s="15">
        <f t="shared" si="10"/>
        <v>3840</v>
      </c>
      <c r="BO332" s="16">
        <f t="shared" si="11"/>
        <v>2688</v>
      </c>
    </row>
    <row r="333" spans="1:67" ht="19.5" x14ac:dyDescent="0.3">
      <c r="A333" s="5" t="s">
        <v>396</v>
      </c>
      <c r="B333" s="5" t="s">
        <v>303</v>
      </c>
      <c r="C333" s="5">
        <v>366144</v>
      </c>
      <c r="D333" s="6"/>
      <c r="E333" s="5" t="s">
        <v>16</v>
      </c>
      <c r="F333" s="5" t="s">
        <v>304</v>
      </c>
      <c r="G333" s="5" t="s">
        <v>34</v>
      </c>
      <c r="H333" s="7" t="s">
        <v>8</v>
      </c>
      <c r="I333" s="7" t="s">
        <v>305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4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37</v>
      </c>
      <c r="AF333" s="7">
        <v>0</v>
      </c>
      <c r="AG333" s="7">
        <v>3700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8">
        <v>0</v>
      </c>
      <c r="BK333" s="7">
        <v>0</v>
      </c>
      <c r="BL333" s="7">
        <v>0</v>
      </c>
      <c r="BM333" s="10">
        <v>3700</v>
      </c>
      <c r="BN333" s="15">
        <f t="shared" si="10"/>
        <v>3700</v>
      </c>
      <c r="BO333" s="16">
        <f t="shared" si="11"/>
        <v>2590</v>
      </c>
    </row>
    <row r="334" spans="1:67" ht="19.5" x14ac:dyDescent="0.3">
      <c r="A334" s="5" t="s">
        <v>396</v>
      </c>
      <c r="B334" s="5" t="s">
        <v>379</v>
      </c>
      <c r="C334" s="5">
        <v>473173</v>
      </c>
      <c r="D334" s="6"/>
      <c r="E334" s="5" t="s">
        <v>16</v>
      </c>
      <c r="F334" s="5" t="s">
        <v>363</v>
      </c>
      <c r="G334" s="5" t="s">
        <v>374</v>
      </c>
      <c r="H334" s="7" t="s">
        <v>9</v>
      </c>
      <c r="I334" s="7" t="s">
        <v>375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1</v>
      </c>
      <c r="AF334" s="7">
        <v>0</v>
      </c>
      <c r="AG334" s="7">
        <v>3700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10">
        <v>3700</v>
      </c>
      <c r="BN334" s="15">
        <f t="shared" si="10"/>
        <v>3700</v>
      </c>
      <c r="BO334" s="16">
        <f t="shared" si="11"/>
        <v>2590</v>
      </c>
    </row>
    <row r="335" spans="1:67" ht="19.5" x14ac:dyDescent="0.3">
      <c r="A335" s="5" t="s">
        <v>396</v>
      </c>
      <c r="B335" s="5" t="s">
        <v>326</v>
      </c>
      <c r="C335" s="5">
        <v>356294</v>
      </c>
      <c r="D335" s="6"/>
      <c r="E335" s="5" t="s">
        <v>16</v>
      </c>
      <c r="F335" s="5" t="s">
        <v>41</v>
      </c>
      <c r="G335" s="5" t="s">
        <v>34</v>
      </c>
      <c r="H335" s="7" t="s">
        <v>8</v>
      </c>
      <c r="I335" s="7" t="s">
        <v>198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19</v>
      </c>
      <c r="AF335" s="7">
        <v>2280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13</v>
      </c>
      <c r="AR335" s="7">
        <v>1200</v>
      </c>
      <c r="AS335" s="7">
        <v>100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8">
        <v>0</v>
      </c>
      <c r="BK335" s="7">
        <v>0</v>
      </c>
      <c r="BL335" s="7">
        <v>0</v>
      </c>
      <c r="BM335" s="10">
        <v>3580</v>
      </c>
      <c r="BN335" s="15">
        <f t="shared" si="10"/>
        <v>3580</v>
      </c>
      <c r="BO335" s="16">
        <f t="shared" si="11"/>
        <v>2506</v>
      </c>
    </row>
    <row r="336" spans="1:67" ht="19.5" x14ac:dyDescent="0.3">
      <c r="A336" s="5" t="s">
        <v>396</v>
      </c>
      <c r="B336" s="5" t="s">
        <v>323</v>
      </c>
      <c r="C336" s="5">
        <v>384107</v>
      </c>
      <c r="D336" s="6"/>
      <c r="E336" s="5" t="s">
        <v>16</v>
      </c>
      <c r="F336" s="5" t="s">
        <v>324</v>
      </c>
      <c r="G336" s="5" t="s">
        <v>34</v>
      </c>
      <c r="H336" s="7" t="s">
        <v>289</v>
      </c>
      <c r="I336" s="7" t="s">
        <v>325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1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35</v>
      </c>
      <c r="AR336" s="7">
        <v>3500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10">
        <v>3500</v>
      </c>
      <c r="BN336" s="15">
        <f t="shared" si="10"/>
        <v>3500</v>
      </c>
      <c r="BO336" s="16">
        <f t="shared" si="11"/>
        <v>2450</v>
      </c>
    </row>
    <row r="337" spans="1:67" ht="19.5" x14ac:dyDescent="0.3">
      <c r="A337" s="5" t="s">
        <v>396</v>
      </c>
      <c r="B337" s="5" t="s">
        <v>267</v>
      </c>
      <c r="C337" s="5">
        <v>381070</v>
      </c>
      <c r="D337" s="6"/>
      <c r="E337" s="5" t="s">
        <v>16</v>
      </c>
      <c r="F337" s="5" t="s">
        <v>268</v>
      </c>
      <c r="G337" s="5" t="s">
        <v>34</v>
      </c>
      <c r="H337" s="7" t="s">
        <v>8</v>
      </c>
      <c r="I337" s="7" t="s">
        <v>269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2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26</v>
      </c>
      <c r="AF337" s="7">
        <v>100</v>
      </c>
      <c r="AG337" s="7">
        <v>2500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7</v>
      </c>
      <c r="BJ337" s="7">
        <v>840</v>
      </c>
      <c r="BK337" s="7">
        <v>0</v>
      </c>
      <c r="BL337" s="7">
        <v>42</v>
      </c>
      <c r="BM337" s="10">
        <v>3440</v>
      </c>
      <c r="BN337" s="15">
        <f t="shared" si="10"/>
        <v>3398</v>
      </c>
      <c r="BO337" s="16">
        <f t="shared" si="11"/>
        <v>2378.6</v>
      </c>
    </row>
    <row r="338" spans="1:67" ht="19.5" x14ac:dyDescent="0.3">
      <c r="A338" s="5" t="s">
        <v>396</v>
      </c>
      <c r="B338" s="5" t="s">
        <v>641</v>
      </c>
      <c r="C338" s="5">
        <v>441791</v>
      </c>
      <c r="D338" s="6"/>
      <c r="E338" s="5" t="s">
        <v>16</v>
      </c>
      <c r="F338" s="5" t="s">
        <v>52</v>
      </c>
      <c r="G338" s="5" t="s">
        <v>34</v>
      </c>
      <c r="H338" s="7" t="s">
        <v>289</v>
      </c>
      <c r="I338" s="7" t="s">
        <v>562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1</v>
      </c>
      <c r="AF338" s="8">
        <v>1000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2</v>
      </c>
      <c r="BJ338" s="7">
        <v>2400</v>
      </c>
      <c r="BK338" s="7">
        <v>0</v>
      </c>
      <c r="BL338" s="7">
        <v>120</v>
      </c>
      <c r="BM338" s="10">
        <v>3400</v>
      </c>
      <c r="BN338" s="15">
        <f t="shared" si="10"/>
        <v>3280</v>
      </c>
      <c r="BO338" s="16">
        <f t="shared" si="11"/>
        <v>2296</v>
      </c>
    </row>
    <row r="339" spans="1:67" ht="19.5" x14ac:dyDescent="0.3">
      <c r="A339" s="5" t="s">
        <v>396</v>
      </c>
      <c r="B339" s="5" t="s">
        <v>642</v>
      </c>
      <c r="C339" s="5">
        <v>485662</v>
      </c>
      <c r="D339" s="6"/>
      <c r="E339" s="5" t="s">
        <v>16</v>
      </c>
      <c r="F339" s="5" t="s">
        <v>128</v>
      </c>
      <c r="G339" s="5" t="s">
        <v>34</v>
      </c>
      <c r="H339" s="7" t="s">
        <v>289</v>
      </c>
      <c r="I339" s="7" t="s">
        <v>562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2</v>
      </c>
      <c r="AF339" s="8">
        <v>1200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2</v>
      </c>
      <c r="AR339" s="7">
        <v>1000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2</v>
      </c>
      <c r="BJ339" s="7">
        <v>1200</v>
      </c>
      <c r="BK339" s="7">
        <v>0</v>
      </c>
      <c r="BL339" s="7">
        <v>60</v>
      </c>
      <c r="BM339" s="10">
        <v>3400</v>
      </c>
      <c r="BN339" s="15">
        <f t="shared" si="10"/>
        <v>3340</v>
      </c>
      <c r="BO339" s="16">
        <f t="shared" si="11"/>
        <v>2338</v>
      </c>
    </row>
    <row r="340" spans="1:67" ht="19.5" x14ac:dyDescent="0.3">
      <c r="A340" s="5" t="s">
        <v>396</v>
      </c>
      <c r="B340" s="5" t="s">
        <v>348</v>
      </c>
      <c r="C340" s="5">
        <v>410142</v>
      </c>
      <c r="D340" s="6"/>
      <c r="E340" s="5" t="s">
        <v>16</v>
      </c>
      <c r="F340" s="5" t="s">
        <v>63</v>
      </c>
      <c r="G340" s="5" t="s">
        <v>10</v>
      </c>
      <c r="H340" s="7" t="s">
        <v>7</v>
      </c>
      <c r="I340" s="7" t="s">
        <v>209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1</v>
      </c>
      <c r="AF340" s="8">
        <v>0</v>
      </c>
      <c r="AG340" s="7">
        <v>3200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10">
        <v>3200</v>
      </c>
      <c r="BN340" s="15">
        <f t="shared" si="10"/>
        <v>3200</v>
      </c>
      <c r="BO340" s="16">
        <f t="shared" si="11"/>
        <v>2240</v>
      </c>
    </row>
    <row r="341" spans="1:67" ht="19.5" x14ac:dyDescent="0.3">
      <c r="A341" s="5" t="s">
        <v>396</v>
      </c>
      <c r="B341" s="5" t="s">
        <v>485</v>
      </c>
      <c r="C341" s="5">
        <v>428129</v>
      </c>
      <c r="D341" s="6"/>
      <c r="E341" s="5" t="s">
        <v>16</v>
      </c>
      <c r="F341" s="5" t="s">
        <v>47</v>
      </c>
      <c r="G341" s="5" t="s">
        <v>34</v>
      </c>
      <c r="H341" s="7" t="s">
        <v>289</v>
      </c>
      <c r="I341" s="7" t="s">
        <v>336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1</v>
      </c>
      <c r="AF341" s="7">
        <v>1400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1</v>
      </c>
      <c r="BJ341" s="7">
        <v>1680</v>
      </c>
      <c r="BK341" s="7">
        <v>0</v>
      </c>
      <c r="BL341" s="7">
        <v>84</v>
      </c>
      <c r="BM341" s="11">
        <v>3080</v>
      </c>
      <c r="BN341" s="15">
        <f t="shared" si="10"/>
        <v>2996</v>
      </c>
      <c r="BO341" s="16">
        <f t="shared" si="11"/>
        <v>2097.1999999999998</v>
      </c>
    </row>
    <row r="342" spans="1:67" ht="19.5" x14ac:dyDescent="0.3">
      <c r="A342" s="5" t="s">
        <v>396</v>
      </c>
      <c r="B342" s="5" t="s">
        <v>340</v>
      </c>
      <c r="C342" s="5">
        <v>377683</v>
      </c>
      <c r="D342" s="6"/>
      <c r="E342" s="5" t="s">
        <v>16</v>
      </c>
      <c r="F342" s="5" t="s">
        <v>33</v>
      </c>
      <c r="G342" s="5" t="s">
        <v>34</v>
      </c>
      <c r="H342" s="7" t="s">
        <v>289</v>
      </c>
      <c r="I342" s="7" t="s">
        <v>341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1</v>
      </c>
      <c r="AF342" s="7">
        <v>0</v>
      </c>
      <c r="AG342" s="7">
        <v>3000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11">
        <v>3000</v>
      </c>
      <c r="BN342" s="15">
        <f t="shared" si="10"/>
        <v>3000</v>
      </c>
      <c r="BO342" s="16">
        <f t="shared" si="11"/>
        <v>2100</v>
      </c>
    </row>
    <row r="343" spans="1:67" ht="19.5" x14ac:dyDescent="0.3">
      <c r="A343" s="5" t="s">
        <v>396</v>
      </c>
      <c r="B343" s="5" t="s">
        <v>240</v>
      </c>
      <c r="C343" s="5">
        <v>400251</v>
      </c>
      <c r="D343" s="6"/>
      <c r="E343" s="5" t="s">
        <v>16</v>
      </c>
      <c r="F343" s="5" t="s">
        <v>41</v>
      </c>
      <c r="G343" s="5" t="s">
        <v>34</v>
      </c>
      <c r="H343" s="7" t="s">
        <v>8</v>
      </c>
      <c r="I343" s="7" t="s">
        <v>241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22</v>
      </c>
      <c r="AF343" s="7">
        <v>120</v>
      </c>
      <c r="AG343" s="7">
        <v>2100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6</v>
      </c>
      <c r="BJ343" s="7">
        <v>720</v>
      </c>
      <c r="BK343" s="7">
        <v>0</v>
      </c>
      <c r="BL343" s="7">
        <v>36</v>
      </c>
      <c r="BM343" s="11">
        <v>2940</v>
      </c>
      <c r="BN343" s="15">
        <f t="shared" si="10"/>
        <v>2904</v>
      </c>
      <c r="BO343" s="16">
        <f t="shared" si="11"/>
        <v>2032.8</v>
      </c>
    </row>
    <row r="344" spans="1:67" ht="19.5" x14ac:dyDescent="0.3">
      <c r="A344" s="5" t="s">
        <v>396</v>
      </c>
      <c r="B344" s="5" t="s">
        <v>51</v>
      </c>
      <c r="C344" s="5">
        <v>369720</v>
      </c>
      <c r="D344" s="6"/>
      <c r="E344" s="5" t="s">
        <v>16</v>
      </c>
      <c r="F344" s="5" t="s">
        <v>52</v>
      </c>
      <c r="G344" s="5" t="s">
        <v>34</v>
      </c>
      <c r="H344" s="7" t="s">
        <v>8</v>
      </c>
      <c r="I344" s="7" t="s">
        <v>53</v>
      </c>
      <c r="J344" s="7">
        <v>0</v>
      </c>
      <c r="K344" s="7">
        <v>7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17</v>
      </c>
      <c r="AF344" s="7">
        <v>1900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8</v>
      </c>
      <c r="BJ344" s="7">
        <v>960</v>
      </c>
      <c r="BK344" s="7">
        <v>0</v>
      </c>
      <c r="BL344" s="7">
        <v>48</v>
      </c>
      <c r="BM344" s="11">
        <v>2860</v>
      </c>
      <c r="BN344" s="15">
        <f t="shared" si="10"/>
        <v>2812</v>
      </c>
      <c r="BO344" s="16">
        <f t="shared" si="11"/>
        <v>1968.3999999999999</v>
      </c>
    </row>
    <row r="345" spans="1:67" ht="19.5" x14ac:dyDescent="0.3">
      <c r="A345" s="5" t="s">
        <v>396</v>
      </c>
      <c r="B345" s="5" t="s">
        <v>282</v>
      </c>
      <c r="C345" s="5">
        <v>445862</v>
      </c>
      <c r="D345" s="6"/>
      <c r="E345" s="5" t="s">
        <v>16</v>
      </c>
      <c r="F345" s="5" t="s">
        <v>47</v>
      </c>
      <c r="G345" s="5" t="s">
        <v>34</v>
      </c>
      <c r="H345" s="7" t="s">
        <v>8</v>
      </c>
      <c r="I345" s="7" t="s">
        <v>188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1</v>
      </c>
      <c r="AF345" s="7">
        <v>2640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11">
        <v>2640</v>
      </c>
      <c r="BN345" s="15">
        <f t="shared" si="10"/>
        <v>2640</v>
      </c>
      <c r="BO345" s="16">
        <f t="shared" si="11"/>
        <v>1847.9999999999998</v>
      </c>
    </row>
    <row r="346" spans="1:67" ht="19.5" x14ac:dyDescent="0.3">
      <c r="A346" s="5" t="s">
        <v>396</v>
      </c>
      <c r="B346" s="5" t="s">
        <v>57</v>
      </c>
      <c r="C346" s="5">
        <v>464776</v>
      </c>
      <c r="D346" s="6"/>
      <c r="E346" s="5" t="s">
        <v>16</v>
      </c>
      <c r="F346" s="5" t="s">
        <v>58</v>
      </c>
      <c r="G346" s="5" t="s">
        <v>382</v>
      </c>
      <c r="H346" s="7" t="s">
        <v>9</v>
      </c>
      <c r="I346" s="7" t="s">
        <v>59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23</v>
      </c>
      <c r="AF346" s="7">
        <v>0</v>
      </c>
      <c r="AG346" s="7">
        <v>2300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2</v>
      </c>
      <c r="AR346" s="7">
        <v>200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1</v>
      </c>
      <c r="BJ346" s="7">
        <v>120</v>
      </c>
      <c r="BK346" s="7">
        <v>0</v>
      </c>
      <c r="BL346" s="7">
        <v>6</v>
      </c>
      <c r="BM346" s="11">
        <v>2620</v>
      </c>
      <c r="BN346" s="15">
        <f t="shared" si="10"/>
        <v>2614</v>
      </c>
      <c r="BO346" s="16">
        <f t="shared" si="11"/>
        <v>1829.8</v>
      </c>
    </row>
    <row r="347" spans="1:67" ht="19.5" x14ac:dyDescent="0.3">
      <c r="A347" s="5" t="s">
        <v>396</v>
      </c>
      <c r="B347" s="5" t="s">
        <v>250</v>
      </c>
      <c r="C347" s="5">
        <v>395192</v>
      </c>
      <c r="D347" s="6"/>
      <c r="E347" s="5" t="s">
        <v>16</v>
      </c>
      <c r="F347" s="5" t="s">
        <v>128</v>
      </c>
      <c r="G347" s="5" t="s">
        <v>34</v>
      </c>
      <c r="H347" s="7" t="s">
        <v>8</v>
      </c>
      <c r="I347" s="7" t="s">
        <v>251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21</v>
      </c>
      <c r="BJ347" s="7">
        <v>2520</v>
      </c>
      <c r="BK347" s="7">
        <v>0</v>
      </c>
      <c r="BL347" s="7">
        <v>126</v>
      </c>
      <c r="BM347" s="11">
        <v>2520</v>
      </c>
      <c r="BN347" s="15">
        <f t="shared" si="10"/>
        <v>2394</v>
      </c>
      <c r="BO347" s="16">
        <f t="shared" si="11"/>
        <v>1675.8</v>
      </c>
    </row>
    <row r="348" spans="1:67" ht="19.5" x14ac:dyDescent="0.3">
      <c r="A348" s="5" t="s">
        <v>396</v>
      </c>
      <c r="B348" s="5" t="s">
        <v>556</v>
      </c>
      <c r="C348" s="5">
        <v>428409</v>
      </c>
      <c r="D348" s="6"/>
      <c r="E348" s="5" t="s">
        <v>16</v>
      </c>
      <c r="F348" s="5" t="s">
        <v>41</v>
      </c>
      <c r="G348" s="5" t="s">
        <v>34</v>
      </c>
      <c r="H348" s="7" t="s">
        <v>289</v>
      </c>
      <c r="I348" s="7" t="s">
        <v>206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5</v>
      </c>
      <c r="AF348" s="7">
        <v>880</v>
      </c>
      <c r="AG348" s="7">
        <v>1000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1</v>
      </c>
      <c r="BJ348" s="7">
        <v>240</v>
      </c>
      <c r="BK348" s="7">
        <v>0</v>
      </c>
      <c r="BL348" s="7">
        <v>12</v>
      </c>
      <c r="BM348" s="11">
        <v>2120</v>
      </c>
      <c r="BN348" s="15">
        <f t="shared" si="10"/>
        <v>2108</v>
      </c>
      <c r="BO348" s="16">
        <f t="shared" si="11"/>
        <v>1475.6</v>
      </c>
    </row>
    <row r="349" spans="1:67" ht="19.5" x14ac:dyDescent="0.3">
      <c r="A349" s="5" t="s">
        <v>396</v>
      </c>
      <c r="B349" s="5" t="s">
        <v>199</v>
      </c>
      <c r="C349" s="5">
        <v>421661</v>
      </c>
      <c r="D349" s="6"/>
      <c r="E349" s="5" t="s">
        <v>16</v>
      </c>
      <c r="F349" s="5" t="s">
        <v>200</v>
      </c>
      <c r="G349" s="5" t="s">
        <v>34</v>
      </c>
      <c r="H349" s="7" t="s">
        <v>8</v>
      </c>
      <c r="I349" s="7" t="s">
        <v>201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19</v>
      </c>
      <c r="AF349" s="7">
        <v>1320</v>
      </c>
      <c r="AG349" s="7">
        <v>800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11">
        <v>2120</v>
      </c>
      <c r="BN349" s="15">
        <f t="shared" si="10"/>
        <v>2120</v>
      </c>
      <c r="BO349" s="16">
        <f t="shared" si="11"/>
        <v>1484</v>
      </c>
    </row>
    <row r="350" spans="1:67" ht="19.5" x14ac:dyDescent="0.3">
      <c r="A350" s="5" t="s">
        <v>396</v>
      </c>
      <c r="B350" s="5" t="s">
        <v>205</v>
      </c>
      <c r="C350" s="5">
        <v>415992</v>
      </c>
      <c r="D350" s="6"/>
      <c r="E350" s="5" t="s">
        <v>16</v>
      </c>
      <c r="F350" s="5" t="s">
        <v>41</v>
      </c>
      <c r="G350" s="5" t="s">
        <v>34</v>
      </c>
      <c r="H350" s="7" t="s">
        <v>8</v>
      </c>
      <c r="I350" s="7" t="s">
        <v>206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14</v>
      </c>
      <c r="AF350" s="7">
        <v>1480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4</v>
      </c>
      <c r="BJ350" s="7">
        <v>480</v>
      </c>
      <c r="BK350" s="7">
        <v>0</v>
      </c>
      <c r="BL350" s="7">
        <v>24</v>
      </c>
      <c r="BM350" s="11">
        <v>1960</v>
      </c>
      <c r="BN350" s="15">
        <f t="shared" si="10"/>
        <v>1936</v>
      </c>
      <c r="BO350" s="16">
        <f t="shared" si="11"/>
        <v>1355.1999999999998</v>
      </c>
    </row>
    <row r="351" spans="1:67" ht="19.5" x14ac:dyDescent="0.3">
      <c r="A351" s="5" t="s">
        <v>396</v>
      </c>
      <c r="B351" s="5" t="s">
        <v>85</v>
      </c>
      <c r="C351" s="5">
        <v>422032</v>
      </c>
      <c r="D351" s="6"/>
      <c r="E351" s="5" t="s">
        <v>16</v>
      </c>
      <c r="F351" s="5" t="s">
        <v>86</v>
      </c>
      <c r="G351" s="5" t="s">
        <v>10</v>
      </c>
      <c r="H351" s="7" t="s">
        <v>9</v>
      </c>
      <c r="I351" s="7" t="s">
        <v>87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10</v>
      </c>
      <c r="AF351" s="7">
        <v>1200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5</v>
      </c>
      <c r="BJ351" s="7">
        <v>600</v>
      </c>
      <c r="BK351" s="7">
        <v>0</v>
      </c>
      <c r="BL351" s="7">
        <v>30</v>
      </c>
      <c r="BM351" s="11">
        <v>1800</v>
      </c>
      <c r="BN351" s="15">
        <f t="shared" si="10"/>
        <v>1770</v>
      </c>
      <c r="BO351" s="16">
        <f t="shared" si="11"/>
        <v>1239</v>
      </c>
    </row>
    <row r="352" spans="1:67" ht="19.5" x14ac:dyDescent="0.3">
      <c r="A352" s="5" t="s">
        <v>396</v>
      </c>
      <c r="B352" s="5" t="s">
        <v>546</v>
      </c>
      <c r="C352" s="5">
        <v>481159</v>
      </c>
      <c r="D352" s="6"/>
      <c r="E352" s="5" t="s">
        <v>16</v>
      </c>
      <c r="F352" s="5" t="s">
        <v>547</v>
      </c>
      <c r="G352" s="5" t="s">
        <v>382</v>
      </c>
      <c r="H352" s="7" t="s">
        <v>289</v>
      </c>
      <c r="I352" s="7" t="s">
        <v>548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1</v>
      </c>
      <c r="AF352" s="7">
        <v>1800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7">
        <v>0</v>
      </c>
      <c r="BM352" s="11">
        <v>1800</v>
      </c>
      <c r="BN352" s="15">
        <f t="shared" si="10"/>
        <v>1800</v>
      </c>
      <c r="BO352" s="16">
        <f t="shared" si="11"/>
        <v>1260</v>
      </c>
    </row>
    <row r="353" spans="1:67" ht="19.5" x14ac:dyDescent="0.3">
      <c r="A353" s="5" t="s">
        <v>396</v>
      </c>
      <c r="B353" s="5" t="s">
        <v>354</v>
      </c>
      <c r="C353" s="5">
        <v>392578</v>
      </c>
      <c r="D353" s="6"/>
      <c r="E353" s="5" t="s">
        <v>16</v>
      </c>
      <c r="F353" s="5" t="s">
        <v>256</v>
      </c>
      <c r="G353" s="5" t="s">
        <v>34</v>
      </c>
      <c r="H353" s="7" t="s">
        <v>289</v>
      </c>
      <c r="I353" s="7" t="s">
        <v>343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13</v>
      </c>
      <c r="AF353" s="7">
        <v>1440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2</v>
      </c>
      <c r="BD353" s="7">
        <v>240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14.4</v>
      </c>
      <c r="BM353" s="11">
        <v>1680</v>
      </c>
      <c r="BN353" s="15">
        <f t="shared" si="10"/>
        <v>1665.6</v>
      </c>
      <c r="BO353" s="16">
        <f t="shared" si="11"/>
        <v>1165.9199999999998</v>
      </c>
    </row>
    <row r="354" spans="1:67" ht="19.5" x14ac:dyDescent="0.3">
      <c r="A354" s="5" t="s">
        <v>396</v>
      </c>
      <c r="B354" s="5" t="s">
        <v>353</v>
      </c>
      <c r="C354" s="5">
        <v>383236</v>
      </c>
      <c r="D354" s="6"/>
      <c r="E354" s="5" t="s">
        <v>16</v>
      </c>
      <c r="F354" s="5" t="s">
        <v>128</v>
      </c>
      <c r="G354" s="5" t="s">
        <v>34</v>
      </c>
      <c r="H354" s="7" t="s">
        <v>289</v>
      </c>
      <c r="I354" s="7" t="s">
        <v>129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3</v>
      </c>
      <c r="AF354" s="7">
        <v>800</v>
      </c>
      <c r="AG354" s="7">
        <v>400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1</v>
      </c>
      <c r="BD354" s="7">
        <v>480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28.8</v>
      </c>
      <c r="BM354" s="11">
        <v>1680</v>
      </c>
      <c r="BN354" s="15">
        <f t="shared" si="10"/>
        <v>1651.2</v>
      </c>
      <c r="BO354" s="16">
        <f t="shared" si="11"/>
        <v>1155.8399999999999</v>
      </c>
    </row>
    <row r="355" spans="1:67" ht="19.5" x14ac:dyDescent="0.3">
      <c r="A355" s="5" t="s">
        <v>396</v>
      </c>
      <c r="B355" s="5" t="s">
        <v>261</v>
      </c>
      <c r="C355" s="5">
        <v>358724</v>
      </c>
      <c r="D355" s="6"/>
      <c r="E355" s="5" t="s">
        <v>16</v>
      </c>
      <c r="F355" s="5" t="s">
        <v>262</v>
      </c>
      <c r="G355" s="5" t="s">
        <v>34</v>
      </c>
      <c r="H355" s="7" t="s">
        <v>8</v>
      </c>
      <c r="I355" s="7" t="s">
        <v>106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16</v>
      </c>
      <c r="AR355" s="7">
        <v>1600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11">
        <v>1600</v>
      </c>
      <c r="BN355" s="15">
        <f t="shared" si="10"/>
        <v>1600</v>
      </c>
      <c r="BO355" s="16">
        <f t="shared" si="11"/>
        <v>1120</v>
      </c>
    </row>
    <row r="356" spans="1:67" ht="19.5" x14ac:dyDescent="0.3">
      <c r="A356" s="5" t="s">
        <v>396</v>
      </c>
      <c r="B356" s="5" t="s">
        <v>283</v>
      </c>
      <c r="C356" s="5">
        <v>427091</v>
      </c>
      <c r="D356" s="6"/>
      <c r="E356" s="5" t="s">
        <v>16</v>
      </c>
      <c r="F356" s="5" t="s">
        <v>41</v>
      </c>
      <c r="G356" s="5" t="s">
        <v>34</v>
      </c>
      <c r="H356" s="7" t="s">
        <v>8</v>
      </c>
      <c r="I356" s="7" t="s">
        <v>284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2</v>
      </c>
      <c r="AF356" s="7">
        <v>0</v>
      </c>
      <c r="AG356" s="7">
        <v>200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1</v>
      </c>
      <c r="BD356" s="7">
        <v>120</v>
      </c>
      <c r="BE356" s="7">
        <v>0</v>
      </c>
      <c r="BF356" s="7">
        <v>0</v>
      </c>
      <c r="BG356" s="7">
        <v>0</v>
      </c>
      <c r="BH356" s="7">
        <v>0</v>
      </c>
      <c r="BI356" s="7">
        <v>10</v>
      </c>
      <c r="BJ356" s="7">
        <v>1200</v>
      </c>
      <c r="BK356" s="7">
        <v>0</v>
      </c>
      <c r="BL356" s="7">
        <v>67.2</v>
      </c>
      <c r="BM356" s="11">
        <v>1520</v>
      </c>
      <c r="BN356" s="15">
        <f t="shared" si="10"/>
        <v>1452.8</v>
      </c>
      <c r="BO356" s="16">
        <f t="shared" si="11"/>
        <v>1016.9599999999999</v>
      </c>
    </row>
    <row r="357" spans="1:67" ht="19.5" x14ac:dyDescent="0.3">
      <c r="A357" s="5" t="s">
        <v>396</v>
      </c>
      <c r="B357" s="5" t="s">
        <v>559</v>
      </c>
      <c r="C357" s="5">
        <v>483178</v>
      </c>
      <c r="D357" s="6"/>
      <c r="E357" s="5" t="s">
        <v>16</v>
      </c>
      <c r="F357" s="5" t="s">
        <v>41</v>
      </c>
      <c r="G357" s="5" t="s">
        <v>34</v>
      </c>
      <c r="H357" s="7" t="s">
        <v>289</v>
      </c>
      <c r="I357" s="7" t="s">
        <v>524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3</v>
      </c>
      <c r="AF357" s="7">
        <v>720</v>
      </c>
      <c r="AG357" s="7">
        <v>300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1</v>
      </c>
      <c r="BJ357" s="7">
        <v>360</v>
      </c>
      <c r="BK357" s="7">
        <v>0</v>
      </c>
      <c r="BL357" s="7">
        <v>18</v>
      </c>
      <c r="BM357" s="11">
        <v>1380</v>
      </c>
      <c r="BN357" s="15">
        <f t="shared" si="10"/>
        <v>1362</v>
      </c>
      <c r="BO357" s="16">
        <f t="shared" si="11"/>
        <v>953.4</v>
      </c>
    </row>
    <row r="358" spans="1:67" ht="19.5" x14ac:dyDescent="0.3">
      <c r="A358" s="5" t="s">
        <v>396</v>
      </c>
      <c r="B358" s="5" t="s">
        <v>589</v>
      </c>
      <c r="C358" s="5">
        <v>383716</v>
      </c>
      <c r="D358" s="6"/>
      <c r="E358" s="5" t="s">
        <v>16</v>
      </c>
      <c r="F358" s="5" t="s">
        <v>256</v>
      </c>
      <c r="G358" s="5" t="s">
        <v>34</v>
      </c>
      <c r="H358" s="7" t="s">
        <v>289</v>
      </c>
      <c r="I358" s="7" t="s">
        <v>325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10</v>
      </c>
      <c r="BJ358" s="7">
        <v>1200</v>
      </c>
      <c r="BK358" s="7">
        <v>0</v>
      </c>
      <c r="BL358" s="7">
        <v>60</v>
      </c>
      <c r="BM358" s="11">
        <v>1200</v>
      </c>
      <c r="BN358" s="15">
        <f t="shared" si="10"/>
        <v>1140</v>
      </c>
      <c r="BO358" s="16">
        <f t="shared" si="11"/>
        <v>798</v>
      </c>
    </row>
    <row r="359" spans="1:67" ht="19.5" x14ac:dyDescent="0.3">
      <c r="A359" s="5" t="s">
        <v>396</v>
      </c>
      <c r="B359" s="5" t="s">
        <v>177</v>
      </c>
      <c r="C359" s="5">
        <v>378409</v>
      </c>
      <c r="D359" s="6"/>
      <c r="E359" s="5" t="s">
        <v>16</v>
      </c>
      <c r="F359" s="5" t="s">
        <v>47</v>
      </c>
      <c r="G359" s="5" t="s">
        <v>34</v>
      </c>
      <c r="H359" s="7" t="s">
        <v>8</v>
      </c>
      <c r="I359" s="7" t="s">
        <v>178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10</v>
      </c>
      <c r="AF359" s="7">
        <v>920</v>
      </c>
      <c r="AG359" s="7">
        <v>200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11">
        <v>1120</v>
      </c>
      <c r="BN359" s="15">
        <f t="shared" si="10"/>
        <v>1120</v>
      </c>
      <c r="BO359" s="16">
        <f t="shared" si="11"/>
        <v>784</v>
      </c>
    </row>
    <row r="360" spans="1:67" ht="19.5" x14ac:dyDescent="0.3">
      <c r="A360" s="5" t="s">
        <v>396</v>
      </c>
      <c r="B360" s="5" t="s">
        <v>298</v>
      </c>
      <c r="C360" s="5">
        <v>431330</v>
      </c>
      <c r="D360" s="6"/>
      <c r="E360" s="5" t="s">
        <v>16</v>
      </c>
      <c r="F360" s="5" t="s">
        <v>256</v>
      </c>
      <c r="G360" s="5" t="s">
        <v>34</v>
      </c>
      <c r="H360" s="7" t="s">
        <v>8</v>
      </c>
      <c r="I360" s="7" t="s">
        <v>299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7</v>
      </c>
      <c r="AF360" s="7">
        <v>0</v>
      </c>
      <c r="AG360" s="7">
        <v>700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4</v>
      </c>
      <c r="AR360" s="7">
        <v>400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11">
        <v>1100</v>
      </c>
      <c r="BN360" s="15">
        <f t="shared" si="10"/>
        <v>1100</v>
      </c>
      <c r="BO360" s="16">
        <f t="shared" si="11"/>
        <v>770</v>
      </c>
    </row>
    <row r="361" spans="1:67" ht="19.5" x14ac:dyDescent="0.3">
      <c r="A361" s="5" t="s">
        <v>396</v>
      </c>
      <c r="B361" s="5" t="s">
        <v>149</v>
      </c>
      <c r="C361" s="5">
        <v>394079</v>
      </c>
      <c r="D361" s="6"/>
      <c r="E361" s="5" t="s">
        <v>16</v>
      </c>
      <c r="F361" s="5" t="s">
        <v>52</v>
      </c>
      <c r="G361" s="5" t="s">
        <v>34</v>
      </c>
      <c r="H361" s="7" t="s">
        <v>8</v>
      </c>
      <c r="I361" s="7" t="s">
        <v>150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9</v>
      </c>
      <c r="AF361" s="7">
        <v>1080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11">
        <v>1080</v>
      </c>
      <c r="BN361" s="15">
        <f t="shared" si="10"/>
        <v>1080</v>
      </c>
      <c r="BO361" s="16">
        <f t="shared" si="11"/>
        <v>756</v>
      </c>
    </row>
    <row r="362" spans="1:67" ht="19.5" x14ac:dyDescent="0.3">
      <c r="A362" s="5" t="s">
        <v>396</v>
      </c>
      <c r="B362" s="5" t="s">
        <v>643</v>
      </c>
      <c r="C362" s="5">
        <v>426280</v>
      </c>
      <c r="D362" s="6"/>
      <c r="E362" s="5" t="s">
        <v>16</v>
      </c>
      <c r="F362" s="5" t="s">
        <v>630</v>
      </c>
      <c r="G362" s="5" t="s">
        <v>34</v>
      </c>
      <c r="H362" s="7" t="s">
        <v>289</v>
      </c>
      <c r="I362" s="7" t="s">
        <v>610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1</v>
      </c>
      <c r="AF362" s="7">
        <v>360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1</v>
      </c>
      <c r="AR362" s="7">
        <v>300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1</v>
      </c>
      <c r="BJ362" s="7">
        <v>360</v>
      </c>
      <c r="BK362" s="7">
        <v>0</v>
      </c>
      <c r="BL362" s="7">
        <v>18</v>
      </c>
      <c r="BM362" s="11">
        <v>1020</v>
      </c>
      <c r="BN362" s="15">
        <f t="shared" si="10"/>
        <v>1002</v>
      </c>
      <c r="BO362" s="16">
        <f t="shared" si="11"/>
        <v>701.4</v>
      </c>
    </row>
    <row r="363" spans="1:67" ht="19.5" x14ac:dyDescent="0.3">
      <c r="A363" s="5" t="s">
        <v>396</v>
      </c>
      <c r="B363" s="5" t="s">
        <v>613</v>
      </c>
      <c r="C363" s="5">
        <v>483175</v>
      </c>
      <c r="D363" s="6"/>
      <c r="E363" s="5" t="s">
        <v>16</v>
      </c>
      <c r="F363" s="5" t="s">
        <v>571</v>
      </c>
      <c r="G363" s="5" t="s">
        <v>382</v>
      </c>
      <c r="H363" s="7" t="s">
        <v>8</v>
      </c>
      <c r="I363" s="7" t="s">
        <v>572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1</v>
      </c>
      <c r="AF363" s="7">
        <v>1000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11">
        <v>1000</v>
      </c>
      <c r="BN363" s="15">
        <f t="shared" si="10"/>
        <v>1000</v>
      </c>
      <c r="BO363" s="16">
        <f t="shared" si="11"/>
        <v>700</v>
      </c>
    </row>
    <row r="364" spans="1:67" ht="19.5" x14ac:dyDescent="0.3">
      <c r="A364" s="5" t="s">
        <v>396</v>
      </c>
      <c r="B364" s="5" t="s">
        <v>462</v>
      </c>
      <c r="C364" s="5">
        <v>476788</v>
      </c>
      <c r="D364" s="6"/>
      <c r="E364" s="5" t="s">
        <v>16</v>
      </c>
      <c r="F364" s="5" t="s">
        <v>463</v>
      </c>
      <c r="G364" s="5" t="s">
        <v>10</v>
      </c>
      <c r="H364" s="7" t="s">
        <v>7</v>
      </c>
      <c r="I364" s="7" t="s">
        <v>383</v>
      </c>
      <c r="J364" s="7">
        <v>3</v>
      </c>
      <c r="K364" s="7">
        <v>0</v>
      </c>
      <c r="L364" s="7">
        <v>300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7</v>
      </c>
      <c r="AF364" s="7">
        <v>700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11">
        <v>1000</v>
      </c>
      <c r="BN364" s="15">
        <f t="shared" si="10"/>
        <v>1000</v>
      </c>
      <c r="BO364" s="16">
        <f t="shared" si="11"/>
        <v>700</v>
      </c>
    </row>
    <row r="365" spans="1:67" ht="19.5" x14ac:dyDescent="0.3">
      <c r="A365" s="5" t="s">
        <v>396</v>
      </c>
      <c r="B365" s="5" t="s">
        <v>346</v>
      </c>
      <c r="C365" s="5">
        <v>447222</v>
      </c>
      <c r="D365" s="6"/>
      <c r="E365" s="5" t="s">
        <v>16</v>
      </c>
      <c r="F365" s="5" t="s">
        <v>256</v>
      </c>
      <c r="G365" s="5" t="s">
        <v>34</v>
      </c>
      <c r="H365" s="7" t="s">
        <v>8</v>
      </c>
      <c r="I365" s="7" t="s">
        <v>347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8</v>
      </c>
      <c r="BJ365" s="7">
        <v>960</v>
      </c>
      <c r="BK365" s="7">
        <v>0</v>
      </c>
      <c r="BL365" s="7">
        <v>48</v>
      </c>
      <c r="BM365" s="11">
        <v>960</v>
      </c>
      <c r="BN365" s="15">
        <f t="shared" si="10"/>
        <v>912</v>
      </c>
      <c r="BO365" s="16">
        <f t="shared" si="11"/>
        <v>638.4</v>
      </c>
    </row>
    <row r="366" spans="1:67" ht="19.5" x14ac:dyDescent="0.3">
      <c r="A366" s="5" t="s">
        <v>396</v>
      </c>
      <c r="B366" s="5" t="s">
        <v>585</v>
      </c>
      <c r="C366" s="5">
        <v>388468</v>
      </c>
      <c r="D366" s="6"/>
      <c r="E366" s="5" t="s">
        <v>16</v>
      </c>
      <c r="F366" s="5" t="s">
        <v>578</v>
      </c>
      <c r="G366" s="5" t="s">
        <v>34</v>
      </c>
      <c r="H366" s="7" t="s">
        <v>8</v>
      </c>
      <c r="I366" s="7" t="s">
        <v>586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7</v>
      </c>
      <c r="BJ366" s="7">
        <v>840</v>
      </c>
      <c r="BK366" s="7">
        <v>0</v>
      </c>
      <c r="BL366" s="7">
        <v>42</v>
      </c>
      <c r="BM366" s="11">
        <v>840</v>
      </c>
      <c r="BN366" s="15">
        <f t="shared" si="10"/>
        <v>798</v>
      </c>
      <c r="BO366" s="16">
        <f t="shared" si="11"/>
        <v>558.59999999999991</v>
      </c>
    </row>
    <row r="367" spans="1:67" ht="19.5" x14ac:dyDescent="0.3">
      <c r="A367" s="5" t="s">
        <v>396</v>
      </c>
      <c r="B367" s="5" t="s">
        <v>104</v>
      </c>
      <c r="C367" s="5">
        <v>359539</v>
      </c>
      <c r="D367" s="6"/>
      <c r="E367" s="5" t="s">
        <v>16</v>
      </c>
      <c r="F367" s="5" t="s">
        <v>105</v>
      </c>
      <c r="G367" s="5" t="s">
        <v>34</v>
      </c>
      <c r="H367" s="7" t="s">
        <v>8</v>
      </c>
      <c r="I367" s="7" t="s">
        <v>106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7</v>
      </c>
      <c r="AF367" s="7">
        <v>600</v>
      </c>
      <c r="AG367" s="7">
        <v>100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1</v>
      </c>
      <c r="BJ367" s="7">
        <v>120</v>
      </c>
      <c r="BK367" s="7">
        <v>0</v>
      </c>
      <c r="BL367" s="7">
        <v>6</v>
      </c>
      <c r="BM367" s="11">
        <v>820</v>
      </c>
      <c r="BN367" s="15">
        <f t="shared" si="10"/>
        <v>814</v>
      </c>
      <c r="BO367" s="16">
        <f t="shared" si="11"/>
        <v>569.79999999999995</v>
      </c>
    </row>
    <row r="368" spans="1:67" ht="19.5" x14ac:dyDescent="0.3">
      <c r="A368" s="5" t="s">
        <v>396</v>
      </c>
      <c r="B368" s="5" t="s">
        <v>290</v>
      </c>
      <c r="C368" s="5">
        <v>382325</v>
      </c>
      <c r="D368" s="6"/>
      <c r="E368" s="5" t="s">
        <v>16</v>
      </c>
      <c r="F368" s="5" t="s">
        <v>33</v>
      </c>
      <c r="G368" s="5" t="s">
        <v>34</v>
      </c>
      <c r="H368" s="7" t="s">
        <v>8</v>
      </c>
      <c r="I368" s="7" t="s">
        <v>291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6</v>
      </c>
      <c r="AF368" s="7">
        <v>720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11">
        <v>720</v>
      </c>
      <c r="BN368" s="15">
        <f t="shared" si="10"/>
        <v>720</v>
      </c>
      <c r="BO368" s="16">
        <f t="shared" si="11"/>
        <v>503.99999999999994</v>
      </c>
    </row>
    <row r="369" spans="1:67" ht="19.5" x14ac:dyDescent="0.3">
      <c r="A369" s="5" t="s">
        <v>396</v>
      </c>
      <c r="B369" s="5" t="s">
        <v>644</v>
      </c>
      <c r="C369" s="5">
        <v>444218</v>
      </c>
      <c r="D369" s="6"/>
      <c r="E369" s="5" t="s">
        <v>16</v>
      </c>
      <c r="F369" s="5" t="s">
        <v>128</v>
      </c>
      <c r="G369" s="5" t="s">
        <v>34</v>
      </c>
      <c r="H369" s="7" t="s">
        <v>289</v>
      </c>
      <c r="I369" s="7" t="s">
        <v>645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2</v>
      </c>
      <c r="AF369" s="7">
        <v>0</v>
      </c>
      <c r="AG369" s="7">
        <v>500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1</v>
      </c>
      <c r="AR369" s="7">
        <v>100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11">
        <v>600</v>
      </c>
      <c r="BN369" s="15">
        <f t="shared" si="10"/>
        <v>600</v>
      </c>
      <c r="BO369" s="16">
        <f t="shared" si="11"/>
        <v>420</v>
      </c>
    </row>
    <row r="370" spans="1:67" ht="19.5" x14ac:dyDescent="0.3">
      <c r="A370" s="5" t="s">
        <v>396</v>
      </c>
      <c r="B370" s="5" t="s">
        <v>646</v>
      </c>
      <c r="C370" s="5">
        <v>418308</v>
      </c>
      <c r="D370" s="6"/>
      <c r="E370" s="5" t="s">
        <v>16</v>
      </c>
      <c r="F370" s="5" t="s">
        <v>268</v>
      </c>
      <c r="G370" s="5" t="s">
        <v>34</v>
      </c>
      <c r="H370" s="7" t="s">
        <v>289</v>
      </c>
      <c r="I370" s="7" t="s">
        <v>636</v>
      </c>
      <c r="J370" s="8">
        <v>0</v>
      </c>
      <c r="K370" s="8">
        <v>0</v>
      </c>
      <c r="L370" s="8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8">
        <v>1</v>
      </c>
      <c r="AF370" s="8">
        <v>600</v>
      </c>
      <c r="AG370" s="8">
        <v>0</v>
      </c>
      <c r="AH370" s="7">
        <v>0</v>
      </c>
      <c r="AI370" s="7">
        <v>0</v>
      </c>
      <c r="AJ370" s="7">
        <v>0</v>
      </c>
      <c r="AK370" s="8">
        <v>0</v>
      </c>
      <c r="AL370" s="8">
        <v>0</v>
      </c>
      <c r="AM370" s="8">
        <v>0</v>
      </c>
      <c r="AN370" s="7">
        <v>0</v>
      </c>
      <c r="AO370" s="7">
        <v>0</v>
      </c>
      <c r="AP370" s="7">
        <v>0</v>
      </c>
      <c r="AQ370" s="8">
        <v>0</v>
      </c>
      <c r="AR370" s="8">
        <v>0</v>
      </c>
      <c r="AS370" s="8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8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9">
        <v>0</v>
      </c>
      <c r="BM370" s="10">
        <v>600</v>
      </c>
      <c r="BN370" s="15">
        <f t="shared" si="10"/>
        <v>600</v>
      </c>
      <c r="BO370" s="16">
        <f t="shared" si="11"/>
        <v>420</v>
      </c>
    </row>
    <row r="371" spans="1:67" ht="19.5" x14ac:dyDescent="0.3">
      <c r="A371" s="5" t="s">
        <v>396</v>
      </c>
      <c r="B371" s="5" t="s">
        <v>557</v>
      </c>
      <c r="C371" s="5">
        <v>418306</v>
      </c>
      <c r="D371" s="6"/>
      <c r="E371" s="5" t="s">
        <v>16</v>
      </c>
      <c r="F371" s="5" t="s">
        <v>118</v>
      </c>
      <c r="G371" s="5" t="s">
        <v>34</v>
      </c>
      <c r="H371" s="7" t="s">
        <v>289</v>
      </c>
      <c r="I371" s="7" t="s">
        <v>558</v>
      </c>
      <c r="J371" s="7">
        <v>0</v>
      </c>
      <c r="K371" s="8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8">
        <v>1</v>
      </c>
      <c r="AF371" s="8">
        <v>600</v>
      </c>
      <c r="AG371" s="8">
        <v>0</v>
      </c>
      <c r="AH371" s="7">
        <v>0</v>
      </c>
      <c r="AI371" s="7">
        <v>0</v>
      </c>
      <c r="AJ371" s="7">
        <v>0</v>
      </c>
      <c r="AK371" s="8">
        <v>0</v>
      </c>
      <c r="AL371" s="8">
        <v>0</v>
      </c>
      <c r="AM371" s="8">
        <v>0</v>
      </c>
      <c r="AN371" s="7">
        <v>0</v>
      </c>
      <c r="AO371" s="7">
        <v>0</v>
      </c>
      <c r="AP371" s="7">
        <v>0</v>
      </c>
      <c r="AQ371" s="8">
        <v>0</v>
      </c>
      <c r="AR371" s="8">
        <v>0</v>
      </c>
      <c r="AS371" s="8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8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9">
        <v>0</v>
      </c>
      <c r="BM371" s="10">
        <v>600</v>
      </c>
      <c r="BN371" s="15">
        <f t="shared" si="10"/>
        <v>600</v>
      </c>
      <c r="BO371" s="16">
        <f t="shared" si="11"/>
        <v>420</v>
      </c>
    </row>
    <row r="372" spans="1:67" ht="19.5" x14ac:dyDescent="0.3">
      <c r="A372" s="5" t="s">
        <v>396</v>
      </c>
      <c r="B372" s="5" t="s">
        <v>486</v>
      </c>
      <c r="C372" s="5">
        <v>426261</v>
      </c>
      <c r="D372" s="6"/>
      <c r="E372" s="5" t="s">
        <v>16</v>
      </c>
      <c r="F372" s="5" t="s">
        <v>128</v>
      </c>
      <c r="G372" s="5" t="s">
        <v>34</v>
      </c>
      <c r="H372" s="7" t="s">
        <v>289</v>
      </c>
      <c r="I372" s="7" t="s">
        <v>350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8">
        <v>0</v>
      </c>
      <c r="AF372" s="8">
        <v>0</v>
      </c>
      <c r="AG372" s="8">
        <v>0</v>
      </c>
      <c r="AH372" s="7">
        <v>0</v>
      </c>
      <c r="AI372" s="7">
        <v>0</v>
      </c>
      <c r="AJ372" s="7">
        <v>0</v>
      </c>
      <c r="AK372" s="8">
        <v>0</v>
      </c>
      <c r="AL372" s="8">
        <v>0</v>
      </c>
      <c r="AM372" s="8">
        <v>0</v>
      </c>
      <c r="AN372" s="7">
        <v>0</v>
      </c>
      <c r="AO372" s="7">
        <v>0</v>
      </c>
      <c r="AP372" s="7">
        <v>0</v>
      </c>
      <c r="AQ372" s="8">
        <v>0</v>
      </c>
      <c r="AR372" s="8">
        <v>0</v>
      </c>
      <c r="AS372" s="8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1</v>
      </c>
      <c r="BJ372" s="7">
        <v>600</v>
      </c>
      <c r="BK372" s="7">
        <v>0</v>
      </c>
      <c r="BL372" s="9">
        <v>30</v>
      </c>
      <c r="BM372" s="10">
        <v>600</v>
      </c>
      <c r="BN372" s="15">
        <f t="shared" si="10"/>
        <v>570</v>
      </c>
      <c r="BO372" s="16">
        <f t="shared" si="11"/>
        <v>399</v>
      </c>
    </row>
    <row r="373" spans="1:67" ht="19.5" x14ac:dyDescent="0.3">
      <c r="A373" s="5" t="s">
        <v>396</v>
      </c>
      <c r="B373" s="5" t="s">
        <v>227</v>
      </c>
      <c r="C373" s="5">
        <v>351033</v>
      </c>
      <c r="D373" s="6" t="s">
        <v>228</v>
      </c>
      <c r="E373" s="5" t="s">
        <v>16</v>
      </c>
      <c r="F373" s="5" t="s">
        <v>30</v>
      </c>
      <c r="G373" s="5" t="s">
        <v>10</v>
      </c>
      <c r="H373" s="7" t="s">
        <v>7</v>
      </c>
      <c r="I373" s="7" t="s">
        <v>229</v>
      </c>
      <c r="J373" s="7">
        <v>0</v>
      </c>
      <c r="K373" s="8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8">
        <v>0</v>
      </c>
      <c r="AF373" s="8">
        <v>0</v>
      </c>
      <c r="AG373" s="8">
        <v>0</v>
      </c>
      <c r="AH373" s="7">
        <v>0</v>
      </c>
      <c r="AI373" s="7">
        <v>0</v>
      </c>
      <c r="AJ373" s="7">
        <v>0</v>
      </c>
      <c r="AK373" s="8">
        <v>0</v>
      </c>
      <c r="AL373" s="8">
        <v>0</v>
      </c>
      <c r="AM373" s="8">
        <v>0</v>
      </c>
      <c r="AN373" s="7">
        <v>0</v>
      </c>
      <c r="AO373" s="7">
        <v>0</v>
      </c>
      <c r="AP373" s="7">
        <v>0</v>
      </c>
      <c r="AQ373" s="8">
        <v>0</v>
      </c>
      <c r="AR373" s="8">
        <v>0</v>
      </c>
      <c r="AS373" s="8">
        <v>0</v>
      </c>
      <c r="AT373" s="7">
        <v>0</v>
      </c>
      <c r="AU373" s="7">
        <v>0</v>
      </c>
      <c r="AV373" s="7">
        <v>0</v>
      </c>
      <c r="AW373" s="7">
        <v>0</v>
      </c>
      <c r="AX373" s="8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8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5</v>
      </c>
      <c r="BJ373" s="7">
        <v>600</v>
      </c>
      <c r="BK373" s="7">
        <v>0</v>
      </c>
      <c r="BL373" s="9">
        <v>30</v>
      </c>
      <c r="BM373" s="10">
        <v>600</v>
      </c>
      <c r="BN373" s="15">
        <f t="shared" si="10"/>
        <v>570</v>
      </c>
      <c r="BO373" s="16">
        <f t="shared" si="11"/>
        <v>399</v>
      </c>
    </row>
    <row r="374" spans="1:67" ht="19.5" x14ac:dyDescent="0.3">
      <c r="A374" s="5" t="s">
        <v>396</v>
      </c>
      <c r="B374" s="5" t="s">
        <v>555</v>
      </c>
      <c r="C374" s="5">
        <v>421816</v>
      </c>
      <c r="D374" s="6"/>
      <c r="E374" s="5" t="s">
        <v>16</v>
      </c>
      <c r="F374" s="5" t="s">
        <v>41</v>
      </c>
      <c r="G374" s="5" t="s">
        <v>34</v>
      </c>
      <c r="H374" s="7" t="s">
        <v>289</v>
      </c>
      <c r="I374" s="7" t="s">
        <v>186</v>
      </c>
      <c r="J374" s="7">
        <v>0</v>
      </c>
      <c r="K374" s="8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8">
        <v>1</v>
      </c>
      <c r="AF374" s="8">
        <v>300</v>
      </c>
      <c r="AG374" s="8">
        <v>200</v>
      </c>
      <c r="AH374" s="7">
        <v>0</v>
      </c>
      <c r="AI374" s="7">
        <v>0</v>
      </c>
      <c r="AJ374" s="7">
        <v>0</v>
      </c>
      <c r="AK374" s="8">
        <v>0</v>
      </c>
      <c r="AL374" s="8">
        <v>0</v>
      </c>
      <c r="AM374" s="8">
        <v>0</v>
      </c>
      <c r="AN374" s="7">
        <v>0</v>
      </c>
      <c r="AO374" s="7">
        <v>0</v>
      </c>
      <c r="AP374" s="7">
        <v>0</v>
      </c>
      <c r="AQ374" s="7">
        <v>0</v>
      </c>
      <c r="AR374" s="8">
        <v>0</v>
      </c>
      <c r="AS374" s="8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8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9">
        <v>0</v>
      </c>
      <c r="BM374" s="10">
        <v>500</v>
      </c>
      <c r="BN374" s="15">
        <f t="shared" si="10"/>
        <v>500</v>
      </c>
      <c r="BO374" s="16">
        <f t="shared" si="11"/>
        <v>350</v>
      </c>
    </row>
    <row r="375" spans="1:67" ht="19.5" x14ac:dyDescent="0.3">
      <c r="A375" s="5" t="s">
        <v>396</v>
      </c>
      <c r="B375" s="5" t="s">
        <v>263</v>
      </c>
      <c r="C375" s="5">
        <v>327548</v>
      </c>
      <c r="D375" s="6"/>
      <c r="E375" s="5" t="s">
        <v>16</v>
      </c>
      <c r="F375" s="5" t="s">
        <v>200</v>
      </c>
      <c r="G375" s="5" t="s">
        <v>34</v>
      </c>
      <c r="H375" s="7" t="s">
        <v>8</v>
      </c>
      <c r="I375" s="7" t="s">
        <v>264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8">
        <v>4</v>
      </c>
      <c r="AF375" s="8">
        <v>480</v>
      </c>
      <c r="AG375" s="8">
        <v>0</v>
      </c>
      <c r="AH375" s="7">
        <v>0</v>
      </c>
      <c r="AI375" s="7">
        <v>0</v>
      </c>
      <c r="AJ375" s="7">
        <v>0</v>
      </c>
      <c r="AK375" s="8">
        <v>0</v>
      </c>
      <c r="AL375" s="8">
        <v>0</v>
      </c>
      <c r="AM375" s="8">
        <v>0</v>
      </c>
      <c r="AN375" s="7">
        <v>0</v>
      </c>
      <c r="AO375" s="7">
        <v>0</v>
      </c>
      <c r="AP375" s="7">
        <v>0</v>
      </c>
      <c r="AQ375" s="7">
        <v>0</v>
      </c>
      <c r="AR375" s="8">
        <v>0</v>
      </c>
      <c r="AS375" s="8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9">
        <v>0</v>
      </c>
      <c r="BM375" s="10">
        <v>480</v>
      </c>
      <c r="BN375" s="15">
        <f t="shared" ref="BN375:BN438" si="12">BM375-BL375</f>
        <v>480</v>
      </c>
      <c r="BO375" s="16">
        <f t="shared" ref="BO375:BO438" si="13">BN375*70%</f>
        <v>336</v>
      </c>
    </row>
    <row r="376" spans="1:67" ht="19.5" x14ac:dyDescent="0.3">
      <c r="A376" s="5" t="s">
        <v>396</v>
      </c>
      <c r="B376" s="5" t="s">
        <v>542</v>
      </c>
      <c r="C376" s="5">
        <v>463949</v>
      </c>
      <c r="D376" s="6"/>
      <c r="E376" s="5" t="s">
        <v>16</v>
      </c>
      <c r="F376" s="5" t="s">
        <v>543</v>
      </c>
      <c r="G376" s="5" t="s">
        <v>10</v>
      </c>
      <c r="H376" s="7" t="s">
        <v>7</v>
      </c>
      <c r="I376" s="7" t="s">
        <v>56</v>
      </c>
      <c r="J376" s="8">
        <v>0</v>
      </c>
      <c r="K376" s="8">
        <v>0</v>
      </c>
      <c r="L376" s="8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4</v>
      </c>
      <c r="AF376" s="7">
        <v>480</v>
      </c>
      <c r="AG376" s="8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8">
        <v>0</v>
      </c>
      <c r="AN376" s="7">
        <v>0</v>
      </c>
      <c r="AO376" s="7">
        <v>0</v>
      </c>
      <c r="AP376" s="7">
        <v>0</v>
      </c>
      <c r="AQ376" s="7">
        <v>0</v>
      </c>
      <c r="AR376" s="8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10">
        <v>480</v>
      </c>
      <c r="BN376" s="15">
        <f t="shared" si="12"/>
        <v>480</v>
      </c>
      <c r="BO376" s="16">
        <f t="shared" si="13"/>
        <v>336</v>
      </c>
    </row>
    <row r="377" spans="1:67" ht="19.5" x14ac:dyDescent="0.3">
      <c r="A377" s="5" t="s">
        <v>396</v>
      </c>
      <c r="B377" s="5" t="s">
        <v>54</v>
      </c>
      <c r="C377" s="5">
        <v>463946</v>
      </c>
      <c r="D377" s="6"/>
      <c r="E377" s="5" t="s">
        <v>16</v>
      </c>
      <c r="F377" s="5" t="s">
        <v>55</v>
      </c>
      <c r="G377" s="5" t="s">
        <v>10</v>
      </c>
      <c r="H377" s="7" t="s">
        <v>7</v>
      </c>
      <c r="I377" s="7" t="s">
        <v>56</v>
      </c>
      <c r="J377" s="7">
        <v>0</v>
      </c>
      <c r="K377" s="8">
        <v>0</v>
      </c>
      <c r="L377" s="8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8">
        <v>0</v>
      </c>
      <c r="AG377" s="8">
        <v>0</v>
      </c>
      <c r="AH377" s="7">
        <v>0</v>
      </c>
      <c r="AI377" s="7">
        <v>0</v>
      </c>
      <c r="AJ377" s="7">
        <v>0</v>
      </c>
      <c r="AK377" s="8">
        <v>0</v>
      </c>
      <c r="AL377" s="8">
        <v>0</v>
      </c>
      <c r="AM377" s="8">
        <v>0</v>
      </c>
      <c r="AN377" s="7">
        <v>0</v>
      </c>
      <c r="AO377" s="7">
        <v>0</v>
      </c>
      <c r="AP377" s="7">
        <v>0</v>
      </c>
      <c r="AQ377" s="7">
        <v>4</v>
      </c>
      <c r="AR377" s="8">
        <v>400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9">
        <v>0</v>
      </c>
      <c r="BM377" s="10">
        <v>400</v>
      </c>
      <c r="BN377" s="15">
        <f t="shared" si="12"/>
        <v>400</v>
      </c>
      <c r="BO377" s="16">
        <f t="shared" si="13"/>
        <v>280</v>
      </c>
    </row>
    <row r="378" spans="1:67" ht="19.5" x14ac:dyDescent="0.3">
      <c r="A378" s="5" t="s">
        <v>396</v>
      </c>
      <c r="B378" s="5" t="s">
        <v>91</v>
      </c>
      <c r="C378" s="5">
        <v>462353</v>
      </c>
      <c r="D378" s="6"/>
      <c r="E378" s="5" t="s">
        <v>16</v>
      </c>
      <c r="F378" s="5" t="s">
        <v>39</v>
      </c>
      <c r="G378" s="5" t="s">
        <v>10</v>
      </c>
      <c r="H378" s="7" t="s">
        <v>7</v>
      </c>
      <c r="I378" s="7" t="s">
        <v>92</v>
      </c>
      <c r="J378" s="7">
        <v>1</v>
      </c>
      <c r="K378" s="7">
        <v>0</v>
      </c>
      <c r="L378" s="7">
        <v>100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8">
        <v>3</v>
      </c>
      <c r="AF378" s="8">
        <v>0</v>
      </c>
      <c r="AG378" s="8">
        <v>300</v>
      </c>
      <c r="AH378" s="7">
        <v>0</v>
      </c>
      <c r="AI378" s="7">
        <v>0</v>
      </c>
      <c r="AJ378" s="7">
        <v>0</v>
      </c>
      <c r="AK378" s="8">
        <v>0</v>
      </c>
      <c r="AL378" s="8">
        <v>0</v>
      </c>
      <c r="AM378" s="8">
        <v>0</v>
      </c>
      <c r="AN378" s="7">
        <v>0</v>
      </c>
      <c r="AO378" s="7">
        <v>0</v>
      </c>
      <c r="AP378" s="7">
        <v>0</v>
      </c>
      <c r="AQ378" s="7">
        <v>0</v>
      </c>
      <c r="AR378" s="8">
        <v>0</v>
      </c>
      <c r="AS378" s="8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9">
        <v>0</v>
      </c>
      <c r="BM378" s="10">
        <v>400</v>
      </c>
      <c r="BN378" s="15">
        <f t="shared" si="12"/>
        <v>400</v>
      </c>
      <c r="BO378" s="16">
        <f t="shared" si="13"/>
        <v>280</v>
      </c>
    </row>
    <row r="379" spans="1:67" ht="19.5" x14ac:dyDescent="0.3">
      <c r="A379" s="5" t="s">
        <v>396</v>
      </c>
      <c r="B379" s="5" t="s">
        <v>139</v>
      </c>
      <c r="C379" s="5">
        <v>367994</v>
      </c>
      <c r="D379" s="6"/>
      <c r="E379" s="5" t="s">
        <v>16</v>
      </c>
      <c r="F379" s="5" t="s">
        <v>33</v>
      </c>
      <c r="G379" s="5" t="s">
        <v>34</v>
      </c>
      <c r="H379" s="7" t="s">
        <v>8</v>
      </c>
      <c r="I379" s="7" t="s">
        <v>140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8">
        <v>0</v>
      </c>
      <c r="AF379" s="8">
        <v>0</v>
      </c>
      <c r="AG379" s="8">
        <v>0</v>
      </c>
      <c r="AH379" s="7">
        <v>0</v>
      </c>
      <c r="AI379" s="7">
        <v>0</v>
      </c>
      <c r="AJ379" s="7">
        <v>0</v>
      </c>
      <c r="AK379" s="7">
        <v>0</v>
      </c>
      <c r="AL379" s="8">
        <v>0</v>
      </c>
      <c r="AM379" s="8">
        <v>0</v>
      </c>
      <c r="AN379" s="7">
        <v>0</v>
      </c>
      <c r="AO379" s="7">
        <v>0</v>
      </c>
      <c r="AP379" s="7">
        <v>0</v>
      </c>
      <c r="AQ379" s="7">
        <v>0</v>
      </c>
      <c r="AR379" s="8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3</v>
      </c>
      <c r="BJ379" s="7">
        <v>360</v>
      </c>
      <c r="BK379" s="7">
        <v>0</v>
      </c>
      <c r="BL379" s="9">
        <v>18</v>
      </c>
      <c r="BM379" s="10">
        <v>360</v>
      </c>
      <c r="BN379" s="15">
        <f t="shared" si="12"/>
        <v>342</v>
      </c>
      <c r="BO379" s="16">
        <f t="shared" si="13"/>
        <v>239.39999999999998</v>
      </c>
    </row>
    <row r="380" spans="1:67" ht="19.5" x14ac:dyDescent="0.3">
      <c r="A380" s="5" t="s">
        <v>396</v>
      </c>
      <c r="B380" s="5" t="s">
        <v>561</v>
      </c>
      <c r="C380" s="5">
        <v>426275</v>
      </c>
      <c r="D380" s="6"/>
      <c r="E380" s="5" t="s">
        <v>16</v>
      </c>
      <c r="F380" s="5" t="s">
        <v>105</v>
      </c>
      <c r="G380" s="5" t="s">
        <v>34</v>
      </c>
      <c r="H380" s="7" t="s">
        <v>8</v>
      </c>
      <c r="I380" s="7" t="s">
        <v>284</v>
      </c>
      <c r="J380" s="7">
        <v>0</v>
      </c>
      <c r="K380" s="7">
        <v>0</v>
      </c>
      <c r="L380" s="8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8">
        <v>0</v>
      </c>
      <c r="AG380" s="8">
        <v>0</v>
      </c>
      <c r="AH380" s="7">
        <v>0</v>
      </c>
      <c r="AI380" s="7">
        <v>0</v>
      </c>
      <c r="AJ380" s="7">
        <v>0</v>
      </c>
      <c r="AK380" s="7">
        <v>0</v>
      </c>
      <c r="AL380" s="8">
        <v>0</v>
      </c>
      <c r="AM380" s="8">
        <v>0</v>
      </c>
      <c r="AN380" s="7">
        <v>0</v>
      </c>
      <c r="AO380" s="7">
        <v>0</v>
      </c>
      <c r="AP380" s="7">
        <v>0</v>
      </c>
      <c r="AQ380" s="7">
        <v>0</v>
      </c>
      <c r="AR380" s="8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1</v>
      </c>
      <c r="AX380" s="7">
        <v>360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9">
        <v>36</v>
      </c>
      <c r="BM380" s="10">
        <v>360</v>
      </c>
      <c r="BN380" s="15">
        <f t="shared" si="12"/>
        <v>324</v>
      </c>
      <c r="BO380" s="16">
        <f t="shared" si="13"/>
        <v>226.79999999999998</v>
      </c>
    </row>
    <row r="381" spans="1:67" ht="19.5" x14ac:dyDescent="0.3">
      <c r="A381" s="5" t="s">
        <v>396</v>
      </c>
      <c r="B381" s="5" t="s">
        <v>647</v>
      </c>
      <c r="C381" s="5">
        <v>399401</v>
      </c>
      <c r="D381" s="6"/>
      <c r="E381" s="5" t="s">
        <v>16</v>
      </c>
      <c r="F381" s="5" t="s">
        <v>41</v>
      </c>
      <c r="G381" s="5" t="s">
        <v>34</v>
      </c>
      <c r="H381" s="7" t="s">
        <v>289</v>
      </c>
      <c r="I381" s="7" t="s">
        <v>475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8">
        <v>0</v>
      </c>
      <c r="AF381" s="8">
        <v>0</v>
      </c>
      <c r="AG381" s="8">
        <v>0</v>
      </c>
      <c r="AH381" s="7">
        <v>0</v>
      </c>
      <c r="AI381" s="7">
        <v>0</v>
      </c>
      <c r="AJ381" s="7">
        <v>0</v>
      </c>
      <c r="AK381" s="7">
        <v>0</v>
      </c>
      <c r="AL381" s="8">
        <v>0</v>
      </c>
      <c r="AM381" s="8">
        <v>0</v>
      </c>
      <c r="AN381" s="7">
        <v>0</v>
      </c>
      <c r="AO381" s="7">
        <v>0</v>
      </c>
      <c r="AP381" s="7">
        <v>0</v>
      </c>
      <c r="AQ381" s="7">
        <v>0</v>
      </c>
      <c r="AR381" s="8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8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1</v>
      </c>
      <c r="BJ381" s="7">
        <v>360</v>
      </c>
      <c r="BK381" s="7">
        <v>0</v>
      </c>
      <c r="BL381" s="9">
        <v>18</v>
      </c>
      <c r="BM381" s="10">
        <v>360</v>
      </c>
      <c r="BN381" s="15">
        <f t="shared" si="12"/>
        <v>342</v>
      </c>
      <c r="BO381" s="16">
        <f t="shared" si="13"/>
        <v>239.39999999999998</v>
      </c>
    </row>
    <row r="382" spans="1:67" ht="19.5" x14ac:dyDescent="0.3">
      <c r="A382" s="5" t="s">
        <v>396</v>
      </c>
      <c r="B382" s="5" t="s">
        <v>487</v>
      </c>
      <c r="C382" s="5">
        <v>397393</v>
      </c>
      <c r="D382" s="6"/>
      <c r="E382" s="5" t="s">
        <v>16</v>
      </c>
      <c r="F382" s="5" t="s">
        <v>128</v>
      </c>
      <c r="G382" s="5" t="s">
        <v>34</v>
      </c>
      <c r="H382" s="7" t="s">
        <v>289</v>
      </c>
      <c r="I382" s="7" t="s">
        <v>488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8">
        <v>0</v>
      </c>
      <c r="AG382" s="8">
        <v>0</v>
      </c>
      <c r="AH382" s="7">
        <v>0</v>
      </c>
      <c r="AI382" s="7">
        <v>0</v>
      </c>
      <c r="AJ382" s="7">
        <v>0</v>
      </c>
      <c r="AK382" s="7">
        <v>0</v>
      </c>
      <c r="AL382" s="8">
        <v>0</v>
      </c>
      <c r="AM382" s="8">
        <v>0</v>
      </c>
      <c r="AN382" s="7">
        <v>0</v>
      </c>
      <c r="AO382" s="7">
        <v>0</v>
      </c>
      <c r="AP382" s="7">
        <v>0</v>
      </c>
      <c r="AQ382" s="7">
        <v>0</v>
      </c>
      <c r="AR382" s="8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1</v>
      </c>
      <c r="BJ382" s="7">
        <v>360</v>
      </c>
      <c r="BK382" s="7">
        <v>0</v>
      </c>
      <c r="BL382" s="9">
        <v>18</v>
      </c>
      <c r="BM382" s="10">
        <v>360</v>
      </c>
      <c r="BN382" s="15">
        <f t="shared" si="12"/>
        <v>342</v>
      </c>
      <c r="BO382" s="16">
        <f t="shared" si="13"/>
        <v>239.39999999999998</v>
      </c>
    </row>
    <row r="383" spans="1:67" ht="19.5" x14ac:dyDescent="0.3">
      <c r="A383" s="5" t="s">
        <v>396</v>
      </c>
      <c r="B383" s="5" t="s">
        <v>173</v>
      </c>
      <c r="C383" s="5">
        <v>370192</v>
      </c>
      <c r="D383" s="6"/>
      <c r="E383" s="5" t="s">
        <v>16</v>
      </c>
      <c r="F383" s="5" t="s">
        <v>131</v>
      </c>
      <c r="G383" s="5" t="s">
        <v>34</v>
      </c>
      <c r="H383" s="7" t="s">
        <v>8</v>
      </c>
      <c r="I383" s="7" t="s">
        <v>174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3</v>
      </c>
      <c r="AF383" s="8">
        <v>360</v>
      </c>
      <c r="AG383" s="8">
        <v>0</v>
      </c>
      <c r="AH383" s="7">
        <v>0</v>
      </c>
      <c r="AI383" s="7">
        <v>0</v>
      </c>
      <c r="AJ383" s="7">
        <v>0</v>
      </c>
      <c r="AK383" s="7">
        <v>0</v>
      </c>
      <c r="AL383" s="8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8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9">
        <v>0</v>
      </c>
      <c r="BM383" s="10">
        <v>360</v>
      </c>
      <c r="BN383" s="15">
        <f t="shared" si="12"/>
        <v>360</v>
      </c>
      <c r="BO383" s="16">
        <f t="shared" si="13"/>
        <v>251.99999999999997</v>
      </c>
    </row>
    <row r="384" spans="1:67" ht="19.5" x14ac:dyDescent="0.3">
      <c r="A384" s="5" t="s">
        <v>396</v>
      </c>
      <c r="B384" s="5" t="s">
        <v>248</v>
      </c>
      <c r="C384" s="5">
        <v>353788</v>
      </c>
      <c r="D384" s="6"/>
      <c r="E384" s="5" t="s">
        <v>16</v>
      </c>
      <c r="F384" s="5" t="s">
        <v>200</v>
      </c>
      <c r="G384" s="5" t="s">
        <v>34</v>
      </c>
      <c r="H384" s="7" t="s">
        <v>8</v>
      </c>
      <c r="I384" s="7" t="s">
        <v>249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2</v>
      </c>
      <c r="AF384" s="8">
        <v>0</v>
      </c>
      <c r="AG384" s="8">
        <v>200</v>
      </c>
      <c r="AH384" s="7">
        <v>0</v>
      </c>
      <c r="AI384" s="7">
        <v>0</v>
      </c>
      <c r="AJ384" s="7">
        <v>0</v>
      </c>
      <c r="AK384" s="7">
        <v>0</v>
      </c>
      <c r="AL384" s="8">
        <v>0</v>
      </c>
      <c r="AM384" s="8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1</v>
      </c>
      <c r="BJ384" s="7">
        <v>120</v>
      </c>
      <c r="BK384" s="7">
        <v>0</v>
      </c>
      <c r="BL384" s="9">
        <v>6</v>
      </c>
      <c r="BM384" s="10">
        <v>320</v>
      </c>
      <c r="BN384" s="15">
        <f t="shared" si="12"/>
        <v>314</v>
      </c>
      <c r="BO384" s="16">
        <f t="shared" si="13"/>
        <v>219.79999999999998</v>
      </c>
    </row>
    <row r="385" spans="1:67" ht="19.5" x14ac:dyDescent="0.3">
      <c r="A385" s="5" t="s">
        <v>396</v>
      </c>
      <c r="B385" s="5" t="s">
        <v>22</v>
      </c>
      <c r="C385" s="5">
        <v>445688</v>
      </c>
      <c r="D385" s="6"/>
      <c r="E385" s="5" t="s">
        <v>16</v>
      </c>
      <c r="F385" s="5" t="s">
        <v>23</v>
      </c>
      <c r="G385" s="5" t="s">
        <v>10</v>
      </c>
      <c r="H385" s="7" t="s">
        <v>7</v>
      </c>
      <c r="I385" s="7" t="s">
        <v>24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3</v>
      </c>
      <c r="AF385" s="8">
        <v>120</v>
      </c>
      <c r="AG385" s="7">
        <v>200</v>
      </c>
      <c r="AH385" s="7">
        <v>0</v>
      </c>
      <c r="AI385" s="7">
        <v>0</v>
      </c>
      <c r="AJ385" s="7">
        <v>0</v>
      </c>
      <c r="AK385" s="7">
        <v>0</v>
      </c>
      <c r="AL385" s="8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9">
        <v>0</v>
      </c>
      <c r="BM385" s="10">
        <v>320</v>
      </c>
      <c r="BN385" s="15">
        <f t="shared" si="12"/>
        <v>320</v>
      </c>
      <c r="BO385" s="16">
        <f t="shared" si="13"/>
        <v>224</v>
      </c>
    </row>
    <row r="386" spans="1:67" ht="19.5" x14ac:dyDescent="0.3">
      <c r="A386" s="5" t="s">
        <v>396</v>
      </c>
      <c r="B386" s="5" t="s">
        <v>311</v>
      </c>
      <c r="C386" s="5">
        <v>406872</v>
      </c>
      <c r="D386" s="6"/>
      <c r="E386" s="5" t="s">
        <v>16</v>
      </c>
      <c r="F386" s="5" t="s">
        <v>312</v>
      </c>
      <c r="G386" s="5" t="s">
        <v>382</v>
      </c>
      <c r="H386" s="7" t="s">
        <v>9</v>
      </c>
      <c r="I386" s="7" t="s">
        <v>313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3</v>
      </c>
      <c r="AF386" s="8">
        <v>0</v>
      </c>
      <c r="AG386" s="8">
        <v>300</v>
      </c>
      <c r="AH386" s="7">
        <v>0</v>
      </c>
      <c r="AI386" s="7">
        <v>0</v>
      </c>
      <c r="AJ386" s="7">
        <v>0</v>
      </c>
      <c r="AK386" s="7">
        <v>0</v>
      </c>
      <c r="AL386" s="8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8">
        <v>0</v>
      </c>
      <c r="AS386" s="8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9">
        <v>0</v>
      </c>
      <c r="BM386" s="10">
        <v>300</v>
      </c>
      <c r="BN386" s="15">
        <f t="shared" si="12"/>
        <v>300</v>
      </c>
      <c r="BO386" s="16">
        <f t="shared" si="13"/>
        <v>210</v>
      </c>
    </row>
    <row r="387" spans="1:67" ht="19.5" x14ac:dyDescent="0.3">
      <c r="A387" s="5" t="s">
        <v>396</v>
      </c>
      <c r="B387" s="5" t="s">
        <v>196</v>
      </c>
      <c r="C387" s="5">
        <v>332138</v>
      </c>
      <c r="D387" s="6"/>
      <c r="E387" s="5" t="s">
        <v>16</v>
      </c>
      <c r="F387" s="5" t="s">
        <v>197</v>
      </c>
      <c r="G387" s="5" t="s">
        <v>34</v>
      </c>
      <c r="H387" s="7" t="s">
        <v>9</v>
      </c>
      <c r="I387" s="7" t="s">
        <v>198</v>
      </c>
      <c r="J387" s="7">
        <v>3</v>
      </c>
      <c r="K387" s="7">
        <v>0</v>
      </c>
      <c r="L387" s="7">
        <v>300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8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8">
        <v>0</v>
      </c>
      <c r="AM387" s="8">
        <v>0</v>
      </c>
      <c r="AN387" s="7">
        <v>0</v>
      </c>
      <c r="AO387" s="7">
        <v>0</v>
      </c>
      <c r="AP387" s="7">
        <v>0</v>
      </c>
      <c r="AQ387" s="7">
        <v>0</v>
      </c>
      <c r="AR387" s="8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9">
        <v>0</v>
      </c>
      <c r="BM387" s="10">
        <v>300</v>
      </c>
      <c r="BN387" s="15">
        <f t="shared" si="12"/>
        <v>300</v>
      </c>
      <c r="BO387" s="16">
        <f t="shared" si="13"/>
        <v>210</v>
      </c>
    </row>
    <row r="388" spans="1:67" ht="19.5" x14ac:dyDescent="0.3">
      <c r="A388" s="5" t="s">
        <v>396</v>
      </c>
      <c r="B388" s="5" t="s">
        <v>359</v>
      </c>
      <c r="C388" s="5">
        <v>471707</v>
      </c>
      <c r="D388" s="6"/>
      <c r="E388" s="5" t="s">
        <v>16</v>
      </c>
      <c r="F388" s="5" t="s">
        <v>360</v>
      </c>
      <c r="G388" s="5" t="s">
        <v>10</v>
      </c>
      <c r="H388" s="7" t="s">
        <v>7</v>
      </c>
      <c r="I388" s="7" t="s">
        <v>361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8">
        <v>0</v>
      </c>
      <c r="AG388" s="8">
        <v>0</v>
      </c>
      <c r="AH388" s="7">
        <v>0</v>
      </c>
      <c r="AI388" s="7">
        <v>0</v>
      </c>
      <c r="AJ388" s="7">
        <v>0</v>
      </c>
      <c r="AK388" s="7">
        <v>0</v>
      </c>
      <c r="AL388" s="8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8">
        <v>0</v>
      </c>
      <c r="AS388" s="8">
        <v>0</v>
      </c>
      <c r="AT388" s="7">
        <v>0</v>
      </c>
      <c r="AU388" s="7">
        <v>0</v>
      </c>
      <c r="AV388" s="7">
        <v>0</v>
      </c>
      <c r="AW388" s="7">
        <v>2</v>
      </c>
      <c r="AX388" s="7">
        <v>240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9">
        <v>24</v>
      </c>
      <c r="BM388" s="10">
        <v>240</v>
      </c>
      <c r="BN388" s="15">
        <f t="shared" si="12"/>
        <v>216</v>
      </c>
      <c r="BO388" s="16">
        <f t="shared" si="13"/>
        <v>151.19999999999999</v>
      </c>
    </row>
    <row r="389" spans="1:67" ht="19.5" x14ac:dyDescent="0.3">
      <c r="A389" s="5" t="s">
        <v>396</v>
      </c>
      <c r="B389" s="5" t="s">
        <v>115</v>
      </c>
      <c r="C389" s="5">
        <v>379813</v>
      </c>
      <c r="D389" s="6"/>
      <c r="E389" s="5" t="s">
        <v>16</v>
      </c>
      <c r="F389" s="5" t="s">
        <v>30</v>
      </c>
      <c r="G389" s="5" t="s">
        <v>10</v>
      </c>
      <c r="H389" s="7" t="s">
        <v>7</v>
      </c>
      <c r="I389" s="7" t="s">
        <v>116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1</v>
      </c>
      <c r="AF389" s="7">
        <v>0</v>
      </c>
      <c r="AG389" s="7">
        <v>100</v>
      </c>
      <c r="AH389" s="7">
        <v>0</v>
      </c>
      <c r="AI389" s="7">
        <v>0</v>
      </c>
      <c r="AJ389" s="7">
        <v>0</v>
      </c>
      <c r="AK389" s="7">
        <v>0</v>
      </c>
      <c r="AL389" s="8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8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1</v>
      </c>
      <c r="BJ389" s="7">
        <v>120</v>
      </c>
      <c r="BK389" s="7">
        <v>0</v>
      </c>
      <c r="BL389" s="9">
        <v>6</v>
      </c>
      <c r="BM389" s="10">
        <v>220</v>
      </c>
      <c r="BN389" s="15">
        <f t="shared" si="12"/>
        <v>214</v>
      </c>
      <c r="BO389" s="16">
        <f t="shared" si="13"/>
        <v>149.79999999999998</v>
      </c>
    </row>
    <row r="390" spans="1:67" ht="19.5" x14ac:dyDescent="0.3">
      <c r="A390" s="5" t="s">
        <v>396</v>
      </c>
      <c r="B390" s="5" t="s">
        <v>320</v>
      </c>
      <c r="C390" s="5">
        <v>469950</v>
      </c>
      <c r="D390" s="6"/>
      <c r="E390" s="5" t="s">
        <v>16</v>
      </c>
      <c r="F390" s="5" t="s">
        <v>293</v>
      </c>
      <c r="G390" s="5" t="s">
        <v>34</v>
      </c>
      <c r="H390" s="7" t="s">
        <v>8</v>
      </c>
      <c r="I390" s="7" t="s">
        <v>321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2</v>
      </c>
      <c r="AF390" s="8">
        <v>0</v>
      </c>
      <c r="AG390" s="8">
        <v>200</v>
      </c>
      <c r="AH390" s="7">
        <v>0</v>
      </c>
      <c r="AI390" s="7">
        <v>0</v>
      </c>
      <c r="AJ390" s="7">
        <v>0</v>
      </c>
      <c r="AK390" s="7">
        <v>0</v>
      </c>
      <c r="AL390" s="8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8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9">
        <v>0</v>
      </c>
      <c r="BM390" s="10">
        <v>200</v>
      </c>
      <c r="BN390" s="15">
        <f t="shared" si="12"/>
        <v>200</v>
      </c>
      <c r="BO390" s="16">
        <f t="shared" si="13"/>
        <v>140</v>
      </c>
    </row>
    <row r="391" spans="1:67" ht="19.5" x14ac:dyDescent="0.3">
      <c r="A391" s="5" t="s">
        <v>396</v>
      </c>
      <c r="B391" s="5" t="s">
        <v>68</v>
      </c>
      <c r="C391" s="5">
        <v>442274</v>
      </c>
      <c r="D391" s="6"/>
      <c r="E391" s="5" t="s">
        <v>16</v>
      </c>
      <c r="F391" s="5" t="s">
        <v>69</v>
      </c>
      <c r="G391" s="5" t="s">
        <v>10</v>
      </c>
      <c r="H391" s="7" t="s">
        <v>7</v>
      </c>
      <c r="I391" s="7" t="s">
        <v>70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8">
        <v>0</v>
      </c>
      <c r="AG391" s="8">
        <v>0</v>
      </c>
      <c r="AH391" s="7">
        <v>0</v>
      </c>
      <c r="AI391" s="7">
        <v>0</v>
      </c>
      <c r="AJ391" s="7">
        <v>0</v>
      </c>
      <c r="AK391" s="7">
        <v>0</v>
      </c>
      <c r="AL391" s="8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8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1</v>
      </c>
      <c r="BJ391" s="7">
        <v>120</v>
      </c>
      <c r="BK391" s="7">
        <v>0</v>
      </c>
      <c r="BL391" s="9">
        <v>6</v>
      </c>
      <c r="BM391" s="10">
        <v>120</v>
      </c>
      <c r="BN391" s="15">
        <f t="shared" si="12"/>
        <v>114</v>
      </c>
      <c r="BO391" s="16">
        <f t="shared" si="13"/>
        <v>79.8</v>
      </c>
    </row>
    <row r="392" spans="1:67" ht="19.5" x14ac:dyDescent="0.3">
      <c r="A392" s="5" t="s">
        <v>396</v>
      </c>
      <c r="B392" s="5" t="s">
        <v>122</v>
      </c>
      <c r="C392" s="5">
        <v>386704</v>
      </c>
      <c r="D392" s="6"/>
      <c r="E392" s="5" t="s">
        <v>16</v>
      </c>
      <c r="F392" s="5" t="s">
        <v>123</v>
      </c>
      <c r="G392" s="5" t="s">
        <v>34</v>
      </c>
      <c r="H392" s="7" t="s">
        <v>8</v>
      </c>
      <c r="I392" s="7" t="s">
        <v>124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1</v>
      </c>
      <c r="AF392" s="8">
        <v>120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8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8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9">
        <v>0</v>
      </c>
      <c r="BM392" s="10">
        <v>120</v>
      </c>
      <c r="BN392" s="15">
        <f t="shared" si="12"/>
        <v>120</v>
      </c>
      <c r="BO392" s="16">
        <f t="shared" si="13"/>
        <v>84</v>
      </c>
    </row>
    <row r="393" spans="1:67" ht="19.5" x14ac:dyDescent="0.3">
      <c r="A393" s="5" t="s">
        <v>396</v>
      </c>
      <c r="B393" s="5" t="s">
        <v>536</v>
      </c>
      <c r="C393" s="5">
        <v>351726</v>
      </c>
      <c r="D393" s="6"/>
      <c r="E393" s="5" t="s">
        <v>16</v>
      </c>
      <c r="F393" s="5" t="s">
        <v>537</v>
      </c>
      <c r="G393" s="5" t="s">
        <v>10</v>
      </c>
      <c r="H393" s="7" t="s">
        <v>7</v>
      </c>
      <c r="I393" s="7" t="s">
        <v>538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1</v>
      </c>
      <c r="AF393" s="8">
        <v>120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8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8">
        <v>0</v>
      </c>
      <c r="AS393" s="8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9">
        <v>0</v>
      </c>
      <c r="BM393" s="10">
        <v>120</v>
      </c>
      <c r="BN393" s="15">
        <f t="shared" si="12"/>
        <v>120</v>
      </c>
      <c r="BO393" s="16">
        <f t="shared" si="13"/>
        <v>84</v>
      </c>
    </row>
    <row r="394" spans="1:67" ht="19.5" x14ac:dyDescent="0.3">
      <c r="A394" s="5" t="s">
        <v>396</v>
      </c>
      <c r="B394" s="5" t="s">
        <v>98</v>
      </c>
      <c r="C394" s="5">
        <v>388999</v>
      </c>
      <c r="D394" s="6"/>
      <c r="E394" s="5" t="s">
        <v>16</v>
      </c>
      <c r="F394" s="5" t="s">
        <v>66</v>
      </c>
      <c r="G394" s="5" t="s">
        <v>10</v>
      </c>
      <c r="H394" s="7" t="s">
        <v>7</v>
      </c>
      <c r="I394" s="7" t="s">
        <v>99</v>
      </c>
      <c r="J394" s="7">
        <v>0</v>
      </c>
      <c r="K394" s="7">
        <v>2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1</v>
      </c>
      <c r="AF394" s="8">
        <v>0</v>
      </c>
      <c r="AG394" s="8">
        <v>100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8">
        <v>0</v>
      </c>
      <c r="AN394" s="7">
        <v>0</v>
      </c>
      <c r="AO394" s="7">
        <v>0</v>
      </c>
      <c r="AP394" s="7">
        <v>0</v>
      </c>
      <c r="AQ394" s="7">
        <v>0</v>
      </c>
      <c r="AR394" s="8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0</v>
      </c>
      <c r="BM394" s="10">
        <v>100</v>
      </c>
      <c r="BN394" s="15">
        <f t="shared" si="12"/>
        <v>100</v>
      </c>
      <c r="BO394" s="16">
        <f t="shared" si="13"/>
        <v>70</v>
      </c>
    </row>
    <row r="395" spans="1:67" ht="19.5" x14ac:dyDescent="0.3">
      <c r="A395" s="5" t="s">
        <v>396</v>
      </c>
      <c r="B395" s="5" t="s">
        <v>210</v>
      </c>
      <c r="C395" s="5">
        <v>434877</v>
      </c>
      <c r="D395" s="6"/>
      <c r="E395" s="5" t="s">
        <v>16</v>
      </c>
      <c r="F395" s="5" t="s">
        <v>211</v>
      </c>
      <c r="G395" s="5" t="s">
        <v>10</v>
      </c>
      <c r="H395" s="7" t="s">
        <v>7</v>
      </c>
      <c r="I395" s="7" t="s">
        <v>212</v>
      </c>
      <c r="J395" s="7">
        <v>1</v>
      </c>
      <c r="K395" s="7">
        <v>0</v>
      </c>
      <c r="L395" s="7">
        <v>100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8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8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9">
        <v>0</v>
      </c>
      <c r="BM395" s="10">
        <v>100</v>
      </c>
      <c r="BN395" s="15">
        <f t="shared" si="12"/>
        <v>100</v>
      </c>
      <c r="BO395" s="16">
        <f t="shared" si="13"/>
        <v>70</v>
      </c>
    </row>
    <row r="396" spans="1:67" ht="19.5" x14ac:dyDescent="0.3">
      <c r="A396" s="5" t="s">
        <v>396</v>
      </c>
      <c r="B396" s="5" t="s">
        <v>242</v>
      </c>
      <c r="C396" s="5">
        <v>434853</v>
      </c>
      <c r="D396" s="6"/>
      <c r="E396" s="5" t="s">
        <v>16</v>
      </c>
      <c r="F396" s="5" t="s">
        <v>243</v>
      </c>
      <c r="G396" s="5" t="s">
        <v>10</v>
      </c>
      <c r="H396" s="7" t="s">
        <v>7</v>
      </c>
      <c r="I396" s="7" t="s">
        <v>244</v>
      </c>
      <c r="J396" s="7">
        <v>1</v>
      </c>
      <c r="K396" s="7">
        <v>0</v>
      </c>
      <c r="L396" s="7">
        <v>100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8">
        <v>0</v>
      </c>
      <c r="AD396" s="8">
        <v>0</v>
      </c>
      <c r="AE396" s="7">
        <v>0</v>
      </c>
      <c r="AF396" s="7">
        <v>0</v>
      </c>
      <c r="AG396" s="7">
        <v>0</v>
      </c>
      <c r="AH396" s="7">
        <v>0</v>
      </c>
      <c r="AI396" s="8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8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9">
        <v>0</v>
      </c>
      <c r="BM396" s="10">
        <v>100</v>
      </c>
      <c r="BN396" s="15">
        <f t="shared" si="12"/>
        <v>100</v>
      </c>
      <c r="BO396" s="16">
        <f t="shared" si="13"/>
        <v>70</v>
      </c>
    </row>
    <row r="397" spans="1:67" x14ac:dyDescent="0.3">
      <c r="A397" s="5" t="s">
        <v>400</v>
      </c>
      <c r="B397" s="5" t="s">
        <v>491</v>
      </c>
      <c r="C397" s="5">
        <v>482098</v>
      </c>
      <c r="D397" s="6"/>
      <c r="E397" s="5" t="s">
        <v>16</v>
      </c>
      <c r="F397" s="5" t="s">
        <v>41</v>
      </c>
      <c r="G397" s="5" t="s">
        <v>382</v>
      </c>
      <c r="H397" s="7" t="s">
        <v>8</v>
      </c>
      <c r="I397" s="7" t="s">
        <v>562</v>
      </c>
      <c r="J397" s="7">
        <v>171</v>
      </c>
      <c r="K397" s="7">
        <v>17360</v>
      </c>
      <c r="L397" s="7">
        <v>17100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8664</v>
      </c>
      <c r="AF397" s="7">
        <v>734300</v>
      </c>
      <c r="AG397" s="7">
        <v>133100</v>
      </c>
      <c r="AH397" s="7">
        <v>0</v>
      </c>
      <c r="AI397" s="7">
        <v>0</v>
      </c>
      <c r="AJ397" s="7">
        <v>0</v>
      </c>
      <c r="AK397" s="7">
        <v>12426</v>
      </c>
      <c r="AL397" s="8">
        <v>1148896</v>
      </c>
      <c r="AM397" s="7">
        <v>287300</v>
      </c>
      <c r="AN397" s="7">
        <v>0</v>
      </c>
      <c r="AO397" s="7">
        <v>0</v>
      </c>
      <c r="AP397" s="7">
        <v>0</v>
      </c>
      <c r="AQ397" s="7">
        <v>1930</v>
      </c>
      <c r="AR397" s="8">
        <v>187500</v>
      </c>
      <c r="AS397" s="7">
        <v>5500</v>
      </c>
      <c r="AT397" s="7">
        <v>0</v>
      </c>
      <c r="AU397" s="7">
        <v>0</v>
      </c>
      <c r="AV397" s="7">
        <v>0</v>
      </c>
      <c r="AW397" s="7">
        <v>73</v>
      </c>
      <c r="AX397" s="7">
        <v>9280</v>
      </c>
      <c r="AY397" s="7">
        <v>0</v>
      </c>
      <c r="AZ397" s="7">
        <v>0</v>
      </c>
      <c r="BA397" s="7">
        <v>0</v>
      </c>
      <c r="BB397" s="7">
        <v>0</v>
      </c>
      <c r="BC397" s="7">
        <v>158</v>
      </c>
      <c r="BD397" s="7">
        <v>18960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9">
        <v>346734.4</v>
      </c>
      <c r="BM397" s="10">
        <v>2541936</v>
      </c>
      <c r="BN397" s="15">
        <f t="shared" si="12"/>
        <v>2195201.6</v>
      </c>
      <c r="BO397" s="16">
        <f t="shared" si="13"/>
        <v>1536641.1199999999</v>
      </c>
    </row>
    <row r="398" spans="1:67" x14ac:dyDescent="0.3">
      <c r="A398" s="5" t="s">
        <v>400</v>
      </c>
      <c r="B398" s="5" t="s">
        <v>15</v>
      </c>
      <c r="C398" s="5">
        <v>465248</v>
      </c>
      <c r="D398" s="6"/>
      <c r="E398" s="5" t="s">
        <v>16</v>
      </c>
      <c r="F398" s="5" t="s">
        <v>17</v>
      </c>
      <c r="G398" s="5" t="s">
        <v>382</v>
      </c>
      <c r="H398" s="7" t="s">
        <v>9</v>
      </c>
      <c r="I398" s="7" t="s">
        <v>18</v>
      </c>
      <c r="J398" s="7">
        <v>104</v>
      </c>
      <c r="K398" s="7">
        <v>6277</v>
      </c>
      <c r="L398" s="8">
        <v>10400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6189</v>
      </c>
      <c r="AF398" s="8">
        <v>515000</v>
      </c>
      <c r="AG398" s="7">
        <v>103900</v>
      </c>
      <c r="AH398" s="7">
        <v>0</v>
      </c>
      <c r="AI398" s="7">
        <v>0</v>
      </c>
      <c r="AJ398" s="7">
        <v>0</v>
      </c>
      <c r="AK398" s="7">
        <v>6847</v>
      </c>
      <c r="AL398" s="8">
        <v>445710</v>
      </c>
      <c r="AM398" s="8">
        <v>319500</v>
      </c>
      <c r="AN398" s="7">
        <v>0</v>
      </c>
      <c r="AO398" s="7">
        <v>0</v>
      </c>
      <c r="AP398" s="7">
        <v>0</v>
      </c>
      <c r="AQ398" s="7">
        <v>1662</v>
      </c>
      <c r="AR398" s="8">
        <v>161500</v>
      </c>
      <c r="AS398" s="7">
        <v>4700</v>
      </c>
      <c r="AT398" s="7">
        <v>0</v>
      </c>
      <c r="AU398" s="7">
        <v>0</v>
      </c>
      <c r="AV398" s="7">
        <v>0</v>
      </c>
      <c r="AW398" s="7">
        <v>86</v>
      </c>
      <c r="AX398" s="7">
        <v>10320</v>
      </c>
      <c r="AY398" s="7">
        <v>0</v>
      </c>
      <c r="AZ398" s="7">
        <v>0</v>
      </c>
      <c r="BA398" s="7">
        <v>0</v>
      </c>
      <c r="BB398" s="7">
        <v>0</v>
      </c>
      <c r="BC398" s="7">
        <v>4</v>
      </c>
      <c r="BD398" s="7">
        <v>480</v>
      </c>
      <c r="BE398" s="7">
        <v>0</v>
      </c>
      <c r="BF398" s="7">
        <v>0</v>
      </c>
      <c r="BG398" s="7">
        <v>0</v>
      </c>
      <c r="BH398" s="7">
        <v>0</v>
      </c>
      <c r="BI398" s="7">
        <v>4</v>
      </c>
      <c r="BJ398" s="7">
        <v>480</v>
      </c>
      <c r="BK398" s="7">
        <v>0</v>
      </c>
      <c r="BL398" s="9">
        <v>134797.79999999999</v>
      </c>
      <c r="BM398" s="10">
        <v>1571990</v>
      </c>
      <c r="BN398" s="15">
        <f t="shared" si="12"/>
        <v>1437192.2</v>
      </c>
      <c r="BO398" s="16">
        <f t="shared" si="13"/>
        <v>1006034.5399999999</v>
      </c>
    </row>
    <row r="399" spans="1:67" x14ac:dyDescent="0.3">
      <c r="A399" s="5" t="s">
        <v>400</v>
      </c>
      <c r="B399" s="5" t="s">
        <v>36</v>
      </c>
      <c r="C399" s="5">
        <v>178856</v>
      </c>
      <c r="D399" s="6"/>
      <c r="E399" s="5" t="s">
        <v>16</v>
      </c>
      <c r="F399" s="5" t="s">
        <v>30</v>
      </c>
      <c r="G399" s="5" t="s">
        <v>10</v>
      </c>
      <c r="H399" s="7" t="s">
        <v>9</v>
      </c>
      <c r="I399" s="7" t="s">
        <v>37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2</v>
      </c>
      <c r="T399" s="7">
        <v>672</v>
      </c>
      <c r="U399" s="7">
        <v>0</v>
      </c>
      <c r="V399" s="7">
        <v>200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2207</v>
      </c>
      <c r="AF399" s="8">
        <v>200600</v>
      </c>
      <c r="AG399" s="7">
        <v>20100</v>
      </c>
      <c r="AH399" s="7">
        <v>0</v>
      </c>
      <c r="AI399" s="7">
        <v>0</v>
      </c>
      <c r="AJ399" s="7">
        <v>0</v>
      </c>
      <c r="AK399" s="7">
        <v>2935</v>
      </c>
      <c r="AL399" s="8">
        <v>293180</v>
      </c>
      <c r="AM399" s="7">
        <v>49300</v>
      </c>
      <c r="AN399" s="7">
        <v>0</v>
      </c>
      <c r="AO399" s="7">
        <v>0</v>
      </c>
      <c r="AP399" s="7">
        <v>0</v>
      </c>
      <c r="AQ399" s="7">
        <v>1362</v>
      </c>
      <c r="AR399" s="8">
        <v>133700</v>
      </c>
      <c r="AS399" s="7">
        <v>2500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107</v>
      </c>
      <c r="BD399" s="7">
        <v>12840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9">
        <v>88724.4</v>
      </c>
      <c r="BM399" s="10">
        <v>712420</v>
      </c>
      <c r="BN399" s="15">
        <f t="shared" si="12"/>
        <v>623695.6</v>
      </c>
      <c r="BO399" s="16">
        <f t="shared" si="13"/>
        <v>436586.92</v>
      </c>
    </row>
    <row r="400" spans="1:67" x14ac:dyDescent="0.3">
      <c r="A400" s="5" t="s">
        <v>400</v>
      </c>
      <c r="B400" s="5" t="s">
        <v>357</v>
      </c>
      <c r="C400" s="5">
        <v>472512</v>
      </c>
      <c r="D400" s="6"/>
      <c r="E400" s="5" t="s">
        <v>16</v>
      </c>
      <c r="F400" s="5" t="s">
        <v>39</v>
      </c>
      <c r="G400" s="5" t="s">
        <v>10</v>
      </c>
      <c r="H400" s="7" t="s">
        <v>7</v>
      </c>
      <c r="I400" s="7" t="s">
        <v>563</v>
      </c>
      <c r="J400" s="7">
        <v>3</v>
      </c>
      <c r="K400" s="7">
        <v>2786</v>
      </c>
      <c r="L400" s="8">
        <v>300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172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3014</v>
      </c>
      <c r="AF400" s="8">
        <v>268480</v>
      </c>
      <c r="AG400" s="8">
        <v>33000</v>
      </c>
      <c r="AH400" s="7">
        <v>0</v>
      </c>
      <c r="AI400" s="7">
        <v>0</v>
      </c>
      <c r="AJ400" s="7">
        <v>0</v>
      </c>
      <c r="AK400" s="7">
        <v>1307</v>
      </c>
      <c r="AL400" s="8">
        <v>96830</v>
      </c>
      <c r="AM400" s="8">
        <v>49300</v>
      </c>
      <c r="AN400" s="7">
        <v>0</v>
      </c>
      <c r="AO400" s="7">
        <v>0</v>
      </c>
      <c r="AP400" s="7">
        <v>0</v>
      </c>
      <c r="AQ400" s="7">
        <v>1472</v>
      </c>
      <c r="AR400" s="7">
        <v>136000</v>
      </c>
      <c r="AS400" s="7">
        <v>11200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20</v>
      </c>
      <c r="BD400" s="7">
        <v>2400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9">
        <v>29193</v>
      </c>
      <c r="BM400" s="10">
        <v>597510</v>
      </c>
      <c r="BN400" s="15">
        <f t="shared" si="12"/>
        <v>568317</v>
      </c>
      <c r="BO400" s="16">
        <f t="shared" si="13"/>
        <v>397821.89999999997</v>
      </c>
    </row>
    <row r="401" spans="1:67" x14ac:dyDescent="0.3">
      <c r="A401" s="5" t="s">
        <v>400</v>
      </c>
      <c r="B401" s="5" t="s">
        <v>44</v>
      </c>
      <c r="C401" s="5">
        <v>324335</v>
      </c>
      <c r="D401" s="6"/>
      <c r="E401" s="5" t="s">
        <v>16</v>
      </c>
      <c r="F401" s="5" t="s">
        <v>30</v>
      </c>
      <c r="G401" s="5" t="s">
        <v>10</v>
      </c>
      <c r="H401" s="7" t="s">
        <v>9</v>
      </c>
      <c r="I401" s="7" t="s">
        <v>45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42</v>
      </c>
      <c r="AF401" s="8">
        <v>120800</v>
      </c>
      <c r="AG401" s="7">
        <v>8900</v>
      </c>
      <c r="AH401" s="7">
        <v>0</v>
      </c>
      <c r="AI401" s="7">
        <v>0</v>
      </c>
      <c r="AJ401" s="7">
        <v>0</v>
      </c>
      <c r="AK401" s="7">
        <v>114</v>
      </c>
      <c r="AL401" s="8">
        <v>420840</v>
      </c>
      <c r="AM401" s="8">
        <v>1600</v>
      </c>
      <c r="AN401" s="7">
        <v>0</v>
      </c>
      <c r="AO401" s="7">
        <v>0</v>
      </c>
      <c r="AP401" s="7">
        <v>0</v>
      </c>
      <c r="AQ401" s="7">
        <v>13</v>
      </c>
      <c r="AR401" s="8">
        <v>39200</v>
      </c>
      <c r="AS401" s="7">
        <v>400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9">
        <v>126252</v>
      </c>
      <c r="BM401" s="10">
        <v>591740</v>
      </c>
      <c r="BN401" s="15">
        <f t="shared" si="12"/>
        <v>465488</v>
      </c>
      <c r="BO401" s="16">
        <f t="shared" si="13"/>
        <v>325841.59999999998</v>
      </c>
    </row>
    <row r="402" spans="1:67" x14ac:dyDescent="0.3">
      <c r="A402" s="5" t="s">
        <v>400</v>
      </c>
      <c r="B402" s="5" t="s">
        <v>498</v>
      </c>
      <c r="C402" s="5">
        <v>478744</v>
      </c>
      <c r="D402" s="6"/>
      <c r="E402" s="5" t="s">
        <v>16</v>
      </c>
      <c r="F402" s="5" t="s">
        <v>499</v>
      </c>
      <c r="G402" s="5" t="s">
        <v>10</v>
      </c>
      <c r="H402" s="7" t="s">
        <v>7</v>
      </c>
      <c r="I402" s="7" t="s">
        <v>564</v>
      </c>
      <c r="J402" s="7">
        <v>3615</v>
      </c>
      <c r="K402" s="7">
        <v>5033</v>
      </c>
      <c r="L402" s="7">
        <v>361500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10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401</v>
      </c>
      <c r="AF402" s="7">
        <v>33200</v>
      </c>
      <c r="AG402" s="8">
        <v>6900</v>
      </c>
      <c r="AH402" s="7">
        <v>0</v>
      </c>
      <c r="AI402" s="7">
        <v>0</v>
      </c>
      <c r="AJ402" s="7">
        <v>0</v>
      </c>
      <c r="AK402" s="7">
        <v>741</v>
      </c>
      <c r="AL402" s="8">
        <v>38549</v>
      </c>
      <c r="AM402" s="8">
        <v>41900</v>
      </c>
      <c r="AN402" s="7">
        <v>0</v>
      </c>
      <c r="AO402" s="7">
        <v>0</v>
      </c>
      <c r="AP402" s="7">
        <v>0</v>
      </c>
      <c r="AQ402" s="7">
        <v>155</v>
      </c>
      <c r="AR402" s="7">
        <v>15500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48</v>
      </c>
      <c r="BD402" s="7">
        <v>5760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9">
        <v>11910.3</v>
      </c>
      <c r="BM402" s="10">
        <v>503309</v>
      </c>
      <c r="BN402" s="15">
        <f t="shared" si="12"/>
        <v>491398.7</v>
      </c>
      <c r="BO402" s="16">
        <f t="shared" si="13"/>
        <v>343979.08999999997</v>
      </c>
    </row>
    <row r="403" spans="1:67" x14ac:dyDescent="0.3">
      <c r="A403" s="5" t="s">
        <v>400</v>
      </c>
      <c r="B403" s="5" t="s">
        <v>46</v>
      </c>
      <c r="C403" s="5">
        <v>412919</v>
      </c>
      <c r="D403" s="6"/>
      <c r="E403" s="5" t="s">
        <v>16</v>
      </c>
      <c r="F403" s="5" t="s">
        <v>47</v>
      </c>
      <c r="G403" s="5" t="s">
        <v>34</v>
      </c>
      <c r="H403" s="7" t="s">
        <v>8</v>
      </c>
      <c r="I403" s="7" t="s">
        <v>48</v>
      </c>
      <c r="J403" s="7">
        <v>0</v>
      </c>
      <c r="K403" s="7">
        <v>1909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181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1002</v>
      </c>
      <c r="AF403" s="8">
        <v>97200</v>
      </c>
      <c r="AG403" s="8">
        <v>3000</v>
      </c>
      <c r="AH403" s="7">
        <v>0</v>
      </c>
      <c r="AI403" s="7">
        <v>0</v>
      </c>
      <c r="AJ403" s="7">
        <v>0</v>
      </c>
      <c r="AK403" s="7">
        <v>2410</v>
      </c>
      <c r="AL403" s="8">
        <v>240750</v>
      </c>
      <c r="AM403" s="8">
        <v>40800</v>
      </c>
      <c r="AN403" s="7">
        <v>0</v>
      </c>
      <c r="AO403" s="7">
        <v>0</v>
      </c>
      <c r="AP403" s="7">
        <v>0</v>
      </c>
      <c r="AQ403" s="7">
        <v>513</v>
      </c>
      <c r="AR403" s="7">
        <v>51100</v>
      </c>
      <c r="AS403" s="7">
        <v>200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80</v>
      </c>
      <c r="BD403" s="7">
        <v>9600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9">
        <v>72801</v>
      </c>
      <c r="BM403" s="10">
        <v>442650</v>
      </c>
      <c r="BN403" s="15">
        <f t="shared" si="12"/>
        <v>369849</v>
      </c>
      <c r="BO403" s="16">
        <f t="shared" si="13"/>
        <v>258894.3</v>
      </c>
    </row>
    <row r="404" spans="1:67" ht="19.5" x14ac:dyDescent="0.3">
      <c r="A404" s="5" t="s">
        <v>400</v>
      </c>
      <c r="B404" s="5" t="s">
        <v>29</v>
      </c>
      <c r="C404" s="5">
        <v>369220</v>
      </c>
      <c r="D404" s="6"/>
      <c r="E404" s="5" t="s">
        <v>16</v>
      </c>
      <c r="F404" s="5" t="s">
        <v>30</v>
      </c>
      <c r="G404" s="5" t="s">
        <v>10</v>
      </c>
      <c r="H404" s="7" t="s">
        <v>7</v>
      </c>
      <c r="I404" s="7" t="s">
        <v>31</v>
      </c>
      <c r="J404" s="7">
        <v>0</v>
      </c>
      <c r="K404" s="7">
        <v>1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144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993</v>
      </c>
      <c r="AF404" s="8">
        <v>94880</v>
      </c>
      <c r="AG404" s="7">
        <v>4900</v>
      </c>
      <c r="AH404" s="7">
        <v>0</v>
      </c>
      <c r="AI404" s="7">
        <v>0</v>
      </c>
      <c r="AJ404" s="7">
        <v>0</v>
      </c>
      <c r="AK404" s="7">
        <v>1942</v>
      </c>
      <c r="AL404" s="7">
        <v>216240</v>
      </c>
      <c r="AM404" s="7">
        <v>14000</v>
      </c>
      <c r="AN404" s="7">
        <v>0</v>
      </c>
      <c r="AO404" s="7">
        <v>0</v>
      </c>
      <c r="AP404" s="7">
        <v>0</v>
      </c>
      <c r="AQ404" s="7">
        <v>994</v>
      </c>
      <c r="AR404" s="8">
        <v>97700</v>
      </c>
      <c r="AS404" s="7">
        <v>1700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64872</v>
      </c>
      <c r="BM404" s="10">
        <v>429420</v>
      </c>
      <c r="BN404" s="15">
        <f t="shared" si="12"/>
        <v>364548</v>
      </c>
      <c r="BO404" s="16">
        <f t="shared" si="13"/>
        <v>255183.59999999998</v>
      </c>
    </row>
    <row r="405" spans="1:67" x14ac:dyDescent="0.3">
      <c r="A405" s="5" t="s">
        <v>400</v>
      </c>
      <c r="B405" s="5" t="s">
        <v>42</v>
      </c>
      <c r="C405" s="5">
        <v>321812</v>
      </c>
      <c r="D405" s="6"/>
      <c r="E405" s="5" t="s">
        <v>16</v>
      </c>
      <c r="F405" s="5" t="s">
        <v>30</v>
      </c>
      <c r="G405" s="5" t="s">
        <v>10</v>
      </c>
      <c r="H405" s="7" t="s">
        <v>7</v>
      </c>
      <c r="I405" s="7" t="s">
        <v>43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103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583</v>
      </c>
      <c r="AF405" s="8">
        <v>43800</v>
      </c>
      <c r="AG405" s="7">
        <v>14500</v>
      </c>
      <c r="AH405" s="7">
        <v>0</v>
      </c>
      <c r="AI405" s="7">
        <v>0</v>
      </c>
      <c r="AJ405" s="7">
        <v>0</v>
      </c>
      <c r="AK405" s="7">
        <v>1642</v>
      </c>
      <c r="AL405" s="8">
        <v>187432</v>
      </c>
      <c r="AM405" s="7">
        <v>10300</v>
      </c>
      <c r="AN405" s="7">
        <v>0</v>
      </c>
      <c r="AO405" s="7">
        <v>0</v>
      </c>
      <c r="AP405" s="7">
        <v>0</v>
      </c>
      <c r="AQ405" s="7">
        <v>1186</v>
      </c>
      <c r="AR405" s="8">
        <v>116700</v>
      </c>
      <c r="AS405" s="7">
        <v>1900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9">
        <v>56229.599999999999</v>
      </c>
      <c r="BM405" s="10">
        <v>374632</v>
      </c>
      <c r="BN405" s="15">
        <f t="shared" si="12"/>
        <v>318402.40000000002</v>
      </c>
      <c r="BO405" s="16">
        <f t="shared" si="13"/>
        <v>222881.68</v>
      </c>
    </row>
    <row r="406" spans="1:67" ht="19.5" x14ac:dyDescent="0.3">
      <c r="A406" s="5" t="s">
        <v>400</v>
      </c>
      <c r="B406" s="5" t="s">
        <v>38</v>
      </c>
      <c r="C406" s="5">
        <v>454534</v>
      </c>
      <c r="D406" s="6"/>
      <c r="E406" s="5" t="s">
        <v>16</v>
      </c>
      <c r="F406" s="5" t="s">
        <v>39</v>
      </c>
      <c r="G406" s="5" t="s">
        <v>10</v>
      </c>
      <c r="H406" s="7" t="s">
        <v>7</v>
      </c>
      <c r="I406" s="7" t="s">
        <v>461</v>
      </c>
      <c r="J406" s="7">
        <v>0</v>
      </c>
      <c r="K406" s="7">
        <v>213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94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963</v>
      </c>
      <c r="AF406" s="7">
        <v>78300</v>
      </c>
      <c r="AG406" s="7">
        <v>18000</v>
      </c>
      <c r="AH406" s="7">
        <v>0</v>
      </c>
      <c r="AI406" s="7">
        <v>0</v>
      </c>
      <c r="AJ406" s="7">
        <v>0</v>
      </c>
      <c r="AK406" s="7">
        <v>981</v>
      </c>
      <c r="AL406" s="8">
        <v>71760</v>
      </c>
      <c r="AM406" s="7">
        <v>38300</v>
      </c>
      <c r="AN406" s="7">
        <v>0</v>
      </c>
      <c r="AO406" s="7">
        <v>0</v>
      </c>
      <c r="AP406" s="7">
        <v>0</v>
      </c>
      <c r="AQ406" s="7">
        <v>748</v>
      </c>
      <c r="AR406" s="7">
        <v>73700</v>
      </c>
      <c r="AS406" s="7">
        <v>1100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9">
        <v>21528</v>
      </c>
      <c r="BM406" s="10">
        <v>281160</v>
      </c>
      <c r="BN406" s="15">
        <f t="shared" si="12"/>
        <v>259632</v>
      </c>
      <c r="BO406" s="16">
        <f t="shared" si="13"/>
        <v>181742.4</v>
      </c>
    </row>
    <row r="407" spans="1:67" x14ac:dyDescent="0.3">
      <c r="A407" s="5" t="s">
        <v>400</v>
      </c>
      <c r="B407" s="5" t="s">
        <v>568</v>
      </c>
      <c r="C407" s="5">
        <v>484142</v>
      </c>
      <c r="D407" s="6"/>
      <c r="E407" s="5" t="s">
        <v>16</v>
      </c>
      <c r="F407" s="5" t="s">
        <v>569</v>
      </c>
      <c r="G407" s="5" t="s">
        <v>382</v>
      </c>
      <c r="H407" s="7" t="s">
        <v>8</v>
      </c>
      <c r="I407" s="7" t="s">
        <v>500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1033</v>
      </c>
      <c r="AF407" s="8">
        <v>94940</v>
      </c>
      <c r="AG407" s="7">
        <v>8500</v>
      </c>
      <c r="AH407" s="7">
        <v>0</v>
      </c>
      <c r="AI407" s="7">
        <v>0</v>
      </c>
      <c r="AJ407" s="7">
        <v>0</v>
      </c>
      <c r="AK407" s="7">
        <v>958</v>
      </c>
      <c r="AL407" s="8">
        <v>73076</v>
      </c>
      <c r="AM407" s="7">
        <v>35000</v>
      </c>
      <c r="AN407" s="7">
        <v>0</v>
      </c>
      <c r="AO407" s="7">
        <v>0</v>
      </c>
      <c r="AP407" s="7">
        <v>0</v>
      </c>
      <c r="AQ407" s="7">
        <v>190</v>
      </c>
      <c r="AR407" s="8">
        <v>18900</v>
      </c>
      <c r="AS407" s="7">
        <v>100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118</v>
      </c>
      <c r="BD407" s="7">
        <v>14160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9">
        <v>22772.400000000001</v>
      </c>
      <c r="BM407" s="10">
        <v>244676</v>
      </c>
      <c r="BN407" s="15">
        <f t="shared" si="12"/>
        <v>221903.6</v>
      </c>
      <c r="BO407" s="16">
        <f t="shared" si="13"/>
        <v>155332.51999999999</v>
      </c>
    </row>
    <row r="408" spans="1:67" x14ac:dyDescent="0.3">
      <c r="A408" s="5" t="s">
        <v>400</v>
      </c>
      <c r="B408" s="5" t="s">
        <v>28</v>
      </c>
      <c r="C408" s="5">
        <v>414278</v>
      </c>
      <c r="D408" s="6"/>
      <c r="E408" s="5" t="s">
        <v>16</v>
      </c>
      <c r="F408" s="5" t="s">
        <v>11</v>
      </c>
      <c r="G408" s="5" t="s">
        <v>10</v>
      </c>
      <c r="H408" s="7" t="s">
        <v>8</v>
      </c>
      <c r="I408" s="7" t="s">
        <v>386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13</v>
      </c>
      <c r="AF408" s="8">
        <v>39800</v>
      </c>
      <c r="AG408" s="8">
        <v>800</v>
      </c>
      <c r="AH408" s="7">
        <v>0</v>
      </c>
      <c r="AI408" s="7">
        <v>0</v>
      </c>
      <c r="AJ408" s="7">
        <v>0</v>
      </c>
      <c r="AK408" s="7">
        <v>4</v>
      </c>
      <c r="AL408" s="8">
        <v>11520</v>
      </c>
      <c r="AM408" s="8">
        <v>1000</v>
      </c>
      <c r="AN408" s="7">
        <v>0</v>
      </c>
      <c r="AO408" s="7">
        <v>0</v>
      </c>
      <c r="AP408" s="7">
        <v>0</v>
      </c>
      <c r="AQ408" s="7">
        <v>58</v>
      </c>
      <c r="AR408" s="8">
        <v>180800</v>
      </c>
      <c r="AS408" s="7">
        <v>4800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9">
        <v>3456</v>
      </c>
      <c r="BM408" s="10">
        <v>238720</v>
      </c>
      <c r="BN408" s="15">
        <f t="shared" si="12"/>
        <v>235264</v>
      </c>
      <c r="BO408" s="16">
        <f t="shared" si="13"/>
        <v>164684.79999999999</v>
      </c>
    </row>
    <row r="409" spans="1:67" ht="19.5" x14ac:dyDescent="0.3">
      <c r="A409" s="5" t="s">
        <v>400</v>
      </c>
      <c r="B409" s="5" t="s">
        <v>390</v>
      </c>
      <c r="C409" s="5">
        <v>476003</v>
      </c>
      <c r="D409" s="6"/>
      <c r="E409" s="5" t="s">
        <v>16</v>
      </c>
      <c r="F409" s="5" t="s">
        <v>30</v>
      </c>
      <c r="G409" s="5" t="s">
        <v>10</v>
      </c>
      <c r="H409" s="7" t="s">
        <v>8</v>
      </c>
      <c r="I409" s="7" t="s">
        <v>386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2</v>
      </c>
      <c r="AF409" s="7">
        <v>0</v>
      </c>
      <c r="AG409" s="8">
        <v>4900</v>
      </c>
      <c r="AH409" s="7">
        <v>0</v>
      </c>
      <c r="AI409" s="7">
        <v>0</v>
      </c>
      <c r="AJ409" s="7">
        <v>0</v>
      </c>
      <c r="AK409" s="7">
        <v>56</v>
      </c>
      <c r="AL409" s="8">
        <v>213000</v>
      </c>
      <c r="AM409" s="8">
        <v>0</v>
      </c>
      <c r="AN409" s="7">
        <v>0</v>
      </c>
      <c r="AO409" s="7">
        <v>0</v>
      </c>
      <c r="AP409" s="7">
        <v>0</v>
      </c>
      <c r="AQ409" s="7">
        <v>0</v>
      </c>
      <c r="AR409" s="8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2</v>
      </c>
      <c r="BD409" s="7">
        <v>7680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9">
        <v>64360.800000000003</v>
      </c>
      <c r="BM409" s="10">
        <v>225580</v>
      </c>
      <c r="BN409" s="15">
        <f t="shared" si="12"/>
        <v>161219.20000000001</v>
      </c>
      <c r="BO409" s="16">
        <f t="shared" si="13"/>
        <v>112853.44</v>
      </c>
    </row>
    <row r="410" spans="1:67" x14ac:dyDescent="0.3">
      <c r="A410" s="5" t="s">
        <v>400</v>
      </c>
      <c r="B410" s="5" t="s">
        <v>65</v>
      </c>
      <c r="C410" s="5">
        <v>387417</v>
      </c>
      <c r="D410" s="6"/>
      <c r="E410" s="5" t="s">
        <v>16</v>
      </c>
      <c r="F410" s="5" t="s">
        <v>66</v>
      </c>
      <c r="G410" s="5" t="s">
        <v>10</v>
      </c>
      <c r="H410" s="7" t="s">
        <v>7</v>
      </c>
      <c r="I410" s="7" t="s">
        <v>67</v>
      </c>
      <c r="J410" s="7">
        <v>0</v>
      </c>
      <c r="K410" s="7">
        <v>250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51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810</v>
      </c>
      <c r="AF410" s="7">
        <v>73260</v>
      </c>
      <c r="AG410" s="7">
        <v>10200</v>
      </c>
      <c r="AH410" s="7">
        <v>0</v>
      </c>
      <c r="AI410" s="7">
        <v>0</v>
      </c>
      <c r="AJ410" s="7">
        <v>0</v>
      </c>
      <c r="AK410" s="7">
        <v>704</v>
      </c>
      <c r="AL410" s="8">
        <v>82906</v>
      </c>
      <c r="AM410" s="7">
        <v>400</v>
      </c>
      <c r="AN410" s="7">
        <v>0</v>
      </c>
      <c r="AO410" s="7">
        <v>0</v>
      </c>
      <c r="AP410" s="7">
        <v>0</v>
      </c>
      <c r="AQ410" s="7">
        <v>367</v>
      </c>
      <c r="AR410" s="7">
        <v>36100</v>
      </c>
      <c r="AS410" s="7">
        <v>600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12</v>
      </c>
      <c r="BD410" s="7">
        <v>1440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9">
        <v>24958.2</v>
      </c>
      <c r="BM410" s="10">
        <v>204906</v>
      </c>
      <c r="BN410" s="15">
        <f t="shared" si="12"/>
        <v>179947.8</v>
      </c>
      <c r="BO410" s="16">
        <f t="shared" si="13"/>
        <v>125963.45999999998</v>
      </c>
    </row>
    <row r="411" spans="1:67" ht="19.5" x14ac:dyDescent="0.3">
      <c r="A411" s="5" t="s">
        <v>400</v>
      </c>
      <c r="B411" s="5" t="s">
        <v>365</v>
      </c>
      <c r="C411" s="5">
        <v>470379</v>
      </c>
      <c r="D411" s="6"/>
      <c r="E411" s="5" t="s">
        <v>16</v>
      </c>
      <c r="F411" s="5" t="s">
        <v>75</v>
      </c>
      <c r="G411" s="5" t="s">
        <v>382</v>
      </c>
      <c r="H411" s="7" t="s">
        <v>7</v>
      </c>
      <c r="I411" s="7" t="s">
        <v>18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9</v>
      </c>
      <c r="AF411" s="8">
        <v>23100</v>
      </c>
      <c r="AG411" s="7">
        <v>5300</v>
      </c>
      <c r="AH411" s="7">
        <v>0</v>
      </c>
      <c r="AI411" s="7">
        <v>0</v>
      </c>
      <c r="AJ411" s="7">
        <v>0</v>
      </c>
      <c r="AK411" s="7">
        <v>22</v>
      </c>
      <c r="AL411" s="8">
        <v>88818</v>
      </c>
      <c r="AM411" s="8">
        <v>1500</v>
      </c>
      <c r="AN411" s="7">
        <v>0</v>
      </c>
      <c r="AO411" s="7">
        <v>0</v>
      </c>
      <c r="AP411" s="7">
        <v>0</v>
      </c>
      <c r="AQ411" s="7">
        <v>23</v>
      </c>
      <c r="AR411" s="8">
        <v>78100</v>
      </c>
      <c r="AS411" s="7">
        <v>1500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9">
        <v>26645.4</v>
      </c>
      <c r="BM411" s="10">
        <v>198318</v>
      </c>
      <c r="BN411" s="15">
        <f t="shared" si="12"/>
        <v>171672.6</v>
      </c>
      <c r="BO411" s="16">
        <f t="shared" si="13"/>
        <v>120170.81999999999</v>
      </c>
    </row>
    <row r="412" spans="1:67" x14ac:dyDescent="0.3">
      <c r="A412" s="5" t="s">
        <v>400</v>
      </c>
      <c r="B412" s="5" t="s">
        <v>74</v>
      </c>
      <c r="C412" s="5">
        <v>465250</v>
      </c>
      <c r="D412" s="6"/>
      <c r="E412" s="5" t="s">
        <v>16</v>
      </c>
      <c r="F412" s="5" t="s">
        <v>75</v>
      </c>
      <c r="G412" s="5" t="s">
        <v>382</v>
      </c>
      <c r="H412" s="7" t="s">
        <v>7</v>
      </c>
      <c r="I412" s="7" t="s">
        <v>76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405</v>
      </c>
      <c r="AF412" s="8">
        <v>40500</v>
      </c>
      <c r="AG412" s="7">
        <v>0</v>
      </c>
      <c r="AH412" s="7">
        <v>0</v>
      </c>
      <c r="AI412" s="7">
        <v>0</v>
      </c>
      <c r="AJ412" s="7">
        <v>0</v>
      </c>
      <c r="AK412" s="7">
        <v>864</v>
      </c>
      <c r="AL412" s="8">
        <v>106728</v>
      </c>
      <c r="AM412" s="8">
        <v>0</v>
      </c>
      <c r="AN412" s="7">
        <v>0</v>
      </c>
      <c r="AO412" s="7">
        <v>0</v>
      </c>
      <c r="AP412" s="7">
        <v>0</v>
      </c>
      <c r="AQ412" s="7">
        <v>471</v>
      </c>
      <c r="AR412" s="8">
        <v>45700</v>
      </c>
      <c r="AS412" s="7">
        <v>1400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9">
        <v>32018.400000000001</v>
      </c>
      <c r="BM412" s="10">
        <v>194328</v>
      </c>
      <c r="BN412" s="15">
        <f t="shared" si="12"/>
        <v>162309.6</v>
      </c>
      <c r="BO412" s="16">
        <f t="shared" si="13"/>
        <v>113616.72</v>
      </c>
    </row>
    <row r="413" spans="1:67" x14ac:dyDescent="0.3">
      <c r="A413" s="5" t="s">
        <v>400</v>
      </c>
      <c r="B413" s="5" t="s">
        <v>565</v>
      </c>
      <c r="C413" s="5">
        <v>484300</v>
      </c>
      <c r="D413" s="6"/>
      <c r="E413" s="5" t="s">
        <v>16</v>
      </c>
      <c r="F413" s="5" t="s">
        <v>566</v>
      </c>
      <c r="G413" s="5" t="s">
        <v>10</v>
      </c>
      <c r="H413" s="7" t="s">
        <v>7</v>
      </c>
      <c r="I413" s="7" t="s">
        <v>567</v>
      </c>
      <c r="J413" s="7">
        <v>4</v>
      </c>
      <c r="K413" s="7">
        <v>0</v>
      </c>
      <c r="L413" s="7">
        <v>400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651</v>
      </c>
      <c r="AF413" s="8">
        <v>64500</v>
      </c>
      <c r="AG413" s="8">
        <v>600</v>
      </c>
      <c r="AH413" s="7">
        <v>0</v>
      </c>
      <c r="AI413" s="7">
        <v>0</v>
      </c>
      <c r="AJ413" s="7">
        <v>0</v>
      </c>
      <c r="AK413" s="7">
        <v>263</v>
      </c>
      <c r="AL413" s="8">
        <v>31560</v>
      </c>
      <c r="AM413" s="7">
        <v>0</v>
      </c>
      <c r="AN413" s="7">
        <v>0</v>
      </c>
      <c r="AO413" s="7">
        <v>0</v>
      </c>
      <c r="AP413" s="7">
        <v>0</v>
      </c>
      <c r="AQ413" s="7">
        <v>726</v>
      </c>
      <c r="AR413" s="7">
        <v>67400</v>
      </c>
      <c r="AS413" s="7">
        <v>5200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9">
        <v>9468</v>
      </c>
      <c r="BM413" s="10">
        <v>169660</v>
      </c>
      <c r="BN413" s="15">
        <f t="shared" si="12"/>
        <v>160192</v>
      </c>
      <c r="BO413" s="16">
        <f t="shared" si="13"/>
        <v>112134.39999999999</v>
      </c>
    </row>
    <row r="414" spans="1:67" x14ac:dyDescent="0.3">
      <c r="A414" s="5" t="s">
        <v>400</v>
      </c>
      <c r="B414" s="5" t="s">
        <v>83</v>
      </c>
      <c r="C414" s="5">
        <v>370935</v>
      </c>
      <c r="D414" s="6"/>
      <c r="E414" s="5" t="s">
        <v>16</v>
      </c>
      <c r="F414" s="5" t="s">
        <v>30</v>
      </c>
      <c r="G414" s="5" t="s">
        <v>10</v>
      </c>
      <c r="H414" s="7" t="s">
        <v>7</v>
      </c>
      <c r="I414" s="7" t="s">
        <v>84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8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29</v>
      </c>
      <c r="AL414" s="7">
        <v>112172</v>
      </c>
      <c r="AM414" s="7">
        <v>0</v>
      </c>
      <c r="AN414" s="7">
        <v>0</v>
      </c>
      <c r="AO414" s="7">
        <v>0</v>
      </c>
      <c r="AP414" s="7">
        <v>0</v>
      </c>
      <c r="AQ414" s="7">
        <v>14</v>
      </c>
      <c r="AR414" s="7">
        <v>43700</v>
      </c>
      <c r="AS414" s="7">
        <v>1100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7">
        <v>33651.599999999999</v>
      </c>
      <c r="BM414" s="10">
        <v>156972</v>
      </c>
      <c r="BN414" s="15">
        <f t="shared" si="12"/>
        <v>123320.4</v>
      </c>
      <c r="BO414" s="16">
        <f t="shared" si="13"/>
        <v>86324.279999999984</v>
      </c>
    </row>
    <row r="415" spans="1:67" x14ac:dyDescent="0.3">
      <c r="A415" s="5" t="s">
        <v>400</v>
      </c>
      <c r="B415" s="5" t="s">
        <v>95</v>
      </c>
      <c r="C415" s="5">
        <v>395179</v>
      </c>
      <c r="D415" s="6"/>
      <c r="E415" s="5" t="s">
        <v>16</v>
      </c>
      <c r="F415" s="5" t="s">
        <v>96</v>
      </c>
      <c r="G415" s="5" t="s">
        <v>10</v>
      </c>
      <c r="H415" s="7" t="s">
        <v>7</v>
      </c>
      <c r="I415" s="7" t="s">
        <v>97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11</v>
      </c>
      <c r="AF415" s="7">
        <v>33700</v>
      </c>
      <c r="AG415" s="7">
        <v>0</v>
      </c>
      <c r="AH415" s="7">
        <v>0</v>
      </c>
      <c r="AI415" s="7">
        <v>0</v>
      </c>
      <c r="AJ415" s="7">
        <v>0</v>
      </c>
      <c r="AK415" s="7">
        <v>25</v>
      </c>
      <c r="AL415" s="8">
        <v>93960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8">
        <v>0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9">
        <v>28188</v>
      </c>
      <c r="BM415" s="10">
        <v>127660</v>
      </c>
      <c r="BN415" s="15">
        <f t="shared" si="12"/>
        <v>99472</v>
      </c>
      <c r="BO415" s="16">
        <f t="shared" si="13"/>
        <v>69630.399999999994</v>
      </c>
    </row>
    <row r="416" spans="1:67" x14ac:dyDescent="0.3">
      <c r="A416" s="5" t="s">
        <v>400</v>
      </c>
      <c r="B416" s="5" t="s">
        <v>60</v>
      </c>
      <c r="C416" s="5">
        <v>245889</v>
      </c>
      <c r="D416" s="6"/>
      <c r="E416" s="5" t="s">
        <v>16</v>
      </c>
      <c r="F416" s="5" t="s">
        <v>30</v>
      </c>
      <c r="G416" s="5" t="s">
        <v>10</v>
      </c>
      <c r="H416" s="7" t="s">
        <v>7</v>
      </c>
      <c r="I416" s="7" t="s">
        <v>61</v>
      </c>
      <c r="J416" s="7">
        <v>3</v>
      </c>
      <c r="K416" s="7">
        <v>0</v>
      </c>
      <c r="L416" s="7">
        <v>300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15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264</v>
      </c>
      <c r="AF416" s="8">
        <v>23100</v>
      </c>
      <c r="AG416" s="8">
        <v>3300</v>
      </c>
      <c r="AH416" s="7">
        <v>0</v>
      </c>
      <c r="AI416" s="7">
        <v>0</v>
      </c>
      <c r="AJ416" s="7">
        <v>0</v>
      </c>
      <c r="AK416" s="7">
        <v>415</v>
      </c>
      <c r="AL416" s="8">
        <v>47640</v>
      </c>
      <c r="AM416" s="7">
        <v>1800</v>
      </c>
      <c r="AN416" s="7">
        <v>0</v>
      </c>
      <c r="AO416" s="7">
        <v>0</v>
      </c>
      <c r="AP416" s="7">
        <v>0</v>
      </c>
      <c r="AQ416" s="7">
        <v>462</v>
      </c>
      <c r="AR416" s="8">
        <v>45000</v>
      </c>
      <c r="AS416" s="7">
        <v>1200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9">
        <v>14292</v>
      </c>
      <c r="BM416" s="10">
        <v>122340</v>
      </c>
      <c r="BN416" s="15">
        <f t="shared" si="12"/>
        <v>108048</v>
      </c>
      <c r="BO416" s="16">
        <f t="shared" si="13"/>
        <v>75633.599999999991</v>
      </c>
    </row>
    <row r="417" spans="1:67" x14ac:dyDescent="0.3">
      <c r="A417" s="5" t="s">
        <v>400</v>
      </c>
      <c r="B417" s="5" t="s">
        <v>71</v>
      </c>
      <c r="C417" s="5">
        <v>219203</v>
      </c>
      <c r="D417" s="6"/>
      <c r="E417" s="5" t="s">
        <v>16</v>
      </c>
      <c r="F417" s="5" t="s">
        <v>72</v>
      </c>
      <c r="G417" s="5" t="s">
        <v>10</v>
      </c>
      <c r="H417" s="7" t="s">
        <v>7</v>
      </c>
      <c r="I417" s="7" t="s">
        <v>73</v>
      </c>
      <c r="J417" s="7">
        <v>22</v>
      </c>
      <c r="K417" s="7">
        <v>15</v>
      </c>
      <c r="L417" s="7">
        <v>100</v>
      </c>
      <c r="M417" s="7">
        <v>0</v>
      </c>
      <c r="N417" s="7">
        <v>0</v>
      </c>
      <c r="O417" s="7">
        <v>2541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129</v>
      </c>
      <c r="AC417" s="7">
        <v>12900</v>
      </c>
      <c r="AD417" s="7">
        <v>0</v>
      </c>
      <c r="AE417" s="7">
        <v>2</v>
      </c>
      <c r="AF417" s="7">
        <v>600</v>
      </c>
      <c r="AG417" s="7">
        <v>0</v>
      </c>
      <c r="AH417" s="7">
        <v>179</v>
      </c>
      <c r="AI417" s="7">
        <v>20883</v>
      </c>
      <c r="AJ417" s="7">
        <v>0</v>
      </c>
      <c r="AK417" s="7">
        <v>116</v>
      </c>
      <c r="AL417" s="8">
        <v>37680</v>
      </c>
      <c r="AM417" s="7">
        <v>3300</v>
      </c>
      <c r="AN417" s="7">
        <v>7</v>
      </c>
      <c r="AO417" s="7">
        <v>700</v>
      </c>
      <c r="AP417" s="7">
        <v>0</v>
      </c>
      <c r="AQ417" s="7">
        <v>49</v>
      </c>
      <c r="AR417" s="8">
        <v>14500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9">
        <v>18331.2</v>
      </c>
      <c r="BM417" s="10">
        <v>93204</v>
      </c>
      <c r="BN417" s="15">
        <f t="shared" si="12"/>
        <v>74872.800000000003</v>
      </c>
      <c r="BO417" s="16">
        <f t="shared" si="13"/>
        <v>52410.96</v>
      </c>
    </row>
    <row r="418" spans="1:67" ht="19.5" x14ac:dyDescent="0.3">
      <c r="A418" s="5" t="s">
        <v>400</v>
      </c>
      <c r="B418" s="5" t="s">
        <v>110</v>
      </c>
      <c r="C418" s="5">
        <v>425289</v>
      </c>
      <c r="D418" s="6"/>
      <c r="E418" s="5" t="s">
        <v>16</v>
      </c>
      <c r="F418" s="5" t="s">
        <v>96</v>
      </c>
      <c r="G418" s="5" t="s">
        <v>10</v>
      </c>
      <c r="H418" s="7" t="s">
        <v>7</v>
      </c>
      <c r="I418" s="7" t="s">
        <v>111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26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9</v>
      </c>
      <c r="AF418" s="7">
        <v>0</v>
      </c>
      <c r="AG418" s="7">
        <v>900</v>
      </c>
      <c r="AH418" s="7">
        <v>0</v>
      </c>
      <c r="AI418" s="8">
        <v>0</v>
      </c>
      <c r="AJ418" s="7">
        <v>0</v>
      </c>
      <c r="AK418" s="7">
        <v>396</v>
      </c>
      <c r="AL418" s="8">
        <v>45960</v>
      </c>
      <c r="AM418" s="8">
        <v>1300</v>
      </c>
      <c r="AN418" s="7">
        <v>0</v>
      </c>
      <c r="AO418" s="7">
        <v>0</v>
      </c>
      <c r="AP418" s="7">
        <v>0</v>
      </c>
      <c r="AQ418" s="7">
        <v>342</v>
      </c>
      <c r="AR418" s="8">
        <v>33600</v>
      </c>
      <c r="AS418" s="7">
        <v>600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0</v>
      </c>
      <c r="BJ418" s="7">
        <v>0</v>
      </c>
      <c r="BK418" s="7">
        <v>0</v>
      </c>
      <c r="BL418" s="9">
        <v>13788</v>
      </c>
      <c r="BM418" s="10">
        <v>82360</v>
      </c>
      <c r="BN418" s="15">
        <f t="shared" si="12"/>
        <v>68572</v>
      </c>
      <c r="BO418" s="16">
        <f t="shared" si="13"/>
        <v>48000.399999999994</v>
      </c>
    </row>
    <row r="419" spans="1:67" x14ac:dyDescent="0.3">
      <c r="A419" s="5" t="s">
        <v>400</v>
      </c>
      <c r="B419" s="5" t="s">
        <v>40</v>
      </c>
      <c r="C419" s="5">
        <v>457807</v>
      </c>
      <c r="D419" s="6"/>
      <c r="E419" s="5" t="s">
        <v>16</v>
      </c>
      <c r="F419" s="5" t="s">
        <v>41</v>
      </c>
      <c r="G419" s="5" t="s">
        <v>34</v>
      </c>
      <c r="H419" s="7" t="s">
        <v>8</v>
      </c>
      <c r="I419" s="7" t="s">
        <v>381</v>
      </c>
      <c r="J419" s="7">
        <v>47</v>
      </c>
      <c r="K419" s="7">
        <v>0</v>
      </c>
      <c r="L419" s="7">
        <v>4700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32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85</v>
      </c>
      <c r="AF419" s="8">
        <v>7800</v>
      </c>
      <c r="AG419" s="7">
        <v>700</v>
      </c>
      <c r="AH419" s="7">
        <v>0</v>
      </c>
      <c r="AI419" s="7">
        <v>0</v>
      </c>
      <c r="AJ419" s="7">
        <v>0</v>
      </c>
      <c r="AK419" s="7">
        <v>473</v>
      </c>
      <c r="AL419" s="8">
        <v>55644</v>
      </c>
      <c r="AM419" s="7">
        <v>900</v>
      </c>
      <c r="AN419" s="7">
        <v>0</v>
      </c>
      <c r="AO419" s="7">
        <v>0</v>
      </c>
      <c r="AP419" s="7">
        <v>0</v>
      </c>
      <c r="AQ419" s="7">
        <v>76</v>
      </c>
      <c r="AR419" s="8">
        <v>7500</v>
      </c>
      <c r="AS419" s="7">
        <v>100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1</v>
      </c>
      <c r="BD419" s="7">
        <v>120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9">
        <v>16700.400000000001</v>
      </c>
      <c r="BM419" s="10">
        <v>77464</v>
      </c>
      <c r="BN419" s="15">
        <f t="shared" si="12"/>
        <v>60763.6</v>
      </c>
      <c r="BO419" s="16">
        <f t="shared" si="13"/>
        <v>42534.52</v>
      </c>
    </row>
    <row r="420" spans="1:67" x14ac:dyDescent="0.3">
      <c r="A420" s="5" t="s">
        <v>400</v>
      </c>
      <c r="B420" s="5" t="s">
        <v>88</v>
      </c>
      <c r="C420" s="5">
        <v>364724</v>
      </c>
      <c r="D420" s="6"/>
      <c r="E420" s="5" t="s">
        <v>16</v>
      </c>
      <c r="F420" s="5" t="s">
        <v>89</v>
      </c>
      <c r="G420" s="5" t="s">
        <v>10</v>
      </c>
      <c r="H420" s="7" t="s">
        <v>7</v>
      </c>
      <c r="I420" s="7" t="s">
        <v>90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12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205</v>
      </c>
      <c r="AF420" s="8">
        <v>19700</v>
      </c>
      <c r="AG420" s="7">
        <v>800</v>
      </c>
      <c r="AH420" s="7">
        <v>0</v>
      </c>
      <c r="AI420" s="7">
        <v>0</v>
      </c>
      <c r="AJ420" s="7">
        <v>0</v>
      </c>
      <c r="AK420" s="7">
        <v>430</v>
      </c>
      <c r="AL420" s="8">
        <v>51600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9">
        <v>15480</v>
      </c>
      <c r="BM420" s="10">
        <v>72100</v>
      </c>
      <c r="BN420" s="15">
        <f t="shared" si="12"/>
        <v>56620</v>
      </c>
      <c r="BO420" s="16">
        <f t="shared" si="13"/>
        <v>39634</v>
      </c>
    </row>
    <row r="421" spans="1:67" x14ac:dyDescent="0.3">
      <c r="A421" s="5" t="s">
        <v>400</v>
      </c>
      <c r="B421" s="5" t="s">
        <v>125</v>
      </c>
      <c r="C421" s="5">
        <v>290890</v>
      </c>
      <c r="D421" s="6"/>
      <c r="E421" s="5" t="s">
        <v>16</v>
      </c>
      <c r="F421" s="5" t="s">
        <v>30</v>
      </c>
      <c r="G421" s="5" t="s">
        <v>10</v>
      </c>
      <c r="H421" s="7" t="s">
        <v>7</v>
      </c>
      <c r="I421" s="7" t="s">
        <v>126</v>
      </c>
      <c r="J421" s="7">
        <v>0</v>
      </c>
      <c r="K421" s="7">
        <v>1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7</v>
      </c>
      <c r="AC421" s="7">
        <v>0</v>
      </c>
      <c r="AD421" s="7">
        <v>5800</v>
      </c>
      <c r="AE421" s="7">
        <v>1</v>
      </c>
      <c r="AF421" s="7">
        <v>0</v>
      </c>
      <c r="AG421" s="8">
        <v>1700</v>
      </c>
      <c r="AH421" s="7">
        <v>11</v>
      </c>
      <c r="AI421" s="7">
        <v>11880</v>
      </c>
      <c r="AJ421" s="7">
        <v>0</v>
      </c>
      <c r="AK421" s="7">
        <v>11</v>
      </c>
      <c r="AL421" s="8">
        <v>42240</v>
      </c>
      <c r="AM421" s="8">
        <v>0</v>
      </c>
      <c r="AN421" s="7">
        <v>4</v>
      </c>
      <c r="AO421" s="7">
        <v>3200</v>
      </c>
      <c r="AP421" s="7">
        <v>0</v>
      </c>
      <c r="AQ421" s="7">
        <v>2</v>
      </c>
      <c r="AR421" s="7">
        <v>4700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9">
        <v>16236</v>
      </c>
      <c r="BM421" s="10">
        <v>69520</v>
      </c>
      <c r="BN421" s="15">
        <f t="shared" si="12"/>
        <v>53284</v>
      </c>
      <c r="BO421" s="16">
        <f t="shared" si="13"/>
        <v>37298.799999999996</v>
      </c>
    </row>
    <row r="422" spans="1:67" x14ac:dyDescent="0.3">
      <c r="A422" s="5" t="s">
        <v>400</v>
      </c>
      <c r="B422" s="5" t="s">
        <v>570</v>
      </c>
      <c r="C422" s="5">
        <v>483173</v>
      </c>
      <c r="D422" s="6"/>
      <c r="E422" s="5" t="s">
        <v>16</v>
      </c>
      <c r="F422" s="5" t="s">
        <v>571</v>
      </c>
      <c r="G422" s="5" t="s">
        <v>382</v>
      </c>
      <c r="H422" s="7" t="s">
        <v>8</v>
      </c>
      <c r="I422" s="7" t="s">
        <v>572</v>
      </c>
      <c r="J422" s="7">
        <v>0</v>
      </c>
      <c r="K422" s="7">
        <v>112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389</v>
      </c>
      <c r="AF422" s="7">
        <v>34000</v>
      </c>
      <c r="AG422" s="7">
        <v>4900</v>
      </c>
      <c r="AH422" s="7">
        <v>0</v>
      </c>
      <c r="AI422" s="7">
        <v>0</v>
      </c>
      <c r="AJ422" s="7">
        <v>0</v>
      </c>
      <c r="AK422" s="7">
        <v>214</v>
      </c>
      <c r="AL422" s="7">
        <v>25680</v>
      </c>
      <c r="AM422" s="7">
        <v>0</v>
      </c>
      <c r="AN422" s="7">
        <v>0</v>
      </c>
      <c r="AO422" s="7">
        <v>0</v>
      </c>
      <c r="AP422" s="7">
        <v>0</v>
      </c>
      <c r="AQ422" s="7">
        <v>24</v>
      </c>
      <c r="AR422" s="8">
        <v>2400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0</v>
      </c>
      <c r="BL422" s="7">
        <v>7704</v>
      </c>
      <c r="BM422" s="10">
        <v>66980</v>
      </c>
      <c r="BN422" s="15">
        <f t="shared" si="12"/>
        <v>59276</v>
      </c>
      <c r="BO422" s="16">
        <f t="shared" si="13"/>
        <v>41493.199999999997</v>
      </c>
    </row>
    <row r="423" spans="1:67" x14ac:dyDescent="0.3">
      <c r="A423" s="5" t="s">
        <v>400</v>
      </c>
      <c r="B423" s="5" t="s">
        <v>387</v>
      </c>
      <c r="C423" s="5">
        <v>476783</v>
      </c>
      <c r="D423" s="6"/>
      <c r="E423" s="5" t="s">
        <v>16</v>
      </c>
      <c r="F423" s="5" t="s">
        <v>388</v>
      </c>
      <c r="G423" s="5" t="s">
        <v>34</v>
      </c>
      <c r="H423" s="7" t="s">
        <v>8</v>
      </c>
      <c r="I423" s="7" t="s">
        <v>389</v>
      </c>
      <c r="J423" s="7">
        <v>23</v>
      </c>
      <c r="K423" s="7">
        <v>1288</v>
      </c>
      <c r="L423" s="7">
        <v>2300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200</v>
      </c>
      <c r="AF423" s="8">
        <v>17000</v>
      </c>
      <c r="AG423" s="7">
        <v>3000</v>
      </c>
      <c r="AH423" s="7">
        <v>0</v>
      </c>
      <c r="AI423" s="7">
        <v>0</v>
      </c>
      <c r="AJ423" s="7">
        <v>0</v>
      </c>
      <c r="AK423" s="7">
        <v>372</v>
      </c>
      <c r="AL423" s="8">
        <v>33594</v>
      </c>
      <c r="AM423" s="7">
        <v>9200</v>
      </c>
      <c r="AN423" s="7">
        <v>0</v>
      </c>
      <c r="AO423" s="7">
        <v>0</v>
      </c>
      <c r="AP423" s="7">
        <v>0</v>
      </c>
      <c r="AQ423" s="7">
        <v>4</v>
      </c>
      <c r="AR423" s="7">
        <v>400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1</v>
      </c>
      <c r="BD423" s="7">
        <v>120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9">
        <v>10085.4</v>
      </c>
      <c r="BM423" s="10">
        <v>65614</v>
      </c>
      <c r="BN423" s="15">
        <f t="shared" si="12"/>
        <v>55528.6</v>
      </c>
      <c r="BO423" s="16">
        <f t="shared" si="13"/>
        <v>38870.019999999997</v>
      </c>
    </row>
    <row r="424" spans="1:67" x14ac:dyDescent="0.3">
      <c r="A424" s="5" t="s">
        <v>400</v>
      </c>
      <c r="B424" s="5" t="s">
        <v>93</v>
      </c>
      <c r="C424" s="5">
        <v>211158</v>
      </c>
      <c r="D424" s="6"/>
      <c r="E424" s="5" t="s">
        <v>16</v>
      </c>
      <c r="F424" s="5" t="s">
        <v>30</v>
      </c>
      <c r="G424" s="5" t="s">
        <v>10</v>
      </c>
      <c r="H424" s="7" t="s">
        <v>7</v>
      </c>
      <c r="I424" s="7" t="s">
        <v>94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173</v>
      </c>
      <c r="AF424" s="8">
        <v>15400</v>
      </c>
      <c r="AG424" s="8">
        <v>1900</v>
      </c>
      <c r="AH424" s="7">
        <v>0</v>
      </c>
      <c r="AI424" s="7">
        <v>0</v>
      </c>
      <c r="AJ424" s="7">
        <v>0</v>
      </c>
      <c r="AK424" s="7">
        <v>303</v>
      </c>
      <c r="AL424" s="8">
        <v>36360</v>
      </c>
      <c r="AM424" s="8">
        <v>0</v>
      </c>
      <c r="AN424" s="7">
        <v>0</v>
      </c>
      <c r="AO424" s="7">
        <v>0</v>
      </c>
      <c r="AP424" s="7">
        <v>0</v>
      </c>
      <c r="AQ424" s="7">
        <v>0</v>
      </c>
      <c r="AR424" s="8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7">
        <v>10908</v>
      </c>
      <c r="BM424" s="10">
        <v>53660</v>
      </c>
      <c r="BN424" s="15">
        <f t="shared" si="12"/>
        <v>42752</v>
      </c>
      <c r="BO424" s="16">
        <f t="shared" si="13"/>
        <v>29926.399999999998</v>
      </c>
    </row>
    <row r="425" spans="1:67" x14ac:dyDescent="0.3">
      <c r="A425" s="5" t="s">
        <v>400</v>
      </c>
      <c r="B425" s="5" t="s">
        <v>62</v>
      </c>
      <c r="C425" s="5">
        <v>386960</v>
      </c>
      <c r="D425" s="6"/>
      <c r="E425" s="5" t="s">
        <v>16</v>
      </c>
      <c r="F425" s="5" t="s">
        <v>63</v>
      </c>
      <c r="G425" s="5" t="s">
        <v>10</v>
      </c>
      <c r="H425" s="7" t="s">
        <v>7</v>
      </c>
      <c r="I425" s="7" t="s">
        <v>64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28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106</v>
      </c>
      <c r="AF425" s="7">
        <v>4700</v>
      </c>
      <c r="AG425" s="7">
        <v>5900</v>
      </c>
      <c r="AH425" s="7">
        <v>0</v>
      </c>
      <c r="AI425" s="7">
        <v>0</v>
      </c>
      <c r="AJ425" s="7">
        <v>0</v>
      </c>
      <c r="AK425" s="7">
        <v>154</v>
      </c>
      <c r="AL425" s="8">
        <v>1440</v>
      </c>
      <c r="AM425" s="7">
        <v>14200</v>
      </c>
      <c r="AN425" s="7">
        <v>0</v>
      </c>
      <c r="AO425" s="7">
        <v>0</v>
      </c>
      <c r="AP425" s="7">
        <v>0</v>
      </c>
      <c r="AQ425" s="7">
        <v>267</v>
      </c>
      <c r="AR425" s="8">
        <v>26600</v>
      </c>
      <c r="AS425" s="7">
        <v>100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0</v>
      </c>
      <c r="BJ425" s="7">
        <v>0</v>
      </c>
      <c r="BK425" s="7">
        <v>0</v>
      </c>
      <c r="BL425" s="9">
        <v>432</v>
      </c>
      <c r="BM425" s="10">
        <v>52940</v>
      </c>
      <c r="BN425" s="15">
        <f t="shared" si="12"/>
        <v>52508</v>
      </c>
      <c r="BO425" s="16">
        <f t="shared" si="13"/>
        <v>36755.599999999999</v>
      </c>
    </row>
    <row r="426" spans="1:67" ht="19.5" x14ac:dyDescent="0.3">
      <c r="A426" s="5" t="s">
        <v>400</v>
      </c>
      <c r="B426" s="5" t="s">
        <v>515</v>
      </c>
      <c r="C426" s="5">
        <v>431419</v>
      </c>
      <c r="D426" s="6"/>
      <c r="E426" s="5" t="s">
        <v>16</v>
      </c>
      <c r="F426" s="5" t="s">
        <v>96</v>
      </c>
      <c r="G426" s="5" t="s">
        <v>10</v>
      </c>
      <c r="H426" s="7" t="s">
        <v>7</v>
      </c>
      <c r="I426" s="7" t="s">
        <v>394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8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12</v>
      </c>
      <c r="AL426" s="8">
        <v>46080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9">
        <v>13824</v>
      </c>
      <c r="BM426" s="10">
        <v>46080</v>
      </c>
      <c r="BN426" s="15">
        <f t="shared" si="12"/>
        <v>32256</v>
      </c>
      <c r="BO426" s="16">
        <f t="shared" si="13"/>
        <v>22579.199999999997</v>
      </c>
    </row>
    <row r="427" spans="1:67" x14ac:dyDescent="0.3">
      <c r="A427" s="5" t="s">
        <v>400</v>
      </c>
      <c r="B427" s="5" t="s">
        <v>501</v>
      </c>
      <c r="C427" s="5">
        <v>483179</v>
      </c>
      <c r="D427" s="6"/>
      <c r="E427" s="5" t="s">
        <v>16</v>
      </c>
      <c r="F427" s="5" t="s">
        <v>502</v>
      </c>
      <c r="G427" s="5" t="s">
        <v>34</v>
      </c>
      <c r="H427" s="7" t="s">
        <v>8</v>
      </c>
      <c r="I427" s="7" t="s">
        <v>503</v>
      </c>
      <c r="J427" s="7">
        <v>0</v>
      </c>
      <c r="K427" s="7">
        <v>6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101</v>
      </c>
      <c r="AF427" s="7">
        <v>9800</v>
      </c>
      <c r="AG427" s="7">
        <v>300</v>
      </c>
      <c r="AH427" s="7">
        <v>0</v>
      </c>
      <c r="AI427" s="7">
        <v>0</v>
      </c>
      <c r="AJ427" s="7">
        <v>0</v>
      </c>
      <c r="AK427" s="7">
        <v>234</v>
      </c>
      <c r="AL427" s="8">
        <v>18840</v>
      </c>
      <c r="AM427" s="7">
        <v>7700</v>
      </c>
      <c r="AN427" s="7">
        <v>0</v>
      </c>
      <c r="AO427" s="7">
        <v>0</v>
      </c>
      <c r="AP427" s="7">
        <v>0</v>
      </c>
      <c r="AQ427" s="7">
        <v>18</v>
      </c>
      <c r="AR427" s="7">
        <v>1800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9">
        <v>5652</v>
      </c>
      <c r="BM427" s="10">
        <v>38440</v>
      </c>
      <c r="BN427" s="15">
        <f t="shared" si="12"/>
        <v>32788</v>
      </c>
      <c r="BO427" s="16">
        <f t="shared" si="13"/>
        <v>22951.599999999999</v>
      </c>
    </row>
    <row r="428" spans="1:67" x14ac:dyDescent="0.3">
      <c r="A428" s="5" t="s">
        <v>400</v>
      </c>
      <c r="B428" s="5" t="s">
        <v>459</v>
      </c>
      <c r="C428" s="5">
        <v>478890</v>
      </c>
      <c r="D428" s="6"/>
      <c r="E428" s="5" t="s">
        <v>16</v>
      </c>
      <c r="F428" s="5" t="s">
        <v>393</v>
      </c>
      <c r="G428" s="5" t="s">
        <v>382</v>
      </c>
      <c r="H428" s="7" t="s">
        <v>8</v>
      </c>
      <c r="I428" s="7" t="s">
        <v>460</v>
      </c>
      <c r="J428" s="7">
        <v>35</v>
      </c>
      <c r="K428" s="7">
        <v>0</v>
      </c>
      <c r="L428" s="7">
        <v>3500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48</v>
      </c>
      <c r="AF428" s="7">
        <v>3000</v>
      </c>
      <c r="AG428" s="7">
        <v>1800</v>
      </c>
      <c r="AH428" s="7">
        <v>0</v>
      </c>
      <c r="AI428" s="7">
        <v>0</v>
      </c>
      <c r="AJ428" s="7">
        <v>0</v>
      </c>
      <c r="AK428" s="7">
        <v>193</v>
      </c>
      <c r="AL428" s="7">
        <v>17520</v>
      </c>
      <c r="AM428" s="8">
        <v>4700</v>
      </c>
      <c r="AN428" s="7">
        <v>0</v>
      </c>
      <c r="AO428" s="7">
        <v>0</v>
      </c>
      <c r="AP428" s="7">
        <v>0</v>
      </c>
      <c r="AQ428" s="7">
        <v>79</v>
      </c>
      <c r="AR428" s="8">
        <v>7900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7">
        <v>5256</v>
      </c>
      <c r="BM428" s="10">
        <v>38420</v>
      </c>
      <c r="BN428" s="15">
        <f t="shared" si="12"/>
        <v>33164</v>
      </c>
      <c r="BO428" s="16">
        <f t="shared" si="13"/>
        <v>23214.799999999999</v>
      </c>
    </row>
    <row r="429" spans="1:67" x14ac:dyDescent="0.3">
      <c r="A429" s="5" t="s">
        <v>400</v>
      </c>
      <c r="B429" s="5" t="s">
        <v>145</v>
      </c>
      <c r="C429" s="5">
        <v>428319</v>
      </c>
      <c r="D429" s="6"/>
      <c r="E429" s="5" t="s">
        <v>16</v>
      </c>
      <c r="F429" s="5" t="s">
        <v>96</v>
      </c>
      <c r="G429" s="5" t="s">
        <v>10</v>
      </c>
      <c r="H429" s="7" t="s">
        <v>7</v>
      </c>
      <c r="I429" s="7" t="s">
        <v>109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4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92</v>
      </c>
      <c r="AF429" s="8">
        <v>9200</v>
      </c>
      <c r="AG429" s="7">
        <v>0</v>
      </c>
      <c r="AH429" s="7">
        <v>0</v>
      </c>
      <c r="AI429" s="7">
        <v>0</v>
      </c>
      <c r="AJ429" s="7">
        <v>0</v>
      </c>
      <c r="AK429" s="7">
        <v>229</v>
      </c>
      <c r="AL429" s="8">
        <v>27000</v>
      </c>
      <c r="AM429" s="7">
        <v>400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9">
        <v>8100</v>
      </c>
      <c r="BM429" s="10">
        <v>36600</v>
      </c>
      <c r="BN429" s="15">
        <f t="shared" si="12"/>
        <v>28500</v>
      </c>
      <c r="BO429" s="16">
        <f t="shared" si="13"/>
        <v>19950</v>
      </c>
    </row>
    <row r="430" spans="1:67" x14ac:dyDescent="0.3">
      <c r="A430" s="5" t="s">
        <v>400</v>
      </c>
      <c r="B430" s="5" t="s">
        <v>19</v>
      </c>
      <c r="C430" s="5">
        <v>463799</v>
      </c>
      <c r="D430" s="6"/>
      <c r="E430" s="5" t="s">
        <v>16</v>
      </c>
      <c r="F430" s="5" t="s">
        <v>20</v>
      </c>
      <c r="G430" s="5" t="s">
        <v>10</v>
      </c>
      <c r="H430" s="7" t="s">
        <v>7</v>
      </c>
      <c r="I430" s="7" t="s">
        <v>21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24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222</v>
      </c>
      <c r="AF430" s="8">
        <v>20300</v>
      </c>
      <c r="AG430" s="7">
        <v>1900</v>
      </c>
      <c r="AH430" s="7">
        <v>0</v>
      </c>
      <c r="AI430" s="7">
        <v>0</v>
      </c>
      <c r="AJ430" s="7">
        <v>0</v>
      </c>
      <c r="AK430" s="7">
        <v>38</v>
      </c>
      <c r="AL430" s="8">
        <v>3720</v>
      </c>
      <c r="AM430" s="7">
        <v>700</v>
      </c>
      <c r="AN430" s="7">
        <v>0</v>
      </c>
      <c r="AO430" s="7">
        <v>0</v>
      </c>
      <c r="AP430" s="7">
        <v>0</v>
      </c>
      <c r="AQ430" s="7">
        <v>92</v>
      </c>
      <c r="AR430" s="8">
        <v>8700</v>
      </c>
      <c r="AS430" s="7">
        <v>500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s="7">
        <v>0</v>
      </c>
      <c r="BK430" s="7">
        <v>0</v>
      </c>
      <c r="BL430" s="9">
        <v>1116</v>
      </c>
      <c r="BM430" s="10">
        <v>35820</v>
      </c>
      <c r="BN430" s="15">
        <f t="shared" si="12"/>
        <v>34704</v>
      </c>
      <c r="BO430" s="16">
        <f t="shared" si="13"/>
        <v>24292.799999999999</v>
      </c>
    </row>
    <row r="431" spans="1:67" x14ac:dyDescent="0.3">
      <c r="A431" s="5" t="s">
        <v>400</v>
      </c>
      <c r="B431" s="5" t="s">
        <v>143</v>
      </c>
      <c r="C431" s="5">
        <v>392777</v>
      </c>
      <c r="D431" s="6"/>
      <c r="E431" s="5" t="s">
        <v>16</v>
      </c>
      <c r="F431" s="5" t="s">
        <v>89</v>
      </c>
      <c r="G431" s="5" t="s">
        <v>10</v>
      </c>
      <c r="H431" s="7" t="s">
        <v>7</v>
      </c>
      <c r="I431" s="7" t="s">
        <v>144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8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10</v>
      </c>
      <c r="AL431" s="7">
        <v>15360</v>
      </c>
      <c r="AM431" s="7">
        <v>19200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7">
        <v>4608</v>
      </c>
      <c r="BM431" s="10">
        <v>34560</v>
      </c>
      <c r="BN431" s="15">
        <f t="shared" si="12"/>
        <v>29952</v>
      </c>
      <c r="BO431" s="16">
        <f t="shared" si="13"/>
        <v>20966.399999999998</v>
      </c>
    </row>
    <row r="432" spans="1:67" x14ac:dyDescent="0.3">
      <c r="A432" s="5" t="s">
        <v>400</v>
      </c>
      <c r="B432" s="5" t="s">
        <v>32</v>
      </c>
      <c r="C432" s="5">
        <v>395270</v>
      </c>
      <c r="D432" s="6"/>
      <c r="E432" s="5" t="s">
        <v>16</v>
      </c>
      <c r="F432" s="5" t="s">
        <v>33</v>
      </c>
      <c r="G432" s="5" t="s">
        <v>34</v>
      </c>
      <c r="H432" s="7" t="s">
        <v>8</v>
      </c>
      <c r="I432" s="7" t="s">
        <v>35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12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19</v>
      </c>
      <c r="AF432" s="7">
        <v>1220</v>
      </c>
      <c r="AG432" s="7">
        <v>700</v>
      </c>
      <c r="AH432" s="7">
        <v>0</v>
      </c>
      <c r="AI432" s="7">
        <v>0</v>
      </c>
      <c r="AJ432" s="7">
        <v>0</v>
      </c>
      <c r="AK432" s="7">
        <v>134</v>
      </c>
      <c r="AL432" s="8">
        <v>15480</v>
      </c>
      <c r="AM432" s="7">
        <v>500</v>
      </c>
      <c r="AN432" s="7">
        <v>0</v>
      </c>
      <c r="AO432" s="7">
        <v>0</v>
      </c>
      <c r="AP432" s="7">
        <v>0</v>
      </c>
      <c r="AQ432" s="7">
        <v>81</v>
      </c>
      <c r="AR432" s="7">
        <v>8100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9">
        <v>4644</v>
      </c>
      <c r="BM432" s="10">
        <v>26000</v>
      </c>
      <c r="BN432" s="15">
        <f t="shared" si="12"/>
        <v>21356</v>
      </c>
      <c r="BO432" s="16">
        <f t="shared" si="13"/>
        <v>14949.199999999999</v>
      </c>
    </row>
    <row r="433" spans="1:67" x14ac:dyDescent="0.3">
      <c r="A433" s="5" t="s">
        <v>400</v>
      </c>
      <c r="B433" s="5" t="s">
        <v>127</v>
      </c>
      <c r="C433" s="5">
        <v>383229</v>
      </c>
      <c r="D433" s="6"/>
      <c r="E433" s="5" t="s">
        <v>16</v>
      </c>
      <c r="F433" s="5" t="s">
        <v>128</v>
      </c>
      <c r="G433" s="5" t="s">
        <v>34</v>
      </c>
      <c r="H433" s="7" t="s">
        <v>8</v>
      </c>
      <c r="I433" s="7" t="s">
        <v>129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5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69</v>
      </c>
      <c r="AF433" s="8">
        <v>6300</v>
      </c>
      <c r="AG433" s="7">
        <v>600</v>
      </c>
      <c r="AH433" s="7">
        <v>0</v>
      </c>
      <c r="AI433" s="7">
        <v>0</v>
      </c>
      <c r="AJ433" s="7">
        <v>0</v>
      </c>
      <c r="AK433" s="7">
        <v>141</v>
      </c>
      <c r="AL433" s="7">
        <v>7440</v>
      </c>
      <c r="AM433" s="7">
        <v>7900</v>
      </c>
      <c r="AN433" s="7">
        <v>0</v>
      </c>
      <c r="AO433" s="7">
        <v>0</v>
      </c>
      <c r="AP433" s="7">
        <v>0</v>
      </c>
      <c r="AQ433" s="7">
        <v>4</v>
      </c>
      <c r="AR433" s="7">
        <v>400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7">
        <v>2232</v>
      </c>
      <c r="BM433" s="10">
        <v>22640</v>
      </c>
      <c r="BN433" s="15">
        <f t="shared" si="12"/>
        <v>20408</v>
      </c>
      <c r="BO433" s="16">
        <f t="shared" si="13"/>
        <v>14285.599999999999</v>
      </c>
    </row>
    <row r="434" spans="1:67" x14ac:dyDescent="0.3">
      <c r="A434" s="5" t="s">
        <v>400</v>
      </c>
      <c r="B434" s="5" t="s">
        <v>107</v>
      </c>
      <c r="C434" s="5">
        <v>428379</v>
      </c>
      <c r="D434" s="6"/>
      <c r="E434" s="5" t="s">
        <v>16</v>
      </c>
      <c r="F434" s="5" t="s">
        <v>108</v>
      </c>
      <c r="G434" s="5" t="s">
        <v>382</v>
      </c>
      <c r="H434" s="7" t="s">
        <v>8</v>
      </c>
      <c r="I434" s="7" t="s">
        <v>109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47</v>
      </c>
      <c r="AF434" s="8">
        <v>4000</v>
      </c>
      <c r="AG434" s="7">
        <v>700</v>
      </c>
      <c r="AH434" s="7">
        <v>0</v>
      </c>
      <c r="AI434" s="7">
        <v>0</v>
      </c>
      <c r="AJ434" s="7">
        <v>0</v>
      </c>
      <c r="AK434" s="7">
        <v>112</v>
      </c>
      <c r="AL434" s="8">
        <v>12066</v>
      </c>
      <c r="AM434" s="7">
        <v>900</v>
      </c>
      <c r="AN434" s="7">
        <v>0</v>
      </c>
      <c r="AO434" s="7">
        <v>0</v>
      </c>
      <c r="AP434" s="7">
        <v>0</v>
      </c>
      <c r="AQ434" s="7">
        <v>45</v>
      </c>
      <c r="AR434" s="8">
        <v>4500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9">
        <v>3619.8</v>
      </c>
      <c r="BM434" s="10">
        <v>22166</v>
      </c>
      <c r="BN434" s="15">
        <f t="shared" si="12"/>
        <v>18546.2</v>
      </c>
      <c r="BO434" s="16">
        <f t="shared" si="13"/>
        <v>12982.34</v>
      </c>
    </row>
    <row r="435" spans="1:67" x14ac:dyDescent="0.3">
      <c r="A435" s="5" t="s">
        <v>400</v>
      </c>
      <c r="B435" s="5" t="s">
        <v>171</v>
      </c>
      <c r="C435" s="5">
        <v>316658</v>
      </c>
      <c r="D435" s="6"/>
      <c r="E435" s="5" t="s">
        <v>16</v>
      </c>
      <c r="F435" s="5" t="s">
        <v>66</v>
      </c>
      <c r="G435" s="5" t="s">
        <v>10</v>
      </c>
      <c r="H435" s="7" t="s">
        <v>7</v>
      </c>
      <c r="I435" s="7" t="s">
        <v>172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6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57</v>
      </c>
      <c r="AF435" s="7">
        <v>2700</v>
      </c>
      <c r="AG435" s="7">
        <v>3000</v>
      </c>
      <c r="AH435" s="7">
        <v>0</v>
      </c>
      <c r="AI435" s="7">
        <v>0</v>
      </c>
      <c r="AJ435" s="7">
        <v>0</v>
      </c>
      <c r="AK435" s="7">
        <v>135</v>
      </c>
      <c r="AL435" s="8">
        <v>16200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8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s="7">
        <v>0</v>
      </c>
      <c r="BK435" s="7">
        <v>0</v>
      </c>
      <c r="BL435" s="9">
        <v>4860</v>
      </c>
      <c r="BM435" s="10">
        <v>21900</v>
      </c>
      <c r="BN435" s="15">
        <f t="shared" si="12"/>
        <v>17040</v>
      </c>
      <c r="BO435" s="16">
        <f t="shared" si="13"/>
        <v>11928</v>
      </c>
    </row>
    <row r="436" spans="1:67" x14ac:dyDescent="0.3">
      <c r="A436" s="5" t="s">
        <v>400</v>
      </c>
      <c r="B436" s="5" t="s">
        <v>573</v>
      </c>
      <c r="C436" s="5">
        <v>381176</v>
      </c>
      <c r="D436" s="6"/>
      <c r="E436" s="5" t="s">
        <v>16</v>
      </c>
      <c r="F436" s="5" t="s">
        <v>39</v>
      </c>
      <c r="G436" s="5" t="s">
        <v>10</v>
      </c>
      <c r="H436" s="7" t="s">
        <v>7</v>
      </c>
      <c r="I436" s="7" t="s">
        <v>574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22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2</v>
      </c>
      <c r="AF436" s="8">
        <v>200</v>
      </c>
      <c r="AG436" s="7">
        <v>0</v>
      </c>
      <c r="AH436" s="7">
        <v>0</v>
      </c>
      <c r="AI436" s="7">
        <v>0</v>
      </c>
      <c r="AJ436" s="7">
        <v>0</v>
      </c>
      <c r="AK436" s="7">
        <v>169</v>
      </c>
      <c r="AL436" s="7">
        <v>20280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6084</v>
      </c>
      <c r="BM436" s="10">
        <v>20480</v>
      </c>
      <c r="BN436" s="15">
        <f t="shared" si="12"/>
        <v>14396</v>
      </c>
      <c r="BO436" s="16">
        <f t="shared" si="13"/>
        <v>10077.199999999999</v>
      </c>
    </row>
    <row r="437" spans="1:67" x14ac:dyDescent="0.3">
      <c r="A437" s="5" t="s">
        <v>400</v>
      </c>
      <c r="B437" s="5" t="s">
        <v>80</v>
      </c>
      <c r="C437" s="5">
        <v>429621</v>
      </c>
      <c r="D437" s="6"/>
      <c r="E437" s="5" t="s">
        <v>16</v>
      </c>
      <c r="F437" s="5" t="s">
        <v>81</v>
      </c>
      <c r="G437" s="5" t="s">
        <v>382</v>
      </c>
      <c r="H437" s="7" t="s">
        <v>8</v>
      </c>
      <c r="I437" s="7" t="s">
        <v>82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161</v>
      </c>
      <c r="AF437" s="8">
        <v>16100</v>
      </c>
      <c r="AG437" s="7">
        <v>0</v>
      </c>
      <c r="AH437" s="7">
        <v>0</v>
      </c>
      <c r="AI437" s="7">
        <v>0</v>
      </c>
      <c r="AJ437" s="7">
        <v>0</v>
      </c>
      <c r="AK437" s="7">
        <v>4</v>
      </c>
      <c r="AL437" s="7">
        <v>0</v>
      </c>
      <c r="AM437" s="7">
        <v>400</v>
      </c>
      <c r="AN437" s="7">
        <v>0</v>
      </c>
      <c r="AO437" s="7">
        <v>0</v>
      </c>
      <c r="AP437" s="7">
        <v>0</v>
      </c>
      <c r="AQ437" s="7">
        <v>39</v>
      </c>
      <c r="AR437" s="7">
        <v>3900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0</v>
      </c>
      <c r="BE437" s="7">
        <v>0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0</v>
      </c>
      <c r="BM437" s="10">
        <v>20400</v>
      </c>
      <c r="BN437" s="15">
        <f t="shared" si="12"/>
        <v>20400</v>
      </c>
      <c r="BO437" s="16">
        <f t="shared" si="13"/>
        <v>14280</v>
      </c>
    </row>
    <row r="438" spans="1:67" x14ac:dyDescent="0.3">
      <c r="A438" s="5" t="s">
        <v>400</v>
      </c>
      <c r="B438" s="5" t="s">
        <v>205</v>
      </c>
      <c r="C438" s="5">
        <v>415992</v>
      </c>
      <c r="D438" s="6"/>
      <c r="E438" s="5" t="s">
        <v>16</v>
      </c>
      <c r="F438" s="5" t="s">
        <v>41</v>
      </c>
      <c r="G438" s="5" t="s">
        <v>34</v>
      </c>
      <c r="H438" s="7" t="s">
        <v>8</v>
      </c>
      <c r="I438" s="7" t="s">
        <v>206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6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75</v>
      </c>
      <c r="AF438" s="8">
        <v>3400</v>
      </c>
      <c r="AG438" s="7">
        <v>4100</v>
      </c>
      <c r="AH438" s="7">
        <v>0</v>
      </c>
      <c r="AI438" s="7">
        <v>0</v>
      </c>
      <c r="AJ438" s="7">
        <v>0</v>
      </c>
      <c r="AK438" s="7">
        <v>66</v>
      </c>
      <c r="AL438" s="7">
        <v>0</v>
      </c>
      <c r="AM438" s="7">
        <v>6600</v>
      </c>
      <c r="AN438" s="7">
        <v>0</v>
      </c>
      <c r="AO438" s="7">
        <v>0</v>
      </c>
      <c r="AP438" s="7">
        <v>0</v>
      </c>
      <c r="AQ438" s="7">
        <v>55</v>
      </c>
      <c r="AR438" s="8">
        <v>5300</v>
      </c>
      <c r="AS438" s="7">
        <v>200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0</v>
      </c>
      <c r="BM438" s="10">
        <v>19600</v>
      </c>
      <c r="BN438" s="15">
        <f t="shared" si="12"/>
        <v>19600</v>
      </c>
      <c r="BO438" s="16">
        <f t="shared" si="13"/>
        <v>13720</v>
      </c>
    </row>
    <row r="439" spans="1:67" x14ac:dyDescent="0.3">
      <c r="A439" s="5" t="s">
        <v>400</v>
      </c>
      <c r="B439" s="5" t="s">
        <v>391</v>
      </c>
      <c r="C439" s="5">
        <v>414343</v>
      </c>
      <c r="D439" s="6"/>
      <c r="E439" s="5" t="s">
        <v>16</v>
      </c>
      <c r="F439" s="5" t="s">
        <v>11</v>
      </c>
      <c r="G439" s="5" t="s">
        <v>10</v>
      </c>
      <c r="H439" s="7" t="s">
        <v>7</v>
      </c>
      <c r="I439" s="7" t="s">
        <v>195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8">
        <v>0</v>
      </c>
      <c r="AM439" s="8">
        <v>0</v>
      </c>
      <c r="AN439" s="7">
        <v>0</v>
      </c>
      <c r="AO439" s="7">
        <v>0</v>
      </c>
      <c r="AP439" s="7">
        <v>0</v>
      </c>
      <c r="AQ439" s="7">
        <v>6</v>
      </c>
      <c r="AR439" s="8">
        <v>18800</v>
      </c>
      <c r="AS439" s="7">
        <v>400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0</v>
      </c>
      <c r="BJ439" s="7">
        <v>0</v>
      </c>
      <c r="BK439" s="7">
        <v>0</v>
      </c>
      <c r="BL439" s="9">
        <v>0</v>
      </c>
      <c r="BM439" s="10">
        <v>19200</v>
      </c>
      <c r="BN439" s="15">
        <f t="shared" ref="BN439:BN466" si="14">BM439-BL439</f>
        <v>19200</v>
      </c>
      <c r="BO439" s="16">
        <f t="shared" ref="BO439:BO466" si="15">BN439*70%</f>
        <v>13440</v>
      </c>
    </row>
    <row r="440" spans="1:67" x14ac:dyDescent="0.3">
      <c r="A440" s="5" t="s">
        <v>400</v>
      </c>
      <c r="B440" s="5" t="s">
        <v>117</v>
      </c>
      <c r="C440" s="5">
        <v>390809</v>
      </c>
      <c r="D440" s="6"/>
      <c r="E440" s="5" t="s">
        <v>16</v>
      </c>
      <c r="F440" s="5" t="s">
        <v>118</v>
      </c>
      <c r="G440" s="5" t="s">
        <v>34</v>
      </c>
      <c r="H440" s="7" t="s">
        <v>8</v>
      </c>
      <c r="I440" s="7" t="s">
        <v>35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109</v>
      </c>
      <c r="AF440" s="8">
        <v>6800</v>
      </c>
      <c r="AG440" s="7">
        <v>4100</v>
      </c>
      <c r="AH440" s="7">
        <v>0</v>
      </c>
      <c r="AI440" s="7">
        <v>0</v>
      </c>
      <c r="AJ440" s="7">
        <v>0</v>
      </c>
      <c r="AK440" s="7">
        <v>59</v>
      </c>
      <c r="AL440" s="7">
        <v>4269</v>
      </c>
      <c r="AM440" s="7">
        <v>2400</v>
      </c>
      <c r="AN440" s="7">
        <v>0</v>
      </c>
      <c r="AO440" s="7">
        <v>0</v>
      </c>
      <c r="AP440" s="7">
        <v>0</v>
      </c>
      <c r="AQ440" s="7">
        <v>10</v>
      </c>
      <c r="AR440" s="8">
        <v>1000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7">
        <v>0</v>
      </c>
      <c r="BI440" s="7">
        <v>0</v>
      </c>
      <c r="BJ440" s="7">
        <v>0</v>
      </c>
      <c r="BK440" s="7">
        <v>0</v>
      </c>
      <c r="BL440" s="7">
        <v>1280.7</v>
      </c>
      <c r="BM440" s="10">
        <v>18569</v>
      </c>
      <c r="BN440" s="15">
        <f t="shared" si="14"/>
        <v>17288.3</v>
      </c>
      <c r="BO440" s="16">
        <f t="shared" si="15"/>
        <v>12101.81</v>
      </c>
    </row>
    <row r="441" spans="1:67" x14ac:dyDescent="0.3">
      <c r="A441" s="5" t="s">
        <v>400</v>
      </c>
      <c r="B441" s="5" t="s">
        <v>113</v>
      </c>
      <c r="C441" s="5">
        <v>415710</v>
      </c>
      <c r="D441" s="6"/>
      <c r="E441" s="5" t="s">
        <v>16</v>
      </c>
      <c r="F441" s="5" t="s">
        <v>52</v>
      </c>
      <c r="G441" s="5" t="s">
        <v>34</v>
      </c>
      <c r="H441" s="7" t="s">
        <v>8</v>
      </c>
      <c r="I441" s="7" t="s">
        <v>114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15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113</v>
      </c>
      <c r="AF441" s="7">
        <v>11300</v>
      </c>
      <c r="AG441" s="7">
        <v>0</v>
      </c>
      <c r="AH441" s="7">
        <v>0</v>
      </c>
      <c r="AI441" s="7">
        <v>0</v>
      </c>
      <c r="AJ441" s="7">
        <v>0</v>
      </c>
      <c r="AK441" s="7">
        <v>54</v>
      </c>
      <c r="AL441" s="8">
        <v>6240</v>
      </c>
      <c r="AM441" s="7">
        <v>200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7">
        <v>0</v>
      </c>
      <c r="BI441" s="7">
        <v>0</v>
      </c>
      <c r="BJ441" s="7">
        <v>0</v>
      </c>
      <c r="BK441" s="7">
        <v>0</v>
      </c>
      <c r="BL441" s="9">
        <v>1872</v>
      </c>
      <c r="BM441" s="10">
        <v>17740</v>
      </c>
      <c r="BN441" s="15">
        <f t="shared" si="14"/>
        <v>15868</v>
      </c>
      <c r="BO441" s="16">
        <f t="shared" si="15"/>
        <v>11107.599999999999</v>
      </c>
    </row>
    <row r="442" spans="1:67" x14ac:dyDescent="0.3">
      <c r="A442" s="5" t="s">
        <v>400</v>
      </c>
      <c r="B442" s="5" t="s">
        <v>250</v>
      </c>
      <c r="C442" s="5">
        <v>395192</v>
      </c>
      <c r="D442" s="6"/>
      <c r="E442" s="5" t="s">
        <v>16</v>
      </c>
      <c r="F442" s="5" t="s">
        <v>128</v>
      </c>
      <c r="G442" s="5" t="s">
        <v>34</v>
      </c>
      <c r="H442" s="7" t="s">
        <v>8</v>
      </c>
      <c r="I442" s="7" t="s">
        <v>251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75</v>
      </c>
      <c r="AF442" s="7">
        <v>5900</v>
      </c>
      <c r="AG442" s="7">
        <v>1600</v>
      </c>
      <c r="AH442" s="7">
        <v>0</v>
      </c>
      <c r="AI442" s="7">
        <v>0</v>
      </c>
      <c r="AJ442" s="7">
        <v>0</v>
      </c>
      <c r="AK442" s="7">
        <v>82</v>
      </c>
      <c r="AL442" s="8">
        <v>5040</v>
      </c>
      <c r="AM442" s="7">
        <v>4000</v>
      </c>
      <c r="AN442" s="7">
        <v>0</v>
      </c>
      <c r="AO442" s="7">
        <v>0</v>
      </c>
      <c r="AP442" s="7">
        <v>0</v>
      </c>
      <c r="AQ442" s="7">
        <v>0</v>
      </c>
      <c r="AR442" s="8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7">
        <v>0</v>
      </c>
      <c r="BI442" s="7">
        <v>0</v>
      </c>
      <c r="BJ442" s="7">
        <v>0</v>
      </c>
      <c r="BK442" s="7">
        <v>0</v>
      </c>
      <c r="BL442" s="9">
        <v>1512</v>
      </c>
      <c r="BM442" s="10">
        <v>16540</v>
      </c>
      <c r="BN442" s="15">
        <f t="shared" si="14"/>
        <v>15028</v>
      </c>
      <c r="BO442" s="16">
        <f t="shared" si="15"/>
        <v>10519.599999999999</v>
      </c>
    </row>
    <row r="443" spans="1:67" x14ac:dyDescent="0.3">
      <c r="A443" s="5" t="s">
        <v>400</v>
      </c>
      <c r="B443" s="5" t="s">
        <v>219</v>
      </c>
      <c r="C443" s="5">
        <v>399878</v>
      </c>
      <c r="D443" s="6"/>
      <c r="E443" s="5" t="s">
        <v>16</v>
      </c>
      <c r="F443" s="5" t="s">
        <v>220</v>
      </c>
      <c r="G443" s="5" t="s">
        <v>34</v>
      </c>
      <c r="H443" s="7" t="s">
        <v>8</v>
      </c>
      <c r="I443" s="7" t="s">
        <v>221</v>
      </c>
      <c r="J443" s="7">
        <v>0</v>
      </c>
      <c r="K443" s="7">
        <v>355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24</v>
      </c>
      <c r="AF443" s="8">
        <v>2000</v>
      </c>
      <c r="AG443" s="7">
        <v>400</v>
      </c>
      <c r="AH443" s="7">
        <v>0</v>
      </c>
      <c r="AI443" s="7">
        <v>0</v>
      </c>
      <c r="AJ443" s="7">
        <v>0</v>
      </c>
      <c r="AK443" s="7">
        <v>102</v>
      </c>
      <c r="AL443" s="8">
        <v>4920</v>
      </c>
      <c r="AM443" s="7">
        <v>6100</v>
      </c>
      <c r="AN443" s="7">
        <v>0</v>
      </c>
      <c r="AO443" s="7">
        <v>0</v>
      </c>
      <c r="AP443" s="7">
        <v>0</v>
      </c>
      <c r="AQ443" s="7">
        <v>12</v>
      </c>
      <c r="AR443" s="7">
        <v>1200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7">
        <v>1476</v>
      </c>
      <c r="BM443" s="10">
        <v>14620</v>
      </c>
      <c r="BN443" s="15">
        <f t="shared" si="14"/>
        <v>13144</v>
      </c>
      <c r="BO443" s="16">
        <f t="shared" si="15"/>
        <v>9200.7999999999993</v>
      </c>
    </row>
    <row r="444" spans="1:67" x14ac:dyDescent="0.3">
      <c r="A444" s="5" t="s">
        <v>400</v>
      </c>
      <c r="B444" s="5" t="s">
        <v>275</v>
      </c>
      <c r="C444" s="5">
        <v>328894</v>
      </c>
      <c r="D444" s="6"/>
      <c r="E444" s="5" t="s">
        <v>16</v>
      </c>
      <c r="F444" s="5" t="s">
        <v>200</v>
      </c>
      <c r="G444" s="5" t="s">
        <v>34</v>
      </c>
      <c r="H444" s="7" t="s">
        <v>8</v>
      </c>
      <c r="I444" s="7" t="s">
        <v>276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4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10</v>
      </c>
      <c r="AF444" s="7">
        <v>1000</v>
      </c>
      <c r="AG444" s="7">
        <v>0</v>
      </c>
      <c r="AH444" s="7">
        <v>0</v>
      </c>
      <c r="AI444" s="7">
        <v>0</v>
      </c>
      <c r="AJ444" s="7">
        <v>0</v>
      </c>
      <c r="AK444" s="7">
        <v>106</v>
      </c>
      <c r="AL444" s="7">
        <v>13253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8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3975.9</v>
      </c>
      <c r="BM444" s="10">
        <v>14253</v>
      </c>
      <c r="BN444" s="15">
        <f t="shared" si="14"/>
        <v>10277.1</v>
      </c>
      <c r="BO444" s="16">
        <f t="shared" si="15"/>
        <v>7193.9699999999993</v>
      </c>
    </row>
    <row r="445" spans="1:67" x14ac:dyDescent="0.3">
      <c r="A445" s="5" t="s">
        <v>400</v>
      </c>
      <c r="B445" s="5" t="s">
        <v>22</v>
      </c>
      <c r="C445" s="5">
        <v>445688</v>
      </c>
      <c r="D445" s="6"/>
      <c r="E445" s="5" t="s">
        <v>16</v>
      </c>
      <c r="F445" s="5" t="s">
        <v>23</v>
      </c>
      <c r="G445" s="5" t="s">
        <v>10</v>
      </c>
      <c r="H445" s="7" t="s">
        <v>7</v>
      </c>
      <c r="I445" s="7" t="s">
        <v>24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8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8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131</v>
      </c>
      <c r="AR445" s="8">
        <v>12900</v>
      </c>
      <c r="AS445" s="7">
        <v>200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9">
        <v>0</v>
      </c>
      <c r="BM445" s="10">
        <v>13100</v>
      </c>
      <c r="BN445" s="15">
        <f t="shared" si="14"/>
        <v>13100</v>
      </c>
      <c r="BO445" s="16">
        <f t="shared" si="15"/>
        <v>9170</v>
      </c>
    </row>
    <row r="446" spans="1:67" x14ac:dyDescent="0.3">
      <c r="A446" s="5" t="s">
        <v>400</v>
      </c>
      <c r="B446" s="5" t="s">
        <v>57</v>
      </c>
      <c r="C446" s="5">
        <v>464776</v>
      </c>
      <c r="D446" s="6"/>
      <c r="E446" s="5" t="s">
        <v>16</v>
      </c>
      <c r="F446" s="5" t="s">
        <v>58</v>
      </c>
      <c r="G446" s="5" t="s">
        <v>382</v>
      </c>
      <c r="H446" s="7" t="s">
        <v>9</v>
      </c>
      <c r="I446" s="7" t="s">
        <v>59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101</v>
      </c>
      <c r="AF446" s="7">
        <v>10100</v>
      </c>
      <c r="AG446" s="8">
        <v>0</v>
      </c>
      <c r="AH446" s="7">
        <v>0</v>
      </c>
      <c r="AI446" s="7">
        <v>0</v>
      </c>
      <c r="AJ446" s="7">
        <v>0</v>
      </c>
      <c r="AK446" s="7">
        <v>18</v>
      </c>
      <c r="AL446" s="7">
        <v>1920</v>
      </c>
      <c r="AM446" s="8">
        <v>200</v>
      </c>
      <c r="AN446" s="7">
        <v>0</v>
      </c>
      <c r="AO446" s="7">
        <v>0</v>
      </c>
      <c r="AP446" s="7">
        <v>0</v>
      </c>
      <c r="AQ446" s="7">
        <v>7</v>
      </c>
      <c r="AR446" s="7">
        <v>700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576</v>
      </c>
      <c r="BM446" s="10">
        <v>12920</v>
      </c>
      <c r="BN446" s="15">
        <f t="shared" si="14"/>
        <v>12344</v>
      </c>
      <c r="BO446" s="16">
        <f t="shared" si="15"/>
        <v>8640.7999999999993</v>
      </c>
    </row>
    <row r="447" spans="1:67" ht="19.5" x14ac:dyDescent="0.3">
      <c r="A447" s="5" t="s">
        <v>400</v>
      </c>
      <c r="B447" s="5" t="s">
        <v>525</v>
      </c>
      <c r="C447" s="5">
        <v>431511</v>
      </c>
      <c r="D447" s="6"/>
      <c r="E447" s="5" t="s">
        <v>16</v>
      </c>
      <c r="F447" s="5" t="s">
        <v>96</v>
      </c>
      <c r="G447" s="5" t="s">
        <v>10</v>
      </c>
      <c r="H447" s="7" t="s">
        <v>7</v>
      </c>
      <c r="I447" s="7" t="s">
        <v>394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4</v>
      </c>
      <c r="AF447" s="7">
        <v>12800</v>
      </c>
      <c r="AG447" s="8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8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0</v>
      </c>
      <c r="BI447" s="7">
        <v>0</v>
      </c>
      <c r="BJ447" s="7">
        <v>0</v>
      </c>
      <c r="BK447" s="7">
        <v>0</v>
      </c>
      <c r="BL447" s="7">
        <v>0</v>
      </c>
      <c r="BM447" s="10">
        <v>12800</v>
      </c>
      <c r="BN447" s="15">
        <f t="shared" si="14"/>
        <v>12800</v>
      </c>
      <c r="BO447" s="16">
        <f t="shared" si="15"/>
        <v>8960</v>
      </c>
    </row>
    <row r="448" spans="1:67" x14ac:dyDescent="0.3">
      <c r="A448" s="5" t="s">
        <v>400</v>
      </c>
      <c r="B448" s="5" t="s">
        <v>294</v>
      </c>
      <c r="C448" s="5">
        <v>363413</v>
      </c>
      <c r="D448" s="6"/>
      <c r="E448" s="5" t="s">
        <v>16</v>
      </c>
      <c r="F448" s="5" t="s">
        <v>105</v>
      </c>
      <c r="G448" s="5" t="s">
        <v>34</v>
      </c>
      <c r="H448" s="7" t="s">
        <v>8</v>
      </c>
      <c r="I448" s="7" t="s">
        <v>295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10</v>
      </c>
      <c r="AF448" s="7">
        <v>1000</v>
      </c>
      <c r="AG448" s="7">
        <v>0</v>
      </c>
      <c r="AH448" s="7">
        <v>0</v>
      </c>
      <c r="AI448" s="7">
        <v>0</v>
      </c>
      <c r="AJ448" s="7">
        <v>0</v>
      </c>
      <c r="AK448" s="7">
        <v>97</v>
      </c>
      <c r="AL448" s="8">
        <v>6920</v>
      </c>
      <c r="AM448" s="7">
        <v>3900</v>
      </c>
      <c r="AN448" s="7">
        <v>0</v>
      </c>
      <c r="AO448" s="7">
        <v>0</v>
      </c>
      <c r="AP448" s="7">
        <v>0</v>
      </c>
      <c r="AQ448" s="7">
        <v>5</v>
      </c>
      <c r="AR448" s="7">
        <v>0</v>
      </c>
      <c r="AS448" s="7">
        <v>500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</v>
      </c>
      <c r="BH448" s="7">
        <v>0</v>
      </c>
      <c r="BI448" s="7">
        <v>0</v>
      </c>
      <c r="BJ448" s="7">
        <v>0</v>
      </c>
      <c r="BK448" s="7">
        <v>0</v>
      </c>
      <c r="BL448" s="9">
        <v>2076</v>
      </c>
      <c r="BM448" s="10">
        <v>12320</v>
      </c>
      <c r="BN448" s="15">
        <f t="shared" si="14"/>
        <v>10244</v>
      </c>
      <c r="BO448" s="16">
        <f t="shared" si="15"/>
        <v>7170.7999999999993</v>
      </c>
    </row>
    <row r="449" spans="1:67" x14ac:dyDescent="0.3">
      <c r="A449" s="5" t="s">
        <v>400</v>
      </c>
      <c r="B449" s="5" t="s">
        <v>476</v>
      </c>
      <c r="C449" s="5">
        <v>441962</v>
      </c>
      <c r="D449" s="6"/>
      <c r="E449" s="5" t="s">
        <v>16</v>
      </c>
      <c r="F449" s="5" t="s">
        <v>393</v>
      </c>
      <c r="G449" s="5" t="s">
        <v>382</v>
      </c>
      <c r="H449" s="7" t="s">
        <v>8</v>
      </c>
      <c r="I449" s="7" t="s">
        <v>477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2</v>
      </c>
      <c r="AF449" s="7">
        <v>2800</v>
      </c>
      <c r="AG449" s="7">
        <v>2800</v>
      </c>
      <c r="AH449" s="7">
        <v>0</v>
      </c>
      <c r="AI449" s="7">
        <v>0</v>
      </c>
      <c r="AJ449" s="7">
        <v>0</v>
      </c>
      <c r="AK449" s="7">
        <v>0</v>
      </c>
      <c r="AL449" s="8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2</v>
      </c>
      <c r="AR449" s="8">
        <v>5600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0</v>
      </c>
      <c r="BM449" s="10">
        <v>11200</v>
      </c>
      <c r="BN449" s="15">
        <f t="shared" si="14"/>
        <v>11200</v>
      </c>
      <c r="BO449" s="16">
        <f t="shared" si="15"/>
        <v>7839.9999999999991</v>
      </c>
    </row>
    <row r="450" spans="1:67" x14ac:dyDescent="0.3">
      <c r="A450" s="5" t="s">
        <v>400</v>
      </c>
      <c r="B450" s="5" t="s">
        <v>384</v>
      </c>
      <c r="C450" s="5">
        <v>476035</v>
      </c>
      <c r="D450" s="6"/>
      <c r="E450" s="5" t="s">
        <v>16</v>
      </c>
      <c r="F450" s="5" t="s">
        <v>385</v>
      </c>
      <c r="G450" s="5" t="s">
        <v>382</v>
      </c>
      <c r="H450" s="7" t="s">
        <v>9</v>
      </c>
      <c r="I450" s="7" t="s">
        <v>386</v>
      </c>
      <c r="J450" s="7">
        <v>17</v>
      </c>
      <c r="K450" s="7">
        <v>181</v>
      </c>
      <c r="L450" s="7">
        <v>1700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64</v>
      </c>
      <c r="AF450" s="7">
        <v>6000</v>
      </c>
      <c r="AG450" s="7">
        <v>400</v>
      </c>
      <c r="AH450" s="7">
        <v>0</v>
      </c>
      <c r="AI450" s="7">
        <v>0</v>
      </c>
      <c r="AJ450" s="7">
        <v>0</v>
      </c>
      <c r="AK450" s="7">
        <v>20</v>
      </c>
      <c r="AL450" s="8">
        <v>120</v>
      </c>
      <c r="AM450" s="8">
        <v>1900</v>
      </c>
      <c r="AN450" s="7">
        <v>0</v>
      </c>
      <c r="AO450" s="7">
        <v>0</v>
      </c>
      <c r="AP450" s="7">
        <v>0</v>
      </c>
      <c r="AQ450" s="7">
        <v>6</v>
      </c>
      <c r="AR450" s="7">
        <v>600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1</v>
      </c>
      <c r="BD450" s="7">
        <v>120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s="7">
        <v>0</v>
      </c>
      <c r="BK450" s="7">
        <v>0</v>
      </c>
      <c r="BL450" s="7">
        <v>43.2</v>
      </c>
      <c r="BM450" s="10">
        <v>10840</v>
      </c>
      <c r="BN450" s="15">
        <f t="shared" si="14"/>
        <v>10796.8</v>
      </c>
      <c r="BO450" s="16">
        <f t="shared" si="15"/>
        <v>7557.7599999999993</v>
      </c>
    </row>
    <row r="451" spans="1:67" x14ac:dyDescent="0.3">
      <c r="A451" s="5" t="s">
        <v>400</v>
      </c>
      <c r="B451" s="5" t="s">
        <v>139</v>
      </c>
      <c r="C451" s="5">
        <v>367994</v>
      </c>
      <c r="D451" s="6"/>
      <c r="E451" s="5" t="s">
        <v>16</v>
      </c>
      <c r="F451" s="5" t="s">
        <v>33</v>
      </c>
      <c r="G451" s="5" t="s">
        <v>34</v>
      </c>
      <c r="H451" s="7" t="s">
        <v>8</v>
      </c>
      <c r="I451" s="7" t="s">
        <v>140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2</v>
      </c>
      <c r="AF451" s="7">
        <v>0</v>
      </c>
      <c r="AG451" s="7">
        <v>200</v>
      </c>
      <c r="AH451" s="7">
        <v>0</v>
      </c>
      <c r="AI451" s="7">
        <v>0</v>
      </c>
      <c r="AJ451" s="7">
        <v>0</v>
      </c>
      <c r="AK451" s="7">
        <v>73</v>
      </c>
      <c r="AL451" s="7">
        <v>8760</v>
      </c>
      <c r="AM451" s="7">
        <v>0</v>
      </c>
      <c r="AN451" s="7">
        <v>0</v>
      </c>
      <c r="AO451" s="7">
        <v>0</v>
      </c>
      <c r="AP451" s="7">
        <v>0</v>
      </c>
      <c r="AQ451" s="7">
        <v>18</v>
      </c>
      <c r="AR451" s="8">
        <v>1800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7">
        <v>2628</v>
      </c>
      <c r="BM451" s="10">
        <v>10760</v>
      </c>
      <c r="BN451" s="15">
        <f t="shared" si="14"/>
        <v>8132</v>
      </c>
      <c r="BO451" s="16">
        <f t="shared" si="15"/>
        <v>5692.4</v>
      </c>
    </row>
    <row r="452" spans="1:67" x14ac:dyDescent="0.3">
      <c r="A452" s="5" t="s">
        <v>400</v>
      </c>
      <c r="B452" s="5" t="s">
        <v>187</v>
      </c>
      <c r="C452" s="5">
        <v>445861</v>
      </c>
      <c r="D452" s="6"/>
      <c r="E452" s="5" t="s">
        <v>16</v>
      </c>
      <c r="F452" s="5" t="s">
        <v>47</v>
      </c>
      <c r="G452" s="5" t="s">
        <v>34</v>
      </c>
      <c r="H452" s="7" t="s">
        <v>8</v>
      </c>
      <c r="I452" s="7" t="s">
        <v>188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3</v>
      </c>
      <c r="AL452" s="7">
        <v>10080</v>
      </c>
      <c r="AM452" s="8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7">
        <v>3024</v>
      </c>
      <c r="BM452" s="10">
        <v>10080</v>
      </c>
      <c r="BN452" s="15">
        <f t="shared" si="14"/>
        <v>7056</v>
      </c>
      <c r="BO452" s="16">
        <f t="shared" si="15"/>
        <v>4939.2</v>
      </c>
    </row>
    <row r="453" spans="1:67" x14ac:dyDescent="0.3">
      <c r="A453" s="5" t="s">
        <v>400</v>
      </c>
      <c r="B453" s="5" t="s">
        <v>173</v>
      </c>
      <c r="C453" s="5">
        <v>370192</v>
      </c>
      <c r="D453" s="6"/>
      <c r="E453" s="5" t="s">
        <v>16</v>
      </c>
      <c r="F453" s="5" t="s">
        <v>131</v>
      </c>
      <c r="G453" s="5" t="s">
        <v>34</v>
      </c>
      <c r="H453" s="7" t="s">
        <v>8</v>
      </c>
      <c r="I453" s="7" t="s">
        <v>174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10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86</v>
      </c>
      <c r="AF453" s="7">
        <v>8600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11</v>
      </c>
      <c r="AR453" s="8">
        <v>1100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0</v>
      </c>
      <c r="BJ453" s="7">
        <v>0</v>
      </c>
      <c r="BK453" s="7">
        <v>0</v>
      </c>
      <c r="BL453" s="7">
        <v>0</v>
      </c>
      <c r="BM453" s="10">
        <v>9700</v>
      </c>
      <c r="BN453" s="15">
        <f t="shared" si="14"/>
        <v>9700</v>
      </c>
      <c r="BO453" s="16">
        <f t="shared" si="15"/>
        <v>6790</v>
      </c>
    </row>
    <row r="454" spans="1:67" x14ac:dyDescent="0.3">
      <c r="A454" s="5" t="s">
        <v>400</v>
      </c>
      <c r="B454" s="5" t="s">
        <v>154</v>
      </c>
      <c r="C454" s="5">
        <v>376361</v>
      </c>
      <c r="D454" s="6"/>
      <c r="E454" s="5" t="s">
        <v>16</v>
      </c>
      <c r="F454" s="5" t="s">
        <v>47</v>
      </c>
      <c r="G454" s="5" t="s">
        <v>34</v>
      </c>
      <c r="H454" s="7" t="s">
        <v>8</v>
      </c>
      <c r="I454" s="7" t="s">
        <v>155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69</v>
      </c>
      <c r="AF454" s="7">
        <v>6000</v>
      </c>
      <c r="AG454" s="7">
        <v>900</v>
      </c>
      <c r="AH454" s="7">
        <v>0</v>
      </c>
      <c r="AI454" s="7">
        <v>0</v>
      </c>
      <c r="AJ454" s="7">
        <v>0</v>
      </c>
      <c r="AK454" s="7">
        <v>23</v>
      </c>
      <c r="AL454" s="8">
        <v>2160</v>
      </c>
      <c r="AM454" s="7">
        <v>500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  <c r="BI454" s="7">
        <v>0</v>
      </c>
      <c r="BJ454" s="7">
        <v>0</v>
      </c>
      <c r="BK454" s="7">
        <v>0</v>
      </c>
      <c r="BL454" s="9">
        <v>648</v>
      </c>
      <c r="BM454" s="10">
        <v>9560</v>
      </c>
      <c r="BN454" s="15">
        <f t="shared" si="14"/>
        <v>8912</v>
      </c>
      <c r="BO454" s="16">
        <f t="shared" si="15"/>
        <v>6238.4</v>
      </c>
    </row>
    <row r="455" spans="1:67" x14ac:dyDescent="0.3">
      <c r="A455" s="5" t="s">
        <v>400</v>
      </c>
      <c r="B455" s="5" t="s">
        <v>51</v>
      </c>
      <c r="C455" s="5">
        <v>369720</v>
      </c>
      <c r="D455" s="6"/>
      <c r="E455" s="5" t="s">
        <v>16</v>
      </c>
      <c r="F455" s="5" t="s">
        <v>52</v>
      </c>
      <c r="G455" s="5" t="s">
        <v>34</v>
      </c>
      <c r="H455" s="7" t="s">
        <v>8</v>
      </c>
      <c r="I455" s="7" t="s">
        <v>53</v>
      </c>
      <c r="J455" s="7">
        <v>0</v>
      </c>
      <c r="K455" s="7">
        <v>12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19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87</v>
      </c>
      <c r="AF455" s="7">
        <v>8700</v>
      </c>
      <c r="AG455" s="7">
        <v>0</v>
      </c>
      <c r="AH455" s="7">
        <v>0</v>
      </c>
      <c r="AI455" s="7">
        <v>0</v>
      </c>
      <c r="AJ455" s="7">
        <v>0</v>
      </c>
      <c r="AK455" s="7">
        <v>4</v>
      </c>
      <c r="AL455" s="8">
        <v>480</v>
      </c>
      <c r="AM455" s="7">
        <v>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s="7">
        <v>0</v>
      </c>
      <c r="BK455" s="7">
        <v>0</v>
      </c>
      <c r="BL455" s="9">
        <v>144</v>
      </c>
      <c r="BM455" s="10">
        <v>9180</v>
      </c>
      <c r="BN455" s="15">
        <f t="shared" si="14"/>
        <v>9036</v>
      </c>
      <c r="BO455" s="16">
        <f t="shared" si="15"/>
        <v>6325.2</v>
      </c>
    </row>
    <row r="456" spans="1:67" x14ac:dyDescent="0.3">
      <c r="A456" s="5" t="s">
        <v>400</v>
      </c>
      <c r="B456" s="5" t="s">
        <v>580</v>
      </c>
      <c r="C456" s="5">
        <v>485660</v>
      </c>
      <c r="D456" s="6"/>
      <c r="E456" s="5" t="s">
        <v>16</v>
      </c>
      <c r="F456" s="5" t="s">
        <v>128</v>
      </c>
      <c r="G456" s="5" t="s">
        <v>34</v>
      </c>
      <c r="H456" s="7" t="s">
        <v>289</v>
      </c>
      <c r="I456" s="7" t="s">
        <v>562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2</v>
      </c>
      <c r="AF456" s="7">
        <v>5600</v>
      </c>
      <c r="AG456" s="7">
        <v>0</v>
      </c>
      <c r="AH456" s="7">
        <v>0</v>
      </c>
      <c r="AI456" s="7">
        <v>0</v>
      </c>
      <c r="AJ456" s="7">
        <v>0</v>
      </c>
      <c r="AK456" s="7">
        <v>1</v>
      </c>
      <c r="AL456" s="7">
        <v>3360</v>
      </c>
      <c r="AM456" s="8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1008</v>
      </c>
      <c r="BM456" s="10">
        <v>8960</v>
      </c>
      <c r="BN456" s="15">
        <f t="shared" si="14"/>
        <v>7952</v>
      </c>
      <c r="BO456" s="16">
        <f t="shared" si="15"/>
        <v>5566.4</v>
      </c>
    </row>
    <row r="457" spans="1:67" ht="19.5" x14ac:dyDescent="0.3">
      <c r="A457" s="5" t="s">
        <v>400</v>
      </c>
      <c r="B457" s="5" t="s">
        <v>581</v>
      </c>
      <c r="C457" s="5">
        <v>397371</v>
      </c>
      <c r="D457" s="6"/>
      <c r="E457" s="5" t="s">
        <v>16</v>
      </c>
      <c r="F457" s="5" t="s">
        <v>582</v>
      </c>
      <c r="G457" s="5" t="s">
        <v>34</v>
      </c>
      <c r="H457" s="7" t="s">
        <v>289</v>
      </c>
      <c r="I457" s="7" t="s">
        <v>583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8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3</v>
      </c>
      <c r="AL457" s="7">
        <v>8814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2644.2</v>
      </c>
      <c r="BM457" s="10">
        <v>8814</v>
      </c>
      <c r="BN457" s="15">
        <f t="shared" si="14"/>
        <v>6169.8</v>
      </c>
      <c r="BO457" s="16">
        <f t="shared" si="15"/>
        <v>4318.8599999999997</v>
      </c>
    </row>
    <row r="458" spans="1:67" x14ac:dyDescent="0.3">
      <c r="A458" s="5" t="s">
        <v>400</v>
      </c>
      <c r="B458" s="5" t="s">
        <v>233</v>
      </c>
      <c r="C458" s="5">
        <v>458561</v>
      </c>
      <c r="D458" s="6"/>
      <c r="E458" s="5" t="s">
        <v>16</v>
      </c>
      <c r="F458" s="5" t="s">
        <v>30</v>
      </c>
      <c r="G458" s="5" t="s">
        <v>10</v>
      </c>
      <c r="H458" s="7" t="s">
        <v>7</v>
      </c>
      <c r="I458" s="7" t="s">
        <v>193</v>
      </c>
      <c r="J458" s="7">
        <v>3</v>
      </c>
      <c r="K458" s="7">
        <v>0</v>
      </c>
      <c r="L458" s="7">
        <v>300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82</v>
      </c>
      <c r="AR458" s="8">
        <v>8200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10">
        <v>8500</v>
      </c>
      <c r="BN458" s="15">
        <f t="shared" si="14"/>
        <v>8500</v>
      </c>
      <c r="BO458" s="16">
        <f t="shared" si="15"/>
        <v>5950</v>
      </c>
    </row>
    <row r="459" spans="1:67" x14ac:dyDescent="0.3">
      <c r="A459" s="5" t="s">
        <v>400</v>
      </c>
      <c r="B459" s="5" t="s">
        <v>156</v>
      </c>
      <c r="C459" s="5">
        <v>423577</v>
      </c>
      <c r="D459" s="6"/>
      <c r="E459" s="5" t="s">
        <v>16</v>
      </c>
      <c r="F459" s="5" t="s">
        <v>157</v>
      </c>
      <c r="G459" s="5" t="s">
        <v>34</v>
      </c>
      <c r="H459" s="7" t="s">
        <v>8</v>
      </c>
      <c r="I459" s="7" t="s">
        <v>158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2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12</v>
      </c>
      <c r="AF459" s="8">
        <v>0</v>
      </c>
      <c r="AG459" s="7">
        <v>1200</v>
      </c>
      <c r="AH459" s="7">
        <v>0</v>
      </c>
      <c r="AI459" s="7">
        <v>0</v>
      </c>
      <c r="AJ459" s="7">
        <v>0</v>
      </c>
      <c r="AK459" s="7">
        <v>72</v>
      </c>
      <c r="AL459" s="7">
        <v>0</v>
      </c>
      <c r="AM459" s="7">
        <v>7200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8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7">
        <v>0</v>
      </c>
      <c r="BL459" s="7">
        <v>0</v>
      </c>
      <c r="BM459" s="10">
        <v>8400</v>
      </c>
      <c r="BN459" s="15">
        <f t="shared" si="14"/>
        <v>8400</v>
      </c>
      <c r="BO459" s="16">
        <f t="shared" si="15"/>
        <v>5880</v>
      </c>
    </row>
    <row r="460" spans="1:67" x14ac:dyDescent="0.3">
      <c r="A460" s="5" t="s">
        <v>400</v>
      </c>
      <c r="B460" s="5" t="s">
        <v>146</v>
      </c>
      <c r="C460" s="5">
        <v>350894</v>
      </c>
      <c r="D460" s="6"/>
      <c r="E460" s="5" t="s">
        <v>16</v>
      </c>
      <c r="F460" s="5" t="s">
        <v>147</v>
      </c>
      <c r="G460" s="5" t="s">
        <v>34</v>
      </c>
      <c r="H460" s="7" t="s">
        <v>8</v>
      </c>
      <c r="I460" s="7" t="s">
        <v>148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83</v>
      </c>
      <c r="AF460" s="7">
        <v>8300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8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9">
        <v>0</v>
      </c>
      <c r="BM460" s="10">
        <v>8300</v>
      </c>
      <c r="BN460" s="15">
        <f t="shared" si="14"/>
        <v>8300</v>
      </c>
      <c r="BO460" s="16">
        <f t="shared" si="15"/>
        <v>5810</v>
      </c>
    </row>
    <row r="461" spans="1:67" x14ac:dyDescent="0.3">
      <c r="A461" s="5" t="s">
        <v>400</v>
      </c>
      <c r="B461" s="5" t="s">
        <v>130</v>
      </c>
      <c r="C461" s="5">
        <v>359912</v>
      </c>
      <c r="D461" s="6"/>
      <c r="E461" s="5" t="s">
        <v>16</v>
      </c>
      <c r="F461" s="5" t="s">
        <v>131</v>
      </c>
      <c r="G461" s="5" t="s">
        <v>34</v>
      </c>
      <c r="H461" s="7" t="s">
        <v>8</v>
      </c>
      <c r="I461" s="7" t="s">
        <v>358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2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9</v>
      </c>
      <c r="AF461" s="7">
        <v>900</v>
      </c>
      <c r="AG461" s="7">
        <v>0</v>
      </c>
      <c r="AH461" s="7">
        <v>0</v>
      </c>
      <c r="AI461" s="7">
        <v>0</v>
      </c>
      <c r="AJ461" s="7">
        <v>0</v>
      </c>
      <c r="AK461" s="7">
        <v>9</v>
      </c>
      <c r="AL461" s="8">
        <v>600</v>
      </c>
      <c r="AM461" s="7">
        <v>400</v>
      </c>
      <c r="AN461" s="7">
        <v>0</v>
      </c>
      <c r="AO461" s="7">
        <v>0</v>
      </c>
      <c r="AP461" s="7">
        <v>0</v>
      </c>
      <c r="AQ461" s="7">
        <v>62</v>
      </c>
      <c r="AR461" s="7">
        <v>6000</v>
      </c>
      <c r="AS461" s="7">
        <v>200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9">
        <v>180</v>
      </c>
      <c r="BM461" s="10">
        <v>8100</v>
      </c>
      <c r="BN461" s="15">
        <f t="shared" si="14"/>
        <v>7920</v>
      </c>
      <c r="BO461" s="16">
        <f t="shared" si="15"/>
        <v>5544</v>
      </c>
    </row>
    <row r="462" spans="1:67" x14ac:dyDescent="0.3">
      <c r="A462" s="5" t="s">
        <v>400</v>
      </c>
      <c r="B462" s="5" t="s">
        <v>134</v>
      </c>
      <c r="C462" s="5">
        <v>337887</v>
      </c>
      <c r="D462" s="6"/>
      <c r="E462" s="5" t="s">
        <v>16</v>
      </c>
      <c r="F462" s="5" t="s">
        <v>131</v>
      </c>
      <c r="G462" s="5" t="s">
        <v>34</v>
      </c>
      <c r="H462" s="7" t="s">
        <v>8</v>
      </c>
      <c r="I462" s="7" t="s">
        <v>135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8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1</v>
      </c>
      <c r="AL462" s="7">
        <v>120</v>
      </c>
      <c r="AM462" s="7">
        <v>0</v>
      </c>
      <c r="AN462" s="7">
        <v>0</v>
      </c>
      <c r="AO462" s="7">
        <v>0</v>
      </c>
      <c r="AP462" s="7">
        <v>0</v>
      </c>
      <c r="AQ462" s="7">
        <v>35</v>
      </c>
      <c r="AR462" s="7">
        <v>3300</v>
      </c>
      <c r="AS462" s="7">
        <v>200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37</v>
      </c>
      <c r="BD462" s="7">
        <v>4440</v>
      </c>
      <c r="BE462" s="7">
        <v>0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302.39999999999998</v>
      </c>
      <c r="BM462" s="10">
        <v>8060</v>
      </c>
      <c r="BN462" s="15">
        <f t="shared" si="14"/>
        <v>7757.6</v>
      </c>
      <c r="BO462" s="16">
        <f t="shared" si="15"/>
        <v>5430.32</v>
      </c>
    </row>
    <row r="463" spans="1:67" x14ac:dyDescent="0.3">
      <c r="A463" s="5" t="s">
        <v>400</v>
      </c>
      <c r="B463" s="5" t="s">
        <v>621</v>
      </c>
      <c r="C463" s="5">
        <v>441789</v>
      </c>
      <c r="D463" s="6"/>
      <c r="E463" s="5" t="s">
        <v>16</v>
      </c>
      <c r="F463" s="5" t="s">
        <v>52</v>
      </c>
      <c r="G463" s="5" t="s">
        <v>34</v>
      </c>
      <c r="H463" s="7" t="s">
        <v>289</v>
      </c>
      <c r="I463" s="7" t="s">
        <v>562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1</v>
      </c>
      <c r="AF463" s="8">
        <v>2500</v>
      </c>
      <c r="AG463" s="7">
        <v>0</v>
      </c>
      <c r="AH463" s="7">
        <v>0</v>
      </c>
      <c r="AI463" s="7">
        <v>0</v>
      </c>
      <c r="AJ463" s="7">
        <v>0</v>
      </c>
      <c r="AK463" s="7">
        <v>1</v>
      </c>
      <c r="AL463" s="8">
        <v>3000</v>
      </c>
      <c r="AM463" s="7">
        <v>0</v>
      </c>
      <c r="AN463" s="7">
        <v>0</v>
      </c>
      <c r="AO463" s="7">
        <v>0</v>
      </c>
      <c r="AP463" s="7">
        <v>0</v>
      </c>
      <c r="AQ463" s="7">
        <v>1</v>
      </c>
      <c r="AR463" s="7">
        <v>2500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900</v>
      </c>
      <c r="BM463" s="10">
        <v>8000</v>
      </c>
      <c r="BN463" s="15">
        <f t="shared" si="14"/>
        <v>7100</v>
      </c>
      <c r="BO463" s="16">
        <f t="shared" si="15"/>
        <v>4970</v>
      </c>
    </row>
    <row r="464" spans="1:67" x14ac:dyDescent="0.3">
      <c r="A464" s="5" t="s">
        <v>400</v>
      </c>
      <c r="B464" s="5" t="s">
        <v>77</v>
      </c>
      <c r="C464" s="5">
        <v>387942</v>
      </c>
      <c r="D464" s="6"/>
      <c r="E464" s="5" t="s">
        <v>16</v>
      </c>
      <c r="F464" s="5" t="s">
        <v>78</v>
      </c>
      <c r="G464" s="5" t="s">
        <v>10</v>
      </c>
      <c r="H464" s="7" t="s">
        <v>7</v>
      </c>
      <c r="I464" s="7" t="s">
        <v>79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3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8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59</v>
      </c>
      <c r="AL464" s="7">
        <v>7080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2124</v>
      </c>
      <c r="BM464" s="10">
        <v>7080</v>
      </c>
      <c r="BN464" s="15">
        <f t="shared" si="14"/>
        <v>4956</v>
      </c>
      <c r="BO464" s="16">
        <f t="shared" si="15"/>
        <v>3469.2</v>
      </c>
    </row>
    <row r="465" spans="1:67" x14ac:dyDescent="0.3">
      <c r="A465" s="5" t="s">
        <v>400</v>
      </c>
      <c r="B465" s="5" t="s">
        <v>339</v>
      </c>
      <c r="C465" s="5">
        <v>446880</v>
      </c>
      <c r="D465" s="6"/>
      <c r="E465" s="5" t="s">
        <v>16</v>
      </c>
      <c r="F465" s="5" t="s">
        <v>256</v>
      </c>
      <c r="G465" s="5" t="s">
        <v>34</v>
      </c>
      <c r="H465" s="7" t="s">
        <v>289</v>
      </c>
      <c r="I465" s="7" t="s">
        <v>299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2</v>
      </c>
      <c r="AF465" s="7">
        <v>7000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8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10">
        <v>7000</v>
      </c>
      <c r="BN465" s="15">
        <f t="shared" si="14"/>
        <v>7000</v>
      </c>
      <c r="BO465" s="16">
        <f t="shared" si="15"/>
        <v>4900</v>
      </c>
    </row>
    <row r="466" spans="1:67" ht="19.5" x14ac:dyDescent="0.3">
      <c r="A466" s="5" t="s">
        <v>400</v>
      </c>
      <c r="B466" s="5" t="s">
        <v>342</v>
      </c>
      <c r="C466" s="5">
        <v>383234</v>
      </c>
      <c r="D466" s="6"/>
      <c r="E466" s="5" t="s">
        <v>16</v>
      </c>
      <c r="F466" s="5" t="s">
        <v>128</v>
      </c>
      <c r="G466" s="5" t="s">
        <v>34</v>
      </c>
      <c r="H466" s="7" t="s">
        <v>289</v>
      </c>
      <c r="I466" s="7" t="s">
        <v>129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2</v>
      </c>
      <c r="AF466" s="7">
        <v>3200</v>
      </c>
      <c r="AG466" s="7">
        <v>300</v>
      </c>
      <c r="AH466" s="7">
        <v>0</v>
      </c>
      <c r="AI466" s="7">
        <v>0</v>
      </c>
      <c r="AJ466" s="7">
        <v>0</v>
      </c>
      <c r="AK466" s="7">
        <v>1</v>
      </c>
      <c r="AL466" s="8">
        <v>3248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974.4</v>
      </c>
      <c r="BM466" s="10">
        <v>6748</v>
      </c>
      <c r="BN466" s="15">
        <f t="shared" si="14"/>
        <v>5773.6</v>
      </c>
      <c r="BO466" s="16">
        <f t="shared" si="15"/>
        <v>4041.52</v>
      </c>
    </row>
    <row r="467" spans="1:67" x14ac:dyDescent="0.3">
      <c r="A467" s="5" t="s">
        <v>400</v>
      </c>
      <c r="B467" s="5" t="s">
        <v>298</v>
      </c>
      <c r="C467" s="5">
        <v>431330</v>
      </c>
      <c r="D467" s="6"/>
      <c r="E467" s="5" t="s">
        <v>16</v>
      </c>
      <c r="F467" s="5" t="s">
        <v>256</v>
      </c>
      <c r="G467" s="5" t="s">
        <v>34</v>
      </c>
      <c r="H467" s="7" t="s">
        <v>8</v>
      </c>
      <c r="I467" s="7" t="s">
        <v>299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8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57</v>
      </c>
      <c r="AL467" s="7">
        <v>6558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1967.4</v>
      </c>
      <c r="BM467" s="10">
        <v>6558</v>
      </c>
      <c r="BN467" s="15">
        <f t="shared" ref="BN467:BN485" si="16">BM467-BL467</f>
        <v>4590.6000000000004</v>
      </c>
      <c r="BO467" s="16">
        <f t="shared" ref="BO467:BO485" si="17">BN467*70%</f>
        <v>3213.42</v>
      </c>
    </row>
    <row r="468" spans="1:67" x14ac:dyDescent="0.3">
      <c r="A468" s="5" t="s">
        <v>400</v>
      </c>
      <c r="B468" s="5" t="s">
        <v>185</v>
      </c>
      <c r="C468" s="5">
        <v>402649</v>
      </c>
      <c r="D468" s="6"/>
      <c r="E468" s="5" t="s">
        <v>16</v>
      </c>
      <c r="F468" s="5" t="s">
        <v>41</v>
      </c>
      <c r="G468" s="5" t="s">
        <v>34</v>
      </c>
      <c r="H468" s="7" t="s">
        <v>8</v>
      </c>
      <c r="I468" s="7" t="s">
        <v>186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3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54</v>
      </c>
      <c r="AL468" s="7">
        <v>6480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8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1944</v>
      </c>
      <c r="BM468" s="10">
        <v>6480</v>
      </c>
      <c r="BN468" s="15">
        <f>BM468-BL468</f>
        <v>4536</v>
      </c>
      <c r="BO468" s="16">
        <f t="shared" si="17"/>
        <v>3175.2</v>
      </c>
    </row>
    <row r="469" spans="1:67" x14ac:dyDescent="0.3">
      <c r="A469" s="5" t="s">
        <v>400</v>
      </c>
      <c r="B469" s="5" t="s">
        <v>68</v>
      </c>
      <c r="C469" s="5">
        <v>442274</v>
      </c>
      <c r="D469" s="6"/>
      <c r="E469" s="5" t="s">
        <v>16</v>
      </c>
      <c r="F469" s="5" t="s">
        <v>69</v>
      </c>
      <c r="G469" s="5" t="s">
        <v>10</v>
      </c>
      <c r="H469" s="7" t="s">
        <v>7</v>
      </c>
      <c r="I469" s="7" t="s">
        <v>70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10</v>
      </c>
      <c r="AF469" s="8">
        <v>0</v>
      </c>
      <c r="AG469" s="7">
        <v>1000</v>
      </c>
      <c r="AH469" s="7">
        <v>0</v>
      </c>
      <c r="AI469" s="7">
        <v>0</v>
      </c>
      <c r="AJ469" s="7">
        <v>0</v>
      </c>
      <c r="AK469" s="7">
        <v>2</v>
      </c>
      <c r="AL469" s="7">
        <v>0</v>
      </c>
      <c r="AM469" s="7">
        <v>200</v>
      </c>
      <c r="AN469" s="7">
        <v>0</v>
      </c>
      <c r="AO469" s="7">
        <v>0</v>
      </c>
      <c r="AP469" s="7">
        <v>0</v>
      </c>
      <c r="AQ469" s="7">
        <v>49</v>
      </c>
      <c r="AR469" s="7">
        <v>4900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10">
        <v>6100</v>
      </c>
      <c r="BN469" s="15">
        <f t="shared" si="16"/>
        <v>6100</v>
      </c>
      <c r="BO469" s="16">
        <f t="shared" si="17"/>
        <v>4270</v>
      </c>
    </row>
    <row r="470" spans="1:67" x14ac:dyDescent="0.3">
      <c r="A470" s="5" t="s">
        <v>400</v>
      </c>
      <c r="B470" s="5" t="s">
        <v>240</v>
      </c>
      <c r="C470" s="5">
        <v>400251</v>
      </c>
      <c r="D470" s="6"/>
      <c r="E470" s="5" t="s">
        <v>16</v>
      </c>
      <c r="F470" s="5" t="s">
        <v>41</v>
      </c>
      <c r="G470" s="5" t="s">
        <v>34</v>
      </c>
      <c r="H470" s="7" t="s">
        <v>8</v>
      </c>
      <c r="I470" s="7" t="s">
        <v>241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4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42</v>
      </c>
      <c r="AF470" s="7">
        <v>4100</v>
      </c>
      <c r="AG470" s="7">
        <v>100</v>
      </c>
      <c r="AH470" s="7">
        <v>0</v>
      </c>
      <c r="AI470" s="7">
        <v>0</v>
      </c>
      <c r="AJ470" s="7">
        <v>0</v>
      </c>
      <c r="AK470" s="7">
        <v>3</v>
      </c>
      <c r="AL470" s="7">
        <v>324</v>
      </c>
      <c r="AM470" s="7">
        <v>0</v>
      </c>
      <c r="AN470" s="7">
        <v>0</v>
      </c>
      <c r="AO470" s="7">
        <v>0</v>
      </c>
      <c r="AP470" s="7">
        <v>0</v>
      </c>
      <c r="AQ470" s="7">
        <v>11</v>
      </c>
      <c r="AR470" s="8">
        <v>1100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7">
        <v>0</v>
      </c>
      <c r="BI470" s="7">
        <v>0</v>
      </c>
      <c r="BJ470" s="7">
        <v>0</v>
      </c>
      <c r="BK470" s="7">
        <v>0</v>
      </c>
      <c r="BL470" s="7">
        <v>97.2</v>
      </c>
      <c r="BM470" s="10">
        <v>5624</v>
      </c>
      <c r="BN470" s="15">
        <f t="shared" si="16"/>
        <v>5526.8</v>
      </c>
      <c r="BO470" s="16">
        <f t="shared" si="17"/>
        <v>3868.7599999999998</v>
      </c>
    </row>
    <row r="471" spans="1:67" x14ac:dyDescent="0.3">
      <c r="A471" s="5" t="s">
        <v>400</v>
      </c>
      <c r="B471" s="5" t="s">
        <v>301</v>
      </c>
      <c r="C471" s="5">
        <v>389960</v>
      </c>
      <c r="D471" s="6"/>
      <c r="E471" s="5" t="s">
        <v>16</v>
      </c>
      <c r="F471" s="5" t="s">
        <v>108</v>
      </c>
      <c r="G471" s="5" t="s">
        <v>382</v>
      </c>
      <c r="H471" s="7" t="s">
        <v>9</v>
      </c>
      <c r="I471" s="7" t="s">
        <v>302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5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56</v>
      </c>
      <c r="AF471" s="8">
        <v>5600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0</v>
      </c>
      <c r="BH471" s="7">
        <v>0</v>
      </c>
      <c r="BI471" s="7">
        <v>0</v>
      </c>
      <c r="BJ471" s="7">
        <v>0</v>
      </c>
      <c r="BK471" s="7">
        <v>0</v>
      </c>
      <c r="BL471" s="7">
        <v>0</v>
      </c>
      <c r="BM471" s="10">
        <v>5600</v>
      </c>
      <c r="BN471" s="15">
        <f t="shared" si="16"/>
        <v>5600</v>
      </c>
      <c r="BO471" s="16">
        <f t="shared" si="17"/>
        <v>3919.9999999999995</v>
      </c>
    </row>
    <row r="472" spans="1:67" x14ac:dyDescent="0.3">
      <c r="A472" s="5" t="s">
        <v>400</v>
      </c>
      <c r="B472" s="5" t="s">
        <v>225</v>
      </c>
      <c r="C472" s="5">
        <v>429534</v>
      </c>
      <c r="D472" s="6"/>
      <c r="E472" s="5" t="s">
        <v>16</v>
      </c>
      <c r="F472" s="5" t="s">
        <v>166</v>
      </c>
      <c r="G472" s="5" t="s">
        <v>374</v>
      </c>
      <c r="H472" s="7" t="s">
        <v>7</v>
      </c>
      <c r="I472" s="7" t="s">
        <v>226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1</v>
      </c>
      <c r="AF472" s="7">
        <v>2800</v>
      </c>
      <c r="AG472" s="7">
        <v>0</v>
      </c>
      <c r="AH472" s="7">
        <v>0</v>
      </c>
      <c r="AI472" s="8">
        <v>0</v>
      </c>
      <c r="AJ472" s="7">
        <v>0</v>
      </c>
      <c r="AK472" s="7">
        <v>1</v>
      </c>
      <c r="AL472" s="7">
        <v>0</v>
      </c>
      <c r="AM472" s="7">
        <v>2800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7">
        <v>0</v>
      </c>
      <c r="BI472" s="7">
        <v>0</v>
      </c>
      <c r="BJ472" s="7">
        <v>0</v>
      </c>
      <c r="BK472" s="7">
        <v>0</v>
      </c>
      <c r="BL472" s="7">
        <v>0</v>
      </c>
      <c r="BM472" s="10">
        <v>5600</v>
      </c>
      <c r="BN472" s="15">
        <f t="shared" si="16"/>
        <v>5600</v>
      </c>
      <c r="BO472" s="16">
        <f t="shared" si="17"/>
        <v>3919.9999999999995</v>
      </c>
    </row>
    <row r="473" spans="1:67" x14ac:dyDescent="0.3">
      <c r="A473" s="5" t="s">
        <v>400</v>
      </c>
      <c r="B473" s="5" t="s">
        <v>469</v>
      </c>
      <c r="C473" s="5">
        <v>469075</v>
      </c>
      <c r="D473" s="6"/>
      <c r="E473" s="5" t="s">
        <v>16</v>
      </c>
      <c r="F473" s="5" t="s">
        <v>58</v>
      </c>
      <c r="G473" s="5" t="s">
        <v>382</v>
      </c>
      <c r="H473" s="7" t="s">
        <v>9</v>
      </c>
      <c r="I473" s="7" t="s">
        <v>470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1</v>
      </c>
      <c r="AL473" s="8">
        <v>4920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s="7">
        <v>0</v>
      </c>
      <c r="BC473" s="7">
        <v>0</v>
      </c>
      <c r="BD473" s="7">
        <v>0</v>
      </c>
      <c r="BE473" s="7">
        <v>0</v>
      </c>
      <c r="BF473" s="7">
        <v>0</v>
      </c>
      <c r="BG473" s="7">
        <v>0</v>
      </c>
      <c r="BH473" s="7">
        <v>0</v>
      </c>
      <c r="BI473" s="7">
        <v>0</v>
      </c>
      <c r="BJ473" s="7">
        <v>0</v>
      </c>
      <c r="BK473" s="7">
        <v>0</v>
      </c>
      <c r="BL473" s="7">
        <v>1476</v>
      </c>
      <c r="BM473" s="10">
        <v>4920</v>
      </c>
      <c r="BN473" s="15">
        <f t="shared" si="16"/>
        <v>3444</v>
      </c>
      <c r="BO473" s="16">
        <f t="shared" si="17"/>
        <v>2410.7999999999997</v>
      </c>
    </row>
    <row r="474" spans="1:67" x14ac:dyDescent="0.3">
      <c r="A474" s="5" t="s">
        <v>400</v>
      </c>
      <c r="B474" s="5" t="s">
        <v>175</v>
      </c>
      <c r="C474" s="5">
        <v>359006</v>
      </c>
      <c r="D474" s="6"/>
      <c r="E474" s="5" t="s">
        <v>16</v>
      </c>
      <c r="F474" s="5" t="s">
        <v>128</v>
      </c>
      <c r="G474" s="5" t="s">
        <v>34</v>
      </c>
      <c r="H474" s="7" t="s">
        <v>8</v>
      </c>
      <c r="I474" s="7" t="s">
        <v>176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4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41</v>
      </c>
      <c r="AL474" s="7">
        <v>4920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8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7">
        <v>0</v>
      </c>
      <c r="BI474" s="7">
        <v>0</v>
      </c>
      <c r="BJ474" s="7">
        <v>0</v>
      </c>
      <c r="BK474" s="7">
        <v>0</v>
      </c>
      <c r="BL474" s="7">
        <v>1476</v>
      </c>
      <c r="BM474" s="10">
        <v>4920</v>
      </c>
      <c r="BN474" s="15">
        <f t="shared" si="16"/>
        <v>3444</v>
      </c>
      <c r="BO474" s="16">
        <f t="shared" si="17"/>
        <v>2410.7999999999997</v>
      </c>
    </row>
    <row r="475" spans="1:67" x14ac:dyDescent="0.3">
      <c r="A475" s="5" t="s">
        <v>400</v>
      </c>
      <c r="B475" s="5" t="s">
        <v>255</v>
      </c>
      <c r="C475" s="5">
        <v>407159</v>
      </c>
      <c r="D475" s="6"/>
      <c r="E475" s="5" t="s">
        <v>16</v>
      </c>
      <c r="F475" s="5" t="s">
        <v>256</v>
      </c>
      <c r="G475" s="5" t="s">
        <v>34</v>
      </c>
      <c r="H475" s="7" t="s">
        <v>8</v>
      </c>
      <c r="I475" s="7" t="s">
        <v>257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16</v>
      </c>
      <c r="AF475" s="7">
        <v>1600</v>
      </c>
      <c r="AG475" s="7">
        <v>0</v>
      </c>
      <c r="AH475" s="7">
        <v>0</v>
      </c>
      <c r="AI475" s="7">
        <v>0</v>
      </c>
      <c r="AJ475" s="7">
        <v>0</v>
      </c>
      <c r="AK475" s="7">
        <v>33</v>
      </c>
      <c r="AL475" s="7">
        <v>0</v>
      </c>
      <c r="AM475" s="7">
        <v>3300</v>
      </c>
      <c r="AN475" s="7">
        <v>0</v>
      </c>
      <c r="AO475" s="7">
        <v>0</v>
      </c>
      <c r="AP475" s="7">
        <v>0</v>
      </c>
      <c r="AQ475" s="7">
        <v>0</v>
      </c>
      <c r="AR475" s="8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</v>
      </c>
      <c r="BH475" s="7">
        <v>0</v>
      </c>
      <c r="BI475" s="7">
        <v>0</v>
      </c>
      <c r="BJ475" s="7">
        <v>0</v>
      </c>
      <c r="BK475" s="7">
        <v>0</v>
      </c>
      <c r="BL475" s="7">
        <v>0</v>
      </c>
      <c r="BM475" s="10">
        <v>4900</v>
      </c>
      <c r="BN475" s="15">
        <f t="shared" si="16"/>
        <v>4900</v>
      </c>
      <c r="BO475" s="16">
        <f t="shared" si="17"/>
        <v>3430</v>
      </c>
    </row>
    <row r="476" spans="1:67" x14ac:dyDescent="0.3">
      <c r="A476" s="5" t="s">
        <v>400</v>
      </c>
      <c r="B476" s="5" t="s">
        <v>282</v>
      </c>
      <c r="C476" s="5">
        <v>445862</v>
      </c>
      <c r="D476" s="6"/>
      <c r="E476" s="5" t="s">
        <v>16</v>
      </c>
      <c r="F476" s="5" t="s">
        <v>47</v>
      </c>
      <c r="G476" s="5" t="s">
        <v>34</v>
      </c>
      <c r="H476" s="7" t="s">
        <v>8</v>
      </c>
      <c r="I476" s="7" t="s">
        <v>188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1</v>
      </c>
      <c r="AF476" s="7">
        <v>2200</v>
      </c>
      <c r="AG476" s="7">
        <v>0</v>
      </c>
      <c r="AH476" s="7">
        <v>0</v>
      </c>
      <c r="AI476" s="7">
        <v>0</v>
      </c>
      <c r="AJ476" s="7">
        <v>0</v>
      </c>
      <c r="AK476" s="7">
        <v>1</v>
      </c>
      <c r="AL476" s="7">
        <v>2640</v>
      </c>
      <c r="AM476" s="8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0</v>
      </c>
      <c r="BI476" s="7">
        <v>0</v>
      </c>
      <c r="BJ476" s="7">
        <v>0</v>
      </c>
      <c r="BK476" s="7">
        <v>0</v>
      </c>
      <c r="BL476" s="7">
        <v>792</v>
      </c>
      <c r="BM476" s="10">
        <v>4840</v>
      </c>
      <c r="BN476" s="15">
        <f t="shared" si="16"/>
        <v>4048</v>
      </c>
      <c r="BO476" s="16">
        <f t="shared" si="17"/>
        <v>2833.6</v>
      </c>
    </row>
    <row r="477" spans="1:67" x14ac:dyDescent="0.3">
      <c r="A477" s="5" t="s">
        <v>400</v>
      </c>
      <c r="B477" s="5" t="s">
        <v>245</v>
      </c>
      <c r="C477" s="5">
        <v>297776</v>
      </c>
      <c r="D477" s="6"/>
      <c r="E477" s="5" t="s">
        <v>16</v>
      </c>
      <c r="F477" s="5" t="s">
        <v>246</v>
      </c>
      <c r="G477" s="5" t="s">
        <v>382</v>
      </c>
      <c r="H477" s="7" t="s">
        <v>9</v>
      </c>
      <c r="I477" s="7" t="s">
        <v>247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35</v>
      </c>
      <c r="AF477" s="7">
        <v>3500</v>
      </c>
      <c r="AG477" s="7">
        <v>0</v>
      </c>
      <c r="AH477" s="7">
        <v>0</v>
      </c>
      <c r="AI477" s="7">
        <v>0</v>
      </c>
      <c r="AJ477" s="7">
        <v>0</v>
      </c>
      <c r="AK477" s="7">
        <v>11</v>
      </c>
      <c r="AL477" s="7">
        <v>1320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8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0</v>
      </c>
      <c r="BI477" s="7">
        <v>0</v>
      </c>
      <c r="BJ477" s="7">
        <v>0</v>
      </c>
      <c r="BK477" s="7">
        <v>0</v>
      </c>
      <c r="BL477" s="7">
        <v>396</v>
      </c>
      <c r="BM477" s="10">
        <v>4820</v>
      </c>
      <c r="BN477" s="15">
        <f t="shared" si="16"/>
        <v>4424</v>
      </c>
      <c r="BO477" s="16">
        <f t="shared" si="17"/>
        <v>3096.7999999999997</v>
      </c>
    </row>
    <row r="478" spans="1:67" x14ac:dyDescent="0.3">
      <c r="A478" s="5" t="s">
        <v>400</v>
      </c>
      <c r="B478" s="5" t="s">
        <v>263</v>
      </c>
      <c r="C478" s="5">
        <v>327548</v>
      </c>
      <c r="D478" s="6"/>
      <c r="E478" s="5" t="s">
        <v>16</v>
      </c>
      <c r="F478" s="5" t="s">
        <v>200</v>
      </c>
      <c r="G478" s="5" t="s">
        <v>34</v>
      </c>
      <c r="H478" s="7" t="s">
        <v>8</v>
      </c>
      <c r="I478" s="7" t="s">
        <v>264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39</v>
      </c>
      <c r="AL478" s="7">
        <v>4680</v>
      </c>
      <c r="AM478" s="8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7">
        <v>0</v>
      </c>
      <c r="BI478" s="7">
        <v>0</v>
      </c>
      <c r="BJ478" s="7">
        <v>0</v>
      </c>
      <c r="BK478" s="7">
        <v>0</v>
      </c>
      <c r="BL478" s="7">
        <v>1404</v>
      </c>
      <c r="BM478" s="10">
        <v>4680</v>
      </c>
      <c r="BN478" s="15">
        <f t="shared" si="16"/>
        <v>3276</v>
      </c>
      <c r="BO478" s="16">
        <f t="shared" si="17"/>
        <v>2293.1999999999998</v>
      </c>
    </row>
    <row r="479" spans="1:67" x14ac:dyDescent="0.3">
      <c r="A479" s="5" t="s">
        <v>400</v>
      </c>
      <c r="B479" s="5" t="s">
        <v>306</v>
      </c>
      <c r="C479" s="5">
        <v>358202</v>
      </c>
      <c r="D479" s="6"/>
      <c r="E479" s="5" t="s">
        <v>16</v>
      </c>
      <c r="F479" s="5" t="s">
        <v>256</v>
      </c>
      <c r="G479" s="5" t="s">
        <v>34</v>
      </c>
      <c r="H479" s="7" t="s">
        <v>8</v>
      </c>
      <c r="I479" s="7" t="s">
        <v>307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31</v>
      </c>
      <c r="AF479" s="7">
        <v>2800</v>
      </c>
      <c r="AG479" s="7">
        <v>300</v>
      </c>
      <c r="AH479" s="7">
        <v>0</v>
      </c>
      <c r="AI479" s="7">
        <v>0</v>
      </c>
      <c r="AJ479" s="7">
        <v>0</v>
      </c>
      <c r="AK479" s="7">
        <v>14</v>
      </c>
      <c r="AL479" s="7">
        <v>0</v>
      </c>
      <c r="AM479" s="7">
        <v>1400</v>
      </c>
      <c r="AN479" s="7">
        <v>0</v>
      </c>
      <c r="AO479" s="7">
        <v>0</v>
      </c>
      <c r="AP479" s="7">
        <v>0</v>
      </c>
      <c r="AQ479" s="7">
        <v>0</v>
      </c>
      <c r="AR479" s="8">
        <v>0</v>
      </c>
      <c r="AS479" s="7">
        <v>0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7">
        <v>0</v>
      </c>
      <c r="AZ479" s="7">
        <v>0</v>
      </c>
      <c r="BA479" s="7">
        <v>0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0</v>
      </c>
      <c r="BH479" s="7">
        <v>0</v>
      </c>
      <c r="BI479" s="7">
        <v>0</v>
      </c>
      <c r="BJ479" s="7">
        <v>0</v>
      </c>
      <c r="BK479" s="7">
        <v>0</v>
      </c>
      <c r="BL479" s="7">
        <v>0</v>
      </c>
      <c r="BM479" s="10">
        <v>4500</v>
      </c>
      <c r="BN479" s="15">
        <f t="shared" si="16"/>
        <v>4500</v>
      </c>
      <c r="BO479" s="16">
        <f t="shared" si="17"/>
        <v>3150</v>
      </c>
    </row>
    <row r="480" spans="1:67" x14ac:dyDescent="0.3">
      <c r="A480" s="5" t="s">
        <v>400</v>
      </c>
      <c r="B480" s="5" t="s">
        <v>177</v>
      </c>
      <c r="C480" s="5">
        <v>378409</v>
      </c>
      <c r="D480" s="6"/>
      <c r="E480" s="5" t="s">
        <v>16</v>
      </c>
      <c r="F480" s="5" t="s">
        <v>47</v>
      </c>
      <c r="G480" s="5" t="s">
        <v>34</v>
      </c>
      <c r="H480" s="7" t="s">
        <v>8</v>
      </c>
      <c r="I480" s="7" t="s">
        <v>178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8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36</v>
      </c>
      <c r="AL480" s="7">
        <v>4080</v>
      </c>
      <c r="AM480" s="7">
        <v>200</v>
      </c>
      <c r="AN480" s="7">
        <v>0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7">
        <v>0</v>
      </c>
      <c r="AZ480" s="7">
        <v>0</v>
      </c>
      <c r="BA480" s="7">
        <v>0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</v>
      </c>
      <c r="BH480" s="7">
        <v>0</v>
      </c>
      <c r="BI480" s="7">
        <v>0</v>
      </c>
      <c r="BJ480" s="7">
        <v>0</v>
      </c>
      <c r="BK480" s="7">
        <v>0</v>
      </c>
      <c r="BL480" s="7">
        <v>1224</v>
      </c>
      <c r="BM480" s="10">
        <v>4280</v>
      </c>
      <c r="BN480" s="15">
        <f t="shared" si="16"/>
        <v>3056</v>
      </c>
      <c r="BO480" s="16">
        <f t="shared" si="17"/>
        <v>2139.1999999999998</v>
      </c>
    </row>
    <row r="481" spans="1:67" x14ac:dyDescent="0.3">
      <c r="A481" s="5" t="s">
        <v>400</v>
      </c>
      <c r="B481" s="5" t="s">
        <v>648</v>
      </c>
      <c r="C481" s="5">
        <v>413284</v>
      </c>
      <c r="D481" s="6"/>
      <c r="E481" s="5" t="s">
        <v>16</v>
      </c>
      <c r="F481" s="5" t="s">
        <v>246</v>
      </c>
      <c r="G481" s="5" t="s">
        <v>382</v>
      </c>
      <c r="H481" s="7" t="s">
        <v>7</v>
      </c>
      <c r="I481" s="7" t="s">
        <v>649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1</v>
      </c>
      <c r="AL481" s="7">
        <v>4200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0</v>
      </c>
      <c r="AZ481" s="7">
        <v>0</v>
      </c>
      <c r="BA481" s="7">
        <v>0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0</v>
      </c>
      <c r="BH481" s="7">
        <v>0</v>
      </c>
      <c r="BI481" s="7">
        <v>0</v>
      </c>
      <c r="BJ481" s="7">
        <v>0</v>
      </c>
      <c r="BK481" s="7">
        <v>0</v>
      </c>
      <c r="BL481" s="7">
        <v>1260</v>
      </c>
      <c r="BM481" s="10">
        <v>4200</v>
      </c>
      <c r="BN481" s="15">
        <f t="shared" si="16"/>
        <v>2940</v>
      </c>
      <c r="BO481" s="16">
        <f t="shared" si="17"/>
        <v>2058</v>
      </c>
    </row>
    <row r="482" spans="1:67" x14ac:dyDescent="0.3">
      <c r="A482" s="5" t="s">
        <v>400</v>
      </c>
      <c r="B482" s="5" t="s">
        <v>529</v>
      </c>
      <c r="C482" s="5">
        <v>481179</v>
      </c>
      <c r="D482" s="6"/>
      <c r="E482" s="5" t="s">
        <v>16</v>
      </c>
      <c r="F482" s="5" t="s">
        <v>530</v>
      </c>
      <c r="G482" s="5" t="s">
        <v>382</v>
      </c>
      <c r="H482" s="7" t="s">
        <v>289</v>
      </c>
      <c r="I482" s="7" t="s">
        <v>531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2</v>
      </c>
      <c r="AF482" s="8">
        <v>4000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0</v>
      </c>
      <c r="AZ482" s="7">
        <v>0</v>
      </c>
      <c r="BA482" s="7">
        <v>0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</v>
      </c>
      <c r="BH482" s="7">
        <v>0</v>
      </c>
      <c r="BI482" s="7">
        <v>0</v>
      </c>
      <c r="BJ482" s="7">
        <v>0</v>
      </c>
      <c r="BK482" s="7">
        <v>0</v>
      </c>
      <c r="BL482" s="7">
        <v>0</v>
      </c>
      <c r="BM482" s="10">
        <v>4000</v>
      </c>
      <c r="BN482" s="15">
        <f t="shared" si="16"/>
        <v>4000</v>
      </c>
      <c r="BO482" s="16">
        <f t="shared" si="17"/>
        <v>2800</v>
      </c>
    </row>
    <row r="483" spans="1:67" x14ac:dyDescent="0.3">
      <c r="A483" s="5" t="s">
        <v>400</v>
      </c>
      <c r="B483" s="5" t="s">
        <v>526</v>
      </c>
      <c r="C483" s="5">
        <v>462656</v>
      </c>
      <c r="D483" s="6"/>
      <c r="E483" s="5" t="s">
        <v>16</v>
      </c>
      <c r="F483" s="5" t="s">
        <v>256</v>
      </c>
      <c r="G483" s="5" t="s">
        <v>34</v>
      </c>
      <c r="H483" s="7" t="s">
        <v>289</v>
      </c>
      <c r="I483" s="7" t="s">
        <v>92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1</v>
      </c>
      <c r="AF483" s="7">
        <v>3800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8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0</v>
      </c>
      <c r="AZ483" s="7">
        <v>0</v>
      </c>
      <c r="BA483" s="7">
        <v>0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</v>
      </c>
      <c r="BH483" s="7">
        <v>0</v>
      </c>
      <c r="BI483" s="7">
        <v>0</v>
      </c>
      <c r="BJ483" s="7">
        <v>0</v>
      </c>
      <c r="BK483" s="7">
        <v>0</v>
      </c>
      <c r="BL483" s="7">
        <v>0</v>
      </c>
      <c r="BM483" s="10">
        <v>3800</v>
      </c>
      <c r="BN483" s="15">
        <f t="shared" si="16"/>
        <v>3800</v>
      </c>
      <c r="BO483" s="16">
        <f t="shared" si="17"/>
        <v>2660</v>
      </c>
    </row>
    <row r="484" spans="1:67" ht="19.5" x14ac:dyDescent="0.3">
      <c r="A484" s="5" t="s">
        <v>400</v>
      </c>
      <c r="B484" s="5" t="s">
        <v>49</v>
      </c>
      <c r="C484" s="5">
        <v>459997</v>
      </c>
      <c r="D484" s="6"/>
      <c r="E484" s="5" t="s">
        <v>16</v>
      </c>
      <c r="F484" s="5" t="s">
        <v>50</v>
      </c>
      <c r="G484" s="5" t="s">
        <v>10</v>
      </c>
      <c r="H484" s="7" t="s">
        <v>7</v>
      </c>
      <c r="I484" s="7" t="s">
        <v>575</v>
      </c>
      <c r="J484" s="7">
        <v>0</v>
      </c>
      <c r="K484" s="7">
        <v>106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32</v>
      </c>
      <c r="AL484" s="7">
        <v>2160</v>
      </c>
      <c r="AM484" s="8">
        <v>1400</v>
      </c>
      <c r="AN484" s="7">
        <v>0</v>
      </c>
      <c r="AO484" s="7">
        <v>0</v>
      </c>
      <c r="AP484" s="7">
        <v>0</v>
      </c>
      <c r="AQ484" s="7">
        <v>2</v>
      </c>
      <c r="AR484" s="7">
        <v>200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</v>
      </c>
      <c r="BH484" s="7">
        <v>0</v>
      </c>
      <c r="BI484" s="7">
        <v>0</v>
      </c>
      <c r="BJ484" s="7">
        <v>0</v>
      </c>
      <c r="BK484" s="7">
        <v>0</v>
      </c>
      <c r="BL484" s="7">
        <v>648</v>
      </c>
      <c r="BM484" s="10">
        <v>3760</v>
      </c>
      <c r="BN484" s="15">
        <f t="shared" si="16"/>
        <v>3112</v>
      </c>
      <c r="BO484" s="16">
        <f t="shared" si="17"/>
        <v>2178.3999999999996</v>
      </c>
    </row>
    <row r="485" spans="1:67" x14ac:dyDescent="0.3">
      <c r="A485" s="5" t="s">
        <v>400</v>
      </c>
      <c r="B485" s="5" t="s">
        <v>290</v>
      </c>
      <c r="C485" s="5">
        <v>382325</v>
      </c>
      <c r="D485" s="6"/>
      <c r="E485" s="5" t="s">
        <v>16</v>
      </c>
      <c r="F485" s="5" t="s">
        <v>33</v>
      </c>
      <c r="G485" s="5" t="s">
        <v>34</v>
      </c>
      <c r="H485" s="7" t="s">
        <v>8</v>
      </c>
      <c r="I485" s="7" t="s">
        <v>291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8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31</v>
      </c>
      <c r="AL485" s="7">
        <v>3720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0</v>
      </c>
      <c r="BH485" s="7">
        <v>0</v>
      </c>
      <c r="BI485" s="7">
        <v>0</v>
      </c>
      <c r="BJ485" s="7">
        <v>0</v>
      </c>
      <c r="BK485" s="7">
        <v>0</v>
      </c>
      <c r="BL485" s="7">
        <v>1116</v>
      </c>
      <c r="BM485" s="10">
        <v>3720</v>
      </c>
      <c r="BN485" s="15">
        <f t="shared" si="16"/>
        <v>2604</v>
      </c>
      <c r="BO485" s="16">
        <f t="shared" si="17"/>
        <v>1822.8</v>
      </c>
    </row>
    <row r="486" spans="1:67" x14ac:dyDescent="0.3">
      <c r="A486" s="5" t="s">
        <v>400</v>
      </c>
      <c r="B486" s="5" t="s">
        <v>181</v>
      </c>
      <c r="C486" s="5">
        <v>325640</v>
      </c>
      <c r="D486" s="6"/>
      <c r="E486" s="5" t="s">
        <v>16</v>
      </c>
      <c r="F486" s="5" t="s">
        <v>182</v>
      </c>
      <c r="G486" s="5" t="s">
        <v>10</v>
      </c>
      <c r="H486" s="7" t="s">
        <v>7</v>
      </c>
      <c r="I486" s="7" t="s">
        <v>183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1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29</v>
      </c>
      <c r="AF486" s="7">
        <v>900</v>
      </c>
      <c r="AG486" s="7">
        <v>2000</v>
      </c>
      <c r="AH486" s="7">
        <v>0</v>
      </c>
      <c r="AI486" s="7">
        <v>0</v>
      </c>
      <c r="AJ486" s="7">
        <v>0</v>
      </c>
      <c r="AK486" s="7">
        <v>2</v>
      </c>
      <c r="AL486" s="7">
        <v>0</v>
      </c>
      <c r="AM486" s="7">
        <v>200</v>
      </c>
      <c r="AN486" s="7">
        <v>0</v>
      </c>
      <c r="AO486" s="7">
        <v>0</v>
      </c>
      <c r="AP486" s="7">
        <v>0</v>
      </c>
      <c r="AQ486" s="7">
        <v>6</v>
      </c>
      <c r="AR486" s="7">
        <v>600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0</v>
      </c>
      <c r="BH486" s="7">
        <v>0</v>
      </c>
      <c r="BI486" s="7">
        <v>0</v>
      </c>
      <c r="BJ486" s="7">
        <v>0</v>
      </c>
      <c r="BK486" s="7">
        <v>0</v>
      </c>
      <c r="BL486" s="7">
        <v>0</v>
      </c>
      <c r="BM486" s="10">
        <v>3700</v>
      </c>
      <c r="BN486" s="15">
        <f t="shared" ref="BN486:BN532" si="18">BM486-BL486</f>
        <v>3700</v>
      </c>
      <c r="BO486" s="16">
        <f t="shared" ref="BO486:BO532" si="19">BN486*70%</f>
        <v>2590</v>
      </c>
    </row>
    <row r="487" spans="1:67" x14ac:dyDescent="0.3">
      <c r="A487" s="5" t="s">
        <v>400</v>
      </c>
      <c r="B487" s="5" t="s">
        <v>149</v>
      </c>
      <c r="C487" s="5">
        <v>394079</v>
      </c>
      <c r="D487" s="6"/>
      <c r="E487" s="5" t="s">
        <v>16</v>
      </c>
      <c r="F487" s="5" t="s">
        <v>52</v>
      </c>
      <c r="G487" s="5" t="s">
        <v>34</v>
      </c>
      <c r="H487" s="7" t="s">
        <v>8</v>
      </c>
      <c r="I487" s="7" t="s">
        <v>150</v>
      </c>
      <c r="J487" s="7">
        <v>0</v>
      </c>
      <c r="K487" s="7">
        <v>3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19</v>
      </c>
      <c r="AF487" s="7">
        <v>1900</v>
      </c>
      <c r="AG487" s="7">
        <v>0</v>
      </c>
      <c r="AH487" s="7">
        <v>0</v>
      </c>
      <c r="AI487" s="7">
        <v>0</v>
      </c>
      <c r="AJ487" s="7">
        <v>0</v>
      </c>
      <c r="AK487" s="7">
        <v>14</v>
      </c>
      <c r="AL487" s="7">
        <v>1560</v>
      </c>
      <c r="AM487" s="7">
        <v>100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7">
        <v>0</v>
      </c>
      <c r="AZ487" s="7">
        <v>0</v>
      </c>
      <c r="BA487" s="7">
        <v>0</v>
      </c>
      <c r="BB487" s="7">
        <v>0</v>
      </c>
      <c r="BC487" s="7">
        <v>0</v>
      </c>
      <c r="BD487" s="7">
        <v>0</v>
      </c>
      <c r="BE487" s="7">
        <v>0</v>
      </c>
      <c r="BF487" s="7">
        <v>0</v>
      </c>
      <c r="BG487" s="7">
        <v>0</v>
      </c>
      <c r="BH487" s="7">
        <v>0</v>
      </c>
      <c r="BI487" s="7">
        <v>0</v>
      </c>
      <c r="BJ487" s="7">
        <v>0</v>
      </c>
      <c r="BK487" s="7">
        <v>0</v>
      </c>
      <c r="BL487" s="7">
        <v>468</v>
      </c>
      <c r="BM487" s="10">
        <v>3560</v>
      </c>
      <c r="BN487" s="15">
        <f t="shared" si="18"/>
        <v>3092</v>
      </c>
      <c r="BO487" s="16">
        <f t="shared" si="19"/>
        <v>2164.3999999999996</v>
      </c>
    </row>
    <row r="488" spans="1:67" ht="19.5" x14ac:dyDescent="0.3">
      <c r="A488" s="5" t="s">
        <v>400</v>
      </c>
      <c r="B488" s="5" t="s">
        <v>333</v>
      </c>
      <c r="C488" s="5">
        <v>458432</v>
      </c>
      <c r="D488" s="6"/>
      <c r="E488" s="5" t="s">
        <v>16</v>
      </c>
      <c r="F488" s="5" t="s">
        <v>128</v>
      </c>
      <c r="G488" s="5" t="s">
        <v>34</v>
      </c>
      <c r="H488" s="7" t="s">
        <v>289</v>
      </c>
      <c r="I488" s="7" t="s">
        <v>334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1</v>
      </c>
      <c r="AL488" s="7">
        <v>3360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8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0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</v>
      </c>
      <c r="BH488" s="7">
        <v>0</v>
      </c>
      <c r="BI488" s="7">
        <v>0</v>
      </c>
      <c r="BJ488" s="7">
        <v>0</v>
      </c>
      <c r="BK488" s="7">
        <v>0</v>
      </c>
      <c r="BL488" s="7">
        <v>1008</v>
      </c>
      <c r="BM488" s="10">
        <v>3360</v>
      </c>
      <c r="BN488" s="15">
        <f t="shared" si="18"/>
        <v>2352</v>
      </c>
      <c r="BO488" s="16">
        <f t="shared" si="19"/>
        <v>1646.3999999999999</v>
      </c>
    </row>
    <row r="489" spans="1:67" x14ac:dyDescent="0.3">
      <c r="A489" s="5" t="s">
        <v>400</v>
      </c>
      <c r="B489" s="5" t="s">
        <v>598</v>
      </c>
      <c r="C489" s="5">
        <v>391008</v>
      </c>
      <c r="D489" s="6"/>
      <c r="E489" s="5" t="s">
        <v>16</v>
      </c>
      <c r="F489" s="5" t="s">
        <v>123</v>
      </c>
      <c r="G489" s="5" t="s">
        <v>34</v>
      </c>
      <c r="H489" s="7" t="s">
        <v>8</v>
      </c>
      <c r="I489" s="7" t="s">
        <v>599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8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7">
        <v>33</v>
      </c>
      <c r="AR489" s="7">
        <v>3300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0</v>
      </c>
      <c r="BB489" s="7">
        <v>0</v>
      </c>
      <c r="BC489" s="7">
        <v>0</v>
      </c>
      <c r="BD489" s="7">
        <v>0</v>
      </c>
      <c r="BE489" s="7">
        <v>0</v>
      </c>
      <c r="BF489" s="7">
        <v>0</v>
      </c>
      <c r="BG489" s="7">
        <v>0</v>
      </c>
      <c r="BH489" s="7">
        <v>0</v>
      </c>
      <c r="BI489" s="7">
        <v>0</v>
      </c>
      <c r="BJ489" s="7">
        <v>0</v>
      </c>
      <c r="BK489" s="7">
        <v>0</v>
      </c>
      <c r="BL489" s="7">
        <v>0</v>
      </c>
      <c r="BM489" s="10">
        <v>3300</v>
      </c>
      <c r="BN489" s="15">
        <f t="shared" si="18"/>
        <v>3300</v>
      </c>
      <c r="BO489" s="16">
        <f t="shared" si="19"/>
        <v>2310</v>
      </c>
    </row>
    <row r="490" spans="1:67" x14ac:dyDescent="0.3">
      <c r="A490" s="5" t="s">
        <v>400</v>
      </c>
      <c r="B490" s="5" t="s">
        <v>629</v>
      </c>
      <c r="C490" s="5">
        <v>426278</v>
      </c>
      <c r="D490" s="6"/>
      <c r="E490" s="5" t="s">
        <v>16</v>
      </c>
      <c r="F490" s="5" t="s">
        <v>630</v>
      </c>
      <c r="G490" s="5" t="s">
        <v>34</v>
      </c>
      <c r="H490" s="7" t="s">
        <v>289</v>
      </c>
      <c r="I490" s="7" t="s">
        <v>610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1</v>
      </c>
      <c r="AF490" s="8">
        <v>3200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0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7">
        <v>0</v>
      </c>
      <c r="BI490" s="7">
        <v>0</v>
      </c>
      <c r="BJ490" s="7">
        <v>0</v>
      </c>
      <c r="BK490" s="7">
        <v>0</v>
      </c>
      <c r="BL490" s="7">
        <v>0</v>
      </c>
      <c r="BM490" s="10">
        <v>3200</v>
      </c>
      <c r="BN490" s="15">
        <f t="shared" si="18"/>
        <v>3200</v>
      </c>
      <c r="BO490" s="16">
        <f t="shared" si="19"/>
        <v>2240</v>
      </c>
    </row>
    <row r="491" spans="1:67" x14ac:dyDescent="0.3">
      <c r="A491" s="5" t="s">
        <v>400</v>
      </c>
      <c r="B491" s="5" t="s">
        <v>296</v>
      </c>
      <c r="C491" s="5">
        <v>430085</v>
      </c>
      <c r="D491" s="6"/>
      <c r="E491" s="5" t="s">
        <v>16</v>
      </c>
      <c r="F491" s="5" t="s">
        <v>86</v>
      </c>
      <c r="G491" s="5" t="s">
        <v>10</v>
      </c>
      <c r="H491" s="7" t="s">
        <v>9</v>
      </c>
      <c r="I491" s="7" t="s">
        <v>297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1</v>
      </c>
      <c r="AF491" s="7">
        <v>3200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0</v>
      </c>
      <c r="BH491" s="7">
        <v>0</v>
      </c>
      <c r="BI491" s="7">
        <v>0</v>
      </c>
      <c r="BJ491" s="7">
        <v>0</v>
      </c>
      <c r="BK491" s="7">
        <v>0</v>
      </c>
      <c r="BL491" s="7">
        <v>0</v>
      </c>
      <c r="BM491" s="10">
        <v>3200</v>
      </c>
      <c r="BN491" s="15">
        <f t="shared" si="18"/>
        <v>3200</v>
      </c>
      <c r="BO491" s="16">
        <f t="shared" si="19"/>
        <v>2240</v>
      </c>
    </row>
    <row r="492" spans="1:67" x14ac:dyDescent="0.3">
      <c r="A492" s="5" t="s">
        <v>400</v>
      </c>
      <c r="B492" s="5" t="s">
        <v>466</v>
      </c>
      <c r="C492" s="5">
        <v>463950</v>
      </c>
      <c r="D492" s="6"/>
      <c r="E492" s="5" t="s">
        <v>16</v>
      </c>
      <c r="F492" s="5" t="s">
        <v>467</v>
      </c>
      <c r="G492" s="5" t="s">
        <v>10</v>
      </c>
      <c r="H492" s="7" t="s">
        <v>7</v>
      </c>
      <c r="I492" s="7" t="s">
        <v>56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0</v>
      </c>
      <c r="AQ492" s="7">
        <v>1</v>
      </c>
      <c r="AR492" s="7">
        <v>3000</v>
      </c>
      <c r="AS492" s="7">
        <v>200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7">
        <v>0</v>
      </c>
      <c r="AZ492" s="7">
        <v>0</v>
      </c>
      <c r="BA492" s="7">
        <v>0</v>
      </c>
      <c r="BB492" s="7">
        <v>0</v>
      </c>
      <c r="BC492" s="7">
        <v>0</v>
      </c>
      <c r="BD492" s="7">
        <v>0</v>
      </c>
      <c r="BE492" s="7">
        <v>0</v>
      </c>
      <c r="BF492" s="7">
        <v>0</v>
      </c>
      <c r="BG492" s="7">
        <v>0</v>
      </c>
      <c r="BH492" s="7">
        <v>0</v>
      </c>
      <c r="BI492" s="7">
        <v>0</v>
      </c>
      <c r="BJ492" s="7">
        <v>0</v>
      </c>
      <c r="BK492" s="7">
        <v>0</v>
      </c>
      <c r="BL492" s="7">
        <v>0</v>
      </c>
      <c r="BM492" s="11">
        <v>3200</v>
      </c>
      <c r="BN492" s="15">
        <f t="shared" si="18"/>
        <v>3200</v>
      </c>
      <c r="BO492" s="16">
        <f t="shared" si="19"/>
        <v>2240</v>
      </c>
    </row>
    <row r="493" spans="1:67" x14ac:dyDescent="0.3">
      <c r="A493" s="5" t="s">
        <v>400</v>
      </c>
      <c r="B493" s="5" t="s">
        <v>349</v>
      </c>
      <c r="C493" s="5">
        <v>426259</v>
      </c>
      <c r="D493" s="6"/>
      <c r="E493" s="5" t="s">
        <v>16</v>
      </c>
      <c r="F493" s="5" t="s">
        <v>128</v>
      </c>
      <c r="G493" s="5" t="s">
        <v>34</v>
      </c>
      <c r="H493" s="7" t="s">
        <v>289</v>
      </c>
      <c r="I493" s="7" t="s">
        <v>350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1</v>
      </c>
      <c r="AL493" s="7">
        <v>3136</v>
      </c>
      <c r="AM493" s="7">
        <v>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7">
        <v>0</v>
      </c>
      <c r="AZ493" s="7">
        <v>0</v>
      </c>
      <c r="BA493" s="7">
        <v>0</v>
      </c>
      <c r="BB493" s="7">
        <v>0</v>
      </c>
      <c r="BC493" s="7">
        <v>0</v>
      </c>
      <c r="BD493" s="7">
        <v>0</v>
      </c>
      <c r="BE493" s="7">
        <v>0</v>
      </c>
      <c r="BF493" s="7">
        <v>0</v>
      </c>
      <c r="BG493" s="7">
        <v>0</v>
      </c>
      <c r="BH493" s="7">
        <v>0</v>
      </c>
      <c r="BI493" s="7">
        <v>0</v>
      </c>
      <c r="BJ493" s="7">
        <v>0</v>
      </c>
      <c r="BK493" s="7">
        <v>0</v>
      </c>
      <c r="BL493" s="7">
        <v>940.8</v>
      </c>
      <c r="BM493" s="11">
        <v>3136</v>
      </c>
      <c r="BN493" s="15">
        <f t="shared" si="18"/>
        <v>2195.1999999999998</v>
      </c>
      <c r="BO493" s="16">
        <f t="shared" si="19"/>
        <v>1536.6399999999999</v>
      </c>
    </row>
    <row r="494" spans="1:67" x14ac:dyDescent="0.3">
      <c r="A494" s="5" t="s">
        <v>400</v>
      </c>
      <c r="B494" s="5" t="s">
        <v>523</v>
      </c>
      <c r="C494" s="5">
        <v>483176</v>
      </c>
      <c r="D494" s="6"/>
      <c r="E494" s="5" t="s">
        <v>16</v>
      </c>
      <c r="F494" s="5" t="s">
        <v>41</v>
      </c>
      <c r="G494" s="5" t="s">
        <v>34</v>
      </c>
      <c r="H494" s="7" t="s">
        <v>289</v>
      </c>
      <c r="I494" s="7" t="s">
        <v>524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1</v>
      </c>
      <c r="AF494" s="7">
        <v>3000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7">
        <v>0</v>
      </c>
      <c r="AZ494" s="7">
        <v>0</v>
      </c>
      <c r="BA494" s="7">
        <v>0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0</v>
      </c>
      <c r="BH494" s="7">
        <v>0</v>
      </c>
      <c r="BI494" s="7">
        <v>0</v>
      </c>
      <c r="BJ494" s="7">
        <v>0</v>
      </c>
      <c r="BK494" s="7">
        <v>0</v>
      </c>
      <c r="BL494" s="7">
        <v>0</v>
      </c>
      <c r="BM494" s="11">
        <v>3000</v>
      </c>
      <c r="BN494" s="15">
        <f t="shared" si="18"/>
        <v>3000</v>
      </c>
      <c r="BO494" s="16">
        <f t="shared" si="19"/>
        <v>2100</v>
      </c>
    </row>
    <row r="495" spans="1:67" x14ac:dyDescent="0.3">
      <c r="A495" s="5" t="s">
        <v>400</v>
      </c>
      <c r="B495" s="5" t="s">
        <v>462</v>
      </c>
      <c r="C495" s="5">
        <v>476788</v>
      </c>
      <c r="D495" s="6"/>
      <c r="E495" s="5" t="s">
        <v>16</v>
      </c>
      <c r="F495" s="5" t="s">
        <v>463</v>
      </c>
      <c r="G495" s="5" t="s">
        <v>10</v>
      </c>
      <c r="H495" s="7" t="s">
        <v>7</v>
      </c>
      <c r="I495" s="7" t="s">
        <v>383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1</v>
      </c>
      <c r="AL495" s="7">
        <v>120</v>
      </c>
      <c r="AM495" s="7">
        <v>0</v>
      </c>
      <c r="AN495" s="7">
        <v>0</v>
      </c>
      <c r="AO495" s="7">
        <v>0</v>
      </c>
      <c r="AP495" s="7">
        <v>0</v>
      </c>
      <c r="AQ495" s="7">
        <v>28</v>
      </c>
      <c r="AR495" s="7">
        <v>2800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0</v>
      </c>
      <c r="BH495" s="7">
        <v>0</v>
      </c>
      <c r="BI495" s="7">
        <v>0</v>
      </c>
      <c r="BJ495" s="7">
        <v>0</v>
      </c>
      <c r="BK495" s="7">
        <v>0</v>
      </c>
      <c r="BL495" s="7">
        <v>36</v>
      </c>
      <c r="BM495" s="11">
        <v>2920</v>
      </c>
      <c r="BN495" s="15">
        <f t="shared" si="18"/>
        <v>2884</v>
      </c>
      <c r="BO495" s="16">
        <f t="shared" si="19"/>
        <v>2018.8</v>
      </c>
    </row>
    <row r="496" spans="1:67" ht="19.5" x14ac:dyDescent="0.3">
      <c r="A496" s="5" t="s">
        <v>400</v>
      </c>
      <c r="B496" s="5" t="s">
        <v>395</v>
      </c>
      <c r="C496" s="5">
        <v>421814</v>
      </c>
      <c r="D496" s="6"/>
      <c r="E496" s="5" t="s">
        <v>16</v>
      </c>
      <c r="F496" s="5" t="s">
        <v>41</v>
      </c>
      <c r="G496" s="5" t="s">
        <v>34</v>
      </c>
      <c r="H496" s="7" t="s">
        <v>289</v>
      </c>
      <c r="I496" s="7" t="s">
        <v>186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1</v>
      </c>
      <c r="AF496" s="7">
        <v>2900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  <c r="AX496" s="7">
        <v>0</v>
      </c>
      <c r="AY496" s="7">
        <v>0</v>
      </c>
      <c r="AZ496" s="7">
        <v>0</v>
      </c>
      <c r="BA496" s="7">
        <v>0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0</v>
      </c>
      <c r="BH496" s="7">
        <v>0</v>
      </c>
      <c r="BI496" s="7">
        <v>0</v>
      </c>
      <c r="BJ496" s="7">
        <v>0</v>
      </c>
      <c r="BK496" s="7">
        <v>0</v>
      </c>
      <c r="BL496" s="7">
        <v>0</v>
      </c>
      <c r="BM496" s="11">
        <v>2900</v>
      </c>
      <c r="BN496" s="15">
        <f t="shared" si="18"/>
        <v>2900</v>
      </c>
      <c r="BO496" s="16">
        <f t="shared" si="19"/>
        <v>2029.9999999999998</v>
      </c>
    </row>
    <row r="497" spans="1:67" x14ac:dyDescent="0.3">
      <c r="A497" s="5" t="s">
        <v>400</v>
      </c>
      <c r="B497" s="5" t="s">
        <v>369</v>
      </c>
      <c r="C497" s="5">
        <v>373610</v>
      </c>
      <c r="D497" s="6"/>
      <c r="E497" s="5" t="s">
        <v>16</v>
      </c>
      <c r="F497" s="5" t="s">
        <v>370</v>
      </c>
      <c r="G497" s="5" t="s">
        <v>10</v>
      </c>
      <c r="H497" s="7" t="s">
        <v>7</v>
      </c>
      <c r="I497" s="7" t="s">
        <v>371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24</v>
      </c>
      <c r="AL497" s="7">
        <v>2880</v>
      </c>
      <c r="AM497" s="7">
        <v>0</v>
      </c>
      <c r="AN497" s="7">
        <v>0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0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0</v>
      </c>
      <c r="BH497" s="7">
        <v>0</v>
      </c>
      <c r="BI497" s="7">
        <v>0</v>
      </c>
      <c r="BJ497" s="7">
        <v>0</v>
      </c>
      <c r="BK497" s="7">
        <v>0</v>
      </c>
      <c r="BL497" s="7">
        <v>864</v>
      </c>
      <c r="BM497" s="11">
        <v>2880</v>
      </c>
      <c r="BN497" s="15">
        <f t="shared" si="18"/>
        <v>2016</v>
      </c>
      <c r="BO497" s="16">
        <f t="shared" si="19"/>
        <v>1411.1999999999998</v>
      </c>
    </row>
    <row r="498" spans="1:67" x14ac:dyDescent="0.3">
      <c r="A498" s="5" t="s">
        <v>400</v>
      </c>
      <c r="B498" s="5" t="s">
        <v>587</v>
      </c>
      <c r="C498" s="5">
        <v>444220</v>
      </c>
      <c r="D498" s="6"/>
      <c r="E498" s="5" t="s">
        <v>16</v>
      </c>
      <c r="F498" s="5" t="s">
        <v>123</v>
      </c>
      <c r="G498" s="5" t="s">
        <v>34</v>
      </c>
      <c r="H498" s="7" t="s">
        <v>289</v>
      </c>
      <c r="I498" s="7" t="s">
        <v>562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1</v>
      </c>
      <c r="AR498" s="7">
        <v>2800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  <c r="AZ498" s="7">
        <v>0</v>
      </c>
      <c r="BA498" s="7">
        <v>0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0</v>
      </c>
      <c r="BH498" s="7">
        <v>0</v>
      </c>
      <c r="BI498" s="7">
        <v>0</v>
      </c>
      <c r="BJ498" s="7">
        <v>0</v>
      </c>
      <c r="BK498" s="7">
        <v>0</v>
      </c>
      <c r="BL498" s="7">
        <v>0</v>
      </c>
      <c r="BM498" s="11">
        <v>2800</v>
      </c>
      <c r="BN498" s="15">
        <f t="shared" si="18"/>
        <v>2800</v>
      </c>
      <c r="BO498" s="16">
        <f t="shared" si="19"/>
        <v>1959.9999999999998</v>
      </c>
    </row>
    <row r="499" spans="1:67" x14ac:dyDescent="0.3">
      <c r="A499" s="5" t="s">
        <v>400</v>
      </c>
      <c r="B499" s="5" t="s">
        <v>270</v>
      </c>
      <c r="C499" s="5">
        <v>404148</v>
      </c>
      <c r="D499" s="6"/>
      <c r="E499" s="5" t="s">
        <v>16</v>
      </c>
      <c r="F499" s="5" t="s">
        <v>271</v>
      </c>
      <c r="G499" s="5" t="s">
        <v>34</v>
      </c>
      <c r="H499" s="7" t="s">
        <v>8</v>
      </c>
      <c r="I499" s="7" t="s">
        <v>272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0</v>
      </c>
      <c r="AP499" s="7">
        <v>0</v>
      </c>
      <c r="AQ499" s="7">
        <v>28</v>
      </c>
      <c r="AR499" s="7">
        <v>2800</v>
      </c>
      <c r="AS499" s="7">
        <v>0</v>
      </c>
      <c r="AT499" s="7">
        <v>0</v>
      </c>
      <c r="AU499" s="7">
        <v>0</v>
      </c>
      <c r="AV499" s="7">
        <v>0</v>
      </c>
      <c r="AW499" s="7">
        <v>0</v>
      </c>
      <c r="AX499" s="7">
        <v>0</v>
      </c>
      <c r="AY499" s="7">
        <v>0</v>
      </c>
      <c r="AZ499" s="7">
        <v>0</v>
      </c>
      <c r="BA499" s="7">
        <v>0</v>
      </c>
      <c r="BB499" s="7">
        <v>0</v>
      </c>
      <c r="BC499" s="7">
        <v>0</v>
      </c>
      <c r="BD499" s="7">
        <v>0</v>
      </c>
      <c r="BE499" s="7">
        <v>0</v>
      </c>
      <c r="BF499" s="7">
        <v>0</v>
      </c>
      <c r="BG499" s="7">
        <v>0</v>
      </c>
      <c r="BH499" s="7">
        <v>0</v>
      </c>
      <c r="BI499" s="7">
        <v>0</v>
      </c>
      <c r="BJ499" s="7">
        <v>0</v>
      </c>
      <c r="BK499" s="7">
        <v>0</v>
      </c>
      <c r="BL499" s="7">
        <v>0</v>
      </c>
      <c r="BM499" s="11">
        <v>2800</v>
      </c>
      <c r="BN499" s="15">
        <f t="shared" si="18"/>
        <v>2800</v>
      </c>
      <c r="BO499" s="16">
        <f t="shared" si="19"/>
        <v>1959.9999999999998</v>
      </c>
    </row>
    <row r="500" spans="1:67" x14ac:dyDescent="0.3">
      <c r="A500" s="5" t="s">
        <v>400</v>
      </c>
      <c r="B500" s="5" t="s">
        <v>337</v>
      </c>
      <c r="C500" s="5">
        <v>397392</v>
      </c>
      <c r="D500" s="6"/>
      <c r="E500" s="5" t="s">
        <v>16</v>
      </c>
      <c r="F500" s="5" t="s">
        <v>128</v>
      </c>
      <c r="G500" s="5" t="s">
        <v>34</v>
      </c>
      <c r="H500" s="7" t="s">
        <v>289</v>
      </c>
      <c r="I500" s="7" t="s">
        <v>338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1</v>
      </c>
      <c r="AL500" s="7">
        <v>2464</v>
      </c>
      <c r="AM500" s="7">
        <v>0</v>
      </c>
      <c r="AN500" s="7">
        <v>0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7">
        <v>0</v>
      </c>
      <c r="BI500" s="7">
        <v>0</v>
      </c>
      <c r="BJ500" s="7">
        <v>0</v>
      </c>
      <c r="BK500" s="7">
        <v>0</v>
      </c>
      <c r="BL500" s="7">
        <v>739.2</v>
      </c>
      <c r="BM500" s="11">
        <v>2464</v>
      </c>
      <c r="BN500" s="15">
        <f t="shared" si="18"/>
        <v>1724.8</v>
      </c>
      <c r="BO500" s="16">
        <f t="shared" si="19"/>
        <v>1207.3599999999999</v>
      </c>
    </row>
    <row r="501" spans="1:67" x14ac:dyDescent="0.3">
      <c r="A501" s="5" t="s">
        <v>400</v>
      </c>
      <c r="B501" s="5" t="s">
        <v>231</v>
      </c>
      <c r="C501" s="5">
        <v>305522</v>
      </c>
      <c r="D501" s="6"/>
      <c r="E501" s="5" t="s">
        <v>16</v>
      </c>
      <c r="F501" s="5" t="s">
        <v>41</v>
      </c>
      <c r="G501" s="5" t="s">
        <v>34</v>
      </c>
      <c r="H501" s="7" t="s">
        <v>8</v>
      </c>
      <c r="I501" s="7" t="s">
        <v>232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23</v>
      </c>
      <c r="AF501" s="7">
        <v>2300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7">
        <v>0</v>
      </c>
      <c r="AZ501" s="7">
        <v>0</v>
      </c>
      <c r="BA501" s="7">
        <v>0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7">
        <v>0</v>
      </c>
      <c r="BI501" s="7">
        <v>0</v>
      </c>
      <c r="BJ501" s="7">
        <v>0</v>
      </c>
      <c r="BK501" s="7">
        <v>0</v>
      </c>
      <c r="BL501" s="7">
        <v>0</v>
      </c>
      <c r="BM501" s="11">
        <v>2300</v>
      </c>
      <c r="BN501" s="15">
        <f t="shared" si="18"/>
        <v>2300</v>
      </c>
      <c r="BO501" s="16">
        <f t="shared" si="19"/>
        <v>1610</v>
      </c>
    </row>
    <row r="502" spans="1:67" x14ac:dyDescent="0.3">
      <c r="A502" s="5" t="s">
        <v>400</v>
      </c>
      <c r="B502" s="5" t="s">
        <v>258</v>
      </c>
      <c r="C502" s="5">
        <v>417258</v>
      </c>
      <c r="D502" s="6"/>
      <c r="E502" s="5" t="s">
        <v>16</v>
      </c>
      <c r="F502" s="5" t="s">
        <v>259</v>
      </c>
      <c r="G502" s="5" t="s">
        <v>34</v>
      </c>
      <c r="H502" s="7" t="s">
        <v>8</v>
      </c>
      <c r="I502" s="7" t="s">
        <v>260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19</v>
      </c>
      <c r="AF502" s="7">
        <v>1900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7">
        <v>0</v>
      </c>
      <c r="BI502" s="7">
        <v>0</v>
      </c>
      <c r="BJ502" s="7">
        <v>0</v>
      </c>
      <c r="BK502" s="7">
        <v>0</v>
      </c>
      <c r="BL502" s="7">
        <v>0</v>
      </c>
      <c r="BM502" s="11">
        <v>1900</v>
      </c>
      <c r="BN502" s="15">
        <f t="shared" si="18"/>
        <v>1900</v>
      </c>
      <c r="BO502" s="16">
        <f t="shared" si="19"/>
        <v>1330</v>
      </c>
    </row>
    <row r="503" spans="1:67" x14ac:dyDescent="0.3">
      <c r="A503" s="5" t="s">
        <v>400</v>
      </c>
      <c r="B503" s="5" t="s">
        <v>308</v>
      </c>
      <c r="C503" s="5">
        <v>157002</v>
      </c>
      <c r="D503" s="6" t="s">
        <v>309</v>
      </c>
      <c r="E503" s="5" t="s">
        <v>16</v>
      </c>
      <c r="F503" s="5" t="s">
        <v>30</v>
      </c>
      <c r="G503" s="5" t="s">
        <v>10</v>
      </c>
      <c r="H503" s="7" t="s">
        <v>7</v>
      </c>
      <c r="I503" s="7" t="s">
        <v>310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16</v>
      </c>
      <c r="AL503" s="7">
        <v>0</v>
      </c>
      <c r="AM503" s="7">
        <v>1600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X503" s="7">
        <v>0</v>
      </c>
      <c r="AY503" s="7">
        <v>0</v>
      </c>
      <c r="AZ503" s="7">
        <v>0</v>
      </c>
      <c r="BA503" s="7">
        <v>0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0</v>
      </c>
      <c r="BH503" s="7">
        <v>0</v>
      </c>
      <c r="BI503" s="7">
        <v>0</v>
      </c>
      <c r="BJ503" s="7">
        <v>0</v>
      </c>
      <c r="BK503" s="7">
        <v>0</v>
      </c>
      <c r="BL503" s="7">
        <v>0</v>
      </c>
      <c r="BM503" s="11">
        <v>1600</v>
      </c>
      <c r="BN503" s="15">
        <f t="shared" si="18"/>
        <v>1600</v>
      </c>
      <c r="BO503" s="16">
        <f t="shared" si="19"/>
        <v>1120</v>
      </c>
    </row>
    <row r="504" spans="1:67" x14ac:dyDescent="0.3">
      <c r="A504" s="5" t="s">
        <v>400</v>
      </c>
      <c r="B504" s="5" t="s">
        <v>354</v>
      </c>
      <c r="C504" s="5">
        <v>392578</v>
      </c>
      <c r="D504" s="6"/>
      <c r="E504" s="5" t="s">
        <v>16</v>
      </c>
      <c r="F504" s="5" t="s">
        <v>256</v>
      </c>
      <c r="G504" s="5" t="s">
        <v>34</v>
      </c>
      <c r="H504" s="7" t="s">
        <v>289</v>
      </c>
      <c r="I504" s="7" t="s">
        <v>343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1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12</v>
      </c>
      <c r="AF504" s="7">
        <v>1200</v>
      </c>
      <c r="AG504" s="7">
        <v>0</v>
      </c>
      <c r="AH504" s="7">
        <v>0</v>
      </c>
      <c r="AI504" s="7">
        <v>0</v>
      </c>
      <c r="AJ504" s="7">
        <v>0</v>
      </c>
      <c r="AK504" s="7">
        <v>3</v>
      </c>
      <c r="AL504" s="7">
        <v>360</v>
      </c>
      <c r="AM504" s="7">
        <v>0</v>
      </c>
      <c r="AN504" s="7">
        <v>0</v>
      </c>
      <c r="AO504" s="7">
        <v>0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0</v>
      </c>
      <c r="AY504" s="7">
        <v>0</v>
      </c>
      <c r="AZ504" s="7">
        <v>0</v>
      </c>
      <c r="BA504" s="7">
        <v>0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0</v>
      </c>
      <c r="BH504" s="7">
        <v>0</v>
      </c>
      <c r="BI504" s="7">
        <v>0</v>
      </c>
      <c r="BJ504" s="7">
        <v>0</v>
      </c>
      <c r="BK504" s="7">
        <v>0</v>
      </c>
      <c r="BL504" s="7">
        <v>108</v>
      </c>
      <c r="BM504" s="11">
        <v>1560</v>
      </c>
      <c r="BN504" s="15">
        <f t="shared" si="18"/>
        <v>1452</v>
      </c>
      <c r="BO504" s="16">
        <f t="shared" si="19"/>
        <v>1016.4</v>
      </c>
    </row>
    <row r="505" spans="1:67" x14ac:dyDescent="0.3">
      <c r="A505" s="5" t="s">
        <v>400</v>
      </c>
      <c r="B505" s="5" t="s">
        <v>626</v>
      </c>
      <c r="C505" s="5">
        <v>485792</v>
      </c>
      <c r="D505" s="6"/>
      <c r="E505" s="5" t="s">
        <v>16</v>
      </c>
      <c r="F505" s="5" t="s">
        <v>627</v>
      </c>
      <c r="G505" s="5" t="s">
        <v>382</v>
      </c>
      <c r="H505" s="7" t="s">
        <v>289</v>
      </c>
      <c r="I505" s="7" t="s">
        <v>583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1</v>
      </c>
      <c r="AF505" s="7">
        <v>1500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7">
        <v>0</v>
      </c>
      <c r="AR505" s="7">
        <v>0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</v>
      </c>
      <c r="BB505" s="7">
        <v>0</v>
      </c>
      <c r="BC505" s="7">
        <v>0</v>
      </c>
      <c r="BD505" s="7">
        <v>0</v>
      </c>
      <c r="BE505" s="7">
        <v>0</v>
      </c>
      <c r="BF505" s="7">
        <v>0</v>
      </c>
      <c r="BG505" s="7">
        <v>0</v>
      </c>
      <c r="BH505" s="7">
        <v>0</v>
      </c>
      <c r="BI505" s="7">
        <v>0</v>
      </c>
      <c r="BJ505" s="7">
        <v>0</v>
      </c>
      <c r="BK505" s="7">
        <v>0</v>
      </c>
      <c r="BL505" s="7">
        <v>0</v>
      </c>
      <c r="BM505" s="11">
        <v>1500</v>
      </c>
      <c r="BN505" s="15">
        <f t="shared" si="18"/>
        <v>1500</v>
      </c>
      <c r="BO505" s="16">
        <f t="shared" si="19"/>
        <v>1050</v>
      </c>
    </row>
    <row r="506" spans="1:67" x14ac:dyDescent="0.3">
      <c r="A506" s="5" t="s">
        <v>400</v>
      </c>
      <c r="B506" s="5" t="s">
        <v>115</v>
      </c>
      <c r="C506" s="5">
        <v>379813</v>
      </c>
      <c r="D506" s="6"/>
      <c r="E506" s="5" t="s">
        <v>16</v>
      </c>
      <c r="F506" s="5" t="s">
        <v>30</v>
      </c>
      <c r="G506" s="5" t="s">
        <v>10</v>
      </c>
      <c r="H506" s="7" t="s">
        <v>7</v>
      </c>
      <c r="I506" s="7" t="s">
        <v>116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15</v>
      </c>
      <c r="AF506" s="7">
        <v>1500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X506" s="7">
        <v>0</v>
      </c>
      <c r="AY506" s="7">
        <v>0</v>
      </c>
      <c r="AZ506" s="7">
        <v>0</v>
      </c>
      <c r="BA506" s="7">
        <v>0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0</v>
      </c>
      <c r="BH506" s="7">
        <v>0</v>
      </c>
      <c r="BI506" s="7">
        <v>0</v>
      </c>
      <c r="BJ506" s="7">
        <v>0</v>
      </c>
      <c r="BK506" s="7">
        <v>0</v>
      </c>
      <c r="BL506" s="7">
        <v>0</v>
      </c>
      <c r="BM506" s="11">
        <v>1500</v>
      </c>
      <c r="BN506" s="15">
        <f t="shared" si="18"/>
        <v>1500</v>
      </c>
      <c r="BO506" s="16">
        <f t="shared" si="19"/>
        <v>1050</v>
      </c>
    </row>
    <row r="507" spans="1:67" ht="19.5" x14ac:dyDescent="0.3">
      <c r="A507" s="5" t="s">
        <v>400</v>
      </c>
      <c r="B507" s="5" t="s">
        <v>612</v>
      </c>
      <c r="C507" s="5">
        <v>470381</v>
      </c>
      <c r="D507" s="6"/>
      <c r="E507" s="5" t="s">
        <v>16</v>
      </c>
      <c r="F507" s="5" t="s">
        <v>75</v>
      </c>
      <c r="G507" s="5" t="s">
        <v>382</v>
      </c>
      <c r="H507" s="7" t="s">
        <v>7</v>
      </c>
      <c r="I507" s="7" t="s">
        <v>18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7">
        <v>1</v>
      </c>
      <c r="AR507" s="7">
        <v>1500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7">
        <v>0</v>
      </c>
      <c r="AZ507" s="7">
        <v>0</v>
      </c>
      <c r="BA507" s="7">
        <v>0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</v>
      </c>
      <c r="BH507" s="7">
        <v>0</v>
      </c>
      <c r="BI507" s="7">
        <v>0</v>
      </c>
      <c r="BJ507" s="7">
        <v>0</v>
      </c>
      <c r="BK507" s="7">
        <v>0</v>
      </c>
      <c r="BL507" s="7">
        <v>0</v>
      </c>
      <c r="BM507" s="11">
        <v>1500</v>
      </c>
      <c r="BN507" s="15">
        <f t="shared" si="18"/>
        <v>1500</v>
      </c>
      <c r="BO507" s="16">
        <f t="shared" si="19"/>
        <v>1050</v>
      </c>
    </row>
    <row r="508" spans="1:67" x14ac:dyDescent="0.3">
      <c r="A508" s="5" t="s">
        <v>400</v>
      </c>
      <c r="B508" s="5" t="s">
        <v>362</v>
      </c>
      <c r="C508" s="5">
        <v>471701</v>
      </c>
      <c r="D508" s="6"/>
      <c r="E508" s="5" t="s">
        <v>16</v>
      </c>
      <c r="F508" s="5" t="s">
        <v>363</v>
      </c>
      <c r="G508" s="5" t="s">
        <v>374</v>
      </c>
      <c r="H508" s="7" t="s">
        <v>9</v>
      </c>
      <c r="I508" s="7" t="s">
        <v>364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14</v>
      </c>
      <c r="AF508" s="7">
        <v>1400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0</v>
      </c>
      <c r="BD508" s="7">
        <v>0</v>
      </c>
      <c r="BE508" s="7">
        <v>0</v>
      </c>
      <c r="BF508" s="7">
        <v>0</v>
      </c>
      <c r="BG508" s="7">
        <v>0</v>
      </c>
      <c r="BH508" s="7">
        <v>0</v>
      </c>
      <c r="BI508" s="7">
        <v>0</v>
      </c>
      <c r="BJ508" s="7">
        <v>0</v>
      </c>
      <c r="BK508" s="7">
        <v>0</v>
      </c>
      <c r="BL508" s="7">
        <v>0</v>
      </c>
      <c r="BM508" s="11">
        <v>1400</v>
      </c>
      <c r="BN508" s="15">
        <f t="shared" si="18"/>
        <v>1400</v>
      </c>
      <c r="BO508" s="16">
        <f t="shared" si="19"/>
        <v>979.99999999999989</v>
      </c>
    </row>
    <row r="509" spans="1:67" x14ac:dyDescent="0.3">
      <c r="A509" s="5" t="s">
        <v>400</v>
      </c>
      <c r="B509" s="5" t="s">
        <v>320</v>
      </c>
      <c r="C509" s="5">
        <v>469950</v>
      </c>
      <c r="D509" s="6"/>
      <c r="E509" s="5" t="s">
        <v>16</v>
      </c>
      <c r="F509" s="5" t="s">
        <v>293</v>
      </c>
      <c r="G509" s="5" t="s">
        <v>34</v>
      </c>
      <c r="H509" s="7" t="s">
        <v>8</v>
      </c>
      <c r="I509" s="7" t="s">
        <v>321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10</v>
      </c>
      <c r="AL509" s="7">
        <v>1200</v>
      </c>
      <c r="AM509" s="7">
        <v>0</v>
      </c>
      <c r="AN509" s="7">
        <v>0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0</v>
      </c>
      <c r="BH509" s="7">
        <v>0</v>
      </c>
      <c r="BI509" s="7">
        <v>0</v>
      </c>
      <c r="BJ509" s="7">
        <v>0</v>
      </c>
      <c r="BK509" s="7">
        <v>0</v>
      </c>
      <c r="BL509" s="7">
        <v>360</v>
      </c>
      <c r="BM509" s="11">
        <v>1200</v>
      </c>
      <c r="BN509" s="15">
        <f t="shared" si="18"/>
        <v>840</v>
      </c>
      <c r="BO509" s="16">
        <f t="shared" si="19"/>
        <v>588</v>
      </c>
    </row>
    <row r="510" spans="1:67" x14ac:dyDescent="0.3">
      <c r="A510" s="5" t="s">
        <v>400</v>
      </c>
      <c r="B510" s="5" t="s">
        <v>119</v>
      </c>
      <c r="C510" s="5">
        <v>425414</v>
      </c>
      <c r="D510" s="6"/>
      <c r="E510" s="5" t="s">
        <v>16</v>
      </c>
      <c r="F510" s="5" t="s">
        <v>120</v>
      </c>
      <c r="G510" s="5" t="s">
        <v>10</v>
      </c>
      <c r="H510" s="7" t="s">
        <v>7</v>
      </c>
      <c r="I510" s="7" t="s">
        <v>121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8</v>
      </c>
      <c r="AF510" s="7">
        <v>800</v>
      </c>
      <c r="AG510" s="7">
        <v>0</v>
      </c>
      <c r="AH510" s="7">
        <v>0</v>
      </c>
      <c r="AI510" s="7">
        <v>0</v>
      </c>
      <c r="AJ510" s="7">
        <v>0</v>
      </c>
      <c r="AK510" s="7">
        <v>3</v>
      </c>
      <c r="AL510" s="7">
        <v>360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X510" s="7">
        <v>0</v>
      </c>
      <c r="AY510" s="7">
        <v>0</v>
      </c>
      <c r="AZ510" s="7">
        <v>0</v>
      </c>
      <c r="BA510" s="7">
        <v>0</v>
      </c>
      <c r="BB510" s="7">
        <v>0</v>
      </c>
      <c r="BC510" s="7">
        <v>0</v>
      </c>
      <c r="BD510" s="7">
        <v>0</v>
      </c>
      <c r="BE510" s="7">
        <v>0</v>
      </c>
      <c r="BF510" s="7">
        <v>0</v>
      </c>
      <c r="BG510" s="7">
        <v>0</v>
      </c>
      <c r="BH510" s="7">
        <v>0</v>
      </c>
      <c r="BI510" s="7">
        <v>0</v>
      </c>
      <c r="BJ510" s="7">
        <v>0</v>
      </c>
      <c r="BK510" s="7">
        <v>0</v>
      </c>
      <c r="BL510" s="7">
        <v>108</v>
      </c>
      <c r="BM510" s="11">
        <v>1160</v>
      </c>
      <c r="BN510" s="15">
        <f t="shared" si="18"/>
        <v>1052</v>
      </c>
      <c r="BO510" s="16">
        <f t="shared" si="19"/>
        <v>736.4</v>
      </c>
    </row>
    <row r="511" spans="1:67" x14ac:dyDescent="0.3">
      <c r="A511" s="5" t="s">
        <v>400</v>
      </c>
      <c r="B511" s="5" t="s">
        <v>322</v>
      </c>
      <c r="C511" s="5">
        <v>408191</v>
      </c>
      <c r="D511" s="6"/>
      <c r="E511" s="5" t="s">
        <v>16</v>
      </c>
      <c r="F511" s="5" t="s">
        <v>128</v>
      </c>
      <c r="G511" s="5" t="s">
        <v>34</v>
      </c>
      <c r="H511" s="7" t="s">
        <v>8</v>
      </c>
      <c r="I511" s="7" t="s">
        <v>224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3</v>
      </c>
      <c r="AF511" s="7">
        <v>0</v>
      </c>
      <c r="AG511" s="7">
        <v>300</v>
      </c>
      <c r="AH511" s="7">
        <v>0</v>
      </c>
      <c r="AI511" s="7">
        <v>0</v>
      </c>
      <c r="AJ511" s="7">
        <v>0</v>
      </c>
      <c r="AK511" s="7">
        <v>8</v>
      </c>
      <c r="AL511" s="7">
        <v>0</v>
      </c>
      <c r="AM511" s="7">
        <v>800</v>
      </c>
      <c r="AN511" s="7">
        <v>0</v>
      </c>
      <c r="AO511" s="7">
        <v>0</v>
      </c>
      <c r="AP511" s="7">
        <v>0</v>
      </c>
      <c r="AQ511" s="7">
        <v>0</v>
      </c>
      <c r="AR511" s="7">
        <v>0</v>
      </c>
      <c r="AS511" s="7">
        <v>0</v>
      </c>
      <c r="AT511" s="7">
        <v>0</v>
      </c>
      <c r="AU511" s="7">
        <v>0</v>
      </c>
      <c r="AV511" s="7">
        <v>0</v>
      </c>
      <c r="AW511" s="7">
        <v>0</v>
      </c>
      <c r="AX511" s="7">
        <v>0</v>
      </c>
      <c r="AY511" s="7">
        <v>0</v>
      </c>
      <c r="AZ511" s="7">
        <v>0</v>
      </c>
      <c r="BA511" s="7">
        <v>0</v>
      </c>
      <c r="BB511" s="7">
        <v>0</v>
      </c>
      <c r="BC511" s="7">
        <v>0</v>
      </c>
      <c r="BD511" s="7">
        <v>0</v>
      </c>
      <c r="BE511" s="7">
        <v>0</v>
      </c>
      <c r="BF511" s="7">
        <v>0</v>
      </c>
      <c r="BG511" s="7">
        <v>0</v>
      </c>
      <c r="BH511" s="7">
        <v>0</v>
      </c>
      <c r="BI511" s="7">
        <v>0</v>
      </c>
      <c r="BJ511" s="7">
        <v>0</v>
      </c>
      <c r="BK511" s="7">
        <v>0</v>
      </c>
      <c r="BL511" s="7">
        <v>0</v>
      </c>
      <c r="BM511" s="11">
        <v>1100</v>
      </c>
      <c r="BN511" s="15">
        <f t="shared" si="18"/>
        <v>1100</v>
      </c>
      <c r="BO511" s="16">
        <f t="shared" si="19"/>
        <v>770</v>
      </c>
    </row>
    <row r="512" spans="1:67" x14ac:dyDescent="0.3">
      <c r="A512" s="5" t="s">
        <v>400</v>
      </c>
      <c r="B512" s="5" t="s">
        <v>238</v>
      </c>
      <c r="C512" s="5">
        <v>469072</v>
      </c>
      <c r="D512" s="6"/>
      <c r="E512" s="5" t="s">
        <v>16</v>
      </c>
      <c r="F512" s="5" t="s">
        <v>160</v>
      </c>
      <c r="G512" s="5" t="s">
        <v>34</v>
      </c>
      <c r="H512" s="7" t="s">
        <v>8</v>
      </c>
      <c r="I512" s="7" t="s">
        <v>239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10</v>
      </c>
      <c r="AL512" s="7">
        <v>0</v>
      </c>
      <c r="AM512" s="7">
        <v>1000</v>
      </c>
      <c r="AN512" s="7">
        <v>0</v>
      </c>
      <c r="AO512" s="7">
        <v>0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</v>
      </c>
      <c r="AV512" s="7">
        <v>0</v>
      </c>
      <c r="AW512" s="7">
        <v>0</v>
      </c>
      <c r="AX512" s="7">
        <v>0</v>
      </c>
      <c r="AY512" s="7">
        <v>0</v>
      </c>
      <c r="AZ512" s="7">
        <v>0</v>
      </c>
      <c r="BA512" s="7">
        <v>0</v>
      </c>
      <c r="BB512" s="7">
        <v>0</v>
      </c>
      <c r="BC512" s="7">
        <v>0</v>
      </c>
      <c r="BD512" s="7">
        <v>0</v>
      </c>
      <c r="BE512" s="7">
        <v>0</v>
      </c>
      <c r="BF512" s="7">
        <v>0</v>
      </c>
      <c r="BG512" s="7">
        <v>0</v>
      </c>
      <c r="BH512" s="7">
        <v>0</v>
      </c>
      <c r="BI512" s="7">
        <v>0</v>
      </c>
      <c r="BJ512" s="7">
        <v>0</v>
      </c>
      <c r="BK512" s="7">
        <v>0</v>
      </c>
      <c r="BL512" s="7">
        <v>0</v>
      </c>
      <c r="BM512" s="11">
        <v>1000</v>
      </c>
      <c r="BN512" s="15">
        <f t="shared" si="18"/>
        <v>1000</v>
      </c>
      <c r="BO512" s="16">
        <f t="shared" si="19"/>
        <v>700</v>
      </c>
    </row>
    <row r="513" spans="1:67" x14ac:dyDescent="0.3">
      <c r="A513" s="5" t="s">
        <v>400</v>
      </c>
      <c r="B513" s="5" t="s">
        <v>327</v>
      </c>
      <c r="C513" s="5">
        <v>387687</v>
      </c>
      <c r="D513" s="6"/>
      <c r="E513" s="5" t="s">
        <v>16</v>
      </c>
      <c r="F513" s="5" t="s">
        <v>118</v>
      </c>
      <c r="G513" s="5" t="s">
        <v>34</v>
      </c>
      <c r="H513" s="7" t="s">
        <v>8</v>
      </c>
      <c r="I513" s="7" t="s">
        <v>328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7</v>
      </c>
      <c r="AF513" s="7">
        <v>700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7">
        <v>0</v>
      </c>
      <c r="AZ513" s="7">
        <v>0</v>
      </c>
      <c r="BA513" s="7">
        <v>0</v>
      </c>
      <c r="BB513" s="7">
        <v>0</v>
      </c>
      <c r="BC513" s="7">
        <v>0</v>
      </c>
      <c r="BD513" s="7">
        <v>0</v>
      </c>
      <c r="BE513" s="7">
        <v>0</v>
      </c>
      <c r="BF513" s="7">
        <v>0</v>
      </c>
      <c r="BG513" s="7">
        <v>0</v>
      </c>
      <c r="BH513" s="7">
        <v>0</v>
      </c>
      <c r="BI513" s="7">
        <v>0</v>
      </c>
      <c r="BJ513" s="7">
        <v>0</v>
      </c>
      <c r="BK513" s="7">
        <v>0</v>
      </c>
      <c r="BL513" s="7">
        <v>0</v>
      </c>
      <c r="BM513" s="11">
        <v>700</v>
      </c>
      <c r="BN513" s="15">
        <f t="shared" si="18"/>
        <v>700</v>
      </c>
      <c r="BO513" s="16">
        <f t="shared" si="19"/>
        <v>489.99999999999994</v>
      </c>
    </row>
    <row r="514" spans="1:67" x14ac:dyDescent="0.3">
      <c r="A514" s="5" t="s">
        <v>650</v>
      </c>
      <c r="B514" s="5" t="s">
        <v>104</v>
      </c>
      <c r="C514" s="5">
        <v>359539</v>
      </c>
      <c r="D514" s="6"/>
      <c r="E514" s="5" t="s">
        <v>16</v>
      </c>
      <c r="F514" s="5" t="s">
        <v>105</v>
      </c>
      <c r="G514" s="5" t="s">
        <v>34</v>
      </c>
      <c r="H514" s="7" t="s">
        <v>8</v>
      </c>
      <c r="I514" s="7" t="s">
        <v>106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2</v>
      </c>
      <c r="AF514" s="7">
        <v>200</v>
      </c>
      <c r="AG514" s="7">
        <v>0</v>
      </c>
      <c r="AH514" s="7">
        <v>0</v>
      </c>
      <c r="AI514" s="7">
        <v>0</v>
      </c>
      <c r="AJ514" s="7">
        <v>0</v>
      </c>
      <c r="AK514" s="7">
        <v>3</v>
      </c>
      <c r="AL514" s="7">
        <v>0</v>
      </c>
      <c r="AM514" s="7">
        <v>300</v>
      </c>
      <c r="AN514" s="7">
        <v>0</v>
      </c>
      <c r="AO514" s="7">
        <v>0</v>
      </c>
      <c r="AP514" s="7">
        <v>0</v>
      </c>
      <c r="AQ514" s="7">
        <v>0</v>
      </c>
      <c r="AR514" s="7">
        <v>0</v>
      </c>
      <c r="AS514" s="7">
        <v>0</v>
      </c>
      <c r="AT514" s="7">
        <v>0</v>
      </c>
      <c r="AU514" s="7">
        <v>0</v>
      </c>
      <c r="AV514" s="7">
        <v>0</v>
      </c>
      <c r="AW514" s="7">
        <v>0</v>
      </c>
      <c r="AX514" s="7">
        <v>0</v>
      </c>
      <c r="AY514" s="7">
        <v>0</v>
      </c>
      <c r="AZ514" s="7">
        <v>0</v>
      </c>
      <c r="BA514" s="7">
        <v>0</v>
      </c>
      <c r="BB514" s="7">
        <v>0</v>
      </c>
      <c r="BC514" s="7">
        <v>0</v>
      </c>
      <c r="BD514" s="7">
        <v>0</v>
      </c>
      <c r="BE514" s="7">
        <v>0</v>
      </c>
      <c r="BF514" s="7">
        <v>0</v>
      </c>
      <c r="BG514" s="7">
        <v>0</v>
      </c>
      <c r="BH514" s="7">
        <v>0</v>
      </c>
      <c r="BI514" s="7">
        <v>0</v>
      </c>
      <c r="BJ514" s="7">
        <v>0</v>
      </c>
      <c r="BK514" s="7">
        <v>0</v>
      </c>
      <c r="BL514" s="7">
        <v>0</v>
      </c>
      <c r="BM514" s="11">
        <v>500</v>
      </c>
      <c r="BN514" s="15">
        <f t="shared" si="18"/>
        <v>500</v>
      </c>
      <c r="BO514" s="16">
        <f t="shared" si="19"/>
        <v>350</v>
      </c>
    </row>
    <row r="515" spans="1:67" x14ac:dyDescent="0.3">
      <c r="A515" s="5" t="s">
        <v>400</v>
      </c>
      <c r="B515" s="5" t="s">
        <v>283</v>
      </c>
      <c r="C515" s="5">
        <v>427091</v>
      </c>
      <c r="D515" s="6"/>
      <c r="E515" s="5" t="s">
        <v>16</v>
      </c>
      <c r="F515" s="5" t="s">
        <v>41</v>
      </c>
      <c r="G515" s="5" t="s">
        <v>34</v>
      </c>
      <c r="H515" s="7" t="s">
        <v>8</v>
      </c>
      <c r="I515" s="7" t="s">
        <v>284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7">
        <v>5</v>
      </c>
      <c r="AR515" s="7">
        <v>500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X515" s="7">
        <v>0</v>
      </c>
      <c r="AY515" s="7">
        <v>0</v>
      </c>
      <c r="AZ515" s="7">
        <v>0</v>
      </c>
      <c r="BA515" s="7">
        <v>0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0</v>
      </c>
      <c r="BH515" s="7">
        <v>0</v>
      </c>
      <c r="BI515" s="7">
        <v>0</v>
      </c>
      <c r="BJ515" s="7">
        <v>0</v>
      </c>
      <c r="BK515" s="7">
        <v>0</v>
      </c>
      <c r="BL515" s="7">
        <v>0</v>
      </c>
      <c r="BM515" s="11">
        <v>500</v>
      </c>
      <c r="BN515" s="15">
        <f t="shared" si="18"/>
        <v>500</v>
      </c>
      <c r="BO515" s="16">
        <f t="shared" si="19"/>
        <v>350</v>
      </c>
    </row>
    <row r="516" spans="1:67" x14ac:dyDescent="0.3">
      <c r="A516" s="5" t="s">
        <v>400</v>
      </c>
      <c r="B516" s="5" t="s">
        <v>285</v>
      </c>
      <c r="C516" s="5">
        <v>385169</v>
      </c>
      <c r="D516" s="6"/>
      <c r="E516" s="5" t="s">
        <v>16</v>
      </c>
      <c r="F516" s="5" t="s">
        <v>200</v>
      </c>
      <c r="G516" s="5" t="s">
        <v>34</v>
      </c>
      <c r="H516" s="7" t="s">
        <v>8</v>
      </c>
      <c r="I516" s="7" t="s">
        <v>281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4</v>
      </c>
      <c r="AL516" s="7">
        <v>480</v>
      </c>
      <c r="AM516" s="7">
        <v>0</v>
      </c>
      <c r="AN516" s="7">
        <v>0</v>
      </c>
      <c r="AO516" s="7">
        <v>0</v>
      </c>
      <c r="AP516" s="7">
        <v>0</v>
      </c>
      <c r="AQ516" s="7">
        <v>0</v>
      </c>
      <c r="AR516" s="7">
        <v>0</v>
      </c>
      <c r="AS516" s="7">
        <v>0</v>
      </c>
      <c r="AT516" s="7">
        <v>0</v>
      </c>
      <c r="AU516" s="7">
        <v>0</v>
      </c>
      <c r="AV516" s="7">
        <v>0</v>
      </c>
      <c r="AW516" s="7">
        <v>0</v>
      </c>
      <c r="AX516" s="7">
        <v>0</v>
      </c>
      <c r="AY516" s="7">
        <v>0</v>
      </c>
      <c r="AZ516" s="7">
        <v>0</v>
      </c>
      <c r="BA516" s="7">
        <v>0</v>
      </c>
      <c r="BB516" s="7">
        <v>0</v>
      </c>
      <c r="BC516" s="7">
        <v>0</v>
      </c>
      <c r="BD516" s="7">
        <v>0</v>
      </c>
      <c r="BE516" s="7">
        <v>0</v>
      </c>
      <c r="BF516" s="7">
        <v>0</v>
      </c>
      <c r="BG516" s="7">
        <v>0</v>
      </c>
      <c r="BH516" s="7">
        <v>0</v>
      </c>
      <c r="BI516" s="7">
        <v>0</v>
      </c>
      <c r="BJ516" s="7">
        <v>0</v>
      </c>
      <c r="BK516" s="7">
        <v>0</v>
      </c>
      <c r="BL516" s="7">
        <v>144</v>
      </c>
      <c r="BM516" s="11">
        <v>480</v>
      </c>
      <c r="BN516" s="15">
        <f t="shared" si="18"/>
        <v>336</v>
      </c>
      <c r="BO516" s="16">
        <f t="shared" si="19"/>
        <v>235.2</v>
      </c>
    </row>
    <row r="517" spans="1:67" x14ac:dyDescent="0.3">
      <c r="A517" s="5" t="s">
        <v>650</v>
      </c>
      <c r="B517" s="5" t="s">
        <v>141</v>
      </c>
      <c r="C517" s="5">
        <v>328404</v>
      </c>
      <c r="D517" s="6"/>
      <c r="E517" s="5" t="s">
        <v>16</v>
      </c>
      <c r="F517" s="5" t="s">
        <v>33</v>
      </c>
      <c r="G517" s="5" t="s">
        <v>34</v>
      </c>
      <c r="H517" s="7" t="s">
        <v>8</v>
      </c>
      <c r="I517" s="7" t="s">
        <v>142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1</v>
      </c>
      <c r="AF517" s="7">
        <v>100</v>
      </c>
      <c r="AG517" s="7">
        <v>0</v>
      </c>
      <c r="AH517" s="7">
        <v>0</v>
      </c>
      <c r="AI517" s="7">
        <v>0</v>
      </c>
      <c r="AJ517" s="7">
        <v>0</v>
      </c>
      <c r="AK517" s="7">
        <v>3</v>
      </c>
      <c r="AL517" s="7">
        <v>120</v>
      </c>
      <c r="AM517" s="7">
        <v>200</v>
      </c>
      <c r="AN517" s="7">
        <v>0</v>
      </c>
      <c r="AO517" s="7">
        <v>0</v>
      </c>
      <c r="AP517" s="7">
        <v>0</v>
      </c>
      <c r="AQ517" s="7">
        <v>0</v>
      </c>
      <c r="AR517" s="7">
        <v>0</v>
      </c>
      <c r="AS517" s="7">
        <v>0</v>
      </c>
      <c r="AT517" s="7">
        <v>0</v>
      </c>
      <c r="AU517" s="7">
        <v>0</v>
      </c>
      <c r="AV517" s="7">
        <v>0</v>
      </c>
      <c r="AW517" s="7">
        <v>0</v>
      </c>
      <c r="AX517" s="7">
        <v>0</v>
      </c>
      <c r="AY517" s="7">
        <v>0</v>
      </c>
      <c r="AZ517" s="7">
        <v>0</v>
      </c>
      <c r="BA517" s="7">
        <v>0</v>
      </c>
      <c r="BB517" s="7">
        <v>0</v>
      </c>
      <c r="BC517" s="7">
        <v>0</v>
      </c>
      <c r="BD517" s="7">
        <v>0</v>
      </c>
      <c r="BE517" s="7">
        <v>0</v>
      </c>
      <c r="BF517" s="7">
        <v>0</v>
      </c>
      <c r="BG517" s="7">
        <v>0</v>
      </c>
      <c r="BH517" s="7">
        <v>0</v>
      </c>
      <c r="BI517" s="7">
        <v>0</v>
      </c>
      <c r="BJ517" s="7">
        <v>0</v>
      </c>
      <c r="BK517" s="7">
        <v>0</v>
      </c>
      <c r="BL517" s="7">
        <v>36</v>
      </c>
      <c r="BM517" s="11">
        <v>420</v>
      </c>
      <c r="BN517" s="15">
        <f t="shared" si="18"/>
        <v>384</v>
      </c>
      <c r="BO517" s="16">
        <f t="shared" si="19"/>
        <v>268.79999999999995</v>
      </c>
    </row>
    <row r="518" spans="1:67" x14ac:dyDescent="0.3">
      <c r="A518" s="5" t="s">
        <v>650</v>
      </c>
      <c r="B518" s="5" t="s">
        <v>165</v>
      </c>
      <c r="C518" s="5">
        <v>429496</v>
      </c>
      <c r="D518" s="6"/>
      <c r="E518" s="5" t="s">
        <v>16</v>
      </c>
      <c r="F518" s="5" t="s">
        <v>166</v>
      </c>
      <c r="G518" s="5" t="s">
        <v>374</v>
      </c>
      <c r="H518" s="7" t="s">
        <v>7</v>
      </c>
      <c r="I518" s="7" t="s">
        <v>167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2</v>
      </c>
      <c r="AF518" s="7">
        <v>200</v>
      </c>
      <c r="AG518" s="7">
        <v>0</v>
      </c>
      <c r="AH518" s="7">
        <v>0</v>
      </c>
      <c r="AI518" s="7">
        <v>0</v>
      </c>
      <c r="AJ518" s="7">
        <v>0</v>
      </c>
      <c r="AK518" s="7">
        <v>2</v>
      </c>
      <c r="AL518" s="7">
        <v>0</v>
      </c>
      <c r="AM518" s="7">
        <v>200</v>
      </c>
      <c r="AN518" s="7">
        <v>0</v>
      </c>
      <c r="AO518" s="7">
        <v>0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7">
        <v>0</v>
      </c>
      <c r="AV518" s="7">
        <v>0</v>
      </c>
      <c r="AW518" s="7">
        <v>0</v>
      </c>
      <c r="AX518" s="7">
        <v>0</v>
      </c>
      <c r="AY518" s="7">
        <v>0</v>
      </c>
      <c r="AZ518" s="7">
        <v>0</v>
      </c>
      <c r="BA518" s="7">
        <v>0</v>
      </c>
      <c r="BB518" s="7">
        <v>0</v>
      </c>
      <c r="BC518" s="7">
        <v>0</v>
      </c>
      <c r="BD518" s="7">
        <v>0</v>
      </c>
      <c r="BE518" s="7">
        <v>0</v>
      </c>
      <c r="BF518" s="7">
        <v>0</v>
      </c>
      <c r="BG518" s="7">
        <v>0</v>
      </c>
      <c r="BH518" s="7">
        <v>0</v>
      </c>
      <c r="BI518" s="7">
        <v>0</v>
      </c>
      <c r="BJ518" s="7">
        <v>0</v>
      </c>
      <c r="BK518" s="7">
        <v>0</v>
      </c>
      <c r="BL518" s="7">
        <v>0</v>
      </c>
      <c r="BM518" s="11">
        <v>400</v>
      </c>
      <c r="BN518" s="15">
        <f t="shared" si="18"/>
        <v>400</v>
      </c>
      <c r="BO518" s="16">
        <f t="shared" si="19"/>
        <v>280</v>
      </c>
    </row>
    <row r="519" spans="1:67" x14ac:dyDescent="0.3">
      <c r="A519" s="5" t="s">
        <v>400</v>
      </c>
      <c r="B519" s="5" t="s">
        <v>300</v>
      </c>
      <c r="C519" s="5">
        <v>414120</v>
      </c>
      <c r="D519" s="6"/>
      <c r="E519" s="5" t="s">
        <v>16</v>
      </c>
      <c r="F519" s="5" t="s">
        <v>41</v>
      </c>
      <c r="G519" s="5" t="s">
        <v>34</v>
      </c>
      <c r="H519" s="7" t="s">
        <v>8</v>
      </c>
      <c r="I519" s="7" t="s">
        <v>195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0</v>
      </c>
      <c r="AP519" s="7">
        <v>0</v>
      </c>
      <c r="AQ519" s="7">
        <v>4</v>
      </c>
      <c r="AR519" s="7">
        <v>400</v>
      </c>
      <c r="AS519" s="7">
        <v>0</v>
      </c>
      <c r="AT519" s="7">
        <v>0</v>
      </c>
      <c r="AU519" s="7">
        <v>0</v>
      </c>
      <c r="AV519" s="7">
        <v>0</v>
      </c>
      <c r="AW519" s="7">
        <v>0</v>
      </c>
      <c r="AX519" s="7">
        <v>0</v>
      </c>
      <c r="AY519" s="7">
        <v>0</v>
      </c>
      <c r="AZ519" s="7">
        <v>0</v>
      </c>
      <c r="BA519" s="7">
        <v>0</v>
      </c>
      <c r="BB519" s="7">
        <v>0</v>
      </c>
      <c r="BC519" s="7">
        <v>0</v>
      </c>
      <c r="BD519" s="7">
        <v>0</v>
      </c>
      <c r="BE519" s="7">
        <v>0</v>
      </c>
      <c r="BF519" s="7">
        <v>0</v>
      </c>
      <c r="BG519" s="7">
        <v>0</v>
      </c>
      <c r="BH519" s="7">
        <v>0</v>
      </c>
      <c r="BI519" s="7">
        <v>0</v>
      </c>
      <c r="BJ519" s="7">
        <v>0</v>
      </c>
      <c r="BK519" s="7">
        <v>0</v>
      </c>
      <c r="BL519" s="7">
        <v>0</v>
      </c>
      <c r="BM519" s="11">
        <v>400</v>
      </c>
      <c r="BN519" s="15">
        <f t="shared" si="18"/>
        <v>400</v>
      </c>
      <c r="BO519" s="16">
        <f t="shared" si="19"/>
        <v>280</v>
      </c>
    </row>
    <row r="520" spans="1:67" x14ac:dyDescent="0.3">
      <c r="A520" s="5" t="s">
        <v>650</v>
      </c>
      <c r="B520" s="5" t="s">
        <v>561</v>
      </c>
      <c r="C520" s="5">
        <v>426275</v>
      </c>
      <c r="D520" s="6"/>
      <c r="E520" s="5" t="s">
        <v>16</v>
      </c>
      <c r="F520" s="5" t="s">
        <v>105</v>
      </c>
      <c r="G520" s="5" t="s">
        <v>34</v>
      </c>
      <c r="H520" s="7" t="s">
        <v>8</v>
      </c>
      <c r="I520" s="7" t="s">
        <v>284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1</v>
      </c>
      <c r="AL520" s="7">
        <v>360</v>
      </c>
      <c r="AM520" s="7">
        <v>0</v>
      </c>
      <c r="AN520" s="7">
        <v>0</v>
      </c>
      <c r="AO520" s="7">
        <v>0</v>
      </c>
      <c r="AP520" s="7">
        <v>0</v>
      </c>
      <c r="AQ520" s="7">
        <v>0</v>
      </c>
      <c r="AR520" s="7">
        <v>0</v>
      </c>
      <c r="AS520" s="7">
        <v>0</v>
      </c>
      <c r="AT520" s="7">
        <v>0</v>
      </c>
      <c r="AU520" s="7">
        <v>0</v>
      </c>
      <c r="AV520" s="7">
        <v>0</v>
      </c>
      <c r="AW520" s="7">
        <v>0</v>
      </c>
      <c r="AX520" s="7">
        <v>0</v>
      </c>
      <c r="AY520" s="7">
        <v>0</v>
      </c>
      <c r="AZ520" s="7">
        <v>0</v>
      </c>
      <c r="BA520" s="7">
        <v>0</v>
      </c>
      <c r="BB520" s="7">
        <v>0</v>
      </c>
      <c r="BC520" s="7">
        <v>0</v>
      </c>
      <c r="BD520" s="7">
        <v>0</v>
      </c>
      <c r="BE520" s="7">
        <v>0</v>
      </c>
      <c r="BF520" s="7">
        <v>0</v>
      </c>
      <c r="BG520" s="7">
        <v>0</v>
      </c>
      <c r="BH520" s="7">
        <v>0</v>
      </c>
      <c r="BI520" s="7">
        <v>0</v>
      </c>
      <c r="BJ520" s="7">
        <v>0</v>
      </c>
      <c r="BK520" s="7">
        <v>0</v>
      </c>
      <c r="BL520" s="7">
        <v>108</v>
      </c>
      <c r="BM520" s="11">
        <v>360</v>
      </c>
      <c r="BN520" s="15">
        <f t="shared" si="18"/>
        <v>252</v>
      </c>
      <c r="BO520" s="16">
        <f t="shared" si="19"/>
        <v>176.39999999999998</v>
      </c>
    </row>
    <row r="521" spans="1:67" x14ac:dyDescent="0.3">
      <c r="A521" s="5" t="s">
        <v>650</v>
      </c>
      <c r="B521" s="5" t="s">
        <v>122</v>
      </c>
      <c r="C521" s="5">
        <v>386704</v>
      </c>
      <c r="D521" s="6"/>
      <c r="E521" s="5" t="s">
        <v>16</v>
      </c>
      <c r="F521" s="5" t="s">
        <v>123</v>
      </c>
      <c r="G521" s="5" t="s">
        <v>34</v>
      </c>
      <c r="H521" s="7" t="s">
        <v>8</v>
      </c>
      <c r="I521" s="7" t="s">
        <v>124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3</v>
      </c>
      <c r="AF521" s="7">
        <v>300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7">
        <v>0</v>
      </c>
      <c r="AR521" s="7">
        <v>0</v>
      </c>
      <c r="AS521" s="7">
        <v>0</v>
      </c>
      <c r="AT521" s="7">
        <v>0</v>
      </c>
      <c r="AU521" s="7">
        <v>0</v>
      </c>
      <c r="AV521" s="7">
        <v>0</v>
      </c>
      <c r="AW521" s="7">
        <v>0</v>
      </c>
      <c r="AX521" s="7">
        <v>0</v>
      </c>
      <c r="AY521" s="7">
        <v>0</v>
      </c>
      <c r="AZ521" s="7">
        <v>0</v>
      </c>
      <c r="BA521" s="7">
        <v>0</v>
      </c>
      <c r="BB521" s="7">
        <v>0</v>
      </c>
      <c r="BC521" s="7">
        <v>0</v>
      </c>
      <c r="BD521" s="7">
        <v>0</v>
      </c>
      <c r="BE521" s="7">
        <v>0</v>
      </c>
      <c r="BF521" s="7">
        <v>0</v>
      </c>
      <c r="BG521" s="7">
        <v>0</v>
      </c>
      <c r="BH521" s="7">
        <v>0</v>
      </c>
      <c r="BI521" s="7">
        <v>0</v>
      </c>
      <c r="BJ521" s="7">
        <v>0</v>
      </c>
      <c r="BK521" s="7">
        <v>0</v>
      </c>
      <c r="BL521" s="7">
        <v>0</v>
      </c>
      <c r="BM521" s="11">
        <v>300</v>
      </c>
      <c r="BN521" s="15">
        <f t="shared" si="18"/>
        <v>300</v>
      </c>
      <c r="BO521" s="16">
        <f t="shared" si="19"/>
        <v>210</v>
      </c>
    </row>
    <row r="522" spans="1:67" x14ac:dyDescent="0.3">
      <c r="A522" s="5" t="s">
        <v>650</v>
      </c>
      <c r="B522" s="5" t="s">
        <v>585</v>
      </c>
      <c r="C522" s="5">
        <v>388468</v>
      </c>
      <c r="D522" s="6"/>
      <c r="E522" s="5" t="s">
        <v>16</v>
      </c>
      <c r="F522" s="5" t="s">
        <v>578</v>
      </c>
      <c r="G522" s="5" t="s">
        <v>34</v>
      </c>
      <c r="H522" s="7" t="s">
        <v>8</v>
      </c>
      <c r="I522" s="7" t="s">
        <v>586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3</v>
      </c>
      <c r="AF522" s="7">
        <v>200</v>
      </c>
      <c r="AG522" s="7">
        <v>100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7">
        <v>0</v>
      </c>
      <c r="AP522" s="7">
        <v>0</v>
      </c>
      <c r="AQ522" s="7">
        <v>0</v>
      </c>
      <c r="AR522" s="7">
        <v>0</v>
      </c>
      <c r="AS522" s="7">
        <v>0</v>
      </c>
      <c r="AT522" s="7">
        <v>0</v>
      </c>
      <c r="AU522" s="7">
        <v>0</v>
      </c>
      <c r="AV522" s="7">
        <v>0</v>
      </c>
      <c r="AW522" s="7">
        <v>0</v>
      </c>
      <c r="AX522" s="7">
        <v>0</v>
      </c>
      <c r="AY522" s="7">
        <v>0</v>
      </c>
      <c r="AZ522" s="7">
        <v>0</v>
      </c>
      <c r="BA522" s="7">
        <v>0</v>
      </c>
      <c r="BB522" s="7">
        <v>0</v>
      </c>
      <c r="BC522" s="7">
        <v>0</v>
      </c>
      <c r="BD522" s="7">
        <v>0</v>
      </c>
      <c r="BE522" s="7">
        <v>0</v>
      </c>
      <c r="BF522" s="7">
        <v>0</v>
      </c>
      <c r="BG522" s="7">
        <v>0</v>
      </c>
      <c r="BH522" s="7">
        <v>0</v>
      </c>
      <c r="BI522" s="7">
        <v>0</v>
      </c>
      <c r="BJ522" s="7">
        <v>0</v>
      </c>
      <c r="BK522" s="7">
        <v>0</v>
      </c>
      <c r="BL522" s="7">
        <v>0</v>
      </c>
      <c r="BM522" s="11">
        <v>300</v>
      </c>
      <c r="BN522" s="15">
        <f t="shared" si="18"/>
        <v>300</v>
      </c>
      <c r="BO522" s="16">
        <f t="shared" si="19"/>
        <v>210</v>
      </c>
    </row>
    <row r="523" spans="1:67" x14ac:dyDescent="0.3">
      <c r="A523" s="5" t="s">
        <v>650</v>
      </c>
      <c r="B523" s="5" t="s">
        <v>210</v>
      </c>
      <c r="C523" s="5">
        <v>434877</v>
      </c>
      <c r="D523" s="6"/>
      <c r="E523" s="5" t="s">
        <v>16</v>
      </c>
      <c r="F523" s="5" t="s">
        <v>211</v>
      </c>
      <c r="G523" s="5" t="s">
        <v>10</v>
      </c>
      <c r="H523" s="7" t="s">
        <v>7</v>
      </c>
      <c r="I523" s="7" t="s">
        <v>212</v>
      </c>
      <c r="J523" s="7">
        <v>3</v>
      </c>
      <c r="K523" s="7">
        <v>0</v>
      </c>
      <c r="L523" s="7">
        <v>300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7">
        <v>0</v>
      </c>
      <c r="AR523" s="7">
        <v>0</v>
      </c>
      <c r="AS523" s="7">
        <v>0</v>
      </c>
      <c r="AT523" s="7">
        <v>0</v>
      </c>
      <c r="AU523" s="7">
        <v>0</v>
      </c>
      <c r="AV523" s="7">
        <v>0</v>
      </c>
      <c r="AW523" s="7">
        <v>0</v>
      </c>
      <c r="AX523" s="7">
        <v>0</v>
      </c>
      <c r="AY523" s="7">
        <v>0</v>
      </c>
      <c r="AZ523" s="7">
        <v>0</v>
      </c>
      <c r="BA523" s="7">
        <v>0</v>
      </c>
      <c r="BB523" s="7">
        <v>0</v>
      </c>
      <c r="BC523" s="7">
        <v>0</v>
      </c>
      <c r="BD523" s="7">
        <v>0</v>
      </c>
      <c r="BE523" s="7">
        <v>0</v>
      </c>
      <c r="BF523" s="7">
        <v>0</v>
      </c>
      <c r="BG523" s="7">
        <v>0</v>
      </c>
      <c r="BH523" s="7">
        <v>0</v>
      </c>
      <c r="BI523" s="7">
        <v>0</v>
      </c>
      <c r="BJ523" s="7">
        <v>0</v>
      </c>
      <c r="BK523" s="7">
        <v>0</v>
      </c>
      <c r="BL523" s="7">
        <v>0</v>
      </c>
      <c r="BM523" s="11">
        <v>300</v>
      </c>
      <c r="BN523" s="15">
        <f t="shared" si="18"/>
        <v>300</v>
      </c>
      <c r="BO523" s="16">
        <f t="shared" si="19"/>
        <v>210</v>
      </c>
    </row>
    <row r="524" spans="1:67" x14ac:dyDescent="0.3">
      <c r="A524" s="5" t="s">
        <v>400</v>
      </c>
      <c r="B524" s="5" t="s">
        <v>91</v>
      </c>
      <c r="C524" s="5">
        <v>462353</v>
      </c>
      <c r="D524" s="6"/>
      <c r="E524" s="5" t="s">
        <v>16</v>
      </c>
      <c r="F524" s="5" t="s">
        <v>39</v>
      </c>
      <c r="G524" s="5" t="s">
        <v>10</v>
      </c>
      <c r="H524" s="7" t="s">
        <v>7</v>
      </c>
      <c r="I524" s="7" t="s">
        <v>92</v>
      </c>
      <c r="J524" s="7">
        <v>3</v>
      </c>
      <c r="K524" s="7">
        <v>0</v>
      </c>
      <c r="L524" s="7">
        <v>300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  <c r="AV524" s="7">
        <v>0</v>
      </c>
      <c r="AW524" s="7">
        <v>0</v>
      </c>
      <c r="AX524" s="7">
        <v>0</v>
      </c>
      <c r="AY524" s="7">
        <v>0</v>
      </c>
      <c r="AZ524" s="7">
        <v>0</v>
      </c>
      <c r="BA524" s="7">
        <v>0</v>
      </c>
      <c r="BB524" s="7">
        <v>0</v>
      </c>
      <c r="BC524" s="7">
        <v>0</v>
      </c>
      <c r="BD524" s="7">
        <v>0</v>
      </c>
      <c r="BE524" s="7">
        <v>0</v>
      </c>
      <c r="BF524" s="7">
        <v>0</v>
      </c>
      <c r="BG524" s="7">
        <v>0</v>
      </c>
      <c r="BH524" s="7">
        <v>0</v>
      </c>
      <c r="BI524" s="7">
        <v>0</v>
      </c>
      <c r="BJ524" s="7">
        <v>0</v>
      </c>
      <c r="BK524" s="7">
        <v>0</v>
      </c>
      <c r="BL524" s="7">
        <v>0</v>
      </c>
      <c r="BM524" s="11">
        <v>300</v>
      </c>
      <c r="BN524" s="15">
        <f t="shared" si="18"/>
        <v>300</v>
      </c>
      <c r="BO524" s="16">
        <f t="shared" si="19"/>
        <v>210</v>
      </c>
    </row>
    <row r="525" spans="1:67" x14ac:dyDescent="0.3">
      <c r="A525" s="5" t="s">
        <v>400</v>
      </c>
      <c r="B525" s="5" t="s">
        <v>202</v>
      </c>
      <c r="C525" s="5">
        <v>393598</v>
      </c>
      <c r="D525" s="6"/>
      <c r="E525" s="5" t="s">
        <v>16</v>
      </c>
      <c r="F525" s="5" t="s">
        <v>203</v>
      </c>
      <c r="G525" s="5" t="s">
        <v>34</v>
      </c>
      <c r="H525" s="7" t="s">
        <v>8</v>
      </c>
      <c r="I525" s="7" t="s">
        <v>204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2</v>
      </c>
      <c r="AL525" s="7">
        <v>240</v>
      </c>
      <c r="AM525" s="7">
        <v>0</v>
      </c>
      <c r="AN525" s="7">
        <v>0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7">
        <v>0</v>
      </c>
      <c r="AU525" s="7">
        <v>0</v>
      </c>
      <c r="AV525" s="7">
        <v>0</v>
      </c>
      <c r="AW525" s="7">
        <v>0</v>
      </c>
      <c r="AX525" s="7">
        <v>0</v>
      </c>
      <c r="AY525" s="7">
        <v>0</v>
      </c>
      <c r="AZ525" s="7">
        <v>0</v>
      </c>
      <c r="BA525" s="7">
        <v>0</v>
      </c>
      <c r="BB525" s="7">
        <v>0</v>
      </c>
      <c r="BC525" s="7">
        <v>0</v>
      </c>
      <c r="BD525" s="7">
        <v>0</v>
      </c>
      <c r="BE525" s="7">
        <v>0</v>
      </c>
      <c r="BF525" s="7">
        <v>0</v>
      </c>
      <c r="BG525" s="7">
        <v>0</v>
      </c>
      <c r="BH525" s="7">
        <v>0</v>
      </c>
      <c r="BI525" s="7">
        <v>0</v>
      </c>
      <c r="BJ525" s="7">
        <v>0</v>
      </c>
      <c r="BK525" s="7">
        <v>0</v>
      </c>
      <c r="BL525" s="7">
        <v>72</v>
      </c>
      <c r="BM525" s="11">
        <v>240</v>
      </c>
      <c r="BN525" s="15">
        <f t="shared" si="18"/>
        <v>168</v>
      </c>
      <c r="BO525" s="16">
        <f t="shared" si="19"/>
        <v>117.6</v>
      </c>
    </row>
    <row r="526" spans="1:67" x14ac:dyDescent="0.3">
      <c r="A526" s="5" t="s">
        <v>650</v>
      </c>
      <c r="B526" s="5" t="s">
        <v>213</v>
      </c>
      <c r="C526" s="5">
        <v>434558</v>
      </c>
      <c r="D526" s="6"/>
      <c r="E526" s="5" t="s">
        <v>16</v>
      </c>
      <c r="F526" s="5" t="s">
        <v>214</v>
      </c>
      <c r="G526" s="5" t="s">
        <v>10</v>
      </c>
      <c r="H526" s="7" t="s">
        <v>7</v>
      </c>
      <c r="I526" s="7" t="s">
        <v>215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2</v>
      </c>
      <c r="AL526" s="7">
        <v>0</v>
      </c>
      <c r="AM526" s="7">
        <v>200</v>
      </c>
      <c r="AN526" s="7">
        <v>0</v>
      </c>
      <c r="AO526" s="7">
        <v>0</v>
      </c>
      <c r="AP526" s="7">
        <v>0</v>
      </c>
      <c r="AQ526" s="7">
        <v>0</v>
      </c>
      <c r="AR526" s="7">
        <v>0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</v>
      </c>
      <c r="BB526" s="7">
        <v>0</v>
      </c>
      <c r="BC526" s="7">
        <v>0</v>
      </c>
      <c r="BD526" s="7">
        <v>0</v>
      </c>
      <c r="BE526" s="7">
        <v>0</v>
      </c>
      <c r="BF526" s="7">
        <v>0</v>
      </c>
      <c r="BG526" s="7">
        <v>0</v>
      </c>
      <c r="BH526" s="7">
        <v>0</v>
      </c>
      <c r="BI526" s="7">
        <v>0</v>
      </c>
      <c r="BJ526" s="7">
        <v>0</v>
      </c>
      <c r="BK526" s="7">
        <v>0</v>
      </c>
      <c r="BL526" s="7">
        <v>0</v>
      </c>
      <c r="BM526" s="11">
        <v>200</v>
      </c>
      <c r="BN526" s="15">
        <f t="shared" si="18"/>
        <v>200</v>
      </c>
      <c r="BO526" s="16">
        <f t="shared" si="19"/>
        <v>140</v>
      </c>
    </row>
    <row r="527" spans="1:67" x14ac:dyDescent="0.3">
      <c r="A527" s="5" t="s">
        <v>650</v>
      </c>
      <c r="B527" s="5" t="s">
        <v>162</v>
      </c>
      <c r="C527" s="5">
        <v>387822</v>
      </c>
      <c r="D527" s="6"/>
      <c r="E527" s="5" t="s">
        <v>16</v>
      </c>
      <c r="F527" s="5" t="s">
        <v>163</v>
      </c>
      <c r="G527" s="5" t="s">
        <v>34</v>
      </c>
      <c r="H527" s="7" t="s">
        <v>8</v>
      </c>
      <c r="I527" s="7" t="s">
        <v>164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2</v>
      </c>
      <c r="AF527" s="7">
        <v>200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7">
        <v>0</v>
      </c>
      <c r="AR527" s="7">
        <v>0</v>
      </c>
      <c r="AS527" s="7">
        <v>0</v>
      </c>
      <c r="AT527" s="7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0</v>
      </c>
      <c r="BB527" s="7">
        <v>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7">
        <v>0</v>
      </c>
      <c r="BJ527" s="7">
        <v>0</v>
      </c>
      <c r="BK527" s="7">
        <v>0</v>
      </c>
      <c r="BL527" s="7">
        <v>0</v>
      </c>
      <c r="BM527" s="11">
        <v>200</v>
      </c>
      <c r="BN527" s="15">
        <f t="shared" si="18"/>
        <v>200</v>
      </c>
      <c r="BO527" s="16">
        <f t="shared" si="19"/>
        <v>140</v>
      </c>
    </row>
    <row r="528" spans="1:67" x14ac:dyDescent="0.3">
      <c r="A528" s="5" t="s">
        <v>650</v>
      </c>
      <c r="B528" s="5" t="s">
        <v>267</v>
      </c>
      <c r="C528" s="5">
        <v>381070</v>
      </c>
      <c r="D528" s="6"/>
      <c r="E528" s="5" t="s">
        <v>16</v>
      </c>
      <c r="F528" s="5" t="s">
        <v>268</v>
      </c>
      <c r="G528" s="5" t="s">
        <v>34</v>
      </c>
      <c r="H528" s="7" t="s">
        <v>8</v>
      </c>
      <c r="I528" s="7" t="s">
        <v>269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1</v>
      </c>
      <c r="AL528" s="7">
        <v>133</v>
      </c>
      <c r="AM528" s="7">
        <v>0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s="7">
        <v>0</v>
      </c>
      <c r="BC528" s="7">
        <v>0</v>
      </c>
      <c r="BD528" s="7">
        <v>0</v>
      </c>
      <c r="BE528" s="7">
        <v>0</v>
      </c>
      <c r="BF528" s="7">
        <v>0</v>
      </c>
      <c r="BG528" s="7">
        <v>0</v>
      </c>
      <c r="BH528" s="7">
        <v>0</v>
      </c>
      <c r="BI528" s="7">
        <v>0</v>
      </c>
      <c r="BJ528" s="7">
        <v>0</v>
      </c>
      <c r="BK528" s="7">
        <v>0</v>
      </c>
      <c r="BL528" s="7">
        <v>39.9</v>
      </c>
      <c r="BM528" s="11">
        <v>133</v>
      </c>
      <c r="BN528" s="15">
        <f t="shared" si="18"/>
        <v>93.1</v>
      </c>
      <c r="BO528" s="16">
        <f t="shared" si="19"/>
        <v>65.169999999999987</v>
      </c>
    </row>
    <row r="529" spans="1:67" x14ac:dyDescent="0.3">
      <c r="A529" s="5" t="s">
        <v>650</v>
      </c>
      <c r="B529" s="5" t="s">
        <v>483</v>
      </c>
      <c r="C529" s="5">
        <v>408471</v>
      </c>
      <c r="D529" s="6"/>
      <c r="E529" s="5" t="s">
        <v>16</v>
      </c>
      <c r="F529" s="5" t="s">
        <v>200</v>
      </c>
      <c r="G529" s="5" t="s">
        <v>34</v>
      </c>
      <c r="H529" s="7" t="s">
        <v>8</v>
      </c>
      <c r="I529" s="7" t="s">
        <v>484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0</v>
      </c>
      <c r="AP529" s="7">
        <v>0</v>
      </c>
      <c r="AQ529" s="7">
        <v>1</v>
      </c>
      <c r="AR529" s="7">
        <v>100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X529" s="7">
        <v>0</v>
      </c>
      <c r="AY529" s="7">
        <v>0</v>
      </c>
      <c r="AZ529" s="7">
        <v>0</v>
      </c>
      <c r="BA529" s="7">
        <v>0</v>
      </c>
      <c r="BB529" s="7">
        <v>0</v>
      </c>
      <c r="BC529" s="7">
        <v>0</v>
      </c>
      <c r="BD529" s="7">
        <v>0</v>
      </c>
      <c r="BE529" s="7">
        <v>0</v>
      </c>
      <c r="BF529" s="7">
        <v>0</v>
      </c>
      <c r="BG529" s="7">
        <v>0</v>
      </c>
      <c r="BH529" s="7">
        <v>0</v>
      </c>
      <c r="BI529" s="7">
        <v>0</v>
      </c>
      <c r="BJ529" s="7">
        <v>0</v>
      </c>
      <c r="BK529" s="7">
        <v>0</v>
      </c>
      <c r="BL529" s="7">
        <v>0</v>
      </c>
      <c r="BM529" s="11">
        <v>100</v>
      </c>
      <c r="BN529" s="15">
        <f t="shared" si="18"/>
        <v>100</v>
      </c>
      <c r="BO529" s="16">
        <f t="shared" si="19"/>
        <v>70</v>
      </c>
    </row>
    <row r="530" spans="1:67" x14ac:dyDescent="0.3">
      <c r="A530" s="5" t="s">
        <v>400</v>
      </c>
      <c r="B530" s="5" t="s">
        <v>98</v>
      </c>
      <c r="C530" s="5">
        <v>388999</v>
      </c>
      <c r="D530" s="6"/>
      <c r="E530" s="5" t="s">
        <v>16</v>
      </c>
      <c r="F530" s="5" t="s">
        <v>66</v>
      </c>
      <c r="G530" s="5" t="s">
        <v>10</v>
      </c>
      <c r="H530" s="7" t="s">
        <v>7</v>
      </c>
      <c r="I530" s="7" t="s">
        <v>99</v>
      </c>
      <c r="J530" s="7">
        <v>0</v>
      </c>
      <c r="K530" s="7">
        <v>10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  <c r="AU530" s="7">
        <v>0</v>
      </c>
      <c r="AV530" s="7">
        <v>0</v>
      </c>
      <c r="AW530" s="7">
        <v>0</v>
      </c>
      <c r="AX530" s="7">
        <v>0</v>
      </c>
      <c r="AY530" s="7">
        <v>0</v>
      </c>
      <c r="AZ530" s="7">
        <v>0</v>
      </c>
      <c r="BA530" s="7">
        <v>0</v>
      </c>
      <c r="BB530" s="7">
        <v>0</v>
      </c>
      <c r="BC530" s="7">
        <v>0</v>
      </c>
      <c r="BD530" s="7">
        <v>0</v>
      </c>
      <c r="BE530" s="7">
        <v>0</v>
      </c>
      <c r="BF530" s="7">
        <v>0</v>
      </c>
      <c r="BG530" s="7">
        <v>0</v>
      </c>
      <c r="BH530" s="7">
        <v>0</v>
      </c>
      <c r="BI530" s="7">
        <v>0</v>
      </c>
      <c r="BJ530" s="7">
        <v>0</v>
      </c>
      <c r="BK530" s="7">
        <v>0</v>
      </c>
      <c r="BL530" s="7">
        <v>0</v>
      </c>
      <c r="BM530" s="11">
        <v>0</v>
      </c>
      <c r="BN530" s="15">
        <f t="shared" si="18"/>
        <v>0</v>
      </c>
      <c r="BO530" s="16">
        <f t="shared" si="19"/>
        <v>0</v>
      </c>
    </row>
    <row r="531" spans="1:67" x14ac:dyDescent="0.3">
      <c r="A531" s="5" t="s">
        <v>650</v>
      </c>
      <c r="B531" s="5" t="s">
        <v>25</v>
      </c>
      <c r="C531" s="5">
        <v>449889</v>
      </c>
      <c r="D531" s="6"/>
      <c r="E531" s="5" t="s">
        <v>16</v>
      </c>
      <c r="F531" s="5" t="s">
        <v>26</v>
      </c>
      <c r="G531" s="5" t="s">
        <v>10</v>
      </c>
      <c r="H531" s="7" t="s">
        <v>7</v>
      </c>
      <c r="I531" s="7" t="s">
        <v>27</v>
      </c>
      <c r="J531" s="7">
        <v>0</v>
      </c>
      <c r="K531" s="7">
        <v>21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7">
        <v>0</v>
      </c>
      <c r="AP531" s="7">
        <v>0</v>
      </c>
      <c r="AQ531" s="7">
        <v>0</v>
      </c>
      <c r="AR531" s="7">
        <v>0</v>
      </c>
      <c r="AS531" s="7">
        <v>0</v>
      </c>
      <c r="AT531" s="7">
        <v>0</v>
      </c>
      <c r="AU531" s="7">
        <v>0</v>
      </c>
      <c r="AV531" s="7">
        <v>0</v>
      </c>
      <c r="AW531" s="7">
        <v>0</v>
      </c>
      <c r="AX531" s="7">
        <v>0</v>
      </c>
      <c r="AY531" s="7">
        <v>0</v>
      </c>
      <c r="AZ531" s="7">
        <v>0</v>
      </c>
      <c r="BA531" s="7">
        <v>0</v>
      </c>
      <c r="BB531" s="7">
        <v>0</v>
      </c>
      <c r="BC531" s="7">
        <v>0</v>
      </c>
      <c r="BD531" s="7">
        <v>0</v>
      </c>
      <c r="BE531" s="7">
        <v>0</v>
      </c>
      <c r="BF531" s="7">
        <v>0</v>
      </c>
      <c r="BG531" s="7">
        <v>0</v>
      </c>
      <c r="BH531" s="7">
        <v>0</v>
      </c>
      <c r="BI531" s="7">
        <v>0</v>
      </c>
      <c r="BJ531" s="7">
        <v>0</v>
      </c>
      <c r="BK531" s="7">
        <v>0</v>
      </c>
      <c r="BL531" s="7">
        <v>0</v>
      </c>
      <c r="BM531" s="11">
        <v>0</v>
      </c>
      <c r="BN531" s="15">
        <f t="shared" si="18"/>
        <v>0</v>
      </c>
      <c r="BO531" s="16">
        <f t="shared" si="19"/>
        <v>0</v>
      </c>
    </row>
    <row r="532" spans="1:67" x14ac:dyDescent="0.3">
      <c r="A532" s="5" t="s">
        <v>650</v>
      </c>
      <c r="B532" s="5" t="s">
        <v>464</v>
      </c>
      <c r="C532" s="5">
        <v>473533</v>
      </c>
      <c r="D532" s="6"/>
      <c r="E532" s="5" t="s">
        <v>16</v>
      </c>
      <c r="F532" s="5" t="s">
        <v>392</v>
      </c>
      <c r="G532" s="5" t="s">
        <v>10</v>
      </c>
      <c r="H532" s="7" t="s">
        <v>7</v>
      </c>
      <c r="I532" s="7" t="s">
        <v>564</v>
      </c>
      <c r="J532" s="7">
        <v>0</v>
      </c>
      <c r="K532" s="7">
        <v>36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0</v>
      </c>
      <c r="AQ532" s="7">
        <v>0</v>
      </c>
      <c r="AR532" s="7">
        <v>0</v>
      </c>
      <c r="AS532" s="7">
        <v>0</v>
      </c>
      <c r="AT532" s="7">
        <v>0</v>
      </c>
      <c r="AU532" s="7">
        <v>0</v>
      </c>
      <c r="AV532" s="7">
        <v>0</v>
      </c>
      <c r="AW532" s="7">
        <v>0</v>
      </c>
      <c r="AX532" s="7">
        <v>0</v>
      </c>
      <c r="AY532" s="7">
        <v>0</v>
      </c>
      <c r="AZ532" s="7">
        <v>0</v>
      </c>
      <c r="BA532" s="7">
        <v>0</v>
      </c>
      <c r="BB532" s="7">
        <v>0</v>
      </c>
      <c r="BC532" s="7">
        <v>0</v>
      </c>
      <c r="BD532" s="7">
        <v>0</v>
      </c>
      <c r="BE532" s="7">
        <v>0</v>
      </c>
      <c r="BF532" s="7">
        <v>0</v>
      </c>
      <c r="BG532" s="7">
        <v>0</v>
      </c>
      <c r="BH532" s="7">
        <v>0</v>
      </c>
      <c r="BI532" s="7">
        <v>0</v>
      </c>
      <c r="BJ532" s="7">
        <v>0</v>
      </c>
      <c r="BK532" s="7">
        <v>0</v>
      </c>
      <c r="BL532" s="7">
        <v>0</v>
      </c>
      <c r="BM532" s="11">
        <v>0</v>
      </c>
      <c r="BN532" s="15">
        <f t="shared" si="18"/>
        <v>0</v>
      </c>
      <c r="BO532" s="16">
        <f t="shared" si="19"/>
        <v>0</v>
      </c>
    </row>
    <row r="533" spans="1:67" x14ac:dyDescent="0.3">
      <c r="BO533" s="16">
        <f>SUM(BO2:BO532)</f>
        <v>40839568.630000032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2022-11-02T02:42:20Z</dcterms:modified>
</cp:coreProperties>
</file>