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4" r:id="rId1"/>
  </sheets>
  <definedNames>
    <definedName name="_xlnm._FilterDatabase" localSheetId="0" hidden="1">'합계(10)'!$A$1:$AM$1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124" i="414" l="1"/>
  <c r="BN123" i="414" l="1"/>
  <c r="BO123" i="414" s="1"/>
  <c r="BN122" i="414"/>
  <c r="BO122" i="414" s="1"/>
  <c r="BN121" i="414"/>
  <c r="BO121" i="414" s="1"/>
  <c r="BN120" i="414"/>
  <c r="BO120" i="414" s="1"/>
  <c r="BN119" i="414"/>
  <c r="BO119" i="414" s="1"/>
  <c r="BN118" i="414"/>
  <c r="BO118" i="414" s="1"/>
  <c r="BN116" i="414"/>
  <c r="BO116" i="414" s="1"/>
  <c r="BN115" i="414"/>
  <c r="BO115" i="414" s="1"/>
  <c r="BN114" i="414"/>
  <c r="BO114" i="414" s="1"/>
  <c r="BN113" i="414"/>
  <c r="BO113" i="414" s="1"/>
  <c r="BN112" i="414"/>
  <c r="BO112" i="414" s="1"/>
  <c r="BN111" i="414"/>
  <c r="BO111" i="414" s="1"/>
  <c r="BN110" i="414"/>
  <c r="BO110" i="414" s="1"/>
  <c r="BN109" i="414"/>
  <c r="BO109" i="414" s="1"/>
  <c r="BN107" i="414"/>
  <c r="BO107" i="414" s="1"/>
  <c r="BN106" i="414"/>
  <c r="BO106" i="414" s="1"/>
  <c r="BN105" i="414"/>
  <c r="BO105" i="414" s="1"/>
  <c r="BN104" i="414"/>
  <c r="BO104" i="414" s="1"/>
  <c r="BN103" i="414"/>
  <c r="BO103" i="414" s="1"/>
  <c r="BN102" i="414"/>
  <c r="BO102" i="414" s="1"/>
  <c r="BN101" i="414"/>
  <c r="BO101" i="414" s="1"/>
  <c r="BN100" i="414"/>
  <c r="BO100" i="414" s="1"/>
  <c r="BN98" i="414"/>
  <c r="BO98" i="414" s="1"/>
  <c r="BN97" i="414"/>
  <c r="BO97" i="414" s="1"/>
  <c r="BN96" i="414"/>
  <c r="BO96" i="414" s="1"/>
  <c r="BN95" i="414"/>
  <c r="BO95" i="414" s="1"/>
  <c r="BN94" i="414"/>
  <c r="BO94" i="414" s="1"/>
  <c r="BN92" i="414"/>
  <c r="BO92" i="414" s="1"/>
  <c r="BN91" i="414"/>
  <c r="BO91" i="414" s="1"/>
  <c r="BN90" i="414"/>
  <c r="BO90" i="414" s="1"/>
  <c r="BN89" i="414"/>
  <c r="BO89" i="414" s="1"/>
  <c r="BN88" i="414"/>
  <c r="BN87" i="414"/>
  <c r="BN86" i="414"/>
  <c r="BN85" i="414"/>
  <c r="BN83" i="414"/>
  <c r="BN82" i="414"/>
  <c r="BN81" i="414"/>
  <c r="BN80" i="414"/>
  <c r="BN79" i="414"/>
  <c r="BN77" i="414"/>
  <c r="BN76" i="414"/>
  <c r="BN75" i="414"/>
  <c r="BN74" i="414"/>
  <c r="BN73" i="414"/>
  <c r="BN71" i="414"/>
  <c r="BN70" i="414"/>
  <c r="BN69" i="414"/>
  <c r="BN68" i="414"/>
  <c r="BN67" i="414"/>
  <c r="BN66" i="414"/>
  <c r="BN64" i="414"/>
  <c r="BN63" i="414"/>
  <c r="BN62" i="414"/>
  <c r="BN61" i="414"/>
  <c r="BN59" i="414"/>
  <c r="BN58" i="414"/>
  <c r="BN57" i="414"/>
  <c r="BN56" i="414"/>
  <c r="BN54" i="414"/>
  <c r="BN53" i="414"/>
  <c r="BN52" i="414"/>
  <c r="BN51" i="414"/>
  <c r="BN50" i="414"/>
  <c r="BN49" i="414"/>
  <c r="BN48" i="414"/>
  <c r="BN47" i="414"/>
  <c r="BN46" i="414"/>
  <c r="BN45" i="414"/>
  <c r="BN43" i="414"/>
  <c r="BN42" i="414"/>
  <c r="BN41" i="414"/>
  <c r="BN40" i="414"/>
  <c r="BN39" i="414"/>
  <c r="BN38" i="414"/>
  <c r="BN36" i="414"/>
  <c r="BN35" i="414"/>
  <c r="BN34" i="414"/>
  <c r="BN33" i="414"/>
  <c r="BN32" i="414"/>
  <c r="BN30" i="414"/>
  <c r="BN29" i="414"/>
  <c r="BN28" i="414"/>
  <c r="BN27" i="414"/>
  <c r="BN26" i="414"/>
  <c r="BN25" i="414"/>
  <c r="BN23" i="414"/>
  <c r="BN22" i="414"/>
  <c r="BN21" i="414"/>
  <c r="BN20" i="414"/>
  <c r="BN19" i="414"/>
  <c r="BN18" i="414"/>
  <c r="BN17" i="414"/>
  <c r="BN16" i="414"/>
  <c r="BN14" i="414"/>
  <c r="BN13" i="414"/>
  <c r="BN12" i="414"/>
  <c r="BN11" i="414"/>
  <c r="BN10" i="414"/>
  <c r="BN9" i="414"/>
  <c r="BN8" i="414"/>
  <c r="BN7" i="414"/>
  <c r="BN6" i="414"/>
  <c r="BN5" i="414"/>
  <c r="BN4" i="414"/>
  <c r="BN3" i="414"/>
  <c r="BN2" i="414"/>
  <c r="BO3" i="414" l="1"/>
  <c r="BO2" i="414"/>
  <c r="BO88" i="414" l="1"/>
  <c r="BN93" i="414"/>
  <c r="BO93" i="414" s="1"/>
  <c r="BN99" i="414"/>
  <c r="BO99" i="414" s="1"/>
  <c r="BN108" i="414"/>
  <c r="BO108" i="414" s="1"/>
  <c r="BN117" i="414"/>
  <c r="BO117" i="414" s="1"/>
  <c r="BO62" i="414" l="1"/>
  <c r="BO63" i="414"/>
  <c r="BO64" i="414"/>
  <c r="BN65" i="414"/>
  <c r="BO65" i="414" s="1"/>
  <c r="BO66" i="414"/>
  <c r="BO67" i="414"/>
  <c r="BO68" i="414"/>
  <c r="BO69" i="414"/>
  <c r="BO70" i="414"/>
  <c r="BO71" i="414"/>
  <c r="BN72" i="414"/>
  <c r="BO72" i="414" s="1"/>
  <c r="BO73" i="414"/>
  <c r="BO74" i="414"/>
  <c r="BO75" i="414"/>
  <c r="BO76" i="414"/>
  <c r="BO77" i="414"/>
  <c r="BN78" i="414"/>
  <c r="BO78" i="414" s="1"/>
  <c r="BO79" i="414"/>
  <c r="BO80" i="414"/>
  <c r="BO81" i="414"/>
  <c r="BO82" i="414"/>
  <c r="BO83" i="414"/>
  <c r="BN84" i="414"/>
  <c r="BO84" i="414" s="1"/>
  <c r="BO85" i="414"/>
  <c r="BO86" i="414"/>
  <c r="BO87" i="414"/>
  <c r="BO4" i="414" l="1"/>
  <c r="BO5" i="414"/>
  <c r="BO6" i="414"/>
  <c r="BO7" i="414"/>
  <c r="BO8" i="414"/>
  <c r="BO9" i="414"/>
  <c r="BO10" i="414"/>
  <c r="BO11" i="414"/>
  <c r="BO12" i="414"/>
  <c r="BO13" i="414"/>
  <c r="BO14" i="414"/>
  <c r="BN15" i="414"/>
  <c r="BO15" i="414" s="1"/>
  <c r="BO16" i="414"/>
  <c r="BO17" i="414"/>
  <c r="BO18" i="414"/>
  <c r="BO19" i="414"/>
  <c r="BO20" i="414"/>
  <c r="BO21" i="414"/>
  <c r="BO22" i="414"/>
  <c r="BO23" i="414"/>
  <c r="BN24" i="414"/>
  <c r="BO24" i="414" s="1"/>
  <c r="BO25" i="414"/>
  <c r="BO26" i="414"/>
  <c r="BO27" i="414"/>
  <c r="BO28" i="414"/>
  <c r="BO29" i="414"/>
  <c r="BO30" i="414"/>
  <c r="BN31" i="414"/>
  <c r="BO31" i="414" s="1"/>
  <c r="BO32" i="414"/>
  <c r="BO33" i="414"/>
  <c r="BO34" i="414"/>
  <c r="BO35" i="414"/>
  <c r="BO36" i="414"/>
  <c r="BN37" i="414"/>
  <c r="BO37" i="414" s="1"/>
  <c r="BO38" i="414"/>
  <c r="BO39" i="414"/>
  <c r="BO40" i="414"/>
  <c r="BO41" i="414"/>
  <c r="BO42" i="414"/>
  <c r="BO43" i="414"/>
  <c r="BN44" i="414"/>
  <c r="BO44" i="414" s="1"/>
  <c r="BO45" i="414"/>
  <c r="BO46" i="414"/>
  <c r="BO47" i="414"/>
  <c r="BO48" i="414"/>
  <c r="BO49" i="414"/>
  <c r="BO50" i="414"/>
  <c r="BO51" i="414"/>
  <c r="BO52" i="414"/>
  <c r="BO53" i="414"/>
  <c r="BO54" i="414"/>
  <c r="BN55" i="414"/>
  <c r="BO55" i="414" s="1"/>
  <c r="BO56" i="414"/>
  <c r="BO57" i="414"/>
  <c r="BO58" i="414"/>
  <c r="BO59" i="414"/>
  <c r="BN60" i="414"/>
  <c r="BO60" i="414" s="1"/>
  <c r="BO61" i="414"/>
</calcChain>
</file>

<file path=xl/sharedStrings.xml><?xml version="1.0" encoding="utf-8"?>
<sst xmlns="http://schemas.openxmlformats.org/spreadsheetml/2006/main" count="923" uniqueCount="194">
  <si>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</si>
  <si>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</si>
  <si>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</si>
  <si>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</si>
  <si>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</si>
  <si>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</si>
  <si>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</si>
  <si>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</si>
  <si>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</si>
  <si>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</si>
  <si>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</si>
  <si>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</si>
  <si>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</si>
  <si>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</si>
  <si>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</si>
  <si>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</si>
  <si>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</si>
  <si>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</si>
  <si>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</si>
  <si>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</si>
  <si>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</si>
  <si>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</si>
  <si>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</si>
  <si>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</si>
  <si>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</si>
  <si>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</si>
  <si>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</si>
  <si>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</si>
  <si>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</si>
  <si>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</si>
  <si>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</si>
  <si>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</si>
  <si>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</si>
  <si>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</si>
  <si>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</si>
  <si>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</si>
  <si>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</si>
  <si>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</si>
  <si>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</si>
  <si>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</si>
  <si>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</si>
  <si>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</si>
  <si>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</si>
  <si>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</si>
  <si>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</si>
  <si>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</si>
  <si>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</si>
  <si>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</si>
  <si>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</si>
  <si>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</si>
  <si>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</si>
  <si>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</si>
  <si>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</si>
  <si>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</si>
  <si>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</si>
  <si>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상계무적 [단행본]</t>
  </si>
  <si>
    <t>2015.07.03</t>
  </si>
  <si>
    <t>스트라이커 [완전판] [단행본]</t>
  </si>
  <si>
    <t>2016.11.29</t>
  </si>
  <si>
    <t>절륜공자 [단행본]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</si>
  <si>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</si>
  <si>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</si>
  <si>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</si>
  <si>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</si>
  <si>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</si>
  <si>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</si>
  <si>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</si>
  <si>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</si>
  <si>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</si>
  <si>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독종무쌍 [단행본]</t>
  </si>
  <si>
    <t>2015.04.17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</si>
  <si>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</si>
  <si>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</si>
  <si>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</si>
  <si>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</si>
  <si>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</si>
  <si>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소드엠페러</t>
  </si>
  <si>
    <t>2020.12.18</t>
  </si>
  <si>
    <t>만인지상 [단행본]</t>
  </si>
  <si>
    <t>마스터 K [단행본]</t>
  </si>
  <si>
    <t>2014.07.02</t>
  </si>
  <si>
    <t>소드마스터의 환생 [독점]</t>
  </si>
  <si>
    <t>파란영</t>
  </si>
  <si>
    <t>2019.05.22</t>
  </si>
  <si>
    <t>바람의 기사, 아르테온</t>
  </si>
  <si>
    <t>2020.09.08</t>
  </si>
  <si>
    <t>하프블러드</t>
  </si>
  <si>
    <t>아나크레온</t>
  </si>
  <si>
    <t>2014.10.29</t>
  </si>
  <si>
    <t>월풍 [단행본]</t>
  </si>
  <si>
    <t>검산도해</t>
  </si>
  <si>
    <t>2020.04.28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</si>
  <si>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</si>
  <si>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</si>
  <si>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</si>
  <si>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</si>
  <si>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</si>
  <si>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</si>
  <si>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</si>
  <si>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검령천하: 나의 검 너의 노래 [독점]</t>
  </si>
  <si>
    <t>금시조</t>
  </si>
  <si>
    <t>2020.08.10</t>
  </si>
  <si>
    <t>스피릿 소드</t>
  </si>
  <si>
    <t>2016.07.06</t>
  </si>
  <si>
    <t>바람의 기사, 아르테온 [단행본]</t>
  </si>
  <si>
    <t>2014.11.27</t>
  </si>
  <si>
    <t>영웅[개정판]</t>
  </si>
  <si>
    <t>2016.04.13</t>
  </si>
  <si>
    <t>용중신권 [단행본]</t>
  </si>
  <si>
    <t>신마협도</t>
  </si>
  <si>
    <t>2020.08.12</t>
  </si>
  <si>
    <t>마신부활 [독점]</t>
  </si>
  <si>
    <t>만렙도끼</t>
  </si>
  <si>
    <t>2021.02.20</t>
  </si>
  <si>
    <t>신규무사</t>
  </si>
  <si>
    <t>2018.11.06</t>
  </si>
  <si>
    <t>절대비만</t>
  </si>
  <si>
    <t>2020.09.11</t>
  </si>
  <si>
    <t>독종무쌍</t>
  </si>
  <si>
    <t>수적왕 [단행본]</t>
  </si>
  <si>
    <t>2016.03.15</t>
  </si>
  <si>
    <t>소장권_건수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</si>
  <si>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</si>
  <si>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</si>
  <si>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</si>
  <si>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</si>
  <si>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</si>
  <si>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</si>
  <si>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</si>
  <si>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</si>
  <si>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</si>
  <si>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</si>
  <si>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</si>
  <si>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</si>
  <si>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</si>
  <si>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</si>
  <si>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</si>
  <si>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</si>
  <si>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</si>
  <si>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</si>
  <si>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구매_무상</t>
    <phoneticPr fontId="20" type="noConversion"/>
  </si>
  <si>
    <t>쿠키로 구매_유상</t>
    <phoneticPr fontId="20" type="noConversion"/>
  </si>
  <si>
    <t>쿠키로 구매_건수</t>
    <phoneticPr fontId="20" type="noConversion"/>
  </si>
  <si>
    <t>쿠키로 대여_무상</t>
    <phoneticPr fontId="20" type="noConversion"/>
  </si>
  <si>
    <t>쿠키로 대여_유상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</si>
  <si>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</si>
  <si>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</si>
  <si>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</si>
  <si>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</si>
  <si>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</si>
  <si>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</si>
  <si>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</si>
  <si>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</si>
  <si>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</si>
  <si>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</si>
  <si>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</si>
  <si>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</si>
  <si>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</si>
  <si>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</si>
  <si>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</si>
  <si>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</si>
  <si>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</si>
  <si>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</si>
  <si>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</si>
  <si>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</si>
  <si>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</si>
  <si>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</si>
  <si>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</si>
  <si>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</si>
  <si>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</si>
  <si>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</si>
  <si>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</si>
  <si>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</si>
  <si>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</si>
  <si>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</si>
  <si>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신을 죽이러 갑니다 [단행본]</t>
  </si>
  <si>
    <t>2019.01.07</t>
  </si>
  <si>
    <t>용중신권</t>
  </si>
  <si>
    <t>시리즈APP</t>
    <phoneticPr fontId="20" type="noConversion"/>
  </si>
  <si>
    <t>시리즈완전판(APP)</t>
    <phoneticPr fontId="20" type="noConversion"/>
  </si>
  <si>
    <t>시리즈(iOS)</t>
    <phoneticPr fontId="20" type="noConversion"/>
  </si>
  <si>
    <t>신을 죽이러 갑니다</t>
  </si>
  <si>
    <t>2018.08.24</t>
  </si>
  <si>
    <t>게이트 헌터</t>
  </si>
  <si>
    <t>2016.12.25</t>
  </si>
  <si>
    <t>게이트 헌터 [완전판] [단행본]</t>
  </si>
  <si>
    <t>2017.04.26</t>
  </si>
  <si>
    <t>출판사</t>
    <phoneticPr fontId="20" type="noConversion"/>
  </si>
  <si>
    <t>작가 CP</t>
    <phoneticPr fontId="20" type="noConversion"/>
  </si>
  <si>
    <t>레이드 만물상점</t>
  </si>
  <si>
    <t>2016.01.22</t>
  </si>
  <si>
    <t>순백의 아가씨</t>
  </si>
  <si>
    <t>한례</t>
  </si>
  <si>
    <t>수적왕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</si>
</sst>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0" fontId="23" fillId="33" borderId="0" xfId="0" applyFont="1" applyFill="1" applyAlignment="1">
      <alignment horizontal="center" vertical="center" wrapText="1"/>
    </xf>
    <xf numFmtId="41" fontId="24" fillId="34" borderId="0" xfId="42" applyFont="1" applyFill="1">
      <alignment vertical="center"/>
    </xf>
    <xf numFmtId="43" fontId="22" fillId="0" borderId="0" xfId="42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24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7.7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64" width="3.625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9" ht="27" customHeight="1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75</v>
      </c>
      <c r="I1" s="14" t="s">
        <v>6</v>
      </c>
      <c r="J1" s="12" t="s">
        <v>122</v>
      </c>
      <c r="K1" s="12" t="s">
        <v>123</v>
      </c>
      <c r="L1" s="12" t="s">
        <v>124</v>
      </c>
      <c r="M1" s="12" t="s">
        <v>125</v>
      </c>
      <c r="N1" s="12" t="s">
        <v>126</v>
      </c>
      <c r="O1" s="12" t="s">
        <v>127</v>
      </c>
      <c r="P1" s="12" t="s">
        <v>128</v>
      </c>
      <c r="Q1" s="12" t="s">
        <v>129</v>
      </c>
      <c r="R1" s="12" t="s">
        <v>130</v>
      </c>
      <c r="S1" s="12" t="s">
        <v>121</v>
      </c>
      <c r="T1" s="12" t="s">
        <v>131</v>
      </c>
      <c r="U1" s="12" t="s">
        <v>132</v>
      </c>
      <c r="V1" s="12" t="s">
        <v>133</v>
      </c>
      <c r="W1" s="12" t="s">
        <v>134</v>
      </c>
      <c r="X1" s="12" t="s">
        <v>135</v>
      </c>
      <c r="Y1" s="12" t="s">
        <v>136</v>
      </c>
      <c r="Z1" s="12" t="s">
        <v>137</v>
      </c>
      <c r="AA1" s="12" t="s">
        <v>138</v>
      </c>
      <c r="AB1" s="12" t="s">
        <v>139</v>
      </c>
      <c r="AC1" s="12" t="s">
        <v>144</v>
      </c>
      <c r="AD1" s="12" t="s">
        <v>143</v>
      </c>
      <c r="AE1" s="12" t="s">
        <v>142</v>
      </c>
      <c r="AF1" s="12" t="s">
        <v>141</v>
      </c>
      <c r="AG1" s="12" t="s">
        <v>140</v>
      </c>
      <c r="AH1" s="12" t="s">
        <v>145</v>
      </c>
      <c r="AI1" s="12" t="s">
        <v>146</v>
      </c>
      <c r="AJ1" s="12" t="s">
        <v>147</v>
      </c>
      <c r="AK1" s="12" t="s">
        <v>148</v>
      </c>
      <c r="AL1" s="12" t="s">
        <v>149</v>
      </c>
      <c r="AM1" s="12" t="s">
        <v>150</v>
      </c>
      <c r="AN1" s="12" t="s">
        <v>151</v>
      </c>
      <c r="AO1" s="12" t="s">
        <v>152</v>
      </c>
      <c r="AP1" s="12" t="s">
        <v>153</v>
      </c>
      <c r="AQ1" s="12" t="s">
        <v>154</v>
      </c>
      <c r="AR1" s="12" t="s">
        <v>155</v>
      </c>
      <c r="AS1" s="12" t="s">
        <v>156</v>
      </c>
      <c r="AT1" s="12" t="s">
        <v>157</v>
      </c>
      <c r="AU1" s="12" t="s">
        <v>158</v>
      </c>
      <c r="AV1" s="12" t="s">
        <v>159</v>
      </c>
      <c r="AW1" s="12" t="s">
        <v>160</v>
      </c>
      <c r="AX1" s="12" t="s">
        <v>161</v>
      </c>
      <c r="AY1" s="12" t="s">
        <v>162</v>
      </c>
      <c r="AZ1" s="12" t="s">
        <v>163</v>
      </c>
      <c r="BA1" s="12" t="s">
        <v>164</v>
      </c>
      <c r="BB1" s="12" t="s">
        <v>165</v>
      </c>
      <c r="BC1" s="12" t="s">
        <v>166</v>
      </c>
      <c r="BD1" s="12" t="s">
        <v>167</v>
      </c>
      <c r="BE1" s="12" t="s">
        <v>168</v>
      </c>
      <c r="BF1" s="12" t="s">
        <v>169</v>
      </c>
      <c r="BG1" s="12" t="s">
        <v>170</v>
      </c>
      <c r="BH1" s="12" t="s">
        <v>171</v>
      </c>
      <c r="BI1" s="12" t="s">
        <v>172</v>
      </c>
      <c r="BJ1" s="12" t="s">
        <v>173</v>
      </c>
      <c r="BK1" s="12" t="s">
        <v>174</v>
      </c>
      <c r="BL1" s="12" t="s">
        <v>74</v>
      </c>
      <c r="BM1" s="12" t="s">
        <v>60</v>
      </c>
      <c r="BN1" s="12" t="s">
        <v>61</v>
      </c>
      <c r="BO1" s="12" t="s">
        <v>71</v>
      </c>
      <c r="BP1" s="12" t="s">
        <v>187</v>
      </c>
      <c r="BQ1" s="17" t="s">
        <v>188</v>
      </c>
    </row>
    <row r="2" spans="1:69" x14ac:dyDescent="0.3">
      <c r="A2" s="5" t="s">
        <v>178</v>
      </c>
      <c r="B2" s="5" t="s">
        <v>14</v>
      </c>
      <c r="C2" s="5">
        <v>355332</v>
      </c>
      <c r="D2" s="6"/>
      <c r="E2" s="5" t="s">
        <v>11</v>
      </c>
      <c r="F2" s="5" t="s">
        <v>13</v>
      </c>
      <c r="G2" s="5" t="s">
        <v>11</v>
      </c>
      <c r="H2" s="7" t="s">
        <v>8</v>
      </c>
      <c r="I2" s="7" t="s">
        <v>63</v>
      </c>
      <c r="J2" s="7">
        <v>17</v>
      </c>
      <c r="K2" s="7">
        <v>153</v>
      </c>
      <c r="L2" s="7">
        <v>1700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8">
        <v>2321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9704</v>
      </c>
      <c r="AF2" s="8">
        <v>643400</v>
      </c>
      <c r="AG2" s="8">
        <v>363700</v>
      </c>
      <c r="AH2" s="7">
        <v>0</v>
      </c>
      <c r="AI2" s="7">
        <v>0</v>
      </c>
      <c r="AJ2" s="7">
        <v>0</v>
      </c>
      <c r="AK2" s="7">
        <v>7</v>
      </c>
      <c r="AL2" s="8">
        <v>240</v>
      </c>
      <c r="AM2" s="7">
        <v>500</v>
      </c>
      <c r="AN2" s="7">
        <v>0</v>
      </c>
      <c r="AO2" s="7">
        <v>0</v>
      </c>
      <c r="AP2" s="7">
        <v>0</v>
      </c>
      <c r="AQ2" s="8">
        <v>6211</v>
      </c>
      <c r="AR2" s="8">
        <v>610000</v>
      </c>
      <c r="AS2" s="8">
        <v>11100</v>
      </c>
      <c r="AT2" s="7">
        <v>0</v>
      </c>
      <c r="AU2" s="7">
        <v>0</v>
      </c>
      <c r="AV2" s="7">
        <v>0</v>
      </c>
      <c r="AW2" s="8">
        <v>6819</v>
      </c>
      <c r="AX2" s="8">
        <v>817286</v>
      </c>
      <c r="AY2" s="8">
        <v>800</v>
      </c>
      <c r="AZ2" s="7">
        <v>0</v>
      </c>
      <c r="BA2" s="7">
        <v>0</v>
      </c>
      <c r="BB2" s="7">
        <v>0</v>
      </c>
      <c r="BC2" s="8">
        <v>13198</v>
      </c>
      <c r="BD2" s="8">
        <v>1580880</v>
      </c>
      <c r="BE2" s="8">
        <v>2400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176653.4</v>
      </c>
      <c r="BM2" s="10">
        <v>4032006</v>
      </c>
      <c r="BN2" s="15">
        <f t="shared" ref="BN2:BN14" si="0">BM2-BL2</f>
        <v>3855352.6</v>
      </c>
      <c r="BO2" s="19">
        <f>BN2*70%</f>
        <v>2698746.82</v>
      </c>
    </row>
    <row r="3" spans="1:69" x14ac:dyDescent="0.3">
      <c r="A3" s="5" t="s">
        <v>178</v>
      </c>
      <c r="B3" s="5" t="s">
        <v>15</v>
      </c>
      <c r="C3" s="5">
        <v>159260</v>
      </c>
      <c r="D3" s="6"/>
      <c r="E3" s="5" t="s">
        <v>11</v>
      </c>
      <c r="F3" s="5" t="s">
        <v>16</v>
      </c>
      <c r="G3" s="5" t="s">
        <v>11</v>
      </c>
      <c r="H3" s="7" t="s">
        <v>7</v>
      </c>
      <c r="I3" s="7" t="s">
        <v>17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126</v>
      </c>
      <c r="AC3" s="8">
        <v>72340</v>
      </c>
      <c r="AD3" s="8">
        <v>41100</v>
      </c>
      <c r="AE3" s="7">
        <v>21</v>
      </c>
      <c r="AF3" s="8">
        <v>28800</v>
      </c>
      <c r="AG3" s="8">
        <v>34200</v>
      </c>
      <c r="AH3" s="7">
        <v>0</v>
      </c>
      <c r="AI3" s="8">
        <v>0</v>
      </c>
      <c r="AJ3" s="8">
        <v>0</v>
      </c>
      <c r="AK3" s="7">
        <v>0</v>
      </c>
      <c r="AL3" s="8">
        <v>0</v>
      </c>
      <c r="AM3" s="7">
        <v>0</v>
      </c>
      <c r="AN3" s="7">
        <v>31</v>
      </c>
      <c r="AO3" s="8">
        <v>27700</v>
      </c>
      <c r="AP3" s="7">
        <v>200</v>
      </c>
      <c r="AQ3" s="7">
        <v>22</v>
      </c>
      <c r="AR3" s="8">
        <v>59900</v>
      </c>
      <c r="AS3" s="7">
        <v>6800</v>
      </c>
      <c r="AT3" s="7">
        <v>43</v>
      </c>
      <c r="AU3" s="8">
        <v>45960</v>
      </c>
      <c r="AV3" s="7">
        <v>0</v>
      </c>
      <c r="AW3" s="7">
        <v>23</v>
      </c>
      <c r="AX3" s="8">
        <v>87960</v>
      </c>
      <c r="AY3" s="7">
        <v>0</v>
      </c>
      <c r="AZ3" s="7">
        <v>163</v>
      </c>
      <c r="BA3" s="8">
        <v>169680</v>
      </c>
      <c r="BB3" s="7">
        <v>1300</v>
      </c>
      <c r="BC3" s="7">
        <v>31</v>
      </c>
      <c r="BD3" s="8">
        <v>113520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30384</v>
      </c>
      <c r="BM3" s="10">
        <v>689460</v>
      </c>
      <c r="BN3" s="15">
        <f t="shared" si="0"/>
        <v>659076</v>
      </c>
      <c r="BO3" s="19">
        <f>BN3*70%</f>
        <v>461353.19999999995</v>
      </c>
    </row>
    <row r="4" spans="1:69" x14ac:dyDescent="0.3">
      <c r="A4" s="5" t="s">
        <v>178</v>
      </c>
      <c r="B4" s="5" t="s">
        <v>18</v>
      </c>
      <c r="C4" s="5">
        <v>161539</v>
      </c>
      <c r="D4" s="6"/>
      <c r="E4" s="5" t="s">
        <v>11</v>
      </c>
      <c r="F4" s="5" t="s">
        <v>16</v>
      </c>
      <c r="G4" s="5" t="s">
        <v>11</v>
      </c>
      <c r="H4" s="7" t="s">
        <v>7</v>
      </c>
      <c r="I4" s="7" t="s">
        <v>19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52</v>
      </c>
      <c r="AC4" s="8">
        <v>31300</v>
      </c>
      <c r="AD4" s="8">
        <v>12000</v>
      </c>
      <c r="AE4" s="7">
        <v>46</v>
      </c>
      <c r="AF4" s="8">
        <v>96740</v>
      </c>
      <c r="AG4" s="8">
        <v>48400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31</v>
      </c>
      <c r="AO4" s="8">
        <v>27300</v>
      </c>
      <c r="AP4" s="7">
        <v>500</v>
      </c>
      <c r="AQ4" s="7">
        <v>5</v>
      </c>
      <c r="AR4" s="8">
        <v>14300</v>
      </c>
      <c r="AS4" s="7">
        <v>0</v>
      </c>
      <c r="AT4" s="7">
        <v>30</v>
      </c>
      <c r="AU4" s="8">
        <v>31800</v>
      </c>
      <c r="AV4" s="7">
        <v>0</v>
      </c>
      <c r="AW4" s="7">
        <v>29</v>
      </c>
      <c r="AX4" s="8">
        <v>93840</v>
      </c>
      <c r="AY4" s="7">
        <v>0</v>
      </c>
      <c r="AZ4" s="7">
        <v>121</v>
      </c>
      <c r="BA4" s="8">
        <v>128280</v>
      </c>
      <c r="BB4" s="7">
        <v>0</v>
      </c>
      <c r="BC4" s="7">
        <v>8</v>
      </c>
      <c r="BD4" s="8">
        <v>26640</v>
      </c>
      <c r="BE4" s="8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21859.200000000001</v>
      </c>
      <c r="BM4" s="10">
        <v>511100</v>
      </c>
      <c r="BN4" s="15">
        <f t="shared" si="0"/>
        <v>489240.8</v>
      </c>
      <c r="BO4" s="16">
        <f t="shared" ref="BO4:BO60" si="1">BN4*70%</f>
        <v>342468.56</v>
      </c>
    </row>
    <row r="5" spans="1:69" x14ac:dyDescent="0.3">
      <c r="A5" s="5" t="s">
        <v>178</v>
      </c>
      <c r="B5" s="5" t="s">
        <v>20</v>
      </c>
      <c r="C5" s="5">
        <v>159270</v>
      </c>
      <c r="D5" s="6"/>
      <c r="E5" s="5" t="s">
        <v>11</v>
      </c>
      <c r="F5" s="5" t="s">
        <v>16</v>
      </c>
      <c r="G5" s="5" t="s">
        <v>11</v>
      </c>
      <c r="H5" s="7" t="s">
        <v>10</v>
      </c>
      <c r="I5" s="7" t="s">
        <v>19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35</v>
      </c>
      <c r="AC5" s="8">
        <v>12600</v>
      </c>
      <c r="AD5" s="8">
        <v>18200</v>
      </c>
      <c r="AE5" s="7">
        <v>15</v>
      </c>
      <c r="AF5" s="7">
        <v>47040</v>
      </c>
      <c r="AG5" s="8">
        <v>8000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37</v>
      </c>
      <c r="AO5" s="8">
        <v>32200</v>
      </c>
      <c r="AP5" s="7">
        <v>700</v>
      </c>
      <c r="AQ5" s="7">
        <v>0</v>
      </c>
      <c r="AR5" s="7">
        <v>0</v>
      </c>
      <c r="AS5" s="7">
        <v>0</v>
      </c>
      <c r="AT5" s="7">
        <v>56</v>
      </c>
      <c r="AU5" s="8">
        <v>57600</v>
      </c>
      <c r="AV5" s="7">
        <v>800</v>
      </c>
      <c r="AW5" s="7">
        <v>24</v>
      </c>
      <c r="AX5" s="7">
        <v>92160</v>
      </c>
      <c r="AY5" s="7">
        <v>0</v>
      </c>
      <c r="AZ5" s="7">
        <v>83</v>
      </c>
      <c r="BA5" s="8">
        <v>88560</v>
      </c>
      <c r="BB5" s="7">
        <v>0</v>
      </c>
      <c r="BC5" s="7">
        <v>22</v>
      </c>
      <c r="BD5" s="8">
        <v>84480</v>
      </c>
      <c r="BE5" s="8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25358.400000000001</v>
      </c>
      <c r="BM5" s="10">
        <v>442340</v>
      </c>
      <c r="BN5" s="15">
        <f t="shared" si="0"/>
        <v>416981.6</v>
      </c>
      <c r="BO5" s="16">
        <f t="shared" si="1"/>
        <v>291887.11999999994</v>
      </c>
    </row>
    <row r="6" spans="1:69" x14ac:dyDescent="0.3">
      <c r="A6" s="5" t="s">
        <v>178</v>
      </c>
      <c r="B6" s="5" t="s">
        <v>24</v>
      </c>
      <c r="C6" s="5">
        <v>165741</v>
      </c>
      <c r="D6" s="6"/>
      <c r="E6" s="5" t="s">
        <v>11</v>
      </c>
      <c r="F6" s="5" t="s">
        <v>13</v>
      </c>
      <c r="G6" s="5" t="s">
        <v>11</v>
      </c>
      <c r="H6" s="7" t="s">
        <v>7</v>
      </c>
      <c r="I6" s="7" t="s">
        <v>25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25</v>
      </c>
      <c r="AC6" s="7">
        <v>7000</v>
      </c>
      <c r="AD6" s="7">
        <v>14500</v>
      </c>
      <c r="AE6" s="8">
        <v>2</v>
      </c>
      <c r="AF6" s="8">
        <v>6400</v>
      </c>
      <c r="AG6" s="8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8">
        <v>0</v>
      </c>
      <c r="AS6" s="7">
        <v>0</v>
      </c>
      <c r="AT6" s="7">
        <v>64</v>
      </c>
      <c r="AU6" s="7">
        <v>68760</v>
      </c>
      <c r="AV6" s="7">
        <v>0</v>
      </c>
      <c r="AW6" s="7">
        <v>29</v>
      </c>
      <c r="AX6" s="8">
        <v>111360</v>
      </c>
      <c r="AY6" s="7">
        <v>0</v>
      </c>
      <c r="AZ6" s="7">
        <v>84</v>
      </c>
      <c r="BA6" s="7">
        <v>87960</v>
      </c>
      <c r="BB6" s="7">
        <v>0</v>
      </c>
      <c r="BC6" s="7">
        <v>0</v>
      </c>
      <c r="BD6" s="8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23289.599999999999</v>
      </c>
      <c r="BM6" s="10">
        <v>295980</v>
      </c>
      <c r="BN6" s="15">
        <f t="shared" si="0"/>
        <v>272690.40000000002</v>
      </c>
      <c r="BO6" s="16">
        <f t="shared" si="1"/>
        <v>190883.28</v>
      </c>
    </row>
    <row r="7" spans="1:69" x14ac:dyDescent="0.3">
      <c r="A7" s="5" t="s">
        <v>178</v>
      </c>
      <c r="B7" s="5" t="s">
        <v>181</v>
      </c>
      <c r="C7" s="5">
        <v>300910</v>
      </c>
      <c r="D7" s="6"/>
      <c r="E7" s="5" t="s">
        <v>11</v>
      </c>
      <c r="F7" s="5" t="s">
        <v>41</v>
      </c>
      <c r="G7" s="5" t="s">
        <v>11</v>
      </c>
      <c r="H7" s="7" t="s">
        <v>7</v>
      </c>
      <c r="I7" s="7" t="s">
        <v>182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203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1959</v>
      </c>
      <c r="AF7" s="8">
        <v>118820</v>
      </c>
      <c r="AG7" s="8">
        <v>83100</v>
      </c>
      <c r="AH7" s="7">
        <v>0</v>
      </c>
      <c r="AI7" s="7">
        <v>0</v>
      </c>
      <c r="AJ7" s="7">
        <v>0</v>
      </c>
      <c r="AK7" s="7">
        <v>3</v>
      </c>
      <c r="AL7" s="7">
        <v>0</v>
      </c>
      <c r="AM7" s="7">
        <v>300</v>
      </c>
      <c r="AN7" s="7">
        <v>0</v>
      </c>
      <c r="AO7" s="7">
        <v>0</v>
      </c>
      <c r="AP7" s="7">
        <v>0</v>
      </c>
      <c r="AQ7" s="7">
        <v>79</v>
      </c>
      <c r="AR7" s="8">
        <v>7900</v>
      </c>
      <c r="AS7" s="8">
        <v>0</v>
      </c>
      <c r="AT7" s="7">
        <v>0</v>
      </c>
      <c r="AU7" s="7">
        <v>0</v>
      </c>
      <c r="AV7" s="7">
        <v>0</v>
      </c>
      <c r="AW7" s="7">
        <v>94</v>
      </c>
      <c r="AX7" s="8">
        <v>11280</v>
      </c>
      <c r="AY7" s="7">
        <v>0</v>
      </c>
      <c r="AZ7" s="7">
        <v>0</v>
      </c>
      <c r="BA7" s="7">
        <v>0</v>
      </c>
      <c r="BB7" s="7">
        <v>0</v>
      </c>
      <c r="BC7" s="8">
        <v>615</v>
      </c>
      <c r="BD7" s="8">
        <v>73800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5556</v>
      </c>
      <c r="BM7" s="10">
        <v>295200</v>
      </c>
      <c r="BN7" s="15">
        <f t="shared" si="0"/>
        <v>289644</v>
      </c>
      <c r="BO7" s="16">
        <f t="shared" si="1"/>
        <v>202750.8</v>
      </c>
    </row>
    <row r="8" spans="1:69" x14ac:dyDescent="0.3">
      <c r="A8" s="5" t="s">
        <v>178</v>
      </c>
      <c r="B8" s="5" t="s">
        <v>47</v>
      </c>
      <c r="C8" s="5">
        <v>285993</v>
      </c>
      <c r="D8" s="6"/>
      <c r="E8" s="5" t="s">
        <v>11</v>
      </c>
      <c r="F8" s="5" t="s">
        <v>12</v>
      </c>
      <c r="G8" s="5" t="s">
        <v>11</v>
      </c>
      <c r="H8" s="7" t="s">
        <v>7</v>
      </c>
      <c r="I8" s="7" t="s">
        <v>48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44</v>
      </c>
      <c r="AC8" s="7">
        <v>44720</v>
      </c>
      <c r="AD8" s="7">
        <v>0</v>
      </c>
      <c r="AE8" s="8">
        <v>0</v>
      </c>
      <c r="AF8" s="8">
        <v>0</v>
      </c>
      <c r="AG8" s="8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67</v>
      </c>
      <c r="AO8" s="7">
        <v>59300</v>
      </c>
      <c r="AP8" s="7">
        <v>1000</v>
      </c>
      <c r="AQ8" s="7">
        <v>0</v>
      </c>
      <c r="AR8" s="7">
        <v>0</v>
      </c>
      <c r="AS8" s="7">
        <v>0</v>
      </c>
      <c r="AT8" s="7">
        <v>6</v>
      </c>
      <c r="AU8" s="7">
        <v>5520</v>
      </c>
      <c r="AV8" s="7">
        <v>0</v>
      </c>
      <c r="AW8" s="7">
        <v>0</v>
      </c>
      <c r="AX8" s="8">
        <v>0</v>
      </c>
      <c r="AY8" s="7">
        <v>0</v>
      </c>
      <c r="AZ8" s="7">
        <v>136</v>
      </c>
      <c r="BA8" s="7">
        <v>146880</v>
      </c>
      <c r="BB8" s="7">
        <v>0</v>
      </c>
      <c r="BC8" s="7">
        <v>5</v>
      </c>
      <c r="BD8" s="8">
        <v>19200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10516.8</v>
      </c>
      <c r="BM8" s="10">
        <v>276620</v>
      </c>
      <c r="BN8" s="15">
        <f t="shared" si="0"/>
        <v>266103.2</v>
      </c>
      <c r="BO8" s="16">
        <f t="shared" si="1"/>
        <v>186272.24</v>
      </c>
    </row>
    <row r="9" spans="1:69" x14ac:dyDescent="0.3">
      <c r="A9" s="5" t="s">
        <v>178</v>
      </c>
      <c r="B9" s="5" t="s">
        <v>76</v>
      </c>
      <c r="C9" s="5">
        <v>418829</v>
      </c>
      <c r="D9" s="6"/>
      <c r="E9" s="5" t="s">
        <v>11</v>
      </c>
      <c r="F9" s="5" t="s">
        <v>16</v>
      </c>
      <c r="G9" s="5" t="s">
        <v>11</v>
      </c>
      <c r="H9" s="7" t="s">
        <v>7</v>
      </c>
      <c r="I9" s="7" t="s">
        <v>77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156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8">
        <v>0</v>
      </c>
      <c r="AD9" s="8">
        <v>0</v>
      </c>
      <c r="AE9" s="7">
        <v>455</v>
      </c>
      <c r="AF9" s="8">
        <v>29200</v>
      </c>
      <c r="AG9" s="8">
        <v>17100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83</v>
      </c>
      <c r="AR9" s="7">
        <v>8300</v>
      </c>
      <c r="AS9" s="7">
        <v>0</v>
      </c>
      <c r="AT9" s="7">
        <v>0</v>
      </c>
      <c r="AU9" s="8">
        <v>0</v>
      </c>
      <c r="AV9" s="7">
        <v>0</v>
      </c>
      <c r="AW9" s="7">
        <v>874</v>
      </c>
      <c r="AX9" s="7">
        <v>104880</v>
      </c>
      <c r="AY9" s="7">
        <v>0</v>
      </c>
      <c r="AZ9" s="7">
        <v>0</v>
      </c>
      <c r="BA9" s="8">
        <v>0</v>
      </c>
      <c r="BB9" s="7">
        <v>0</v>
      </c>
      <c r="BC9" s="7">
        <v>969</v>
      </c>
      <c r="BD9" s="7">
        <v>116280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17464.8</v>
      </c>
      <c r="BM9" s="10">
        <v>275760</v>
      </c>
      <c r="BN9" s="15">
        <f t="shared" si="0"/>
        <v>258295.2</v>
      </c>
      <c r="BO9" s="16">
        <f t="shared" si="1"/>
        <v>180806.63999999998</v>
      </c>
    </row>
    <row r="10" spans="1:69" x14ac:dyDescent="0.3">
      <c r="A10" s="5" t="s">
        <v>178</v>
      </c>
      <c r="B10" s="5" t="s">
        <v>28</v>
      </c>
      <c r="C10" s="5">
        <v>159268</v>
      </c>
      <c r="D10" s="6"/>
      <c r="E10" s="5" t="s">
        <v>11</v>
      </c>
      <c r="F10" s="5" t="s">
        <v>16</v>
      </c>
      <c r="G10" s="5" t="s">
        <v>11</v>
      </c>
      <c r="H10" s="7" t="s">
        <v>7</v>
      </c>
      <c r="I10" s="7" t="s">
        <v>29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24</v>
      </c>
      <c r="AC10" s="8">
        <v>8160</v>
      </c>
      <c r="AD10" s="8">
        <v>13700</v>
      </c>
      <c r="AE10" s="7">
        <v>12</v>
      </c>
      <c r="AF10" s="7">
        <v>40200</v>
      </c>
      <c r="AG10" s="8">
        <v>200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42</v>
      </c>
      <c r="AO10" s="8">
        <v>37500</v>
      </c>
      <c r="AP10" s="7">
        <v>300</v>
      </c>
      <c r="AQ10" s="7">
        <v>2</v>
      </c>
      <c r="AR10" s="7">
        <v>6200</v>
      </c>
      <c r="AS10" s="7">
        <v>0</v>
      </c>
      <c r="AT10" s="7">
        <v>21</v>
      </c>
      <c r="AU10" s="8">
        <v>22680</v>
      </c>
      <c r="AV10" s="7">
        <v>0</v>
      </c>
      <c r="AW10" s="7">
        <v>3</v>
      </c>
      <c r="AX10" s="8">
        <v>9720</v>
      </c>
      <c r="AY10" s="7">
        <v>0</v>
      </c>
      <c r="AZ10" s="7">
        <v>54</v>
      </c>
      <c r="BA10" s="8">
        <v>58320</v>
      </c>
      <c r="BB10" s="7">
        <v>0</v>
      </c>
      <c r="BC10" s="7">
        <v>18</v>
      </c>
      <c r="BD10" s="8">
        <v>69120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10886.4</v>
      </c>
      <c r="BM10" s="10">
        <v>266100</v>
      </c>
      <c r="BN10" s="15">
        <f t="shared" si="0"/>
        <v>255213.6</v>
      </c>
      <c r="BO10" s="16">
        <f t="shared" si="1"/>
        <v>178649.52</v>
      </c>
    </row>
    <row r="11" spans="1:69" x14ac:dyDescent="0.3">
      <c r="A11" s="5" t="s">
        <v>178</v>
      </c>
      <c r="B11" s="5" t="s">
        <v>30</v>
      </c>
      <c r="C11" s="5">
        <v>159258</v>
      </c>
      <c r="D11" s="6"/>
      <c r="E11" s="5" t="s">
        <v>11</v>
      </c>
      <c r="F11" s="5" t="s">
        <v>16</v>
      </c>
      <c r="G11" s="5" t="s">
        <v>11</v>
      </c>
      <c r="H11" s="7" t="s">
        <v>7</v>
      </c>
      <c r="I11" s="7" t="s">
        <v>29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61</v>
      </c>
      <c r="AC11" s="8">
        <v>40200</v>
      </c>
      <c r="AD11" s="8">
        <v>15700</v>
      </c>
      <c r="AE11" s="7">
        <v>15</v>
      </c>
      <c r="AF11" s="8">
        <v>33520</v>
      </c>
      <c r="AG11" s="7">
        <v>14300</v>
      </c>
      <c r="AH11" s="7">
        <v>0</v>
      </c>
      <c r="AI11" s="8">
        <v>0</v>
      </c>
      <c r="AJ11" s="7">
        <v>0</v>
      </c>
      <c r="AK11" s="7">
        <v>0</v>
      </c>
      <c r="AL11" s="7">
        <v>0</v>
      </c>
      <c r="AM11" s="7">
        <v>0</v>
      </c>
      <c r="AN11" s="7">
        <v>22</v>
      </c>
      <c r="AO11" s="8">
        <v>19400</v>
      </c>
      <c r="AP11" s="7">
        <v>200</v>
      </c>
      <c r="AQ11" s="7">
        <v>0</v>
      </c>
      <c r="AR11" s="7">
        <v>0</v>
      </c>
      <c r="AS11" s="7">
        <v>0</v>
      </c>
      <c r="AT11" s="7">
        <v>11</v>
      </c>
      <c r="AU11" s="8">
        <v>11880</v>
      </c>
      <c r="AV11" s="7">
        <v>0</v>
      </c>
      <c r="AW11" s="7">
        <v>3</v>
      </c>
      <c r="AX11" s="8">
        <v>11520</v>
      </c>
      <c r="AY11" s="7">
        <v>0</v>
      </c>
      <c r="AZ11" s="7">
        <v>72</v>
      </c>
      <c r="BA11" s="8">
        <v>76800</v>
      </c>
      <c r="BB11" s="7">
        <v>0</v>
      </c>
      <c r="BC11" s="7">
        <v>9</v>
      </c>
      <c r="BD11" s="8">
        <v>31200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8820</v>
      </c>
      <c r="BM11" s="10">
        <v>254720</v>
      </c>
      <c r="BN11" s="15">
        <f t="shared" si="0"/>
        <v>245900</v>
      </c>
      <c r="BO11" s="16">
        <f t="shared" si="1"/>
        <v>172130</v>
      </c>
    </row>
    <row r="12" spans="1:69" x14ac:dyDescent="0.3">
      <c r="A12" s="5" t="s">
        <v>178</v>
      </c>
      <c r="B12" s="5" t="s">
        <v>31</v>
      </c>
      <c r="C12" s="5">
        <v>159255</v>
      </c>
      <c r="D12" s="6"/>
      <c r="E12" s="5" t="s">
        <v>11</v>
      </c>
      <c r="F12" s="5" t="s">
        <v>16</v>
      </c>
      <c r="G12" s="5" t="s">
        <v>11</v>
      </c>
      <c r="H12" s="7" t="s">
        <v>8</v>
      </c>
      <c r="I12" s="7" t="s">
        <v>32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22</v>
      </c>
      <c r="AC12" s="8">
        <v>16540</v>
      </c>
      <c r="AD12" s="8">
        <v>4300</v>
      </c>
      <c r="AE12" s="7">
        <v>11</v>
      </c>
      <c r="AF12" s="8">
        <v>18800</v>
      </c>
      <c r="AG12" s="7">
        <v>13000</v>
      </c>
      <c r="AH12" s="7">
        <v>0</v>
      </c>
      <c r="AI12" s="8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10</v>
      </c>
      <c r="AO12" s="8">
        <v>8800</v>
      </c>
      <c r="AP12" s="8">
        <v>200</v>
      </c>
      <c r="AQ12" s="7">
        <v>0</v>
      </c>
      <c r="AR12" s="8">
        <v>0</v>
      </c>
      <c r="AS12" s="7">
        <v>0</v>
      </c>
      <c r="AT12" s="7">
        <v>14</v>
      </c>
      <c r="AU12" s="7">
        <v>14520</v>
      </c>
      <c r="AV12" s="7">
        <v>0</v>
      </c>
      <c r="AW12" s="7">
        <v>5</v>
      </c>
      <c r="AX12" s="7">
        <v>18720</v>
      </c>
      <c r="AY12" s="7">
        <v>0</v>
      </c>
      <c r="AZ12" s="7">
        <v>56</v>
      </c>
      <c r="BA12" s="8">
        <v>59760</v>
      </c>
      <c r="BB12" s="7">
        <v>0</v>
      </c>
      <c r="BC12" s="7">
        <v>16</v>
      </c>
      <c r="BD12" s="7">
        <v>54480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10178.4</v>
      </c>
      <c r="BM12" s="10">
        <v>209120</v>
      </c>
      <c r="BN12" s="15">
        <f t="shared" si="0"/>
        <v>198941.6</v>
      </c>
      <c r="BO12" s="16">
        <f t="shared" si="1"/>
        <v>139259.12</v>
      </c>
    </row>
    <row r="13" spans="1:69" ht="19.5" x14ac:dyDescent="0.3">
      <c r="A13" s="5" t="s">
        <v>178</v>
      </c>
      <c r="B13" s="5" t="s">
        <v>21</v>
      </c>
      <c r="C13" s="5">
        <v>409392</v>
      </c>
      <c r="D13" s="6"/>
      <c r="E13" s="5" t="s">
        <v>11</v>
      </c>
      <c r="F13" s="5" t="s">
        <v>13</v>
      </c>
      <c r="G13" s="5" t="s">
        <v>22</v>
      </c>
      <c r="H13" s="7" t="s">
        <v>7</v>
      </c>
      <c r="I13" s="7" t="s">
        <v>23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68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8">
        <v>0</v>
      </c>
      <c r="AD13" s="8">
        <v>0</v>
      </c>
      <c r="AE13" s="7">
        <v>43</v>
      </c>
      <c r="AF13" s="7">
        <v>0</v>
      </c>
      <c r="AG13" s="8">
        <v>4300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8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8">
        <v>0</v>
      </c>
      <c r="AV13" s="7">
        <v>0</v>
      </c>
      <c r="AW13" s="7">
        <v>128</v>
      </c>
      <c r="AX13" s="8">
        <v>15360</v>
      </c>
      <c r="AY13" s="7">
        <v>0</v>
      </c>
      <c r="AZ13" s="7">
        <v>0</v>
      </c>
      <c r="BA13" s="8">
        <v>0</v>
      </c>
      <c r="BB13" s="7">
        <v>0</v>
      </c>
      <c r="BC13" s="7">
        <v>1095</v>
      </c>
      <c r="BD13" s="8">
        <v>131400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9420</v>
      </c>
      <c r="BM13" s="10">
        <v>151060</v>
      </c>
      <c r="BN13" s="15">
        <f t="shared" si="0"/>
        <v>141640</v>
      </c>
      <c r="BO13" s="16">
        <f t="shared" si="1"/>
        <v>99148</v>
      </c>
    </row>
    <row r="14" spans="1:69" x14ac:dyDescent="0.3">
      <c r="A14" s="5" t="s">
        <v>178</v>
      </c>
      <c r="B14" s="5" t="s">
        <v>78</v>
      </c>
      <c r="C14" s="5">
        <v>192737</v>
      </c>
      <c r="D14" s="6"/>
      <c r="E14" s="5" t="s">
        <v>11</v>
      </c>
      <c r="F14" s="5" t="s">
        <v>36</v>
      </c>
      <c r="G14" s="5" t="s">
        <v>11</v>
      </c>
      <c r="H14" s="7" t="s">
        <v>7</v>
      </c>
      <c r="I14" s="7" t="s">
        <v>37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34</v>
      </c>
      <c r="AC14" s="7">
        <v>23960</v>
      </c>
      <c r="AD14" s="7">
        <v>7500</v>
      </c>
      <c r="AE14" s="7">
        <v>9</v>
      </c>
      <c r="AF14" s="8">
        <v>19200</v>
      </c>
      <c r="AG14" s="7">
        <v>12800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15</v>
      </c>
      <c r="AO14" s="7">
        <v>13100</v>
      </c>
      <c r="AP14" s="7">
        <v>200</v>
      </c>
      <c r="AQ14" s="7">
        <v>0</v>
      </c>
      <c r="AR14" s="8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8">
        <v>0</v>
      </c>
      <c r="AY14" s="7">
        <v>0</v>
      </c>
      <c r="AZ14" s="7">
        <v>39</v>
      </c>
      <c r="BA14" s="7">
        <v>42120</v>
      </c>
      <c r="BB14" s="7">
        <v>0</v>
      </c>
      <c r="BC14" s="7">
        <v>8</v>
      </c>
      <c r="BD14" s="8">
        <v>30720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4370.3999999999996</v>
      </c>
      <c r="BM14" s="10">
        <v>149600</v>
      </c>
      <c r="BN14" s="15">
        <f t="shared" si="0"/>
        <v>145229.6</v>
      </c>
      <c r="BO14" s="16">
        <f t="shared" si="1"/>
        <v>101660.72</v>
      </c>
    </row>
    <row r="15" spans="1:69" x14ac:dyDescent="0.3">
      <c r="A15" s="5" t="s">
        <v>178</v>
      </c>
      <c r="B15" s="5" t="s">
        <v>26</v>
      </c>
      <c r="C15" s="5">
        <v>161447</v>
      </c>
      <c r="D15" s="6"/>
      <c r="E15" s="5" t="s">
        <v>11</v>
      </c>
      <c r="F15" s="5" t="s">
        <v>13</v>
      </c>
      <c r="G15" s="5" t="s">
        <v>11</v>
      </c>
      <c r="H15" s="7" t="s">
        <v>7</v>
      </c>
      <c r="I15" s="7" t="s">
        <v>27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35</v>
      </c>
      <c r="AC15" s="8">
        <v>28960</v>
      </c>
      <c r="AD15" s="8">
        <v>3500</v>
      </c>
      <c r="AE15" s="7">
        <v>14</v>
      </c>
      <c r="AF15" s="7">
        <v>38900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8">
        <v>0</v>
      </c>
      <c r="AP15" s="7">
        <v>0</v>
      </c>
      <c r="AQ15" s="7">
        <v>2</v>
      </c>
      <c r="AR15" s="7">
        <v>4900</v>
      </c>
      <c r="AS15" s="7">
        <v>200</v>
      </c>
      <c r="AT15" s="7">
        <v>34</v>
      </c>
      <c r="AU15" s="8">
        <v>36360</v>
      </c>
      <c r="AV15" s="7">
        <v>0</v>
      </c>
      <c r="AW15" s="7">
        <v>0</v>
      </c>
      <c r="AX15" s="7">
        <v>0</v>
      </c>
      <c r="AY15" s="7">
        <v>0</v>
      </c>
      <c r="AZ15" s="7">
        <v>23</v>
      </c>
      <c r="BA15" s="8">
        <v>24840</v>
      </c>
      <c r="BB15" s="7">
        <v>0</v>
      </c>
      <c r="BC15" s="7">
        <v>4</v>
      </c>
      <c r="BD15" s="8">
        <v>4800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5414.4</v>
      </c>
      <c r="BM15" s="10">
        <v>142460</v>
      </c>
      <c r="BN15" s="15">
        <f t="shared" ref="BN15:BN60" si="2">BM15-BL15</f>
        <v>137045.6</v>
      </c>
      <c r="BO15" s="16">
        <f t="shared" si="1"/>
        <v>95931.92</v>
      </c>
    </row>
    <row r="16" spans="1:69" x14ac:dyDescent="0.3">
      <c r="A16" s="5" t="s">
        <v>178</v>
      </c>
      <c r="B16" s="5" t="s">
        <v>68</v>
      </c>
      <c r="C16" s="5">
        <v>285988</v>
      </c>
      <c r="D16" s="6"/>
      <c r="E16" s="5" t="s">
        <v>11</v>
      </c>
      <c r="F16" s="5" t="s">
        <v>12</v>
      </c>
      <c r="G16" s="5" t="s">
        <v>11</v>
      </c>
      <c r="H16" s="7" t="s">
        <v>7</v>
      </c>
      <c r="I16" s="7" t="s">
        <v>48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20</v>
      </c>
      <c r="AC16" s="7">
        <v>19980</v>
      </c>
      <c r="AD16" s="7">
        <v>0</v>
      </c>
      <c r="AE16" s="7">
        <v>0</v>
      </c>
      <c r="AF16" s="8">
        <v>0</v>
      </c>
      <c r="AG16" s="8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9</v>
      </c>
      <c r="AO16" s="7">
        <v>7900</v>
      </c>
      <c r="AP16" s="7">
        <v>200</v>
      </c>
      <c r="AQ16" s="7">
        <v>0</v>
      </c>
      <c r="AR16" s="8">
        <v>0</v>
      </c>
      <c r="AS16" s="8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93</v>
      </c>
      <c r="BA16" s="7">
        <v>100440</v>
      </c>
      <c r="BB16" s="7">
        <v>0</v>
      </c>
      <c r="BC16" s="7">
        <v>1</v>
      </c>
      <c r="BD16" s="8">
        <v>3720</v>
      </c>
      <c r="BE16" s="7">
        <v>100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6249.6</v>
      </c>
      <c r="BM16" s="10">
        <v>132340</v>
      </c>
      <c r="BN16" s="15">
        <f t="shared" ref="BN16:BN23" si="3">BM16-BL16</f>
        <v>126090.4</v>
      </c>
      <c r="BO16" s="16">
        <f t="shared" si="1"/>
        <v>88263.279999999984</v>
      </c>
    </row>
    <row r="17" spans="1:67" ht="19.5" x14ac:dyDescent="0.3">
      <c r="A17" s="5" t="s">
        <v>178</v>
      </c>
      <c r="B17" s="5" t="s">
        <v>43</v>
      </c>
      <c r="C17" s="5">
        <v>408054</v>
      </c>
      <c r="D17" s="6"/>
      <c r="E17" s="5" t="s">
        <v>11</v>
      </c>
      <c r="F17" s="5" t="s">
        <v>16</v>
      </c>
      <c r="G17" s="5" t="s">
        <v>22</v>
      </c>
      <c r="H17" s="7" t="s">
        <v>10</v>
      </c>
      <c r="I17" s="7" t="s">
        <v>44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25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8">
        <v>0</v>
      </c>
      <c r="AD17" s="8">
        <v>0</v>
      </c>
      <c r="AE17" s="7">
        <v>656</v>
      </c>
      <c r="AF17" s="7">
        <v>31000</v>
      </c>
      <c r="AG17" s="7">
        <v>34600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8">
        <v>0</v>
      </c>
      <c r="AP17" s="7">
        <v>0</v>
      </c>
      <c r="AQ17" s="7">
        <v>1</v>
      </c>
      <c r="AR17" s="7">
        <v>100</v>
      </c>
      <c r="AS17" s="7">
        <v>0</v>
      </c>
      <c r="AT17" s="7">
        <v>0</v>
      </c>
      <c r="AU17" s="7">
        <v>0</v>
      </c>
      <c r="AV17" s="7">
        <v>0</v>
      </c>
      <c r="AW17" s="7">
        <v>5</v>
      </c>
      <c r="AX17" s="7">
        <v>0</v>
      </c>
      <c r="AY17" s="7">
        <v>500</v>
      </c>
      <c r="AZ17" s="7">
        <v>0</v>
      </c>
      <c r="BA17" s="8">
        <v>0</v>
      </c>
      <c r="BB17" s="7">
        <v>0</v>
      </c>
      <c r="BC17" s="7">
        <v>398</v>
      </c>
      <c r="BD17" s="8">
        <v>47760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2865.6</v>
      </c>
      <c r="BM17" s="10">
        <v>113960</v>
      </c>
      <c r="BN17" s="15">
        <f t="shared" si="3"/>
        <v>111094.39999999999</v>
      </c>
      <c r="BO17" s="16">
        <f t="shared" si="1"/>
        <v>77766.079999999987</v>
      </c>
    </row>
    <row r="18" spans="1:67" x14ac:dyDescent="0.3">
      <c r="A18" s="5" t="s">
        <v>178</v>
      </c>
      <c r="B18" s="5" t="s">
        <v>45</v>
      </c>
      <c r="C18" s="5">
        <v>192729</v>
      </c>
      <c r="D18" s="6"/>
      <c r="E18" s="5" t="s">
        <v>11</v>
      </c>
      <c r="F18" s="5" t="s">
        <v>36</v>
      </c>
      <c r="G18" s="5" t="s">
        <v>11</v>
      </c>
      <c r="H18" s="7" t="s">
        <v>7</v>
      </c>
      <c r="I18" s="7" t="s">
        <v>46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43</v>
      </c>
      <c r="AC18" s="7">
        <v>21700</v>
      </c>
      <c r="AD18" s="7">
        <v>16900</v>
      </c>
      <c r="AE18" s="7">
        <v>0</v>
      </c>
      <c r="AF18" s="8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5</v>
      </c>
      <c r="AO18" s="7">
        <v>2800</v>
      </c>
      <c r="AP18" s="7">
        <v>200</v>
      </c>
      <c r="AQ18" s="7">
        <v>0</v>
      </c>
      <c r="AR18" s="8">
        <v>0</v>
      </c>
      <c r="AS18" s="7">
        <v>0</v>
      </c>
      <c r="AT18" s="7">
        <v>9</v>
      </c>
      <c r="AU18" s="7">
        <v>9720</v>
      </c>
      <c r="AV18" s="7">
        <v>0</v>
      </c>
      <c r="AW18" s="7">
        <v>0</v>
      </c>
      <c r="AX18" s="8">
        <v>0</v>
      </c>
      <c r="AY18" s="7">
        <v>0</v>
      </c>
      <c r="AZ18" s="7">
        <v>47</v>
      </c>
      <c r="BA18" s="7">
        <v>49440</v>
      </c>
      <c r="BB18" s="7">
        <v>0</v>
      </c>
      <c r="BC18" s="7">
        <v>0</v>
      </c>
      <c r="BD18" s="8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3938.4</v>
      </c>
      <c r="BM18" s="10">
        <v>100760</v>
      </c>
      <c r="BN18" s="15">
        <f t="shared" si="3"/>
        <v>96821.6</v>
      </c>
      <c r="BO18" s="16">
        <f t="shared" si="1"/>
        <v>67775.12</v>
      </c>
    </row>
    <row r="19" spans="1:67" x14ac:dyDescent="0.3">
      <c r="A19" s="5" t="s">
        <v>178</v>
      </c>
      <c r="B19" s="5" t="s">
        <v>34</v>
      </c>
      <c r="C19" s="5">
        <v>173863</v>
      </c>
      <c r="D19" s="6"/>
      <c r="E19" s="5" t="s">
        <v>11</v>
      </c>
      <c r="F19" s="5" t="s">
        <v>16</v>
      </c>
      <c r="G19" s="5" t="s">
        <v>11</v>
      </c>
      <c r="H19" s="7" t="s">
        <v>7</v>
      </c>
      <c r="I19" s="7" t="s">
        <v>35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39</v>
      </c>
      <c r="AC19" s="7">
        <v>36760</v>
      </c>
      <c r="AD19" s="7">
        <v>2000</v>
      </c>
      <c r="AE19" s="7">
        <v>0</v>
      </c>
      <c r="AF19" s="8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15</v>
      </c>
      <c r="AO19" s="7">
        <v>13300</v>
      </c>
      <c r="AP19" s="7">
        <v>200</v>
      </c>
      <c r="AQ19" s="7">
        <v>1</v>
      </c>
      <c r="AR19" s="8">
        <v>3000</v>
      </c>
      <c r="AS19" s="7">
        <v>200</v>
      </c>
      <c r="AT19" s="7">
        <v>25</v>
      </c>
      <c r="AU19" s="7">
        <v>27000</v>
      </c>
      <c r="AV19" s="7">
        <v>0</v>
      </c>
      <c r="AW19" s="7">
        <v>0</v>
      </c>
      <c r="AX19" s="7">
        <v>0</v>
      </c>
      <c r="AY19" s="7">
        <v>0</v>
      </c>
      <c r="AZ19" s="7">
        <v>11</v>
      </c>
      <c r="BA19" s="7">
        <v>11640</v>
      </c>
      <c r="BB19" s="7">
        <v>0</v>
      </c>
      <c r="BC19" s="7">
        <v>0</v>
      </c>
      <c r="BD19" s="8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3398.4</v>
      </c>
      <c r="BM19" s="10">
        <v>94100</v>
      </c>
      <c r="BN19" s="15">
        <f t="shared" si="3"/>
        <v>90701.6</v>
      </c>
      <c r="BO19" s="16">
        <f t="shared" si="1"/>
        <v>63491.12</v>
      </c>
    </row>
    <row r="20" spans="1:67" x14ac:dyDescent="0.3">
      <c r="A20" s="5" t="s">
        <v>178</v>
      </c>
      <c r="B20" s="5" t="s">
        <v>33</v>
      </c>
      <c r="C20" s="5">
        <v>159266</v>
      </c>
      <c r="D20" s="6"/>
      <c r="E20" s="5" t="s">
        <v>11</v>
      </c>
      <c r="F20" s="5" t="s">
        <v>16</v>
      </c>
      <c r="G20" s="5" t="s">
        <v>11</v>
      </c>
      <c r="H20" s="7" t="s">
        <v>7</v>
      </c>
      <c r="I20" s="7" t="s">
        <v>29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27</v>
      </c>
      <c r="AC20" s="7">
        <v>18000</v>
      </c>
      <c r="AD20" s="7">
        <v>4900</v>
      </c>
      <c r="AE20" s="7">
        <v>0</v>
      </c>
      <c r="AF20" s="8">
        <v>0</v>
      </c>
      <c r="AG20" s="8">
        <v>0</v>
      </c>
      <c r="AH20" s="7">
        <v>9</v>
      </c>
      <c r="AI20" s="7">
        <v>9720</v>
      </c>
      <c r="AJ20" s="7">
        <v>0</v>
      </c>
      <c r="AK20" s="7">
        <v>0</v>
      </c>
      <c r="AL20" s="7">
        <v>0</v>
      </c>
      <c r="AM20" s="7">
        <v>0</v>
      </c>
      <c r="AN20" s="7">
        <v>3</v>
      </c>
      <c r="AO20" s="7">
        <v>2500</v>
      </c>
      <c r="AP20" s="7">
        <v>200</v>
      </c>
      <c r="AQ20" s="7">
        <v>0</v>
      </c>
      <c r="AR20" s="8">
        <v>0</v>
      </c>
      <c r="AS20" s="7">
        <v>0</v>
      </c>
      <c r="AT20" s="7">
        <v>14</v>
      </c>
      <c r="AU20" s="7">
        <v>14160</v>
      </c>
      <c r="AV20" s="7">
        <v>0</v>
      </c>
      <c r="AW20" s="7">
        <v>0</v>
      </c>
      <c r="AX20" s="8">
        <v>0</v>
      </c>
      <c r="AY20" s="7">
        <v>0</v>
      </c>
      <c r="AZ20" s="7">
        <v>37</v>
      </c>
      <c r="BA20" s="7">
        <v>38280</v>
      </c>
      <c r="BB20" s="7">
        <v>0</v>
      </c>
      <c r="BC20" s="7">
        <v>1</v>
      </c>
      <c r="BD20" s="8">
        <v>3840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9">
        <v>6859.2</v>
      </c>
      <c r="BM20" s="10">
        <v>91600</v>
      </c>
      <c r="BN20" s="15">
        <f t="shared" si="3"/>
        <v>84740.800000000003</v>
      </c>
      <c r="BO20" s="16">
        <f t="shared" si="1"/>
        <v>59318.559999999998</v>
      </c>
    </row>
    <row r="21" spans="1:67" ht="19.5" x14ac:dyDescent="0.3">
      <c r="A21" s="5" t="s">
        <v>178</v>
      </c>
      <c r="B21" s="5" t="s">
        <v>177</v>
      </c>
      <c r="C21" s="5">
        <v>408450</v>
      </c>
      <c r="D21" s="6"/>
      <c r="E21" s="5" t="s">
        <v>11</v>
      </c>
      <c r="F21" s="5" t="s">
        <v>12</v>
      </c>
      <c r="G21" s="5" t="s">
        <v>22</v>
      </c>
      <c r="H21" s="7" t="s">
        <v>7</v>
      </c>
      <c r="I21" s="7" t="s">
        <v>117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8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54</v>
      </c>
      <c r="AF21" s="8">
        <v>1800</v>
      </c>
      <c r="AG21" s="7">
        <v>3600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326</v>
      </c>
      <c r="AR21" s="8">
        <v>31300</v>
      </c>
      <c r="AS21" s="8">
        <v>1300</v>
      </c>
      <c r="AT21" s="7">
        <v>0</v>
      </c>
      <c r="AU21" s="7">
        <v>0</v>
      </c>
      <c r="AV21" s="7">
        <v>0</v>
      </c>
      <c r="AW21" s="7">
        <v>148</v>
      </c>
      <c r="AX21" s="8">
        <v>17760</v>
      </c>
      <c r="AY21" s="7">
        <v>0</v>
      </c>
      <c r="AZ21" s="7">
        <v>0</v>
      </c>
      <c r="BA21" s="7">
        <v>0</v>
      </c>
      <c r="BB21" s="7">
        <v>0</v>
      </c>
      <c r="BC21" s="7">
        <v>238</v>
      </c>
      <c r="BD21" s="8">
        <v>28560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9">
        <v>3489.6</v>
      </c>
      <c r="BM21" s="10">
        <v>84320</v>
      </c>
      <c r="BN21" s="15">
        <f t="shared" si="3"/>
        <v>80830.399999999994</v>
      </c>
      <c r="BO21" s="16">
        <f t="shared" si="1"/>
        <v>56581.279999999992</v>
      </c>
    </row>
    <row r="22" spans="1:67" ht="19.5" x14ac:dyDescent="0.3">
      <c r="A22" s="5" t="s">
        <v>178</v>
      </c>
      <c r="B22" s="5" t="s">
        <v>51</v>
      </c>
      <c r="C22" s="5">
        <v>413545</v>
      </c>
      <c r="D22" s="6"/>
      <c r="E22" s="5" t="s">
        <v>11</v>
      </c>
      <c r="F22" s="5" t="s">
        <v>16</v>
      </c>
      <c r="G22" s="5" t="s">
        <v>22</v>
      </c>
      <c r="H22" s="7" t="s">
        <v>8</v>
      </c>
      <c r="I22" s="7" t="s">
        <v>52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20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407</v>
      </c>
      <c r="AF22" s="8">
        <v>30480</v>
      </c>
      <c r="AG22" s="8">
        <v>12800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8">
        <v>0</v>
      </c>
      <c r="AS22" s="7">
        <v>0</v>
      </c>
      <c r="AT22" s="7">
        <v>0</v>
      </c>
      <c r="AU22" s="7">
        <v>0</v>
      </c>
      <c r="AV22" s="7">
        <v>0</v>
      </c>
      <c r="AW22" s="7">
        <v>141</v>
      </c>
      <c r="AX22" s="8">
        <v>16920</v>
      </c>
      <c r="AY22" s="7">
        <v>0</v>
      </c>
      <c r="AZ22" s="7">
        <v>0</v>
      </c>
      <c r="BA22" s="7">
        <v>0</v>
      </c>
      <c r="BB22" s="7">
        <v>0</v>
      </c>
      <c r="BC22" s="7">
        <v>165</v>
      </c>
      <c r="BD22" s="8">
        <v>19800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2880</v>
      </c>
      <c r="BM22" s="10">
        <v>80000</v>
      </c>
      <c r="BN22" s="15">
        <f t="shared" si="3"/>
        <v>77120</v>
      </c>
      <c r="BO22" s="16">
        <f t="shared" si="1"/>
        <v>53984</v>
      </c>
    </row>
    <row r="23" spans="1:67" x14ac:dyDescent="0.3">
      <c r="A23" s="5" t="s">
        <v>178</v>
      </c>
      <c r="B23" s="5" t="s">
        <v>86</v>
      </c>
      <c r="C23" s="5">
        <v>418830</v>
      </c>
      <c r="D23" s="6"/>
      <c r="E23" s="5" t="s">
        <v>11</v>
      </c>
      <c r="F23" s="5" t="s">
        <v>16</v>
      </c>
      <c r="G23" s="5" t="s">
        <v>11</v>
      </c>
      <c r="H23" s="7" t="s">
        <v>7</v>
      </c>
      <c r="I23" s="7" t="s">
        <v>77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8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8">
        <v>0</v>
      </c>
      <c r="AD23" s="8">
        <v>0</v>
      </c>
      <c r="AE23" s="7">
        <v>265</v>
      </c>
      <c r="AF23" s="7">
        <v>9000</v>
      </c>
      <c r="AG23" s="7">
        <v>17500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8">
        <v>0</v>
      </c>
      <c r="AP23" s="7">
        <v>0</v>
      </c>
      <c r="AQ23" s="7">
        <v>95</v>
      </c>
      <c r="AR23" s="7">
        <v>9300</v>
      </c>
      <c r="AS23" s="7">
        <v>200</v>
      </c>
      <c r="AT23" s="7">
        <v>0</v>
      </c>
      <c r="AU23" s="8">
        <v>0</v>
      </c>
      <c r="AV23" s="7">
        <v>0</v>
      </c>
      <c r="AW23" s="7">
        <v>222</v>
      </c>
      <c r="AX23" s="7">
        <v>26640</v>
      </c>
      <c r="AY23" s="7">
        <v>0</v>
      </c>
      <c r="AZ23" s="7">
        <v>0</v>
      </c>
      <c r="BA23" s="8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9">
        <v>2664</v>
      </c>
      <c r="BM23" s="10">
        <v>62640</v>
      </c>
      <c r="BN23" s="15">
        <f t="shared" si="3"/>
        <v>59976</v>
      </c>
      <c r="BO23" s="16">
        <f t="shared" si="1"/>
        <v>41983.199999999997</v>
      </c>
    </row>
    <row r="24" spans="1:67" x14ac:dyDescent="0.3">
      <c r="A24" s="5" t="s">
        <v>178</v>
      </c>
      <c r="B24" s="5" t="s">
        <v>79</v>
      </c>
      <c r="C24" s="5">
        <v>159483</v>
      </c>
      <c r="D24" s="6"/>
      <c r="E24" s="5" t="s">
        <v>11</v>
      </c>
      <c r="F24" s="5" t="s">
        <v>13</v>
      </c>
      <c r="G24" s="5" t="s">
        <v>11</v>
      </c>
      <c r="H24" s="7" t="s">
        <v>7</v>
      </c>
      <c r="I24" s="7" t="s">
        <v>80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4</v>
      </c>
      <c r="AC24" s="8">
        <v>3600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8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8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8">
        <v>0</v>
      </c>
      <c r="BB24" s="7">
        <v>0</v>
      </c>
      <c r="BC24" s="7">
        <v>14</v>
      </c>
      <c r="BD24" s="8">
        <v>53760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3225.6</v>
      </c>
      <c r="BM24" s="10">
        <v>57360</v>
      </c>
      <c r="BN24" s="15">
        <f t="shared" si="2"/>
        <v>54134.400000000001</v>
      </c>
      <c r="BO24" s="16">
        <f t="shared" si="1"/>
        <v>37894.080000000002</v>
      </c>
    </row>
    <row r="25" spans="1:67" ht="19.5" x14ac:dyDescent="0.3">
      <c r="A25" s="5" t="s">
        <v>178</v>
      </c>
      <c r="B25" s="5" t="s">
        <v>93</v>
      </c>
      <c r="C25" s="5">
        <v>408050</v>
      </c>
      <c r="D25" s="6"/>
      <c r="E25" s="5" t="s">
        <v>11</v>
      </c>
      <c r="F25" s="5" t="s">
        <v>13</v>
      </c>
      <c r="G25" s="5" t="s">
        <v>22</v>
      </c>
      <c r="H25" s="7" t="s">
        <v>7</v>
      </c>
      <c r="I25" s="7" t="s">
        <v>94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25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154</v>
      </c>
      <c r="AF25" s="8">
        <v>14500</v>
      </c>
      <c r="AG25" s="8">
        <v>900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2</v>
      </c>
      <c r="AR25" s="7">
        <v>200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8">
        <v>0</v>
      </c>
      <c r="AY25" s="7">
        <v>0</v>
      </c>
      <c r="AZ25" s="7">
        <v>0</v>
      </c>
      <c r="BA25" s="7">
        <v>0</v>
      </c>
      <c r="BB25" s="7">
        <v>0</v>
      </c>
      <c r="BC25" s="7">
        <v>228</v>
      </c>
      <c r="BD25" s="8">
        <v>27360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1641.6</v>
      </c>
      <c r="BM25" s="10">
        <v>42960</v>
      </c>
      <c r="BN25" s="15">
        <f t="shared" ref="BN25:BN30" si="4">BM25-BL25</f>
        <v>41318.400000000001</v>
      </c>
      <c r="BO25" s="16">
        <f t="shared" si="1"/>
        <v>28922.879999999997</v>
      </c>
    </row>
    <row r="26" spans="1:67" x14ac:dyDescent="0.3">
      <c r="A26" s="5" t="s">
        <v>178</v>
      </c>
      <c r="B26" s="5" t="s">
        <v>81</v>
      </c>
      <c r="C26" s="5">
        <v>326544</v>
      </c>
      <c r="D26" s="6"/>
      <c r="E26" s="5" t="s">
        <v>11</v>
      </c>
      <c r="F26" s="5" t="s">
        <v>82</v>
      </c>
      <c r="G26" s="5" t="s">
        <v>11</v>
      </c>
      <c r="H26" s="7" t="s">
        <v>7</v>
      </c>
      <c r="I26" s="7" t="s">
        <v>83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</v>
      </c>
      <c r="T26" s="7">
        <v>5</v>
      </c>
      <c r="U26" s="7">
        <v>100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161</v>
      </c>
      <c r="AF26" s="7">
        <v>840</v>
      </c>
      <c r="AG26" s="7">
        <v>15400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8">
        <v>0</v>
      </c>
      <c r="AP26" s="7">
        <v>0</v>
      </c>
      <c r="AQ26" s="7">
        <v>24</v>
      </c>
      <c r="AR26" s="7">
        <v>2400</v>
      </c>
      <c r="AS26" s="7">
        <v>0</v>
      </c>
      <c r="AT26" s="7">
        <v>0</v>
      </c>
      <c r="AU26" s="7">
        <v>0</v>
      </c>
      <c r="AV26" s="7">
        <v>0</v>
      </c>
      <c r="AW26" s="7">
        <v>23</v>
      </c>
      <c r="AX26" s="7">
        <v>2760</v>
      </c>
      <c r="AY26" s="7">
        <v>0</v>
      </c>
      <c r="AZ26" s="7">
        <v>0</v>
      </c>
      <c r="BA26" s="8">
        <v>0</v>
      </c>
      <c r="BB26" s="7">
        <v>0</v>
      </c>
      <c r="BC26" s="7">
        <v>174</v>
      </c>
      <c r="BD26" s="7">
        <v>20880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9">
        <v>1528.8</v>
      </c>
      <c r="BM26" s="10">
        <v>42380</v>
      </c>
      <c r="BN26" s="15">
        <f t="shared" si="4"/>
        <v>40851.199999999997</v>
      </c>
      <c r="BO26" s="16">
        <f t="shared" si="1"/>
        <v>28595.839999999997</v>
      </c>
    </row>
    <row r="27" spans="1:67" x14ac:dyDescent="0.3">
      <c r="A27" s="5" t="s">
        <v>178</v>
      </c>
      <c r="B27" s="5" t="s">
        <v>104</v>
      </c>
      <c r="C27" s="5">
        <v>174583</v>
      </c>
      <c r="D27" s="6"/>
      <c r="E27" s="5" t="s">
        <v>11</v>
      </c>
      <c r="F27" s="5" t="s">
        <v>13</v>
      </c>
      <c r="G27" s="5" t="s">
        <v>11</v>
      </c>
      <c r="H27" s="7" t="s">
        <v>7</v>
      </c>
      <c r="I27" s="7" t="s">
        <v>105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4</v>
      </c>
      <c r="AC27" s="7">
        <v>0</v>
      </c>
      <c r="AD27" s="7">
        <v>1900</v>
      </c>
      <c r="AE27" s="7">
        <v>0</v>
      </c>
      <c r="AF27" s="7">
        <v>0</v>
      </c>
      <c r="AG27" s="7">
        <v>0</v>
      </c>
      <c r="AH27" s="7">
        <v>0</v>
      </c>
      <c r="AI27" s="8">
        <v>0</v>
      </c>
      <c r="AJ27" s="7">
        <v>0</v>
      </c>
      <c r="AK27" s="7">
        <v>0</v>
      </c>
      <c r="AL27" s="7">
        <v>0</v>
      </c>
      <c r="AM27" s="7">
        <v>0</v>
      </c>
      <c r="AN27" s="7">
        <v>1</v>
      </c>
      <c r="AO27" s="7">
        <v>700</v>
      </c>
      <c r="AP27" s="7">
        <v>200</v>
      </c>
      <c r="AQ27" s="7">
        <v>0</v>
      </c>
      <c r="AR27" s="7">
        <v>0</v>
      </c>
      <c r="AS27" s="7">
        <v>0</v>
      </c>
      <c r="AT27" s="7">
        <v>14</v>
      </c>
      <c r="AU27" s="8">
        <v>13200</v>
      </c>
      <c r="AV27" s="7">
        <v>0</v>
      </c>
      <c r="AW27" s="7">
        <v>0</v>
      </c>
      <c r="AX27" s="7">
        <v>0</v>
      </c>
      <c r="AY27" s="7">
        <v>0</v>
      </c>
      <c r="AZ27" s="7">
        <v>15</v>
      </c>
      <c r="BA27" s="8">
        <v>15840</v>
      </c>
      <c r="BB27" s="8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9">
        <v>2270.4</v>
      </c>
      <c r="BM27" s="10">
        <v>31840</v>
      </c>
      <c r="BN27" s="15">
        <f t="shared" si="4"/>
        <v>29569.599999999999</v>
      </c>
      <c r="BO27" s="16">
        <f t="shared" si="1"/>
        <v>20698.719999999998</v>
      </c>
    </row>
    <row r="28" spans="1:67" ht="19.5" x14ac:dyDescent="0.3">
      <c r="A28" s="5" t="s">
        <v>178</v>
      </c>
      <c r="B28" s="5" t="s">
        <v>59</v>
      </c>
      <c r="C28" s="5">
        <v>406370</v>
      </c>
      <c r="D28" s="6"/>
      <c r="E28" s="5" t="s">
        <v>11</v>
      </c>
      <c r="F28" s="5" t="s">
        <v>36</v>
      </c>
      <c r="G28" s="5" t="s">
        <v>22</v>
      </c>
      <c r="H28" s="7" t="s">
        <v>8</v>
      </c>
      <c r="I28" s="7" t="s">
        <v>54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8">
        <v>0</v>
      </c>
      <c r="AD28" s="7">
        <v>0</v>
      </c>
      <c r="AE28" s="7">
        <v>0</v>
      </c>
      <c r="AF28" s="7">
        <v>0</v>
      </c>
      <c r="AG28" s="8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8">
        <v>0</v>
      </c>
      <c r="AV28" s="7">
        <v>0</v>
      </c>
      <c r="AW28" s="7">
        <v>0</v>
      </c>
      <c r="AX28" s="8">
        <v>0</v>
      </c>
      <c r="AY28" s="7">
        <v>0</v>
      </c>
      <c r="AZ28" s="7">
        <v>29</v>
      </c>
      <c r="BA28" s="8">
        <v>31320</v>
      </c>
      <c r="BB28" s="7">
        <v>0</v>
      </c>
      <c r="BC28" s="7">
        <v>0</v>
      </c>
      <c r="BD28" s="8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9">
        <v>1879.2</v>
      </c>
      <c r="BM28" s="10">
        <v>31320</v>
      </c>
      <c r="BN28" s="15">
        <f t="shared" si="4"/>
        <v>29440.799999999999</v>
      </c>
      <c r="BO28" s="16">
        <f t="shared" si="1"/>
        <v>20608.559999999998</v>
      </c>
    </row>
    <row r="29" spans="1:67" x14ac:dyDescent="0.3">
      <c r="A29" s="5" t="s">
        <v>178</v>
      </c>
      <c r="B29" s="5" t="s">
        <v>57</v>
      </c>
      <c r="C29" s="5">
        <v>258201</v>
      </c>
      <c r="D29" s="6"/>
      <c r="E29" s="5" t="s">
        <v>11</v>
      </c>
      <c r="F29" s="5" t="s">
        <v>41</v>
      </c>
      <c r="G29" s="5" t="s">
        <v>11</v>
      </c>
      <c r="H29" s="7" t="s">
        <v>7</v>
      </c>
      <c r="I29" s="7" t="s">
        <v>58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3</v>
      </c>
      <c r="AC29" s="7">
        <v>0</v>
      </c>
      <c r="AD29" s="7">
        <v>2200</v>
      </c>
      <c r="AE29" s="7">
        <v>0</v>
      </c>
      <c r="AF29" s="8">
        <v>0</v>
      </c>
      <c r="AG29" s="8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8">
        <v>0</v>
      </c>
      <c r="AS29" s="7">
        <v>0</v>
      </c>
      <c r="AT29" s="7">
        <v>7</v>
      </c>
      <c r="AU29" s="7">
        <v>7080</v>
      </c>
      <c r="AV29" s="7">
        <v>0</v>
      </c>
      <c r="AW29" s="7">
        <v>0</v>
      </c>
      <c r="AX29" s="7">
        <v>0</v>
      </c>
      <c r="AY29" s="7">
        <v>0</v>
      </c>
      <c r="AZ29" s="7">
        <v>20</v>
      </c>
      <c r="BA29" s="7">
        <v>21600</v>
      </c>
      <c r="BB29" s="7">
        <v>0</v>
      </c>
      <c r="BC29" s="7">
        <v>0</v>
      </c>
      <c r="BD29" s="8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9">
        <v>2004</v>
      </c>
      <c r="BM29" s="10">
        <v>30880</v>
      </c>
      <c r="BN29" s="15">
        <f t="shared" si="4"/>
        <v>28876</v>
      </c>
      <c r="BO29" s="16">
        <f t="shared" si="1"/>
        <v>20213.199999999997</v>
      </c>
    </row>
    <row r="30" spans="1:67" x14ac:dyDescent="0.3">
      <c r="A30" s="5" t="s">
        <v>178</v>
      </c>
      <c r="B30" s="5" t="s">
        <v>97</v>
      </c>
      <c r="C30" s="5">
        <v>229857</v>
      </c>
      <c r="D30" s="6"/>
      <c r="E30" s="5" t="s">
        <v>11</v>
      </c>
      <c r="F30" s="5" t="s">
        <v>12</v>
      </c>
      <c r="G30" s="5" t="s">
        <v>11</v>
      </c>
      <c r="H30" s="7" t="s">
        <v>10</v>
      </c>
      <c r="I30" s="7" t="s">
        <v>98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9</v>
      </c>
      <c r="AC30" s="8">
        <v>8100</v>
      </c>
      <c r="AD30" s="8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14</v>
      </c>
      <c r="AU30" s="8">
        <v>15120</v>
      </c>
      <c r="AV30" s="7">
        <v>0</v>
      </c>
      <c r="AW30" s="7">
        <v>0</v>
      </c>
      <c r="AX30" s="7">
        <v>0</v>
      </c>
      <c r="AY30" s="7">
        <v>0</v>
      </c>
      <c r="AZ30" s="7">
        <v>7</v>
      </c>
      <c r="BA30" s="8">
        <v>7560</v>
      </c>
      <c r="BB30" s="7">
        <v>0</v>
      </c>
      <c r="BC30" s="7">
        <v>0</v>
      </c>
      <c r="BD30" s="8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9">
        <v>1965.6</v>
      </c>
      <c r="BM30" s="10">
        <v>30780</v>
      </c>
      <c r="BN30" s="15">
        <f t="shared" si="4"/>
        <v>28814.400000000001</v>
      </c>
      <c r="BO30" s="16">
        <f t="shared" si="1"/>
        <v>20170.079999999998</v>
      </c>
    </row>
    <row r="31" spans="1:67" x14ac:dyDescent="0.3">
      <c r="A31" s="5" t="s">
        <v>178</v>
      </c>
      <c r="B31" s="5" t="s">
        <v>66</v>
      </c>
      <c r="C31" s="5">
        <v>169151</v>
      </c>
      <c r="D31" s="6"/>
      <c r="E31" s="5" t="s">
        <v>11</v>
      </c>
      <c r="F31" s="5" t="s">
        <v>13</v>
      </c>
      <c r="G31" s="5" t="s">
        <v>11</v>
      </c>
      <c r="H31" s="7" t="s">
        <v>7</v>
      </c>
      <c r="I31" s="7" t="s">
        <v>67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3</v>
      </c>
      <c r="AC31" s="8">
        <v>3000</v>
      </c>
      <c r="AD31" s="7">
        <v>0</v>
      </c>
      <c r="AE31" s="7">
        <v>8</v>
      </c>
      <c r="AF31" s="7">
        <v>25600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3</v>
      </c>
      <c r="AO31" s="8">
        <v>2000</v>
      </c>
      <c r="AP31" s="7">
        <v>0</v>
      </c>
      <c r="AQ31" s="7">
        <v>0</v>
      </c>
      <c r="AR31" s="8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8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9">
        <v>0</v>
      </c>
      <c r="BM31" s="10">
        <v>30600</v>
      </c>
      <c r="BN31" s="15">
        <f t="shared" si="2"/>
        <v>30600</v>
      </c>
      <c r="BO31" s="16">
        <f t="shared" si="1"/>
        <v>21420</v>
      </c>
    </row>
    <row r="32" spans="1:67" x14ac:dyDescent="0.3">
      <c r="A32" s="5" t="s">
        <v>178</v>
      </c>
      <c r="B32" s="5" t="s">
        <v>89</v>
      </c>
      <c r="C32" s="5">
        <v>192732</v>
      </c>
      <c r="D32" s="6"/>
      <c r="E32" s="5" t="s">
        <v>11</v>
      </c>
      <c r="F32" s="5" t="s">
        <v>36</v>
      </c>
      <c r="G32" s="5" t="s">
        <v>11</v>
      </c>
      <c r="H32" s="7" t="s">
        <v>7</v>
      </c>
      <c r="I32" s="7" t="s">
        <v>37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8">
        <v>900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4</v>
      </c>
      <c r="AU32" s="7">
        <v>4320</v>
      </c>
      <c r="AV32" s="7">
        <v>0</v>
      </c>
      <c r="AW32" s="7">
        <v>0</v>
      </c>
      <c r="AX32" s="7">
        <v>0</v>
      </c>
      <c r="AY32" s="7">
        <v>0</v>
      </c>
      <c r="AZ32" s="7">
        <v>15</v>
      </c>
      <c r="BA32" s="8">
        <v>16200</v>
      </c>
      <c r="BB32" s="7">
        <v>0</v>
      </c>
      <c r="BC32" s="7">
        <v>1</v>
      </c>
      <c r="BD32" s="7">
        <v>3840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1634.4</v>
      </c>
      <c r="BM32" s="10">
        <v>25260</v>
      </c>
      <c r="BN32" s="15">
        <f>BM32-BL32</f>
        <v>23625.599999999999</v>
      </c>
      <c r="BO32" s="16">
        <f t="shared" si="1"/>
        <v>16537.919999999998</v>
      </c>
    </row>
    <row r="33" spans="1:67" x14ac:dyDescent="0.3">
      <c r="A33" s="5" t="s">
        <v>178</v>
      </c>
      <c r="B33" s="5" t="s">
        <v>106</v>
      </c>
      <c r="C33" s="5">
        <v>227013</v>
      </c>
      <c r="D33" s="6"/>
      <c r="E33" s="5" t="s">
        <v>11</v>
      </c>
      <c r="F33" s="5" t="s">
        <v>13</v>
      </c>
      <c r="G33" s="5" t="s">
        <v>11</v>
      </c>
      <c r="H33" s="7" t="s">
        <v>7</v>
      </c>
      <c r="I33" s="7" t="s">
        <v>107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35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8">
        <v>0</v>
      </c>
      <c r="AD33" s="7">
        <v>0</v>
      </c>
      <c r="AE33" s="7">
        <v>5</v>
      </c>
      <c r="AF33" s="7">
        <v>100</v>
      </c>
      <c r="AG33" s="7">
        <v>400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8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172</v>
      </c>
      <c r="AX33" s="7">
        <v>20640</v>
      </c>
      <c r="AY33" s="7">
        <v>0</v>
      </c>
      <c r="AZ33" s="7">
        <v>0</v>
      </c>
      <c r="BA33" s="8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2064</v>
      </c>
      <c r="BM33" s="10">
        <v>21140</v>
      </c>
      <c r="BN33" s="15">
        <f>BM33-BL33</f>
        <v>19076</v>
      </c>
      <c r="BO33" s="16">
        <f t="shared" si="1"/>
        <v>13353.199999999999</v>
      </c>
    </row>
    <row r="34" spans="1:67" x14ac:dyDescent="0.3">
      <c r="A34" s="5" t="s">
        <v>178</v>
      </c>
      <c r="B34" s="5" t="s">
        <v>90</v>
      </c>
      <c r="C34" s="5">
        <v>395747</v>
      </c>
      <c r="D34" s="6"/>
      <c r="E34" s="5" t="s">
        <v>11</v>
      </c>
      <c r="F34" s="5" t="s">
        <v>12</v>
      </c>
      <c r="G34" s="5" t="s">
        <v>11</v>
      </c>
      <c r="H34" s="7" t="s">
        <v>7</v>
      </c>
      <c r="I34" s="7" t="s">
        <v>91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8">
        <v>0</v>
      </c>
      <c r="AD34" s="7">
        <v>0</v>
      </c>
      <c r="AE34" s="7">
        <v>52</v>
      </c>
      <c r="AF34" s="8">
        <v>720</v>
      </c>
      <c r="AG34" s="7">
        <v>4600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4</v>
      </c>
      <c r="AX34" s="7">
        <v>480</v>
      </c>
      <c r="AY34" s="7">
        <v>0</v>
      </c>
      <c r="AZ34" s="7">
        <v>0</v>
      </c>
      <c r="BA34" s="8">
        <v>0</v>
      </c>
      <c r="BB34" s="7">
        <v>0</v>
      </c>
      <c r="BC34" s="7">
        <v>120</v>
      </c>
      <c r="BD34" s="8">
        <v>14400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9">
        <v>912</v>
      </c>
      <c r="BM34" s="10">
        <v>20200</v>
      </c>
      <c r="BN34" s="15">
        <f>BM34-BL34</f>
        <v>19288</v>
      </c>
      <c r="BO34" s="16">
        <f t="shared" si="1"/>
        <v>13501.599999999999</v>
      </c>
    </row>
    <row r="35" spans="1:67" x14ac:dyDescent="0.3">
      <c r="A35" s="5" t="s">
        <v>178</v>
      </c>
      <c r="B35" s="5" t="s">
        <v>49</v>
      </c>
      <c r="C35" s="5">
        <v>183137</v>
      </c>
      <c r="D35" s="6"/>
      <c r="E35" s="5" t="s">
        <v>11</v>
      </c>
      <c r="F35" s="5" t="s">
        <v>13</v>
      </c>
      <c r="G35" s="5" t="s">
        <v>11</v>
      </c>
      <c r="H35" s="7" t="s">
        <v>7</v>
      </c>
      <c r="I35" s="7" t="s">
        <v>50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6</v>
      </c>
      <c r="AC35" s="7">
        <v>3760</v>
      </c>
      <c r="AD35" s="7">
        <v>500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8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15</v>
      </c>
      <c r="BA35" s="7">
        <v>15000</v>
      </c>
      <c r="BB35" s="7">
        <v>0</v>
      </c>
      <c r="BC35" s="7">
        <v>0</v>
      </c>
      <c r="BD35" s="8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9">
        <v>900</v>
      </c>
      <c r="BM35" s="10">
        <v>19260</v>
      </c>
      <c r="BN35" s="15">
        <f>BM35-BL35</f>
        <v>18360</v>
      </c>
      <c r="BO35" s="16">
        <f t="shared" si="1"/>
        <v>12852</v>
      </c>
    </row>
    <row r="36" spans="1:67" x14ac:dyDescent="0.3">
      <c r="A36" s="5" t="s">
        <v>178</v>
      </c>
      <c r="B36" s="5" t="s">
        <v>38</v>
      </c>
      <c r="C36" s="5">
        <v>268655</v>
      </c>
      <c r="D36" s="6"/>
      <c r="E36" s="5" t="s">
        <v>11</v>
      </c>
      <c r="F36" s="5" t="s">
        <v>16</v>
      </c>
      <c r="G36" s="5" t="s">
        <v>11</v>
      </c>
      <c r="H36" s="7" t="s">
        <v>7</v>
      </c>
      <c r="I36" s="7" t="s">
        <v>39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7</v>
      </c>
      <c r="AC36" s="7">
        <v>6000</v>
      </c>
      <c r="AD36" s="7">
        <v>300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8">
        <v>0</v>
      </c>
      <c r="AP36" s="7">
        <v>0</v>
      </c>
      <c r="AQ36" s="7">
        <v>0</v>
      </c>
      <c r="AR36" s="8">
        <v>0</v>
      </c>
      <c r="AS36" s="7">
        <v>0</v>
      </c>
      <c r="AT36" s="7">
        <v>7</v>
      </c>
      <c r="AU36" s="7">
        <v>7080</v>
      </c>
      <c r="AV36" s="7">
        <v>0</v>
      </c>
      <c r="AW36" s="7">
        <v>0</v>
      </c>
      <c r="AX36" s="7">
        <v>0</v>
      </c>
      <c r="AY36" s="7">
        <v>0</v>
      </c>
      <c r="AZ36" s="7">
        <v>5</v>
      </c>
      <c r="BA36" s="8">
        <v>4800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996</v>
      </c>
      <c r="BM36" s="10">
        <v>18180</v>
      </c>
      <c r="BN36" s="15">
        <f>BM36-BL36</f>
        <v>17184</v>
      </c>
      <c r="BO36" s="16">
        <f t="shared" si="1"/>
        <v>12028.8</v>
      </c>
    </row>
    <row r="37" spans="1:67" x14ac:dyDescent="0.3">
      <c r="A37" s="5" t="s">
        <v>178</v>
      </c>
      <c r="B37" s="5" t="s">
        <v>72</v>
      </c>
      <c r="C37" s="5">
        <v>239858</v>
      </c>
      <c r="D37" s="6"/>
      <c r="E37" s="5" t="s">
        <v>11</v>
      </c>
      <c r="F37" s="5" t="s">
        <v>12</v>
      </c>
      <c r="G37" s="5" t="s">
        <v>11</v>
      </c>
      <c r="H37" s="7" t="s">
        <v>7</v>
      </c>
      <c r="I37" s="7" t="s">
        <v>73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8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8">
        <v>0</v>
      </c>
      <c r="AV37" s="7">
        <v>0</v>
      </c>
      <c r="AW37" s="7">
        <v>0</v>
      </c>
      <c r="AX37" s="7">
        <v>0</v>
      </c>
      <c r="AY37" s="7">
        <v>0</v>
      </c>
      <c r="AZ37" s="7">
        <v>16</v>
      </c>
      <c r="BA37" s="8">
        <v>17280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9">
        <v>1036.8</v>
      </c>
      <c r="BM37" s="10">
        <v>17280</v>
      </c>
      <c r="BN37" s="15">
        <f t="shared" si="2"/>
        <v>16243.2</v>
      </c>
      <c r="BO37" s="16">
        <f t="shared" si="1"/>
        <v>11370.24</v>
      </c>
    </row>
    <row r="38" spans="1:67" x14ac:dyDescent="0.3">
      <c r="A38" s="5" t="s">
        <v>178</v>
      </c>
      <c r="B38" s="5" t="s">
        <v>175</v>
      </c>
      <c r="C38" s="5">
        <v>339554</v>
      </c>
      <c r="D38" s="6"/>
      <c r="E38" s="5" t="s">
        <v>11</v>
      </c>
      <c r="F38" s="5" t="s">
        <v>41</v>
      </c>
      <c r="G38" s="5" t="s">
        <v>11</v>
      </c>
      <c r="H38" s="7" t="s">
        <v>7</v>
      </c>
      <c r="I38" s="7" t="s">
        <v>176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5</v>
      </c>
      <c r="AF38" s="7">
        <v>9600</v>
      </c>
      <c r="AG38" s="7">
        <v>6400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8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8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0</v>
      </c>
      <c r="BM38" s="10">
        <v>16000</v>
      </c>
      <c r="BN38" s="15">
        <f t="shared" ref="BN38:BN43" si="5">BM38-BL38</f>
        <v>16000</v>
      </c>
      <c r="BO38" s="16">
        <f t="shared" si="1"/>
        <v>11200</v>
      </c>
    </row>
    <row r="39" spans="1:67" x14ac:dyDescent="0.3">
      <c r="A39" s="5" t="s">
        <v>178</v>
      </c>
      <c r="B39" s="5" t="s">
        <v>102</v>
      </c>
      <c r="C39" s="5">
        <v>194565</v>
      </c>
      <c r="D39" s="6"/>
      <c r="E39" s="5" t="s">
        <v>11</v>
      </c>
      <c r="F39" s="5" t="s">
        <v>16</v>
      </c>
      <c r="G39" s="5" t="s">
        <v>11</v>
      </c>
      <c r="H39" s="7" t="s">
        <v>7</v>
      </c>
      <c r="I39" s="7" t="s">
        <v>103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14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12</v>
      </c>
      <c r="AF39" s="8">
        <v>0</v>
      </c>
      <c r="AG39" s="7">
        <v>1200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120</v>
      </c>
      <c r="BD39" s="7">
        <v>14400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864</v>
      </c>
      <c r="BM39" s="10">
        <v>15600</v>
      </c>
      <c r="BN39" s="15">
        <f t="shared" si="5"/>
        <v>14736</v>
      </c>
      <c r="BO39" s="16">
        <f t="shared" si="1"/>
        <v>10315.199999999999</v>
      </c>
    </row>
    <row r="40" spans="1:67" x14ac:dyDescent="0.3">
      <c r="A40" s="5" t="s">
        <v>178</v>
      </c>
      <c r="B40" s="5" t="s">
        <v>189</v>
      </c>
      <c r="C40" s="5">
        <v>210381</v>
      </c>
      <c r="D40" s="6"/>
      <c r="E40" s="5" t="s">
        <v>11</v>
      </c>
      <c r="F40" s="5" t="s">
        <v>36</v>
      </c>
      <c r="G40" s="5" t="s">
        <v>11</v>
      </c>
      <c r="H40" s="7" t="s">
        <v>7</v>
      </c>
      <c r="I40" s="7" t="s">
        <v>190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10</v>
      </c>
      <c r="AF40" s="7">
        <v>200</v>
      </c>
      <c r="AG40" s="7">
        <v>800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121</v>
      </c>
      <c r="AX40" s="7">
        <v>14520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8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9">
        <v>1452</v>
      </c>
      <c r="BM40" s="10">
        <v>15520</v>
      </c>
      <c r="BN40" s="15">
        <f t="shared" si="5"/>
        <v>14068</v>
      </c>
      <c r="BO40" s="16">
        <f t="shared" si="1"/>
        <v>9847.5999999999985</v>
      </c>
    </row>
    <row r="41" spans="1:67" ht="19.5" x14ac:dyDescent="0.3">
      <c r="A41" s="5" t="s">
        <v>178</v>
      </c>
      <c r="B41" s="5" t="s">
        <v>116</v>
      </c>
      <c r="C41" s="5">
        <v>409391</v>
      </c>
      <c r="D41" s="6"/>
      <c r="E41" s="5" t="s">
        <v>11</v>
      </c>
      <c r="F41" s="5" t="s">
        <v>36</v>
      </c>
      <c r="G41" s="5" t="s">
        <v>22</v>
      </c>
      <c r="H41" s="7" t="s">
        <v>7</v>
      </c>
      <c r="I41" s="7" t="s">
        <v>23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10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10</v>
      </c>
      <c r="AF41" s="8">
        <v>0</v>
      </c>
      <c r="AG41" s="7">
        <v>1000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8">
        <v>0</v>
      </c>
      <c r="AY41" s="7">
        <v>0</v>
      </c>
      <c r="AZ41" s="7">
        <v>0</v>
      </c>
      <c r="BA41" s="7">
        <v>0</v>
      </c>
      <c r="BB41" s="7">
        <v>0</v>
      </c>
      <c r="BC41" s="7">
        <v>98</v>
      </c>
      <c r="BD41" s="8">
        <v>11760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9">
        <v>705.6</v>
      </c>
      <c r="BM41" s="10">
        <v>12760</v>
      </c>
      <c r="BN41" s="15">
        <f t="shared" si="5"/>
        <v>12054.4</v>
      </c>
      <c r="BO41" s="16">
        <f t="shared" si="1"/>
        <v>8438.08</v>
      </c>
    </row>
    <row r="42" spans="1:67" x14ac:dyDescent="0.3">
      <c r="A42" s="5" t="s">
        <v>178</v>
      </c>
      <c r="B42" s="5" t="s">
        <v>109</v>
      </c>
      <c r="C42" s="5">
        <v>406732</v>
      </c>
      <c r="D42" s="6"/>
      <c r="E42" s="5" t="s">
        <v>11</v>
      </c>
      <c r="F42" s="5" t="s">
        <v>12</v>
      </c>
      <c r="G42" s="5" t="s">
        <v>11</v>
      </c>
      <c r="H42" s="7" t="s">
        <v>7</v>
      </c>
      <c r="I42" s="7" t="s">
        <v>110</v>
      </c>
      <c r="J42" s="7">
        <v>1</v>
      </c>
      <c r="K42" s="7">
        <v>0</v>
      </c>
      <c r="L42" s="7">
        <v>100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8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1</v>
      </c>
      <c r="AR42" s="7">
        <v>100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93</v>
      </c>
      <c r="BD42" s="8">
        <v>11160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669.6</v>
      </c>
      <c r="BM42" s="10">
        <v>11360</v>
      </c>
      <c r="BN42" s="15">
        <f t="shared" si="5"/>
        <v>10690.4</v>
      </c>
      <c r="BO42" s="16">
        <f t="shared" si="1"/>
        <v>7483.2799999999988</v>
      </c>
    </row>
    <row r="43" spans="1:67" x14ac:dyDescent="0.3">
      <c r="A43" s="5" t="s">
        <v>178</v>
      </c>
      <c r="B43" s="5" t="s">
        <v>111</v>
      </c>
      <c r="C43" s="5">
        <v>404358</v>
      </c>
      <c r="D43" s="6"/>
      <c r="E43" s="5" t="s">
        <v>11</v>
      </c>
      <c r="F43" s="5" t="s">
        <v>112</v>
      </c>
      <c r="G43" s="5" t="s">
        <v>11</v>
      </c>
      <c r="H43" s="7" t="s">
        <v>7</v>
      </c>
      <c r="I43" s="7" t="s">
        <v>113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8">
        <v>0</v>
      </c>
      <c r="AD43" s="7">
        <v>0</v>
      </c>
      <c r="AE43" s="7">
        <v>6</v>
      </c>
      <c r="AF43" s="7">
        <v>0</v>
      </c>
      <c r="AG43" s="7">
        <v>600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8">
        <v>0</v>
      </c>
      <c r="AP43" s="7">
        <v>0</v>
      </c>
      <c r="AQ43" s="7">
        <v>53</v>
      </c>
      <c r="AR43" s="7">
        <v>5300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44</v>
      </c>
      <c r="BD43" s="7">
        <v>5280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316.8</v>
      </c>
      <c r="BM43" s="10">
        <v>11180</v>
      </c>
      <c r="BN43" s="15">
        <f t="shared" si="5"/>
        <v>10863.2</v>
      </c>
      <c r="BO43" s="16">
        <f t="shared" si="1"/>
        <v>7604.24</v>
      </c>
    </row>
    <row r="44" spans="1:67" x14ac:dyDescent="0.3">
      <c r="A44" s="5" t="s">
        <v>178</v>
      </c>
      <c r="B44" s="5" t="s">
        <v>69</v>
      </c>
      <c r="C44" s="5">
        <v>189476</v>
      </c>
      <c r="D44" s="6"/>
      <c r="E44" s="5" t="s">
        <v>11</v>
      </c>
      <c r="F44" s="5" t="s">
        <v>36</v>
      </c>
      <c r="G44" s="5" t="s">
        <v>11</v>
      </c>
      <c r="H44" s="7" t="s">
        <v>7</v>
      </c>
      <c r="I44" s="7" t="s">
        <v>70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4</v>
      </c>
      <c r="AC44" s="8">
        <v>2160</v>
      </c>
      <c r="AD44" s="7">
        <v>400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8">
        <v>0</v>
      </c>
      <c r="AP44" s="7">
        <v>0</v>
      </c>
      <c r="AQ44" s="7">
        <v>0</v>
      </c>
      <c r="AR44" s="7">
        <v>0</v>
      </c>
      <c r="AS44" s="7">
        <v>0</v>
      </c>
      <c r="AT44" s="7">
        <v>4</v>
      </c>
      <c r="AU44" s="7">
        <v>4080</v>
      </c>
      <c r="AV44" s="7">
        <v>0</v>
      </c>
      <c r="AW44" s="7">
        <v>0</v>
      </c>
      <c r="AX44" s="7">
        <v>0</v>
      </c>
      <c r="AY44" s="7">
        <v>0</v>
      </c>
      <c r="AZ44" s="7">
        <v>3</v>
      </c>
      <c r="BA44" s="8">
        <v>3000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588</v>
      </c>
      <c r="BM44" s="10">
        <v>9640</v>
      </c>
      <c r="BN44" s="15">
        <f t="shared" si="2"/>
        <v>9052</v>
      </c>
      <c r="BO44" s="16">
        <f t="shared" si="1"/>
        <v>6336.4</v>
      </c>
    </row>
    <row r="45" spans="1:67" x14ac:dyDescent="0.3">
      <c r="A45" s="5" t="s">
        <v>178</v>
      </c>
      <c r="B45" s="5" t="s">
        <v>64</v>
      </c>
      <c r="C45" s="5">
        <v>238494</v>
      </c>
      <c r="D45" s="6"/>
      <c r="E45" s="5" t="s">
        <v>11</v>
      </c>
      <c r="F45" s="5" t="s">
        <v>36</v>
      </c>
      <c r="G45" s="5" t="s">
        <v>11</v>
      </c>
      <c r="H45" s="7" t="s">
        <v>7</v>
      </c>
      <c r="I45" s="7" t="s">
        <v>65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8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8</v>
      </c>
      <c r="AU45" s="8">
        <v>8640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8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864</v>
      </c>
      <c r="BM45" s="10">
        <v>8640</v>
      </c>
      <c r="BN45" s="15">
        <f t="shared" ref="BN45:BN54" si="6">BM45-BL45</f>
        <v>7776</v>
      </c>
      <c r="BO45" s="16">
        <f t="shared" si="1"/>
        <v>5443.2</v>
      </c>
    </row>
    <row r="46" spans="1:67" x14ac:dyDescent="0.3">
      <c r="A46" s="5" t="s">
        <v>178</v>
      </c>
      <c r="B46" s="5" t="s">
        <v>108</v>
      </c>
      <c r="C46" s="5">
        <v>285990</v>
      </c>
      <c r="D46" s="6"/>
      <c r="E46" s="5" t="s">
        <v>11</v>
      </c>
      <c r="F46" s="5" t="s">
        <v>12</v>
      </c>
      <c r="G46" s="5" t="s">
        <v>11</v>
      </c>
      <c r="H46" s="7" t="s">
        <v>7</v>
      </c>
      <c r="I46" s="7" t="s">
        <v>48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8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8</v>
      </c>
      <c r="BA46" s="7">
        <v>8640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518.4</v>
      </c>
      <c r="BM46" s="10">
        <v>8640</v>
      </c>
      <c r="BN46" s="15">
        <f t="shared" si="6"/>
        <v>8121.6</v>
      </c>
      <c r="BO46" s="16">
        <f t="shared" si="1"/>
        <v>5685.12</v>
      </c>
    </row>
    <row r="47" spans="1:67" x14ac:dyDescent="0.3">
      <c r="A47" s="5" t="s">
        <v>178</v>
      </c>
      <c r="B47" s="5" t="s">
        <v>99</v>
      </c>
      <c r="C47" s="5">
        <v>388417</v>
      </c>
      <c r="D47" s="6"/>
      <c r="E47" s="5" t="s">
        <v>11</v>
      </c>
      <c r="F47" s="5" t="s">
        <v>100</v>
      </c>
      <c r="G47" s="5" t="s">
        <v>11</v>
      </c>
      <c r="H47" s="7" t="s">
        <v>7</v>
      </c>
      <c r="I47" s="7" t="s">
        <v>101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8">
        <v>0</v>
      </c>
      <c r="AD47" s="7">
        <v>0</v>
      </c>
      <c r="AE47" s="7">
        <v>67</v>
      </c>
      <c r="AF47" s="7">
        <v>7200</v>
      </c>
      <c r="AG47" s="7">
        <v>500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8">
        <v>0</v>
      </c>
      <c r="BB47" s="7">
        <v>0</v>
      </c>
      <c r="BC47" s="7">
        <v>4</v>
      </c>
      <c r="BD47" s="7">
        <v>480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28.8</v>
      </c>
      <c r="BM47" s="10">
        <v>8180</v>
      </c>
      <c r="BN47" s="15">
        <f t="shared" si="6"/>
        <v>8151.2</v>
      </c>
      <c r="BO47" s="16">
        <f t="shared" si="1"/>
        <v>5705.8399999999992</v>
      </c>
    </row>
    <row r="48" spans="1:67" x14ac:dyDescent="0.3">
      <c r="A48" s="5" t="s">
        <v>178</v>
      </c>
      <c r="B48" s="5" t="s">
        <v>40</v>
      </c>
      <c r="C48" s="5">
        <v>215737</v>
      </c>
      <c r="D48" s="6"/>
      <c r="E48" s="5" t="s">
        <v>11</v>
      </c>
      <c r="F48" s="5" t="s">
        <v>41</v>
      </c>
      <c r="G48" s="5" t="s">
        <v>11</v>
      </c>
      <c r="H48" s="7" t="s">
        <v>7</v>
      </c>
      <c r="I48" s="7" t="s">
        <v>42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21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65</v>
      </c>
      <c r="AF48" s="7">
        <v>4180</v>
      </c>
      <c r="AG48" s="7">
        <v>3000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8">
        <v>0</v>
      </c>
      <c r="AY48" s="7">
        <v>0</v>
      </c>
      <c r="AZ48" s="7">
        <v>0</v>
      </c>
      <c r="BA48" s="7">
        <v>0</v>
      </c>
      <c r="BB48" s="7">
        <v>0</v>
      </c>
      <c r="BC48" s="7">
        <v>2</v>
      </c>
      <c r="BD48" s="8">
        <v>240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14.4</v>
      </c>
      <c r="BM48" s="10">
        <v>7420</v>
      </c>
      <c r="BN48" s="15">
        <f t="shared" si="6"/>
        <v>7405.6</v>
      </c>
      <c r="BO48" s="16">
        <f t="shared" si="1"/>
        <v>5183.92</v>
      </c>
    </row>
    <row r="49" spans="1:67" x14ac:dyDescent="0.3">
      <c r="A49" s="5" t="s">
        <v>178</v>
      </c>
      <c r="B49" s="5" t="s">
        <v>183</v>
      </c>
      <c r="C49" s="5">
        <v>249762</v>
      </c>
      <c r="D49" s="6"/>
      <c r="E49" s="5" t="s">
        <v>11</v>
      </c>
      <c r="F49" s="5" t="s">
        <v>12</v>
      </c>
      <c r="G49" s="5" t="s">
        <v>11</v>
      </c>
      <c r="H49" s="7" t="s">
        <v>7</v>
      </c>
      <c r="I49" s="7" t="s">
        <v>184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7">
        <v>0</v>
      </c>
      <c r="AG49" s="7">
        <v>200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8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47</v>
      </c>
      <c r="BD49" s="7">
        <v>5640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338.4</v>
      </c>
      <c r="BM49" s="10">
        <v>5840</v>
      </c>
      <c r="BN49" s="15">
        <f t="shared" si="6"/>
        <v>5501.6</v>
      </c>
      <c r="BO49" s="16">
        <f t="shared" si="1"/>
        <v>3851.12</v>
      </c>
    </row>
    <row r="50" spans="1:67" x14ac:dyDescent="0.3">
      <c r="A50" s="5" t="s">
        <v>178</v>
      </c>
      <c r="B50" s="5" t="s">
        <v>87</v>
      </c>
      <c r="C50" s="5">
        <v>99966</v>
      </c>
      <c r="D50" s="6"/>
      <c r="E50" s="5" t="s">
        <v>11</v>
      </c>
      <c r="F50" s="5" t="s">
        <v>16</v>
      </c>
      <c r="G50" s="5" t="s">
        <v>11</v>
      </c>
      <c r="H50" s="7" t="s">
        <v>10</v>
      </c>
      <c r="I50" s="7" t="s">
        <v>88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40</v>
      </c>
      <c r="AF50" s="7">
        <v>0</v>
      </c>
      <c r="AG50" s="8">
        <v>4000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4000</v>
      </c>
      <c r="BN50" s="15">
        <f t="shared" si="6"/>
        <v>4000</v>
      </c>
      <c r="BO50" s="16">
        <f t="shared" si="1"/>
        <v>2800</v>
      </c>
    </row>
    <row r="51" spans="1:67" x14ac:dyDescent="0.3">
      <c r="A51" s="5" t="s">
        <v>178</v>
      </c>
      <c r="B51" s="5" t="s">
        <v>53</v>
      </c>
      <c r="C51" s="5">
        <v>192728</v>
      </c>
      <c r="D51" s="6"/>
      <c r="E51" s="5" t="s">
        <v>11</v>
      </c>
      <c r="F51" s="5" t="s">
        <v>36</v>
      </c>
      <c r="G51" s="5" t="s">
        <v>11</v>
      </c>
      <c r="H51" s="7" t="s">
        <v>7</v>
      </c>
      <c r="I51" s="7" t="s">
        <v>37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8">
        <v>700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8">
        <v>0</v>
      </c>
      <c r="AV51" s="7">
        <v>0</v>
      </c>
      <c r="AW51" s="7">
        <v>0</v>
      </c>
      <c r="AX51" s="7">
        <v>0</v>
      </c>
      <c r="AY51" s="7">
        <v>0</v>
      </c>
      <c r="AZ51" s="7">
        <v>3</v>
      </c>
      <c r="BA51" s="7">
        <v>2400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144</v>
      </c>
      <c r="BM51" s="10">
        <v>3100</v>
      </c>
      <c r="BN51" s="15">
        <f t="shared" si="6"/>
        <v>2956</v>
      </c>
      <c r="BO51" s="16">
        <f t="shared" si="1"/>
        <v>2069.1999999999998</v>
      </c>
    </row>
    <row r="52" spans="1:67" x14ac:dyDescent="0.3">
      <c r="A52" s="5" t="s">
        <v>178</v>
      </c>
      <c r="B52" s="5" t="s">
        <v>114</v>
      </c>
      <c r="C52" s="5">
        <v>332843</v>
      </c>
      <c r="D52" s="6"/>
      <c r="E52" s="5" t="s">
        <v>11</v>
      </c>
      <c r="F52" s="5" t="s">
        <v>12</v>
      </c>
      <c r="G52" s="5" t="s">
        <v>11</v>
      </c>
      <c r="H52" s="7" t="s">
        <v>7</v>
      </c>
      <c r="I52" s="7" t="s">
        <v>115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8">
        <v>0</v>
      </c>
      <c r="BB52" s="7">
        <v>0</v>
      </c>
      <c r="BC52" s="7">
        <v>25</v>
      </c>
      <c r="BD52" s="7">
        <v>3000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180</v>
      </c>
      <c r="BM52" s="10">
        <v>3000</v>
      </c>
      <c r="BN52" s="15">
        <f t="shared" si="6"/>
        <v>2820</v>
      </c>
      <c r="BO52" s="16">
        <f t="shared" si="1"/>
        <v>1973.9999999999998</v>
      </c>
    </row>
    <row r="53" spans="1:67" x14ac:dyDescent="0.3">
      <c r="A53" s="5" t="s">
        <v>178</v>
      </c>
      <c r="B53" s="5" t="s">
        <v>95</v>
      </c>
      <c r="C53" s="5">
        <v>308470</v>
      </c>
      <c r="D53" s="6"/>
      <c r="E53" s="5" t="s">
        <v>11</v>
      </c>
      <c r="F53" s="5" t="s">
        <v>36</v>
      </c>
      <c r="G53" s="5" t="s">
        <v>11</v>
      </c>
      <c r="H53" s="7" t="s">
        <v>7</v>
      </c>
      <c r="I53" s="7" t="s">
        <v>96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3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8">
        <v>0</v>
      </c>
      <c r="AD53" s="8">
        <v>0</v>
      </c>
      <c r="AE53" s="7">
        <v>6</v>
      </c>
      <c r="AF53" s="7">
        <v>120</v>
      </c>
      <c r="AG53" s="7">
        <v>500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22</v>
      </c>
      <c r="AR53" s="7">
        <v>2200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2820</v>
      </c>
      <c r="BN53" s="15">
        <f t="shared" si="6"/>
        <v>2820</v>
      </c>
      <c r="BO53" s="16">
        <f t="shared" si="1"/>
        <v>1973.9999999999998</v>
      </c>
    </row>
    <row r="54" spans="1:67" x14ac:dyDescent="0.3">
      <c r="A54" s="5" t="s">
        <v>178</v>
      </c>
      <c r="B54" s="5" t="s">
        <v>119</v>
      </c>
      <c r="C54" s="5">
        <v>229599</v>
      </c>
      <c r="D54" s="6"/>
      <c r="E54" s="5" t="s">
        <v>11</v>
      </c>
      <c r="F54" s="5" t="s">
        <v>12</v>
      </c>
      <c r="G54" s="5" t="s">
        <v>11</v>
      </c>
      <c r="H54" s="7" t="s">
        <v>7</v>
      </c>
      <c r="I54" s="7" t="s">
        <v>120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8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1</v>
      </c>
      <c r="BA54" s="7">
        <v>1080</v>
      </c>
      <c r="BB54" s="7">
        <v>0</v>
      </c>
      <c r="BC54" s="7">
        <v>0</v>
      </c>
      <c r="BD54" s="8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64.8</v>
      </c>
      <c r="BM54" s="10">
        <v>1080</v>
      </c>
      <c r="BN54" s="15">
        <f t="shared" si="6"/>
        <v>1015.2</v>
      </c>
      <c r="BO54" s="16">
        <f t="shared" si="1"/>
        <v>710.64</v>
      </c>
    </row>
    <row r="55" spans="1:67" x14ac:dyDescent="0.3">
      <c r="A55" s="5" t="s">
        <v>178</v>
      </c>
      <c r="B55" s="5" t="s">
        <v>185</v>
      </c>
      <c r="C55" s="5">
        <v>272304</v>
      </c>
      <c r="D55" s="6"/>
      <c r="E55" s="5" t="s">
        <v>11</v>
      </c>
      <c r="F55" s="5" t="s">
        <v>12</v>
      </c>
      <c r="G55" s="5" t="s">
        <v>11</v>
      </c>
      <c r="H55" s="7" t="s">
        <v>7</v>
      </c>
      <c r="I55" s="7" t="s">
        <v>186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8">
        <v>0</v>
      </c>
      <c r="AY55" s="7">
        <v>0</v>
      </c>
      <c r="AZ55" s="7">
        <v>1</v>
      </c>
      <c r="BA55" s="7">
        <v>1080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64.8</v>
      </c>
      <c r="BM55" s="10">
        <v>1080</v>
      </c>
      <c r="BN55" s="15">
        <f t="shared" si="2"/>
        <v>1015.2</v>
      </c>
      <c r="BO55" s="16">
        <f t="shared" si="1"/>
        <v>710.64</v>
      </c>
    </row>
    <row r="56" spans="1:67" ht="19.5" x14ac:dyDescent="0.3">
      <c r="A56" s="5" t="s">
        <v>178</v>
      </c>
      <c r="B56" s="5" t="s">
        <v>191</v>
      </c>
      <c r="C56" s="5">
        <v>408463</v>
      </c>
      <c r="D56" s="6"/>
      <c r="E56" s="5" t="s">
        <v>11</v>
      </c>
      <c r="F56" s="5" t="s">
        <v>192</v>
      </c>
      <c r="G56" s="5" t="s">
        <v>22</v>
      </c>
      <c r="H56" s="7" t="s">
        <v>7</v>
      </c>
      <c r="I56" s="7" t="s">
        <v>117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6</v>
      </c>
      <c r="AR56" s="7">
        <v>600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8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600</v>
      </c>
      <c r="BN56" s="15">
        <f>BM56-BL56</f>
        <v>600</v>
      </c>
      <c r="BO56" s="16">
        <f t="shared" si="1"/>
        <v>420</v>
      </c>
    </row>
    <row r="57" spans="1:67" ht="19.5" x14ac:dyDescent="0.3">
      <c r="A57" s="5" t="s">
        <v>178</v>
      </c>
      <c r="B57" s="5" t="s">
        <v>118</v>
      </c>
      <c r="C57" s="5">
        <v>409409</v>
      </c>
      <c r="D57" s="6"/>
      <c r="E57" s="5" t="s">
        <v>11</v>
      </c>
      <c r="F57" s="5" t="s">
        <v>36</v>
      </c>
      <c r="G57" s="5" t="s">
        <v>22</v>
      </c>
      <c r="H57" s="7" t="s">
        <v>7</v>
      </c>
      <c r="I57" s="7" t="s">
        <v>23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5</v>
      </c>
      <c r="AF57" s="7">
        <v>0</v>
      </c>
      <c r="AG57" s="7">
        <v>500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8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500</v>
      </c>
      <c r="BN57" s="15">
        <f>BM57-BL57</f>
        <v>500</v>
      </c>
      <c r="BO57" s="16">
        <f t="shared" si="1"/>
        <v>350</v>
      </c>
    </row>
    <row r="58" spans="1:67" ht="19.5" x14ac:dyDescent="0.3">
      <c r="A58" s="5" t="s">
        <v>178</v>
      </c>
      <c r="B58" s="5" t="s">
        <v>62</v>
      </c>
      <c r="C58" s="5">
        <v>408317</v>
      </c>
      <c r="D58" s="6"/>
      <c r="E58" s="5" t="s">
        <v>11</v>
      </c>
      <c r="F58" s="5" t="s">
        <v>36</v>
      </c>
      <c r="G58" s="5" t="s">
        <v>22</v>
      </c>
      <c r="H58" s="7" t="s">
        <v>8</v>
      </c>
      <c r="I58" s="7" t="s">
        <v>44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4</v>
      </c>
      <c r="AF58" s="8">
        <v>0</v>
      </c>
      <c r="AG58" s="7">
        <v>400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400</v>
      </c>
      <c r="BN58" s="15">
        <f>BM58-BL58</f>
        <v>400</v>
      </c>
      <c r="BO58" s="16">
        <f t="shared" si="1"/>
        <v>280</v>
      </c>
    </row>
    <row r="59" spans="1:67" ht="19.5" x14ac:dyDescent="0.3">
      <c r="A59" s="5" t="s">
        <v>178</v>
      </c>
      <c r="B59" s="5" t="s">
        <v>193</v>
      </c>
      <c r="C59" s="5">
        <v>408616</v>
      </c>
      <c r="D59" s="6"/>
      <c r="E59" s="5" t="s">
        <v>11</v>
      </c>
      <c r="F59" s="5" t="s">
        <v>12</v>
      </c>
      <c r="G59" s="5" t="s">
        <v>22</v>
      </c>
      <c r="H59" s="7" t="s">
        <v>7</v>
      </c>
      <c r="I59" s="7" t="s">
        <v>117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8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1</v>
      </c>
      <c r="BD59" s="7">
        <v>120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7.2</v>
      </c>
      <c r="BM59" s="10">
        <v>120</v>
      </c>
      <c r="BN59" s="15">
        <f>BM59-BL59</f>
        <v>112.8</v>
      </c>
      <c r="BO59" s="16">
        <f t="shared" si="1"/>
        <v>78.959999999999994</v>
      </c>
    </row>
    <row r="60" spans="1:67" ht="19.5" x14ac:dyDescent="0.3">
      <c r="A60" s="5" t="s">
        <v>179</v>
      </c>
      <c r="B60" s="5" t="s">
        <v>14</v>
      </c>
      <c r="C60" s="5">
        <v>355332</v>
      </c>
      <c r="D60" s="6"/>
      <c r="E60" s="5" t="s">
        <v>11</v>
      </c>
      <c r="F60" s="5" t="s">
        <v>13</v>
      </c>
      <c r="G60" s="5" t="s">
        <v>11</v>
      </c>
      <c r="H60" s="7" t="s">
        <v>8</v>
      </c>
      <c r="I60" s="7" t="s">
        <v>63</v>
      </c>
      <c r="J60" s="7">
        <v>5</v>
      </c>
      <c r="K60" s="7">
        <v>15</v>
      </c>
      <c r="L60" s="7">
        <v>500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74</v>
      </c>
      <c r="U60" s="7">
        <v>0</v>
      </c>
      <c r="V60" s="8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8">
        <v>1114</v>
      </c>
      <c r="AF60" s="8">
        <v>88400</v>
      </c>
      <c r="AG60" s="8">
        <v>35400</v>
      </c>
      <c r="AH60" s="7">
        <v>0</v>
      </c>
      <c r="AI60" s="7">
        <v>0</v>
      </c>
      <c r="AJ60" s="7">
        <v>0</v>
      </c>
      <c r="AK60" s="7">
        <v>4</v>
      </c>
      <c r="AL60" s="7">
        <v>0</v>
      </c>
      <c r="AM60" s="7">
        <v>400</v>
      </c>
      <c r="AN60" s="7">
        <v>0</v>
      </c>
      <c r="AO60" s="7">
        <v>0</v>
      </c>
      <c r="AP60" s="7">
        <v>0</v>
      </c>
      <c r="AQ60" s="7">
        <v>178</v>
      </c>
      <c r="AR60" s="8">
        <v>17800</v>
      </c>
      <c r="AS60" s="7">
        <v>0</v>
      </c>
      <c r="AT60" s="7">
        <v>0</v>
      </c>
      <c r="AU60" s="7">
        <v>0</v>
      </c>
      <c r="AV60" s="7">
        <v>0</v>
      </c>
      <c r="AW60" s="7">
        <v>2</v>
      </c>
      <c r="AX60" s="8">
        <v>240</v>
      </c>
      <c r="AY60" s="7">
        <v>0</v>
      </c>
      <c r="AZ60" s="7">
        <v>0</v>
      </c>
      <c r="BA60" s="7">
        <v>0</v>
      </c>
      <c r="BB60" s="7">
        <v>0</v>
      </c>
      <c r="BC60" s="7">
        <v>1</v>
      </c>
      <c r="BD60" s="8">
        <v>120</v>
      </c>
      <c r="BE60" s="7">
        <v>0</v>
      </c>
      <c r="BF60" s="7">
        <v>0</v>
      </c>
      <c r="BG60" s="7">
        <v>0</v>
      </c>
      <c r="BH60" s="7">
        <v>0</v>
      </c>
      <c r="BI60" s="7">
        <v>961</v>
      </c>
      <c r="BJ60" s="8">
        <v>115320</v>
      </c>
      <c r="BK60" s="7">
        <v>0</v>
      </c>
      <c r="BL60" s="9">
        <v>5797.2</v>
      </c>
      <c r="BM60" s="10">
        <v>258180</v>
      </c>
      <c r="BN60" s="15">
        <f t="shared" si="2"/>
        <v>252382.8</v>
      </c>
      <c r="BO60" s="16">
        <f t="shared" si="1"/>
        <v>176667.96</v>
      </c>
    </row>
    <row r="61" spans="1:67" ht="19.5" x14ac:dyDescent="0.3">
      <c r="A61" s="5" t="s">
        <v>179</v>
      </c>
      <c r="B61" s="5" t="s">
        <v>15</v>
      </c>
      <c r="C61" s="5">
        <v>159260</v>
      </c>
      <c r="D61" s="6"/>
      <c r="E61" s="5" t="s">
        <v>11</v>
      </c>
      <c r="F61" s="5" t="s">
        <v>16</v>
      </c>
      <c r="G61" s="5" t="s">
        <v>11</v>
      </c>
      <c r="H61" s="7" t="s">
        <v>7</v>
      </c>
      <c r="I61" s="7" t="s">
        <v>17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16</v>
      </c>
      <c r="AC61" s="7">
        <v>8980</v>
      </c>
      <c r="AD61" s="7">
        <v>4900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7</v>
      </c>
      <c r="AR61" s="8">
        <v>22400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4</v>
      </c>
      <c r="BG61" s="7">
        <v>4080</v>
      </c>
      <c r="BH61" s="7">
        <v>0</v>
      </c>
      <c r="BI61" s="7">
        <v>7</v>
      </c>
      <c r="BJ61" s="8">
        <v>26880</v>
      </c>
      <c r="BK61" s="7">
        <v>0</v>
      </c>
      <c r="BL61" s="9">
        <v>1548</v>
      </c>
      <c r="BM61" s="10">
        <v>67240</v>
      </c>
      <c r="BN61" s="15">
        <f>BM61-BL61</f>
        <v>65692</v>
      </c>
      <c r="BO61" s="16">
        <f t="shared" ref="BO61" si="7">BN61*70%</f>
        <v>45984.399999999994</v>
      </c>
    </row>
    <row r="62" spans="1:67" ht="19.5" x14ac:dyDescent="0.3">
      <c r="A62" s="5" t="s">
        <v>179</v>
      </c>
      <c r="B62" s="5" t="s">
        <v>76</v>
      </c>
      <c r="C62" s="5">
        <v>418829</v>
      </c>
      <c r="D62" s="6"/>
      <c r="E62" s="5" t="s">
        <v>11</v>
      </c>
      <c r="F62" s="5" t="s">
        <v>16</v>
      </c>
      <c r="G62" s="5" t="s">
        <v>11</v>
      </c>
      <c r="H62" s="7" t="s">
        <v>7</v>
      </c>
      <c r="I62" s="7" t="s">
        <v>77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32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477</v>
      </c>
      <c r="AF62" s="8">
        <v>45240</v>
      </c>
      <c r="AG62" s="8">
        <v>10000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55240</v>
      </c>
      <c r="BN62" s="15">
        <f>BM62-BL62</f>
        <v>55240</v>
      </c>
      <c r="BO62" s="16">
        <f t="shared" ref="BO62:BO87" si="8">BN62*70%</f>
        <v>38668</v>
      </c>
    </row>
    <row r="63" spans="1:67" ht="19.5" x14ac:dyDescent="0.3">
      <c r="A63" s="5" t="s">
        <v>179</v>
      </c>
      <c r="B63" s="5" t="s">
        <v>47</v>
      </c>
      <c r="C63" s="5">
        <v>285993</v>
      </c>
      <c r="D63" s="6"/>
      <c r="E63" s="5" t="s">
        <v>11</v>
      </c>
      <c r="F63" s="5" t="s">
        <v>12</v>
      </c>
      <c r="G63" s="5" t="s">
        <v>11</v>
      </c>
      <c r="H63" s="7" t="s">
        <v>7</v>
      </c>
      <c r="I63" s="7" t="s">
        <v>48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11</v>
      </c>
      <c r="AC63" s="8">
        <v>11880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29</v>
      </c>
      <c r="AO63" s="8">
        <v>25200</v>
      </c>
      <c r="AP63" s="7">
        <v>400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6</v>
      </c>
      <c r="BG63" s="8">
        <v>6000</v>
      </c>
      <c r="BH63" s="7">
        <v>0</v>
      </c>
      <c r="BI63" s="7">
        <v>0</v>
      </c>
      <c r="BJ63" s="7">
        <v>0</v>
      </c>
      <c r="BK63" s="7">
        <v>0</v>
      </c>
      <c r="BL63" s="7">
        <v>300</v>
      </c>
      <c r="BM63" s="10">
        <v>43480</v>
      </c>
      <c r="BN63" s="15">
        <f>BM63-BL63</f>
        <v>43180</v>
      </c>
      <c r="BO63" s="16">
        <f t="shared" si="8"/>
        <v>30225.999999999996</v>
      </c>
    </row>
    <row r="64" spans="1:67" ht="19.5" x14ac:dyDescent="0.3">
      <c r="A64" s="5" t="s">
        <v>179</v>
      </c>
      <c r="B64" s="5" t="s">
        <v>33</v>
      </c>
      <c r="C64" s="5">
        <v>159266</v>
      </c>
      <c r="D64" s="6"/>
      <c r="E64" s="5" t="s">
        <v>11</v>
      </c>
      <c r="F64" s="5" t="s">
        <v>16</v>
      </c>
      <c r="G64" s="5" t="s">
        <v>11</v>
      </c>
      <c r="H64" s="7" t="s">
        <v>7</v>
      </c>
      <c r="I64" s="7" t="s">
        <v>29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13</v>
      </c>
      <c r="AC64" s="8">
        <v>12780</v>
      </c>
      <c r="AD64" s="7">
        <v>0</v>
      </c>
      <c r="AE64" s="7">
        <v>4</v>
      </c>
      <c r="AF64" s="8">
        <v>15360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9</v>
      </c>
      <c r="AO64" s="7">
        <v>8100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8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36240</v>
      </c>
      <c r="BN64" s="15">
        <f>BM64-BL64</f>
        <v>36240</v>
      </c>
      <c r="BO64" s="16">
        <f t="shared" si="8"/>
        <v>25368</v>
      </c>
    </row>
    <row r="65" spans="1:67" ht="19.5" x14ac:dyDescent="0.3">
      <c r="A65" s="5" t="s">
        <v>179</v>
      </c>
      <c r="B65" s="5" t="s">
        <v>40</v>
      </c>
      <c r="C65" s="5">
        <v>215737</v>
      </c>
      <c r="D65" s="6"/>
      <c r="E65" s="5" t="s">
        <v>11</v>
      </c>
      <c r="F65" s="5" t="s">
        <v>41</v>
      </c>
      <c r="G65" s="5" t="s">
        <v>11</v>
      </c>
      <c r="H65" s="7" t="s">
        <v>7</v>
      </c>
      <c r="I65" s="7" t="s">
        <v>42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190</v>
      </c>
      <c r="AF65" s="8">
        <v>20760</v>
      </c>
      <c r="AG65" s="7">
        <v>1700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80</v>
      </c>
      <c r="AR65" s="7">
        <v>7800</v>
      </c>
      <c r="AS65" s="7">
        <v>200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1</v>
      </c>
      <c r="BJ65" s="8">
        <v>120</v>
      </c>
      <c r="BK65" s="7">
        <v>0</v>
      </c>
      <c r="BL65" s="9">
        <v>6</v>
      </c>
      <c r="BM65" s="10">
        <v>30580</v>
      </c>
      <c r="BN65" s="15">
        <f t="shared" ref="BN65:BN84" si="9">BM65-BL65</f>
        <v>30574</v>
      </c>
      <c r="BO65" s="16">
        <f t="shared" si="8"/>
        <v>21401.8</v>
      </c>
    </row>
    <row r="66" spans="1:67" ht="19.5" x14ac:dyDescent="0.3">
      <c r="A66" s="5" t="s">
        <v>179</v>
      </c>
      <c r="B66" s="5" t="s">
        <v>43</v>
      </c>
      <c r="C66" s="5">
        <v>408054</v>
      </c>
      <c r="D66" s="6"/>
      <c r="E66" s="5" t="s">
        <v>11</v>
      </c>
      <c r="F66" s="5" t="s">
        <v>16</v>
      </c>
      <c r="G66" s="5" t="s">
        <v>22</v>
      </c>
      <c r="H66" s="7" t="s">
        <v>10</v>
      </c>
      <c r="I66" s="7" t="s">
        <v>44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23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253</v>
      </c>
      <c r="AF66" s="7">
        <v>30340</v>
      </c>
      <c r="AG66" s="8">
        <v>0</v>
      </c>
      <c r="AH66" s="7">
        <v>0</v>
      </c>
      <c r="AI66" s="7">
        <v>0</v>
      </c>
      <c r="AJ66" s="7">
        <v>0</v>
      </c>
      <c r="AK66" s="7">
        <v>0</v>
      </c>
      <c r="AL66" s="8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8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8">
        <v>0</v>
      </c>
      <c r="BK66" s="7">
        <v>0</v>
      </c>
      <c r="BL66" s="7">
        <v>0</v>
      </c>
      <c r="BM66" s="10">
        <v>30340</v>
      </c>
      <c r="BN66" s="15">
        <f t="shared" ref="BN66:BN71" si="10">BM66-BL66</f>
        <v>30340</v>
      </c>
      <c r="BO66" s="16">
        <f t="shared" si="8"/>
        <v>21238</v>
      </c>
    </row>
    <row r="67" spans="1:67" ht="19.5" x14ac:dyDescent="0.3">
      <c r="A67" s="5" t="s">
        <v>179</v>
      </c>
      <c r="B67" s="5" t="s">
        <v>64</v>
      </c>
      <c r="C67" s="5">
        <v>238494</v>
      </c>
      <c r="D67" s="6"/>
      <c r="E67" s="5" t="s">
        <v>11</v>
      </c>
      <c r="F67" s="5" t="s">
        <v>36</v>
      </c>
      <c r="G67" s="5" t="s">
        <v>11</v>
      </c>
      <c r="H67" s="7" t="s">
        <v>7</v>
      </c>
      <c r="I67" s="7" t="s">
        <v>65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23</v>
      </c>
      <c r="AC67" s="7">
        <v>23580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8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23580</v>
      </c>
      <c r="BN67" s="15">
        <f t="shared" si="10"/>
        <v>23580</v>
      </c>
      <c r="BO67" s="16">
        <f t="shared" si="8"/>
        <v>16506</v>
      </c>
    </row>
    <row r="68" spans="1:67" ht="19.5" x14ac:dyDescent="0.3">
      <c r="A68" s="5" t="s">
        <v>179</v>
      </c>
      <c r="B68" s="5" t="s">
        <v>26</v>
      </c>
      <c r="C68" s="5">
        <v>161447</v>
      </c>
      <c r="D68" s="6"/>
      <c r="E68" s="5" t="s">
        <v>11</v>
      </c>
      <c r="F68" s="5" t="s">
        <v>13</v>
      </c>
      <c r="G68" s="5" t="s">
        <v>11</v>
      </c>
      <c r="H68" s="7" t="s">
        <v>7</v>
      </c>
      <c r="I68" s="7" t="s">
        <v>27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7</v>
      </c>
      <c r="AC68" s="7">
        <v>7560</v>
      </c>
      <c r="AD68" s="7">
        <v>0</v>
      </c>
      <c r="AE68" s="7">
        <v>0</v>
      </c>
      <c r="AF68" s="8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17</v>
      </c>
      <c r="AO68" s="7">
        <v>15100</v>
      </c>
      <c r="AP68" s="7">
        <v>200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8">
        <v>0</v>
      </c>
      <c r="BK68" s="7">
        <v>0</v>
      </c>
      <c r="BL68" s="7">
        <v>0</v>
      </c>
      <c r="BM68" s="10">
        <v>22860</v>
      </c>
      <c r="BN68" s="15">
        <f t="shared" si="10"/>
        <v>22860</v>
      </c>
      <c r="BO68" s="16">
        <f t="shared" si="8"/>
        <v>16001.999999999998</v>
      </c>
    </row>
    <row r="69" spans="1:67" ht="19.5" x14ac:dyDescent="0.3">
      <c r="A69" s="5" t="s">
        <v>179</v>
      </c>
      <c r="B69" s="5" t="s">
        <v>79</v>
      </c>
      <c r="C69" s="5">
        <v>159483</v>
      </c>
      <c r="D69" s="6"/>
      <c r="E69" s="5" t="s">
        <v>11</v>
      </c>
      <c r="F69" s="5" t="s">
        <v>13</v>
      </c>
      <c r="G69" s="5" t="s">
        <v>11</v>
      </c>
      <c r="H69" s="7" t="s">
        <v>7</v>
      </c>
      <c r="I69" s="7" t="s">
        <v>80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22</v>
      </c>
      <c r="AC69" s="7">
        <v>19100</v>
      </c>
      <c r="AD69" s="7">
        <v>700</v>
      </c>
      <c r="AE69" s="7">
        <v>0</v>
      </c>
      <c r="AF69" s="8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19800</v>
      </c>
      <c r="BN69" s="15">
        <f t="shared" si="10"/>
        <v>19800</v>
      </c>
      <c r="BO69" s="16">
        <f t="shared" si="8"/>
        <v>13860</v>
      </c>
    </row>
    <row r="70" spans="1:67" ht="19.5" x14ac:dyDescent="0.3">
      <c r="A70" s="5" t="s">
        <v>179</v>
      </c>
      <c r="B70" s="5" t="s">
        <v>181</v>
      </c>
      <c r="C70" s="5">
        <v>300910</v>
      </c>
      <c r="D70" s="6"/>
      <c r="E70" s="5" t="s">
        <v>11</v>
      </c>
      <c r="F70" s="5" t="s">
        <v>41</v>
      </c>
      <c r="G70" s="5" t="s">
        <v>11</v>
      </c>
      <c r="H70" s="7" t="s">
        <v>7</v>
      </c>
      <c r="I70" s="7" t="s">
        <v>182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17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108</v>
      </c>
      <c r="AF70" s="7">
        <v>9900</v>
      </c>
      <c r="AG70" s="7">
        <v>900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8">
        <v>0</v>
      </c>
      <c r="BH70" s="7">
        <v>0</v>
      </c>
      <c r="BI70" s="7">
        <v>50</v>
      </c>
      <c r="BJ70" s="7">
        <v>6000</v>
      </c>
      <c r="BK70" s="7">
        <v>0</v>
      </c>
      <c r="BL70" s="7">
        <v>300</v>
      </c>
      <c r="BM70" s="10">
        <v>16800</v>
      </c>
      <c r="BN70" s="15">
        <f t="shared" si="10"/>
        <v>16500</v>
      </c>
      <c r="BO70" s="16">
        <f t="shared" si="8"/>
        <v>11550</v>
      </c>
    </row>
    <row r="71" spans="1:67" ht="19.5" x14ac:dyDescent="0.3">
      <c r="A71" s="5" t="s">
        <v>179</v>
      </c>
      <c r="B71" s="5" t="s">
        <v>30</v>
      </c>
      <c r="C71" s="5">
        <v>159258</v>
      </c>
      <c r="D71" s="6"/>
      <c r="E71" s="5" t="s">
        <v>11</v>
      </c>
      <c r="F71" s="5" t="s">
        <v>16</v>
      </c>
      <c r="G71" s="5" t="s">
        <v>11</v>
      </c>
      <c r="H71" s="7" t="s">
        <v>7</v>
      </c>
      <c r="I71" s="7" t="s">
        <v>29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4</v>
      </c>
      <c r="AC71" s="8">
        <v>4320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11</v>
      </c>
      <c r="BG71" s="7">
        <v>11880</v>
      </c>
      <c r="BH71" s="7">
        <v>0</v>
      </c>
      <c r="BI71" s="7">
        <v>0</v>
      </c>
      <c r="BJ71" s="7">
        <v>0</v>
      </c>
      <c r="BK71" s="7">
        <v>0</v>
      </c>
      <c r="BL71" s="7">
        <v>594</v>
      </c>
      <c r="BM71" s="10">
        <v>16200</v>
      </c>
      <c r="BN71" s="15">
        <f t="shared" si="10"/>
        <v>15606</v>
      </c>
      <c r="BO71" s="16">
        <f t="shared" si="8"/>
        <v>10924.199999999999</v>
      </c>
    </row>
    <row r="72" spans="1:67" ht="19.5" x14ac:dyDescent="0.3">
      <c r="A72" s="5" t="s">
        <v>179</v>
      </c>
      <c r="B72" s="5" t="s">
        <v>90</v>
      </c>
      <c r="C72" s="5">
        <v>395747</v>
      </c>
      <c r="D72" s="6"/>
      <c r="E72" s="5" t="s">
        <v>11</v>
      </c>
      <c r="F72" s="5" t="s">
        <v>12</v>
      </c>
      <c r="G72" s="5" t="s">
        <v>11</v>
      </c>
      <c r="H72" s="7" t="s">
        <v>7</v>
      </c>
      <c r="I72" s="7" t="s">
        <v>91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8">
        <v>0</v>
      </c>
      <c r="AP72" s="7">
        <v>0</v>
      </c>
      <c r="AQ72" s="7">
        <v>155</v>
      </c>
      <c r="AR72" s="7">
        <v>15300</v>
      </c>
      <c r="AS72" s="7">
        <v>200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15500</v>
      </c>
      <c r="BN72" s="15">
        <f t="shared" si="9"/>
        <v>15500</v>
      </c>
      <c r="BO72" s="16">
        <f t="shared" si="8"/>
        <v>10850</v>
      </c>
    </row>
    <row r="73" spans="1:67" ht="19.5" x14ac:dyDescent="0.3">
      <c r="A73" s="5" t="s">
        <v>179</v>
      </c>
      <c r="B73" s="5" t="s">
        <v>20</v>
      </c>
      <c r="C73" s="5">
        <v>159270</v>
      </c>
      <c r="D73" s="6"/>
      <c r="E73" s="5" t="s">
        <v>11</v>
      </c>
      <c r="F73" s="5" t="s">
        <v>16</v>
      </c>
      <c r="G73" s="5" t="s">
        <v>11</v>
      </c>
      <c r="H73" s="7" t="s">
        <v>10</v>
      </c>
      <c r="I73" s="7" t="s">
        <v>19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1</v>
      </c>
      <c r="AC73" s="8">
        <v>400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11</v>
      </c>
      <c r="BG73" s="7">
        <v>11400</v>
      </c>
      <c r="BH73" s="7">
        <v>0</v>
      </c>
      <c r="BI73" s="7">
        <v>0</v>
      </c>
      <c r="BJ73" s="7">
        <v>0</v>
      </c>
      <c r="BK73" s="7">
        <v>0</v>
      </c>
      <c r="BL73" s="7">
        <v>570</v>
      </c>
      <c r="BM73" s="10">
        <v>11800</v>
      </c>
      <c r="BN73" s="15">
        <f>BM73-BL73</f>
        <v>11230</v>
      </c>
      <c r="BO73" s="16">
        <f t="shared" si="8"/>
        <v>7860.9999999999991</v>
      </c>
    </row>
    <row r="74" spans="1:67" ht="19.5" x14ac:dyDescent="0.3">
      <c r="A74" s="5" t="s">
        <v>179</v>
      </c>
      <c r="B74" s="5" t="s">
        <v>72</v>
      </c>
      <c r="C74" s="5">
        <v>239858</v>
      </c>
      <c r="D74" s="6"/>
      <c r="E74" s="5" t="s">
        <v>11</v>
      </c>
      <c r="F74" s="5" t="s">
        <v>12</v>
      </c>
      <c r="G74" s="5" t="s">
        <v>11</v>
      </c>
      <c r="H74" s="7" t="s">
        <v>7</v>
      </c>
      <c r="I74" s="7" t="s">
        <v>73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2</v>
      </c>
      <c r="AC74" s="8">
        <v>0</v>
      </c>
      <c r="AD74" s="7">
        <v>1700</v>
      </c>
      <c r="AE74" s="7">
        <v>1</v>
      </c>
      <c r="AF74" s="7">
        <v>0</v>
      </c>
      <c r="AG74" s="7">
        <v>3200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6</v>
      </c>
      <c r="AO74" s="8">
        <v>4400</v>
      </c>
      <c r="AP74" s="7">
        <v>200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9500</v>
      </c>
      <c r="BN74" s="15">
        <f>BM74-BL74</f>
        <v>9500</v>
      </c>
      <c r="BO74" s="16">
        <f t="shared" si="8"/>
        <v>6650</v>
      </c>
    </row>
    <row r="75" spans="1:67" ht="19.5" x14ac:dyDescent="0.3">
      <c r="A75" s="5" t="s">
        <v>179</v>
      </c>
      <c r="B75" s="5" t="s">
        <v>78</v>
      </c>
      <c r="C75" s="5">
        <v>192737</v>
      </c>
      <c r="D75" s="6"/>
      <c r="E75" s="5" t="s">
        <v>11</v>
      </c>
      <c r="F75" s="5" t="s">
        <v>36</v>
      </c>
      <c r="G75" s="5" t="s">
        <v>11</v>
      </c>
      <c r="H75" s="7" t="s">
        <v>7</v>
      </c>
      <c r="I75" s="7" t="s">
        <v>37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8</v>
      </c>
      <c r="AC75" s="7">
        <v>8640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8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8640</v>
      </c>
      <c r="BN75" s="15">
        <f>BM75-BL75</f>
        <v>8640</v>
      </c>
      <c r="BO75" s="16">
        <f t="shared" si="8"/>
        <v>6048</v>
      </c>
    </row>
    <row r="76" spans="1:67" ht="19.5" x14ac:dyDescent="0.3">
      <c r="A76" s="5" t="s">
        <v>179</v>
      </c>
      <c r="B76" s="5" t="s">
        <v>68</v>
      </c>
      <c r="C76" s="5">
        <v>285988</v>
      </c>
      <c r="D76" s="6"/>
      <c r="E76" s="5" t="s">
        <v>11</v>
      </c>
      <c r="F76" s="5" t="s">
        <v>12</v>
      </c>
      <c r="G76" s="5" t="s">
        <v>11</v>
      </c>
      <c r="H76" s="7" t="s">
        <v>7</v>
      </c>
      <c r="I76" s="7" t="s">
        <v>48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8</v>
      </c>
      <c r="AC76" s="8">
        <v>8640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8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8640</v>
      </c>
      <c r="BN76" s="15">
        <f>BM76-BL76</f>
        <v>8640</v>
      </c>
      <c r="BO76" s="16">
        <f t="shared" si="8"/>
        <v>6048</v>
      </c>
    </row>
    <row r="77" spans="1:67" ht="19.5" x14ac:dyDescent="0.3">
      <c r="A77" s="5" t="s">
        <v>179</v>
      </c>
      <c r="B77" s="5" t="s">
        <v>97</v>
      </c>
      <c r="C77" s="5">
        <v>229857</v>
      </c>
      <c r="D77" s="6"/>
      <c r="E77" s="5" t="s">
        <v>11</v>
      </c>
      <c r="F77" s="5" t="s">
        <v>12</v>
      </c>
      <c r="G77" s="5" t="s">
        <v>11</v>
      </c>
      <c r="H77" s="7" t="s">
        <v>10</v>
      </c>
      <c r="I77" s="7" t="s">
        <v>98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7</v>
      </c>
      <c r="AC77" s="8">
        <v>7560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7560</v>
      </c>
      <c r="BN77" s="15">
        <f>BM77-BL77</f>
        <v>7560</v>
      </c>
      <c r="BO77" s="16">
        <f t="shared" si="8"/>
        <v>5292</v>
      </c>
    </row>
    <row r="78" spans="1:67" ht="19.5" x14ac:dyDescent="0.3">
      <c r="A78" s="5" t="s">
        <v>179</v>
      </c>
      <c r="B78" s="5" t="s">
        <v>51</v>
      </c>
      <c r="C78" s="5">
        <v>413545</v>
      </c>
      <c r="D78" s="6"/>
      <c r="E78" s="5" t="s">
        <v>11</v>
      </c>
      <c r="F78" s="5" t="s">
        <v>16</v>
      </c>
      <c r="G78" s="5" t="s">
        <v>22</v>
      </c>
      <c r="H78" s="7" t="s">
        <v>8</v>
      </c>
      <c r="I78" s="7" t="s">
        <v>52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6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8">
        <v>0</v>
      </c>
      <c r="AD78" s="7">
        <v>0</v>
      </c>
      <c r="AE78" s="7">
        <v>54</v>
      </c>
      <c r="AF78" s="7">
        <v>5940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5940</v>
      </c>
      <c r="BN78" s="15">
        <f t="shared" si="9"/>
        <v>5940</v>
      </c>
      <c r="BO78" s="16">
        <f t="shared" si="8"/>
        <v>4158</v>
      </c>
    </row>
    <row r="79" spans="1:67" ht="19.5" x14ac:dyDescent="0.3">
      <c r="A79" s="5" t="s">
        <v>179</v>
      </c>
      <c r="B79" s="5" t="s">
        <v>45</v>
      </c>
      <c r="C79" s="5">
        <v>192729</v>
      </c>
      <c r="D79" s="6"/>
      <c r="E79" s="5" t="s">
        <v>11</v>
      </c>
      <c r="F79" s="5" t="s">
        <v>36</v>
      </c>
      <c r="G79" s="5" t="s">
        <v>11</v>
      </c>
      <c r="H79" s="7" t="s">
        <v>7</v>
      </c>
      <c r="I79" s="7" t="s">
        <v>46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6</v>
      </c>
      <c r="AC79" s="8">
        <v>5580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5580</v>
      </c>
      <c r="BN79" s="15">
        <f>BM79-BL79</f>
        <v>5580</v>
      </c>
      <c r="BO79" s="16">
        <f t="shared" si="8"/>
        <v>3905.9999999999995</v>
      </c>
    </row>
    <row r="80" spans="1:67" ht="19.5" x14ac:dyDescent="0.3">
      <c r="A80" s="5" t="s">
        <v>179</v>
      </c>
      <c r="B80" s="5" t="s">
        <v>66</v>
      </c>
      <c r="C80" s="5">
        <v>169151</v>
      </c>
      <c r="D80" s="6"/>
      <c r="E80" s="5" t="s">
        <v>11</v>
      </c>
      <c r="F80" s="5" t="s">
        <v>13</v>
      </c>
      <c r="G80" s="5" t="s">
        <v>11</v>
      </c>
      <c r="H80" s="7" t="s">
        <v>7</v>
      </c>
      <c r="I80" s="7" t="s">
        <v>67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5</v>
      </c>
      <c r="AC80" s="8">
        <v>5400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5400</v>
      </c>
      <c r="BN80" s="15">
        <f>BM80-BL80</f>
        <v>5400</v>
      </c>
      <c r="BO80" s="16">
        <f t="shared" si="8"/>
        <v>3779.9999999999995</v>
      </c>
    </row>
    <row r="81" spans="1:67" ht="19.5" x14ac:dyDescent="0.3">
      <c r="A81" s="5" t="s">
        <v>179</v>
      </c>
      <c r="B81" s="5" t="s">
        <v>18</v>
      </c>
      <c r="C81" s="5">
        <v>161539</v>
      </c>
      <c r="D81" s="6"/>
      <c r="E81" s="5" t="s">
        <v>11</v>
      </c>
      <c r="F81" s="5" t="s">
        <v>16</v>
      </c>
      <c r="G81" s="5" t="s">
        <v>11</v>
      </c>
      <c r="H81" s="7" t="s">
        <v>7</v>
      </c>
      <c r="I81" s="7" t="s">
        <v>19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4</v>
      </c>
      <c r="AC81" s="7">
        <v>3600</v>
      </c>
      <c r="AD81" s="7">
        <v>0</v>
      </c>
      <c r="AE81" s="7">
        <v>0</v>
      </c>
      <c r="AF81" s="8">
        <v>0</v>
      </c>
      <c r="AG81" s="8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3600</v>
      </c>
      <c r="BN81" s="15">
        <f>BM81-BL81</f>
        <v>3600</v>
      </c>
      <c r="BO81" s="16">
        <f t="shared" si="8"/>
        <v>2520</v>
      </c>
    </row>
    <row r="82" spans="1:67" ht="19.5" x14ac:dyDescent="0.3">
      <c r="A82" s="5" t="s">
        <v>179</v>
      </c>
      <c r="B82" s="5" t="s">
        <v>55</v>
      </c>
      <c r="C82" s="5">
        <v>196917</v>
      </c>
      <c r="D82" s="6"/>
      <c r="E82" s="5" t="s">
        <v>11</v>
      </c>
      <c r="F82" s="5" t="s">
        <v>36</v>
      </c>
      <c r="G82" s="5" t="s">
        <v>11</v>
      </c>
      <c r="H82" s="7" t="s">
        <v>7</v>
      </c>
      <c r="I82" s="7" t="s">
        <v>56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8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4</v>
      </c>
      <c r="AO82" s="7">
        <v>3600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3600</v>
      </c>
      <c r="BN82" s="15">
        <f>BM82-BL82</f>
        <v>3600</v>
      </c>
      <c r="BO82" s="16">
        <f t="shared" si="8"/>
        <v>2520</v>
      </c>
    </row>
    <row r="83" spans="1:67" ht="19.5" x14ac:dyDescent="0.3">
      <c r="A83" s="5" t="s">
        <v>179</v>
      </c>
      <c r="B83" s="5" t="s">
        <v>89</v>
      </c>
      <c r="C83" s="5">
        <v>192732</v>
      </c>
      <c r="D83" s="6"/>
      <c r="E83" s="5" t="s">
        <v>11</v>
      </c>
      <c r="F83" s="5" t="s">
        <v>36</v>
      </c>
      <c r="G83" s="5" t="s">
        <v>11</v>
      </c>
      <c r="H83" s="7" t="s">
        <v>7</v>
      </c>
      <c r="I83" s="7" t="s">
        <v>37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3</v>
      </c>
      <c r="BG83" s="7">
        <v>3240</v>
      </c>
      <c r="BH83" s="7">
        <v>0</v>
      </c>
      <c r="BI83" s="7">
        <v>0</v>
      </c>
      <c r="BJ83" s="7">
        <v>0</v>
      </c>
      <c r="BK83" s="7">
        <v>0</v>
      </c>
      <c r="BL83" s="7">
        <v>162</v>
      </c>
      <c r="BM83" s="11">
        <v>3240</v>
      </c>
      <c r="BN83" s="15">
        <f>BM83-BL83</f>
        <v>3078</v>
      </c>
      <c r="BO83" s="16">
        <f t="shared" si="8"/>
        <v>2154.6</v>
      </c>
    </row>
    <row r="84" spans="1:67" ht="19.5" x14ac:dyDescent="0.3">
      <c r="A84" s="5" t="s">
        <v>179</v>
      </c>
      <c r="B84" s="5" t="s">
        <v>177</v>
      </c>
      <c r="C84" s="5">
        <v>408450</v>
      </c>
      <c r="D84" s="6"/>
      <c r="E84" s="5" t="s">
        <v>11</v>
      </c>
      <c r="F84" s="5" t="s">
        <v>12</v>
      </c>
      <c r="G84" s="5" t="s">
        <v>22</v>
      </c>
      <c r="H84" s="7" t="s">
        <v>7</v>
      </c>
      <c r="I84" s="7" t="s">
        <v>117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17</v>
      </c>
      <c r="AF84" s="7">
        <v>2040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1">
        <v>2040</v>
      </c>
      <c r="BN84" s="15">
        <f t="shared" si="9"/>
        <v>2040</v>
      </c>
      <c r="BO84" s="16">
        <f t="shared" si="8"/>
        <v>1428</v>
      </c>
    </row>
    <row r="85" spans="1:67" ht="19.5" x14ac:dyDescent="0.3">
      <c r="A85" s="5" t="s">
        <v>179</v>
      </c>
      <c r="B85" s="5" t="s">
        <v>92</v>
      </c>
      <c r="C85" s="5">
        <v>408617</v>
      </c>
      <c r="D85" s="6"/>
      <c r="E85" s="5" t="s">
        <v>11</v>
      </c>
      <c r="F85" s="5" t="s">
        <v>12</v>
      </c>
      <c r="G85" s="5" t="s">
        <v>22</v>
      </c>
      <c r="H85" s="7" t="s">
        <v>10</v>
      </c>
      <c r="I85" s="7" t="s">
        <v>44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15</v>
      </c>
      <c r="AR85" s="7">
        <v>1000</v>
      </c>
      <c r="AS85" s="7">
        <v>500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1">
        <v>1500</v>
      </c>
      <c r="BN85" s="15">
        <f>BM85-BL85</f>
        <v>1500</v>
      </c>
      <c r="BO85" s="16">
        <f t="shared" si="8"/>
        <v>1050</v>
      </c>
    </row>
    <row r="86" spans="1:67" ht="19.5" x14ac:dyDescent="0.3">
      <c r="A86" s="5" t="s">
        <v>179</v>
      </c>
      <c r="B86" s="5" t="s">
        <v>86</v>
      </c>
      <c r="C86" s="5">
        <v>418830</v>
      </c>
      <c r="D86" s="6"/>
      <c r="E86" s="5" t="s">
        <v>11</v>
      </c>
      <c r="F86" s="5" t="s">
        <v>16</v>
      </c>
      <c r="G86" s="5" t="s">
        <v>11</v>
      </c>
      <c r="H86" s="7" t="s">
        <v>7</v>
      </c>
      <c r="I86" s="7" t="s">
        <v>77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13</v>
      </c>
      <c r="AR86" s="7">
        <v>1300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1300</v>
      </c>
      <c r="BN86" s="15">
        <f>BM86-BL86</f>
        <v>1300</v>
      </c>
      <c r="BO86" s="16">
        <f t="shared" si="8"/>
        <v>909.99999999999989</v>
      </c>
    </row>
    <row r="87" spans="1:67" ht="19.5" x14ac:dyDescent="0.3">
      <c r="A87" s="5" t="s">
        <v>179</v>
      </c>
      <c r="B87" s="5" t="s">
        <v>102</v>
      </c>
      <c r="C87" s="5">
        <v>194565</v>
      </c>
      <c r="D87" s="6"/>
      <c r="E87" s="5" t="s">
        <v>11</v>
      </c>
      <c r="F87" s="5" t="s">
        <v>16</v>
      </c>
      <c r="G87" s="5" t="s">
        <v>11</v>
      </c>
      <c r="H87" s="7" t="s">
        <v>7</v>
      </c>
      <c r="I87" s="7" t="s">
        <v>103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2</v>
      </c>
      <c r="AF87" s="7">
        <v>0</v>
      </c>
      <c r="AG87" s="7">
        <v>200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1">
        <v>200</v>
      </c>
      <c r="BN87" s="15">
        <f>BM87-BL87</f>
        <v>200</v>
      </c>
      <c r="BO87" s="16">
        <f t="shared" si="8"/>
        <v>140</v>
      </c>
    </row>
    <row r="88" spans="1:67" ht="19.5" x14ac:dyDescent="0.3">
      <c r="A88" s="5" t="s">
        <v>179</v>
      </c>
      <c r="B88" s="5" t="s">
        <v>106</v>
      </c>
      <c r="C88" s="5">
        <v>227013</v>
      </c>
      <c r="D88" s="6"/>
      <c r="E88" s="5" t="s">
        <v>11</v>
      </c>
      <c r="F88" s="5" t="s">
        <v>13</v>
      </c>
      <c r="G88" s="5" t="s">
        <v>11</v>
      </c>
      <c r="H88" s="7" t="s">
        <v>7</v>
      </c>
      <c r="I88" s="7" t="s">
        <v>107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8">
        <v>0</v>
      </c>
      <c r="AF88" s="8">
        <v>0</v>
      </c>
      <c r="AG88" s="8">
        <v>0</v>
      </c>
      <c r="AH88" s="7">
        <v>0</v>
      </c>
      <c r="AI88" s="7">
        <v>0</v>
      </c>
      <c r="AJ88" s="7">
        <v>0</v>
      </c>
      <c r="AK88" s="8">
        <v>0</v>
      </c>
      <c r="AL88" s="8">
        <v>0</v>
      </c>
      <c r="AM88" s="8">
        <v>0</v>
      </c>
      <c r="AN88" s="7">
        <v>0</v>
      </c>
      <c r="AO88" s="7">
        <v>0</v>
      </c>
      <c r="AP88" s="7">
        <v>0</v>
      </c>
      <c r="AQ88" s="8">
        <v>0</v>
      </c>
      <c r="AR88" s="8">
        <v>0</v>
      </c>
      <c r="AS88" s="8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9">
        <v>0</v>
      </c>
      <c r="BM88" s="10">
        <v>0</v>
      </c>
      <c r="BN88" s="15">
        <f>BM88-BL88</f>
        <v>0</v>
      </c>
      <c r="BO88" s="16">
        <f t="shared" ref="BO88:BO123" si="11">BN88*70%</f>
        <v>0</v>
      </c>
    </row>
    <row r="89" spans="1:67" x14ac:dyDescent="0.3">
      <c r="A89" s="5" t="s">
        <v>180</v>
      </c>
      <c r="B89" s="5" t="s">
        <v>14</v>
      </c>
      <c r="C89" s="5">
        <v>355332</v>
      </c>
      <c r="D89" s="6"/>
      <c r="E89" s="5" t="s">
        <v>11</v>
      </c>
      <c r="F89" s="5" t="s">
        <v>13</v>
      </c>
      <c r="G89" s="5" t="s">
        <v>11</v>
      </c>
      <c r="H89" s="7" t="s">
        <v>8</v>
      </c>
      <c r="I89" s="7" t="s">
        <v>63</v>
      </c>
      <c r="J89" s="7">
        <v>1</v>
      </c>
      <c r="K89" s="7">
        <v>23</v>
      </c>
      <c r="L89" s="7">
        <v>100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550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4111</v>
      </c>
      <c r="AF89" s="8">
        <v>391900</v>
      </c>
      <c r="AG89" s="7">
        <v>19200</v>
      </c>
      <c r="AH89" s="7">
        <v>0</v>
      </c>
      <c r="AI89" s="7">
        <v>0</v>
      </c>
      <c r="AJ89" s="7">
        <v>0</v>
      </c>
      <c r="AK89" s="7">
        <v>2450</v>
      </c>
      <c r="AL89" s="8">
        <v>207839</v>
      </c>
      <c r="AM89" s="7">
        <v>72000</v>
      </c>
      <c r="AN89" s="7">
        <v>0</v>
      </c>
      <c r="AO89" s="7">
        <v>0</v>
      </c>
      <c r="AP89" s="7">
        <v>0</v>
      </c>
      <c r="AQ89" s="7">
        <v>866</v>
      </c>
      <c r="AR89" s="8">
        <v>85300</v>
      </c>
      <c r="AS89" s="8">
        <v>1300</v>
      </c>
      <c r="AT89" s="7">
        <v>0</v>
      </c>
      <c r="AU89" s="7">
        <v>0</v>
      </c>
      <c r="AV89" s="7">
        <v>0</v>
      </c>
      <c r="AW89" s="7">
        <v>90</v>
      </c>
      <c r="AX89" s="7">
        <v>10800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1</v>
      </c>
      <c r="BJ89" s="7">
        <v>120</v>
      </c>
      <c r="BK89" s="7">
        <v>0</v>
      </c>
      <c r="BL89" s="9">
        <v>63437.7</v>
      </c>
      <c r="BM89" s="10">
        <v>788559</v>
      </c>
      <c r="BN89" s="15">
        <f>BM89-BL89</f>
        <v>725121.3</v>
      </c>
      <c r="BO89" s="16">
        <f t="shared" si="11"/>
        <v>507584.91</v>
      </c>
    </row>
    <row r="90" spans="1:67" x14ac:dyDescent="0.3">
      <c r="A90" s="5" t="s">
        <v>180</v>
      </c>
      <c r="B90" s="5" t="s">
        <v>15</v>
      </c>
      <c r="C90" s="5">
        <v>159260</v>
      </c>
      <c r="D90" s="6"/>
      <c r="E90" s="5" t="s">
        <v>11</v>
      </c>
      <c r="F90" s="5" t="s">
        <v>16</v>
      </c>
      <c r="G90" s="5" t="s">
        <v>11</v>
      </c>
      <c r="H90" s="7" t="s">
        <v>7</v>
      </c>
      <c r="I90" s="7" t="s">
        <v>17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21</v>
      </c>
      <c r="AC90" s="7">
        <v>17300</v>
      </c>
      <c r="AD90" s="7">
        <v>200</v>
      </c>
      <c r="AE90" s="7">
        <v>19</v>
      </c>
      <c r="AF90" s="8">
        <v>54000</v>
      </c>
      <c r="AG90" s="7">
        <v>4800</v>
      </c>
      <c r="AH90" s="7">
        <v>105</v>
      </c>
      <c r="AI90" s="7">
        <v>112893</v>
      </c>
      <c r="AJ90" s="7">
        <v>0</v>
      </c>
      <c r="AK90" s="7">
        <v>12</v>
      </c>
      <c r="AL90" s="7">
        <v>40942</v>
      </c>
      <c r="AM90" s="8">
        <v>3200</v>
      </c>
      <c r="AN90" s="7">
        <v>14</v>
      </c>
      <c r="AO90" s="7">
        <v>12400</v>
      </c>
      <c r="AP90" s="7">
        <v>200</v>
      </c>
      <c r="AQ90" s="7">
        <v>9</v>
      </c>
      <c r="AR90" s="8">
        <v>27900</v>
      </c>
      <c r="AS90" s="7">
        <v>900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46150.5</v>
      </c>
      <c r="BM90" s="10">
        <v>274735</v>
      </c>
      <c r="BN90" s="15">
        <f>BM90-BL90</f>
        <v>228584.5</v>
      </c>
      <c r="BO90" s="16">
        <f t="shared" si="11"/>
        <v>160009.15</v>
      </c>
    </row>
    <row r="91" spans="1:67" x14ac:dyDescent="0.3">
      <c r="A91" s="5" t="s">
        <v>180</v>
      </c>
      <c r="B91" s="5" t="s">
        <v>20</v>
      </c>
      <c r="C91" s="5">
        <v>159270</v>
      </c>
      <c r="D91" s="6"/>
      <c r="E91" s="5" t="s">
        <v>11</v>
      </c>
      <c r="F91" s="5" t="s">
        <v>16</v>
      </c>
      <c r="G91" s="5" t="s">
        <v>11</v>
      </c>
      <c r="H91" s="7" t="s">
        <v>10</v>
      </c>
      <c r="I91" s="7" t="s">
        <v>19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8</v>
      </c>
      <c r="AC91" s="7">
        <v>3600</v>
      </c>
      <c r="AD91" s="7">
        <v>3600</v>
      </c>
      <c r="AE91" s="7">
        <v>6</v>
      </c>
      <c r="AF91" s="8">
        <v>14300</v>
      </c>
      <c r="AG91" s="8">
        <v>4900</v>
      </c>
      <c r="AH91" s="7">
        <v>54</v>
      </c>
      <c r="AI91" s="7">
        <v>58320</v>
      </c>
      <c r="AJ91" s="7">
        <v>0</v>
      </c>
      <c r="AK91" s="7">
        <v>0</v>
      </c>
      <c r="AL91" s="8">
        <v>0</v>
      </c>
      <c r="AM91" s="7">
        <v>0</v>
      </c>
      <c r="AN91" s="7">
        <v>19</v>
      </c>
      <c r="AO91" s="7">
        <v>16900</v>
      </c>
      <c r="AP91" s="7">
        <v>200</v>
      </c>
      <c r="AQ91" s="7">
        <v>3</v>
      </c>
      <c r="AR91" s="7">
        <v>9600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9">
        <v>17496</v>
      </c>
      <c r="BM91" s="10">
        <v>111420</v>
      </c>
      <c r="BN91" s="15">
        <f>BM91-BL91</f>
        <v>93924</v>
      </c>
      <c r="BO91" s="16">
        <f t="shared" si="11"/>
        <v>65746.8</v>
      </c>
    </row>
    <row r="92" spans="1:67" x14ac:dyDescent="0.3">
      <c r="A92" s="5" t="s">
        <v>180</v>
      </c>
      <c r="B92" s="5" t="s">
        <v>79</v>
      </c>
      <c r="C92" s="5">
        <v>159483</v>
      </c>
      <c r="D92" s="6"/>
      <c r="E92" s="5" t="s">
        <v>11</v>
      </c>
      <c r="F92" s="5" t="s">
        <v>13</v>
      </c>
      <c r="G92" s="5" t="s">
        <v>11</v>
      </c>
      <c r="H92" s="7" t="s">
        <v>7</v>
      </c>
      <c r="I92" s="7" t="s">
        <v>80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8">
        <v>0</v>
      </c>
      <c r="AD92" s="7">
        <v>0</v>
      </c>
      <c r="AE92" s="7">
        <v>2</v>
      </c>
      <c r="AF92" s="8">
        <v>6400</v>
      </c>
      <c r="AG92" s="7">
        <v>0</v>
      </c>
      <c r="AH92" s="7">
        <v>9</v>
      </c>
      <c r="AI92" s="8">
        <v>9720</v>
      </c>
      <c r="AJ92" s="7">
        <v>0</v>
      </c>
      <c r="AK92" s="7">
        <v>18</v>
      </c>
      <c r="AL92" s="8">
        <v>66240</v>
      </c>
      <c r="AM92" s="7">
        <v>0</v>
      </c>
      <c r="AN92" s="7">
        <v>0</v>
      </c>
      <c r="AO92" s="7">
        <v>0</v>
      </c>
      <c r="AP92" s="7">
        <v>0</v>
      </c>
      <c r="AQ92" s="7">
        <v>9</v>
      </c>
      <c r="AR92" s="8">
        <v>24400</v>
      </c>
      <c r="AS92" s="7">
        <v>400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9">
        <v>22788</v>
      </c>
      <c r="BM92" s="10">
        <v>107160</v>
      </c>
      <c r="BN92" s="15">
        <f>BM92-BL92</f>
        <v>84372</v>
      </c>
      <c r="BO92" s="16">
        <f t="shared" si="11"/>
        <v>59060.399999999994</v>
      </c>
    </row>
    <row r="93" spans="1:67" x14ac:dyDescent="0.3">
      <c r="A93" s="5" t="s">
        <v>180</v>
      </c>
      <c r="B93" s="5" t="s">
        <v>18</v>
      </c>
      <c r="C93" s="5">
        <v>161539</v>
      </c>
      <c r="D93" s="6"/>
      <c r="E93" s="5" t="s">
        <v>11</v>
      </c>
      <c r="F93" s="5" t="s">
        <v>16</v>
      </c>
      <c r="G93" s="5" t="s">
        <v>11</v>
      </c>
      <c r="H93" s="7" t="s">
        <v>7</v>
      </c>
      <c r="I93" s="7" t="s">
        <v>19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21</v>
      </c>
      <c r="AC93" s="7">
        <v>14600</v>
      </c>
      <c r="AD93" s="7">
        <v>700</v>
      </c>
      <c r="AE93" s="7">
        <v>1</v>
      </c>
      <c r="AF93" s="7">
        <v>0</v>
      </c>
      <c r="AG93" s="7">
        <v>3200</v>
      </c>
      <c r="AH93" s="7">
        <v>24</v>
      </c>
      <c r="AI93" s="7">
        <v>21720</v>
      </c>
      <c r="AJ93" s="7">
        <v>2600</v>
      </c>
      <c r="AK93" s="7">
        <v>10</v>
      </c>
      <c r="AL93" s="8">
        <v>38400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8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10</v>
      </c>
      <c r="BA93" s="7">
        <v>10800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9">
        <v>18684</v>
      </c>
      <c r="BM93" s="10">
        <v>92020</v>
      </c>
      <c r="BN93" s="15">
        <f t="shared" ref="BN93:BN117" si="12">BM93-BL93</f>
        <v>73336</v>
      </c>
      <c r="BO93" s="16">
        <f t="shared" si="11"/>
        <v>51335.199999999997</v>
      </c>
    </row>
    <row r="94" spans="1:67" x14ac:dyDescent="0.3">
      <c r="A94" s="5" t="s">
        <v>180</v>
      </c>
      <c r="B94" s="5" t="s">
        <v>30</v>
      </c>
      <c r="C94" s="5">
        <v>159258</v>
      </c>
      <c r="D94" s="6"/>
      <c r="E94" s="5" t="s">
        <v>11</v>
      </c>
      <c r="F94" s="5" t="s">
        <v>16</v>
      </c>
      <c r="G94" s="5" t="s">
        <v>11</v>
      </c>
      <c r="H94" s="7" t="s">
        <v>7</v>
      </c>
      <c r="I94" s="7" t="s">
        <v>29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20</v>
      </c>
      <c r="AC94" s="8">
        <v>14500</v>
      </c>
      <c r="AD94" s="7">
        <v>2200</v>
      </c>
      <c r="AE94" s="7">
        <v>1</v>
      </c>
      <c r="AF94" s="7">
        <v>3200</v>
      </c>
      <c r="AG94" s="7">
        <v>0</v>
      </c>
      <c r="AH94" s="7">
        <v>30</v>
      </c>
      <c r="AI94" s="8">
        <v>30600</v>
      </c>
      <c r="AJ94" s="7">
        <v>900</v>
      </c>
      <c r="AK94" s="7">
        <v>0</v>
      </c>
      <c r="AL94" s="7">
        <v>0</v>
      </c>
      <c r="AM94" s="7">
        <v>0</v>
      </c>
      <c r="AN94" s="7">
        <v>2</v>
      </c>
      <c r="AO94" s="7">
        <v>1000</v>
      </c>
      <c r="AP94" s="7">
        <v>0</v>
      </c>
      <c r="AQ94" s="7">
        <v>11</v>
      </c>
      <c r="AR94" s="7">
        <v>33200</v>
      </c>
      <c r="AS94" s="7">
        <v>2000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9">
        <v>9180</v>
      </c>
      <c r="BM94" s="10">
        <v>87600</v>
      </c>
      <c r="BN94" s="15">
        <f>BM94-BL94</f>
        <v>78420</v>
      </c>
      <c r="BO94" s="16">
        <f t="shared" si="11"/>
        <v>54894</v>
      </c>
    </row>
    <row r="95" spans="1:67" x14ac:dyDescent="0.3">
      <c r="A95" s="5" t="s">
        <v>180</v>
      </c>
      <c r="B95" s="5" t="s">
        <v>181</v>
      </c>
      <c r="C95" s="5">
        <v>300910</v>
      </c>
      <c r="D95" s="6"/>
      <c r="E95" s="5" t="s">
        <v>11</v>
      </c>
      <c r="F95" s="5" t="s">
        <v>41</v>
      </c>
      <c r="G95" s="5" t="s">
        <v>11</v>
      </c>
      <c r="H95" s="7" t="s">
        <v>7</v>
      </c>
      <c r="I95" s="7" t="s">
        <v>182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41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289</v>
      </c>
      <c r="AF95" s="8">
        <v>24000</v>
      </c>
      <c r="AG95" s="7">
        <v>4900</v>
      </c>
      <c r="AH95" s="7">
        <v>0</v>
      </c>
      <c r="AI95" s="7">
        <v>0</v>
      </c>
      <c r="AJ95" s="7">
        <v>0</v>
      </c>
      <c r="AK95" s="7">
        <v>96</v>
      </c>
      <c r="AL95" s="8">
        <v>4680</v>
      </c>
      <c r="AM95" s="8">
        <v>5700</v>
      </c>
      <c r="AN95" s="7">
        <v>0</v>
      </c>
      <c r="AO95" s="7">
        <v>0</v>
      </c>
      <c r="AP95" s="7">
        <v>0</v>
      </c>
      <c r="AQ95" s="7">
        <v>260</v>
      </c>
      <c r="AR95" s="7">
        <v>25400</v>
      </c>
      <c r="AS95" s="7">
        <v>600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9">
        <v>1404</v>
      </c>
      <c r="BM95" s="10">
        <v>65280</v>
      </c>
      <c r="BN95" s="15">
        <f>BM95-BL95</f>
        <v>63876</v>
      </c>
      <c r="BO95" s="16">
        <f t="shared" si="11"/>
        <v>44713.2</v>
      </c>
    </row>
    <row r="96" spans="1:67" x14ac:dyDescent="0.3">
      <c r="A96" s="5" t="s">
        <v>180</v>
      </c>
      <c r="B96" s="5" t="s">
        <v>28</v>
      </c>
      <c r="C96" s="5">
        <v>159268</v>
      </c>
      <c r="D96" s="6"/>
      <c r="E96" s="5" t="s">
        <v>11</v>
      </c>
      <c r="F96" s="5" t="s">
        <v>16</v>
      </c>
      <c r="G96" s="5" t="s">
        <v>11</v>
      </c>
      <c r="H96" s="7" t="s">
        <v>7</v>
      </c>
      <c r="I96" s="7" t="s">
        <v>29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</v>
      </c>
      <c r="AF96" s="7">
        <v>0</v>
      </c>
      <c r="AG96" s="8">
        <v>3200</v>
      </c>
      <c r="AH96" s="7">
        <v>38</v>
      </c>
      <c r="AI96" s="8">
        <v>41040</v>
      </c>
      <c r="AJ96" s="7">
        <v>0</v>
      </c>
      <c r="AK96" s="7">
        <v>1</v>
      </c>
      <c r="AL96" s="8">
        <v>3840</v>
      </c>
      <c r="AM96" s="7">
        <v>0</v>
      </c>
      <c r="AN96" s="7">
        <v>0</v>
      </c>
      <c r="AO96" s="7">
        <v>0</v>
      </c>
      <c r="AP96" s="7">
        <v>0</v>
      </c>
      <c r="AQ96" s="7">
        <v>3</v>
      </c>
      <c r="AR96" s="7">
        <v>9600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8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9">
        <v>13464</v>
      </c>
      <c r="BM96" s="10">
        <v>57680</v>
      </c>
      <c r="BN96" s="15">
        <f>BM96-BL96</f>
        <v>44216</v>
      </c>
      <c r="BO96" s="16">
        <f t="shared" si="11"/>
        <v>30951.199999999997</v>
      </c>
    </row>
    <row r="97" spans="1:67" x14ac:dyDescent="0.3">
      <c r="A97" s="5" t="s">
        <v>180</v>
      </c>
      <c r="B97" s="5" t="s">
        <v>78</v>
      </c>
      <c r="C97" s="5">
        <v>192737</v>
      </c>
      <c r="D97" s="6"/>
      <c r="E97" s="5" t="s">
        <v>11</v>
      </c>
      <c r="F97" s="5" t="s">
        <v>36</v>
      </c>
      <c r="G97" s="5" t="s">
        <v>11</v>
      </c>
      <c r="H97" s="7" t="s">
        <v>7</v>
      </c>
      <c r="I97" s="7" t="s">
        <v>37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4</v>
      </c>
      <c r="AC97" s="8">
        <v>3400</v>
      </c>
      <c r="AD97" s="7">
        <v>0</v>
      </c>
      <c r="AE97" s="7">
        <v>2</v>
      </c>
      <c r="AF97" s="7">
        <v>0</v>
      </c>
      <c r="AG97" s="7">
        <v>4900</v>
      </c>
      <c r="AH97" s="7">
        <v>0</v>
      </c>
      <c r="AI97" s="8">
        <v>0</v>
      </c>
      <c r="AJ97" s="7">
        <v>0</v>
      </c>
      <c r="AK97" s="7">
        <v>5</v>
      </c>
      <c r="AL97" s="7">
        <v>19200</v>
      </c>
      <c r="AM97" s="7">
        <v>0</v>
      </c>
      <c r="AN97" s="7">
        <v>11</v>
      </c>
      <c r="AO97" s="8">
        <v>8700</v>
      </c>
      <c r="AP97" s="7">
        <v>500</v>
      </c>
      <c r="AQ97" s="7">
        <v>4</v>
      </c>
      <c r="AR97" s="7">
        <v>10900</v>
      </c>
      <c r="AS97" s="7">
        <v>200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9">
        <v>5760</v>
      </c>
      <c r="BM97" s="10">
        <v>47800</v>
      </c>
      <c r="BN97" s="15">
        <f>BM97-BL97</f>
        <v>42040</v>
      </c>
      <c r="BO97" s="16">
        <f t="shared" si="11"/>
        <v>29427.999999999996</v>
      </c>
    </row>
    <row r="98" spans="1:67" x14ac:dyDescent="0.3">
      <c r="A98" s="5" t="s">
        <v>180</v>
      </c>
      <c r="B98" s="5" t="s">
        <v>31</v>
      </c>
      <c r="C98" s="5">
        <v>159255</v>
      </c>
      <c r="D98" s="6"/>
      <c r="E98" s="5" t="s">
        <v>11</v>
      </c>
      <c r="F98" s="5" t="s">
        <v>16</v>
      </c>
      <c r="G98" s="5" t="s">
        <v>11</v>
      </c>
      <c r="H98" s="7" t="s">
        <v>8</v>
      </c>
      <c r="I98" s="7" t="s">
        <v>32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5</v>
      </c>
      <c r="AC98" s="7">
        <v>4500</v>
      </c>
      <c r="AD98" s="7">
        <v>0</v>
      </c>
      <c r="AE98" s="7">
        <v>0</v>
      </c>
      <c r="AF98" s="7">
        <v>0</v>
      </c>
      <c r="AG98" s="7">
        <v>0</v>
      </c>
      <c r="AH98" s="7">
        <v>10</v>
      </c>
      <c r="AI98" s="8">
        <v>10800</v>
      </c>
      <c r="AJ98" s="8">
        <v>0</v>
      </c>
      <c r="AK98" s="7">
        <v>0</v>
      </c>
      <c r="AL98" s="8">
        <v>0</v>
      </c>
      <c r="AM98" s="7">
        <v>0</v>
      </c>
      <c r="AN98" s="7">
        <v>0</v>
      </c>
      <c r="AO98" s="7">
        <v>0</v>
      </c>
      <c r="AP98" s="7">
        <v>0</v>
      </c>
      <c r="AQ98" s="7">
        <v>9</v>
      </c>
      <c r="AR98" s="7">
        <v>28800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9">
        <v>3240</v>
      </c>
      <c r="BM98" s="10">
        <v>44100</v>
      </c>
      <c r="BN98" s="15">
        <f>BM98-BL98</f>
        <v>40860</v>
      </c>
      <c r="BO98" s="16">
        <f t="shared" si="11"/>
        <v>28602</v>
      </c>
    </row>
    <row r="99" spans="1:67" x14ac:dyDescent="0.3">
      <c r="A99" s="5" t="s">
        <v>180</v>
      </c>
      <c r="B99" s="5" t="s">
        <v>87</v>
      </c>
      <c r="C99" s="5">
        <v>99966</v>
      </c>
      <c r="D99" s="6"/>
      <c r="E99" s="5" t="s">
        <v>11</v>
      </c>
      <c r="F99" s="5" t="s">
        <v>16</v>
      </c>
      <c r="G99" s="5" t="s">
        <v>11</v>
      </c>
      <c r="H99" s="7" t="s">
        <v>10</v>
      </c>
      <c r="I99" s="7" t="s">
        <v>88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66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8">
        <v>0</v>
      </c>
      <c r="AG99" s="7">
        <v>0</v>
      </c>
      <c r="AH99" s="7">
        <v>0</v>
      </c>
      <c r="AI99" s="7">
        <v>0</v>
      </c>
      <c r="AJ99" s="7">
        <v>0</v>
      </c>
      <c r="AK99" s="7">
        <v>309</v>
      </c>
      <c r="AL99" s="8">
        <v>0</v>
      </c>
      <c r="AM99" s="7">
        <v>30900</v>
      </c>
      <c r="AN99" s="7">
        <v>0</v>
      </c>
      <c r="AO99" s="7">
        <v>0</v>
      </c>
      <c r="AP99" s="7">
        <v>0</v>
      </c>
      <c r="AQ99" s="7">
        <v>0</v>
      </c>
      <c r="AR99" s="8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9">
        <v>0</v>
      </c>
      <c r="BM99" s="10">
        <v>30900</v>
      </c>
      <c r="BN99" s="15">
        <f t="shared" si="12"/>
        <v>30900</v>
      </c>
      <c r="BO99" s="16">
        <f t="shared" si="11"/>
        <v>21630</v>
      </c>
    </row>
    <row r="100" spans="1:67" ht="19.5" x14ac:dyDescent="0.3">
      <c r="A100" s="5" t="s">
        <v>180</v>
      </c>
      <c r="B100" s="5" t="s">
        <v>84</v>
      </c>
      <c r="C100" s="5">
        <v>408056</v>
      </c>
      <c r="D100" s="6"/>
      <c r="E100" s="5" t="s">
        <v>11</v>
      </c>
      <c r="F100" s="5" t="s">
        <v>13</v>
      </c>
      <c r="G100" s="5" t="s">
        <v>22</v>
      </c>
      <c r="H100" s="7" t="s">
        <v>7</v>
      </c>
      <c r="I100" s="7" t="s">
        <v>85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249</v>
      </c>
      <c r="AR100" s="8">
        <v>24500</v>
      </c>
      <c r="AS100" s="7">
        <v>400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24900</v>
      </c>
      <c r="BN100" s="15">
        <f t="shared" ref="BN100:BN107" si="13">BM100-BL100</f>
        <v>24900</v>
      </c>
      <c r="BO100" s="16">
        <f t="shared" si="11"/>
        <v>17430</v>
      </c>
    </row>
    <row r="101" spans="1:67" ht="19.5" x14ac:dyDescent="0.3">
      <c r="A101" s="5" t="s">
        <v>180</v>
      </c>
      <c r="B101" s="5" t="s">
        <v>177</v>
      </c>
      <c r="C101" s="5">
        <v>408450</v>
      </c>
      <c r="D101" s="6"/>
      <c r="E101" s="5" t="s">
        <v>11</v>
      </c>
      <c r="F101" s="5" t="s">
        <v>12</v>
      </c>
      <c r="G101" s="5" t="s">
        <v>22</v>
      </c>
      <c r="H101" s="7" t="s">
        <v>7</v>
      </c>
      <c r="I101" s="7" t="s">
        <v>117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8">
        <v>0</v>
      </c>
      <c r="AJ101" s="8">
        <v>0</v>
      </c>
      <c r="AK101" s="7">
        <v>171</v>
      </c>
      <c r="AL101" s="7">
        <v>22457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9">
        <v>6737.1</v>
      </c>
      <c r="BM101" s="10">
        <v>22457</v>
      </c>
      <c r="BN101" s="15">
        <f t="shared" si="13"/>
        <v>15719.9</v>
      </c>
      <c r="BO101" s="16">
        <f t="shared" si="11"/>
        <v>11003.929999999998</v>
      </c>
    </row>
    <row r="102" spans="1:67" x14ac:dyDescent="0.3">
      <c r="A102" s="5" t="s">
        <v>180</v>
      </c>
      <c r="B102" s="5" t="s">
        <v>24</v>
      </c>
      <c r="C102" s="5">
        <v>165741</v>
      </c>
      <c r="D102" s="6"/>
      <c r="E102" s="5" t="s">
        <v>11</v>
      </c>
      <c r="F102" s="5" t="s">
        <v>13</v>
      </c>
      <c r="G102" s="5" t="s">
        <v>11</v>
      </c>
      <c r="H102" s="7" t="s">
        <v>7</v>
      </c>
      <c r="I102" s="7" t="s">
        <v>25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3</v>
      </c>
      <c r="AC102" s="8">
        <v>2700</v>
      </c>
      <c r="AD102" s="7">
        <v>0</v>
      </c>
      <c r="AE102" s="7">
        <v>1</v>
      </c>
      <c r="AF102" s="7">
        <v>0</v>
      </c>
      <c r="AG102" s="7">
        <v>3200</v>
      </c>
      <c r="AH102" s="7">
        <v>15</v>
      </c>
      <c r="AI102" s="8">
        <v>16200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9">
        <v>4860</v>
      </c>
      <c r="BM102" s="10">
        <v>22100</v>
      </c>
      <c r="BN102" s="15">
        <f t="shared" si="13"/>
        <v>17240</v>
      </c>
      <c r="BO102" s="16">
        <f t="shared" si="11"/>
        <v>12068</v>
      </c>
    </row>
    <row r="103" spans="1:67" ht="19.5" x14ac:dyDescent="0.3">
      <c r="A103" s="5" t="s">
        <v>180</v>
      </c>
      <c r="B103" s="5" t="s">
        <v>93</v>
      </c>
      <c r="C103" s="5">
        <v>408050</v>
      </c>
      <c r="D103" s="6"/>
      <c r="E103" s="5" t="s">
        <v>11</v>
      </c>
      <c r="F103" s="5" t="s">
        <v>13</v>
      </c>
      <c r="G103" s="5" t="s">
        <v>22</v>
      </c>
      <c r="H103" s="7" t="s">
        <v>7</v>
      </c>
      <c r="I103" s="7" t="s">
        <v>94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160</v>
      </c>
      <c r="AL103" s="8">
        <v>19200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8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5760</v>
      </c>
      <c r="BM103" s="10">
        <v>19200</v>
      </c>
      <c r="BN103" s="15">
        <f t="shared" si="13"/>
        <v>13440</v>
      </c>
      <c r="BO103" s="16">
        <f t="shared" si="11"/>
        <v>9408</v>
      </c>
    </row>
    <row r="104" spans="1:67" x14ac:dyDescent="0.3">
      <c r="A104" s="5" t="s">
        <v>180</v>
      </c>
      <c r="B104" s="5" t="s">
        <v>47</v>
      </c>
      <c r="C104" s="5">
        <v>285993</v>
      </c>
      <c r="D104" s="6"/>
      <c r="E104" s="5" t="s">
        <v>11</v>
      </c>
      <c r="F104" s="5" t="s">
        <v>12</v>
      </c>
      <c r="G104" s="5" t="s">
        <v>11</v>
      </c>
      <c r="H104" s="7" t="s">
        <v>7</v>
      </c>
      <c r="I104" s="7" t="s">
        <v>48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17</v>
      </c>
      <c r="AC104" s="7">
        <v>15300</v>
      </c>
      <c r="AD104" s="7">
        <v>0</v>
      </c>
      <c r="AE104" s="7">
        <v>0</v>
      </c>
      <c r="AF104" s="8">
        <v>0</v>
      </c>
      <c r="AG104" s="7">
        <v>0</v>
      </c>
      <c r="AH104" s="7">
        <v>2</v>
      </c>
      <c r="AI104" s="7">
        <v>2160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648</v>
      </c>
      <c r="BM104" s="10">
        <v>17460</v>
      </c>
      <c r="BN104" s="15">
        <f t="shared" si="13"/>
        <v>16812</v>
      </c>
      <c r="BO104" s="16">
        <f t="shared" si="11"/>
        <v>11768.4</v>
      </c>
    </row>
    <row r="105" spans="1:67" x14ac:dyDescent="0.3">
      <c r="A105" s="5" t="s">
        <v>180</v>
      </c>
      <c r="B105" s="5" t="s">
        <v>40</v>
      </c>
      <c r="C105" s="5">
        <v>215737</v>
      </c>
      <c r="D105" s="6"/>
      <c r="E105" s="5" t="s">
        <v>11</v>
      </c>
      <c r="F105" s="5" t="s">
        <v>41</v>
      </c>
      <c r="G105" s="5" t="s">
        <v>11</v>
      </c>
      <c r="H105" s="7" t="s">
        <v>7</v>
      </c>
      <c r="I105" s="7" t="s">
        <v>42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6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8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72</v>
      </c>
      <c r="AL105" s="7">
        <v>5280</v>
      </c>
      <c r="AM105" s="7">
        <v>2800</v>
      </c>
      <c r="AN105" s="7">
        <v>0</v>
      </c>
      <c r="AO105" s="7">
        <v>0</v>
      </c>
      <c r="AP105" s="7">
        <v>0</v>
      </c>
      <c r="AQ105" s="7">
        <v>80</v>
      </c>
      <c r="AR105" s="7">
        <v>8000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1584</v>
      </c>
      <c r="BM105" s="10">
        <v>16080</v>
      </c>
      <c r="BN105" s="15">
        <f t="shared" si="13"/>
        <v>14496</v>
      </c>
      <c r="BO105" s="16">
        <f t="shared" si="11"/>
        <v>10147.199999999999</v>
      </c>
    </row>
    <row r="106" spans="1:67" x14ac:dyDescent="0.3">
      <c r="A106" s="5" t="s">
        <v>180</v>
      </c>
      <c r="B106" s="5" t="s">
        <v>33</v>
      </c>
      <c r="C106" s="5">
        <v>159266</v>
      </c>
      <c r="D106" s="6"/>
      <c r="E106" s="5" t="s">
        <v>11</v>
      </c>
      <c r="F106" s="5" t="s">
        <v>16</v>
      </c>
      <c r="G106" s="5" t="s">
        <v>11</v>
      </c>
      <c r="H106" s="7" t="s">
        <v>7</v>
      </c>
      <c r="I106" s="7" t="s">
        <v>29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7</v>
      </c>
      <c r="AC106" s="7">
        <v>6300</v>
      </c>
      <c r="AD106" s="7">
        <v>0</v>
      </c>
      <c r="AE106" s="7">
        <v>3</v>
      </c>
      <c r="AF106" s="8">
        <v>1500</v>
      </c>
      <c r="AG106" s="8">
        <v>8100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15900</v>
      </c>
      <c r="BN106" s="15">
        <f t="shared" si="13"/>
        <v>15900</v>
      </c>
      <c r="BO106" s="16">
        <f t="shared" si="11"/>
        <v>11130</v>
      </c>
    </row>
    <row r="107" spans="1:67" x14ac:dyDescent="0.3">
      <c r="A107" s="5" t="s">
        <v>180</v>
      </c>
      <c r="B107" s="5" t="s">
        <v>111</v>
      </c>
      <c r="C107" s="5">
        <v>404358</v>
      </c>
      <c r="D107" s="6"/>
      <c r="E107" s="5" t="s">
        <v>11</v>
      </c>
      <c r="F107" s="5" t="s">
        <v>112</v>
      </c>
      <c r="G107" s="5" t="s">
        <v>11</v>
      </c>
      <c r="H107" s="7" t="s">
        <v>7</v>
      </c>
      <c r="I107" s="7" t="s">
        <v>113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7">
        <v>0</v>
      </c>
      <c r="AG107" s="7">
        <v>100</v>
      </c>
      <c r="AH107" s="7">
        <v>0</v>
      </c>
      <c r="AI107" s="8">
        <v>0</v>
      </c>
      <c r="AJ107" s="7">
        <v>0</v>
      </c>
      <c r="AK107" s="7">
        <v>131</v>
      </c>
      <c r="AL107" s="7">
        <v>14400</v>
      </c>
      <c r="AM107" s="7">
        <v>1100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9">
        <v>4320</v>
      </c>
      <c r="BM107" s="10">
        <v>15600</v>
      </c>
      <c r="BN107" s="15">
        <f t="shared" si="13"/>
        <v>11280</v>
      </c>
      <c r="BO107" s="16">
        <f t="shared" si="11"/>
        <v>7895.9999999999991</v>
      </c>
    </row>
    <row r="108" spans="1:67" x14ac:dyDescent="0.3">
      <c r="A108" s="5" t="s">
        <v>180</v>
      </c>
      <c r="B108" s="5" t="s">
        <v>45</v>
      </c>
      <c r="C108" s="5">
        <v>192729</v>
      </c>
      <c r="D108" s="6"/>
      <c r="E108" s="5" t="s">
        <v>11</v>
      </c>
      <c r="F108" s="5" t="s">
        <v>36</v>
      </c>
      <c r="G108" s="5" t="s">
        <v>11</v>
      </c>
      <c r="H108" s="7" t="s">
        <v>7</v>
      </c>
      <c r="I108" s="7" t="s">
        <v>46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14</v>
      </c>
      <c r="AC108" s="7">
        <v>12100</v>
      </c>
      <c r="AD108" s="7">
        <v>0</v>
      </c>
      <c r="AE108" s="7">
        <v>0</v>
      </c>
      <c r="AF108" s="8">
        <v>0</v>
      </c>
      <c r="AG108" s="7">
        <v>0</v>
      </c>
      <c r="AH108" s="7">
        <v>3</v>
      </c>
      <c r="AI108" s="7">
        <v>480</v>
      </c>
      <c r="AJ108" s="7">
        <v>1000</v>
      </c>
      <c r="AK108" s="7">
        <v>0</v>
      </c>
      <c r="AL108" s="8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9">
        <v>144</v>
      </c>
      <c r="BM108" s="10">
        <v>13580</v>
      </c>
      <c r="BN108" s="15">
        <f t="shared" si="12"/>
        <v>13436</v>
      </c>
      <c r="BO108" s="16">
        <f t="shared" si="11"/>
        <v>9405.1999999999989</v>
      </c>
    </row>
    <row r="109" spans="1:67" x14ac:dyDescent="0.3">
      <c r="A109" s="5" t="s">
        <v>180</v>
      </c>
      <c r="B109" s="5" t="s">
        <v>34</v>
      </c>
      <c r="C109" s="5">
        <v>173863</v>
      </c>
      <c r="D109" s="6"/>
      <c r="E109" s="5" t="s">
        <v>11</v>
      </c>
      <c r="F109" s="5" t="s">
        <v>16</v>
      </c>
      <c r="G109" s="5" t="s">
        <v>11</v>
      </c>
      <c r="H109" s="7" t="s">
        <v>7</v>
      </c>
      <c r="I109" s="7" t="s">
        <v>35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8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10</v>
      </c>
      <c r="AI109" s="7">
        <v>10800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3240</v>
      </c>
      <c r="BM109" s="10">
        <v>10800</v>
      </c>
      <c r="BN109" s="15">
        <f t="shared" ref="BN109:BN116" si="14">BM109-BL109</f>
        <v>7560</v>
      </c>
      <c r="BO109" s="16">
        <f t="shared" si="11"/>
        <v>5292</v>
      </c>
    </row>
    <row r="110" spans="1:67" ht="19.5" x14ac:dyDescent="0.3">
      <c r="A110" s="5" t="s">
        <v>180</v>
      </c>
      <c r="B110" s="5" t="s">
        <v>116</v>
      </c>
      <c r="C110" s="5">
        <v>409391</v>
      </c>
      <c r="D110" s="6"/>
      <c r="E110" s="5" t="s">
        <v>11</v>
      </c>
      <c r="F110" s="5" t="s">
        <v>36</v>
      </c>
      <c r="G110" s="5" t="s">
        <v>22</v>
      </c>
      <c r="H110" s="7" t="s">
        <v>7</v>
      </c>
      <c r="I110" s="7" t="s">
        <v>23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8">
        <v>0</v>
      </c>
      <c r="AD110" s="7">
        <v>0</v>
      </c>
      <c r="AE110" s="7">
        <v>108</v>
      </c>
      <c r="AF110" s="7">
        <v>10800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10800</v>
      </c>
      <c r="BN110" s="15">
        <f t="shared" si="14"/>
        <v>10800</v>
      </c>
      <c r="BO110" s="16">
        <f t="shared" si="11"/>
        <v>7559.9999999999991</v>
      </c>
    </row>
    <row r="111" spans="1:67" x14ac:dyDescent="0.3">
      <c r="A111" s="5" t="s">
        <v>180</v>
      </c>
      <c r="B111" s="5" t="s">
        <v>81</v>
      </c>
      <c r="C111" s="5">
        <v>326544</v>
      </c>
      <c r="D111" s="6"/>
      <c r="E111" s="5" t="s">
        <v>11</v>
      </c>
      <c r="F111" s="5" t="s">
        <v>82</v>
      </c>
      <c r="G111" s="5" t="s">
        <v>11</v>
      </c>
      <c r="H111" s="7" t="s">
        <v>7</v>
      </c>
      <c r="I111" s="7" t="s">
        <v>83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9</v>
      </c>
      <c r="T111" s="7">
        <v>7</v>
      </c>
      <c r="U111" s="7">
        <v>0</v>
      </c>
      <c r="V111" s="7">
        <v>0</v>
      </c>
      <c r="W111" s="7">
        <v>0</v>
      </c>
      <c r="X111" s="7">
        <v>1053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55</v>
      </c>
      <c r="AF111" s="7">
        <v>600</v>
      </c>
      <c r="AG111" s="7">
        <v>4900</v>
      </c>
      <c r="AH111" s="7">
        <v>0</v>
      </c>
      <c r="AI111" s="8">
        <v>0</v>
      </c>
      <c r="AJ111" s="7">
        <v>0</v>
      </c>
      <c r="AK111" s="7">
        <v>3</v>
      </c>
      <c r="AL111" s="7">
        <v>360</v>
      </c>
      <c r="AM111" s="7">
        <v>0</v>
      </c>
      <c r="AN111" s="7">
        <v>0</v>
      </c>
      <c r="AO111" s="7">
        <v>0</v>
      </c>
      <c r="AP111" s="7">
        <v>0</v>
      </c>
      <c r="AQ111" s="7">
        <v>36</v>
      </c>
      <c r="AR111" s="7">
        <v>3600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423.9</v>
      </c>
      <c r="BM111" s="10">
        <v>10513</v>
      </c>
      <c r="BN111" s="15">
        <f t="shared" si="14"/>
        <v>10089.1</v>
      </c>
      <c r="BO111" s="16">
        <f t="shared" si="11"/>
        <v>7062.37</v>
      </c>
    </row>
    <row r="112" spans="1:67" x14ac:dyDescent="0.3">
      <c r="A112" s="5" t="s">
        <v>180</v>
      </c>
      <c r="B112" s="5" t="s">
        <v>108</v>
      </c>
      <c r="C112" s="5">
        <v>285990</v>
      </c>
      <c r="D112" s="6"/>
      <c r="E112" s="5" t="s">
        <v>11</v>
      </c>
      <c r="F112" s="5" t="s">
        <v>12</v>
      </c>
      <c r="G112" s="5" t="s">
        <v>11</v>
      </c>
      <c r="H112" s="7" t="s">
        <v>7</v>
      </c>
      <c r="I112" s="7" t="s">
        <v>48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8">
        <v>0</v>
      </c>
      <c r="AH112" s="7">
        <v>3</v>
      </c>
      <c r="AI112" s="7">
        <v>2160</v>
      </c>
      <c r="AJ112" s="7">
        <v>900</v>
      </c>
      <c r="AK112" s="7">
        <v>0</v>
      </c>
      <c r="AL112" s="7">
        <v>0</v>
      </c>
      <c r="AM112" s="7">
        <v>0</v>
      </c>
      <c r="AN112" s="7">
        <v>4</v>
      </c>
      <c r="AO112" s="7">
        <v>3000</v>
      </c>
      <c r="AP112" s="7">
        <v>600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648</v>
      </c>
      <c r="BM112" s="10">
        <v>6660</v>
      </c>
      <c r="BN112" s="15">
        <f t="shared" si="14"/>
        <v>6012</v>
      </c>
      <c r="BO112" s="16">
        <f t="shared" si="11"/>
        <v>4208.3999999999996</v>
      </c>
    </row>
    <row r="113" spans="1:67" ht="19.5" x14ac:dyDescent="0.3">
      <c r="A113" s="5" t="s">
        <v>180</v>
      </c>
      <c r="B113" s="5" t="s">
        <v>21</v>
      </c>
      <c r="C113" s="5">
        <v>409392</v>
      </c>
      <c r="D113" s="6"/>
      <c r="E113" s="5" t="s">
        <v>11</v>
      </c>
      <c r="F113" s="5" t="s">
        <v>13</v>
      </c>
      <c r="G113" s="5" t="s">
        <v>22</v>
      </c>
      <c r="H113" s="7" t="s">
        <v>7</v>
      </c>
      <c r="I113" s="7" t="s">
        <v>23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8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55</v>
      </c>
      <c r="AL113" s="7">
        <v>6600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1980</v>
      </c>
      <c r="BM113" s="10">
        <v>6600</v>
      </c>
      <c r="BN113" s="15">
        <f t="shared" si="14"/>
        <v>4620</v>
      </c>
      <c r="BO113" s="16">
        <f t="shared" si="11"/>
        <v>3234</v>
      </c>
    </row>
    <row r="114" spans="1:67" x14ac:dyDescent="0.3">
      <c r="A114" s="5" t="s">
        <v>180</v>
      </c>
      <c r="B114" s="5" t="s">
        <v>57</v>
      </c>
      <c r="C114" s="5">
        <v>258201</v>
      </c>
      <c r="D114" s="6"/>
      <c r="E114" s="5" t="s">
        <v>11</v>
      </c>
      <c r="F114" s="5" t="s">
        <v>41</v>
      </c>
      <c r="G114" s="5" t="s">
        <v>11</v>
      </c>
      <c r="H114" s="7" t="s">
        <v>7</v>
      </c>
      <c r="I114" s="7" t="s">
        <v>58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6</v>
      </c>
      <c r="AC114" s="7">
        <v>5400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8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5400</v>
      </c>
      <c r="BN114" s="15">
        <f t="shared" si="14"/>
        <v>5400</v>
      </c>
      <c r="BO114" s="16">
        <f t="shared" si="11"/>
        <v>3779.9999999999995</v>
      </c>
    </row>
    <row r="115" spans="1:67" x14ac:dyDescent="0.3">
      <c r="A115" s="5" t="s">
        <v>180</v>
      </c>
      <c r="B115" s="5" t="s">
        <v>38</v>
      </c>
      <c r="C115" s="5">
        <v>268655</v>
      </c>
      <c r="D115" s="6"/>
      <c r="E115" s="5" t="s">
        <v>11</v>
      </c>
      <c r="F115" s="5" t="s">
        <v>16</v>
      </c>
      <c r="G115" s="5" t="s">
        <v>11</v>
      </c>
      <c r="H115" s="7" t="s">
        <v>7</v>
      </c>
      <c r="I115" s="7" t="s">
        <v>39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4</v>
      </c>
      <c r="AC115" s="7">
        <v>3600</v>
      </c>
      <c r="AD115" s="7">
        <v>0</v>
      </c>
      <c r="AE115" s="7">
        <v>0</v>
      </c>
      <c r="AF115" s="7">
        <v>0</v>
      </c>
      <c r="AG115" s="7">
        <v>0</v>
      </c>
      <c r="AH115" s="7">
        <v>1</v>
      </c>
      <c r="AI115" s="8">
        <v>1080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324</v>
      </c>
      <c r="BM115" s="10">
        <v>4680</v>
      </c>
      <c r="BN115" s="15">
        <f t="shared" si="14"/>
        <v>4356</v>
      </c>
      <c r="BO115" s="16">
        <f t="shared" si="11"/>
        <v>3049.2</v>
      </c>
    </row>
    <row r="116" spans="1:67" x14ac:dyDescent="0.3">
      <c r="A116" s="5" t="s">
        <v>180</v>
      </c>
      <c r="B116" s="5" t="s">
        <v>76</v>
      </c>
      <c r="C116" s="5">
        <v>418829</v>
      </c>
      <c r="D116" s="6"/>
      <c r="E116" s="5" t="s">
        <v>11</v>
      </c>
      <c r="F116" s="5" t="s">
        <v>16</v>
      </c>
      <c r="G116" s="5" t="s">
        <v>11</v>
      </c>
      <c r="H116" s="7" t="s">
        <v>7</v>
      </c>
      <c r="I116" s="7" t="s">
        <v>77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40</v>
      </c>
      <c r="AL116" s="7">
        <v>4546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1363.8</v>
      </c>
      <c r="BM116" s="11">
        <v>4546</v>
      </c>
      <c r="BN116" s="15">
        <f t="shared" si="14"/>
        <v>3182.2</v>
      </c>
      <c r="BO116" s="16">
        <f t="shared" si="11"/>
        <v>2227.5399999999995</v>
      </c>
    </row>
    <row r="117" spans="1:67" x14ac:dyDescent="0.3">
      <c r="A117" s="5" t="s">
        <v>180</v>
      </c>
      <c r="B117" s="5" t="s">
        <v>90</v>
      </c>
      <c r="C117" s="5">
        <v>395747</v>
      </c>
      <c r="D117" s="6"/>
      <c r="E117" s="5" t="s">
        <v>11</v>
      </c>
      <c r="F117" s="5" t="s">
        <v>12</v>
      </c>
      <c r="G117" s="5" t="s">
        <v>11</v>
      </c>
      <c r="H117" s="7" t="s">
        <v>7</v>
      </c>
      <c r="I117" s="7" t="s">
        <v>91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40</v>
      </c>
      <c r="AF117" s="7">
        <v>4000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1">
        <v>4000</v>
      </c>
      <c r="BN117" s="15">
        <f t="shared" si="12"/>
        <v>4000</v>
      </c>
      <c r="BO117" s="16">
        <f t="shared" si="11"/>
        <v>2800</v>
      </c>
    </row>
    <row r="118" spans="1:67" x14ac:dyDescent="0.3">
      <c r="A118" s="5" t="s">
        <v>180</v>
      </c>
      <c r="B118" s="5" t="s">
        <v>89</v>
      </c>
      <c r="C118" s="5">
        <v>192732</v>
      </c>
      <c r="D118" s="6"/>
      <c r="E118" s="5" t="s">
        <v>11</v>
      </c>
      <c r="F118" s="5" t="s">
        <v>36</v>
      </c>
      <c r="G118" s="5" t="s">
        <v>11</v>
      </c>
      <c r="H118" s="7" t="s">
        <v>7</v>
      </c>
      <c r="I118" s="7" t="s">
        <v>37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2</v>
      </c>
      <c r="AC118" s="7">
        <v>900</v>
      </c>
      <c r="AD118" s="7">
        <v>300</v>
      </c>
      <c r="AE118" s="7">
        <v>0</v>
      </c>
      <c r="AF118" s="7">
        <v>0</v>
      </c>
      <c r="AG118" s="7">
        <v>0</v>
      </c>
      <c r="AH118" s="7">
        <v>2</v>
      </c>
      <c r="AI118" s="7">
        <v>0</v>
      </c>
      <c r="AJ118" s="7">
        <v>1500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1">
        <v>2700</v>
      </c>
      <c r="BN118" s="15">
        <f t="shared" ref="BN118:BN123" si="15">BM118-BL118</f>
        <v>2700</v>
      </c>
      <c r="BO118" s="16">
        <f t="shared" si="11"/>
        <v>1889.9999999999998</v>
      </c>
    </row>
    <row r="119" spans="1:67" x14ac:dyDescent="0.3">
      <c r="A119" s="5" t="s">
        <v>180</v>
      </c>
      <c r="B119" s="5" t="s">
        <v>64</v>
      </c>
      <c r="C119" s="5">
        <v>238494</v>
      </c>
      <c r="E119" s="5" t="s">
        <v>11</v>
      </c>
      <c r="F119" s="5" t="s">
        <v>36</v>
      </c>
      <c r="G119" s="5" t="s">
        <v>11</v>
      </c>
      <c r="H119" s="7" t="s">
        <v>7</v>
      </c>
      <c r="I119" s="7" t="s">
        <v>65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2</v>
      </c>
      <c r="AI119" s="7">
        <v>2160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648</v>
      </c>
      <c r="BM119" s="11">
        <v>2160</v>
      </c>
      <c r="BN119" s="15">
        <f t="shared" si="15"/>
        <v>1512</v>
      </c>
      <c r="BO119" s="16">
        <f t="shared" si="11"/>
        <v>1058.3999999999999</v>
      </c>
    </row>
    <row r="120" spans="1:67" ht="19.5" x14ac:dyDescent="0.3">
      <c r="A120" s="5" t="s">
        <v>180</v>
      </c>
      <c r="B120" s="5" t="s">
        <v>51</v>
      </c>
      <c r="C120" s="5">
        <v>413545</v>
      </c>
      <c r="E120" s="5" t="s">
        <v>11</v>
      </c>
      <c r="F120" s="5" t="s">
        <v>16</v>
      </c>
      <c r="G120" s="5" t="s">
        <v>22</v>
      </c>
      <c r="H120" s="7" t="s">
        <v>8</v>
      </c>
      <c r="I120" s="7" t="s">
        <v>52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15</v>
      </c>
      <c r="AL120" s="7">
        <v>1800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540</v>
      </c>
      <c r="BM120" s="11">
        <v>1800</v>
      </c>
      <c r="BN120" s="15">
        <f t="shared" si="15"/>
        <v>1260</v>
      </c>
      <c r="BO120" s="16">
        <f t="shared" si="11"/>
        <v>882</v>
      </c>
    </row>
    <row r="121" spans="1:67" ht="19.5" x14ac:dyDescent="0.3">
      <c r="A121" s="5" t="s">
        <v>180</v>
      </c>
      <c r="B121" s="5" t="s">
        <v>43</v>
      </c>
      <c r="C121" s="5">
        <v>408054</v>
      </c>
      <c r="E121" s="5" t="s">
        <v>11</v>
      </c>
      <c r="F121" s="5" t="s">
        <v>16</v>
      </c>
      <c r="G121" s="5" t="s">
        <v>22</v>
      </c>
      <c r="H121" s="7" t="s">
        <v>10</v>
      </c>
      <c r="I121" s="7" t="s">
        <v>44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16</v>
      </c>
      <c r="AF121" s="7">
        <v>1600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1">
        <v>1600</v>
      </c>
      <c r="BN121" s="15">
        <f t="shared" si="15"/>
        <v>1600</v>
      </c>
      <c r="BO121" s="16">
        <f t="shared" si="11"/>
        <v>1120</v>
      </c>
    </row>
    <row r="122" spans="1:67" x14ac:dyDescent="0.3">
      <c r="A122" s="5" t="s">
        <v>180</v>
      </c>
      <c r="B122" s="5" t="s">
        <v>183</v>
      </c>
      <c r="C122" s="5">
        <v>249762</v>
      </c>
      <c r="E122" s="5" t="s">
        <v>11</v>
      </c>
      <c r="F122" s="5" t="s">
        <v>12</v>
      </c>
      <c r="G122" s="5" t="s">
        <v>11</v>
      </c>
      <c r="H122" s="7" t="s">
        <v>7</v>
      </c>
      <c r="I122" s="7" t="s">
        <v>184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6</v>
      </c>
      <c r="AR122" s="7">
        <v>600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1">
        <v>600</v>
      </c>
      <c r="BN122" s="15">
        <f t="shared" si="15"/>
        <v>600</v>
      </c>
      <c r="BO122" s="16">
        <f t="shared" si="11"/>
        <v>420</v>
      </c>
    </row>
    <row r="123" spans="1:67" x14ac:dyDescent="0.3">
      <c r="A123" s="5" t="s">
        <v>180</v>
      </c>
      <c r="B123" s="5" t="s">
        <v>189</v>
      </c>
      <c r="C123" s="5">
        <v>210381</v>
      </c>
      <c r="E123" s="5" t="s">
        <v>11</v>
      </c>
      <c r="F123" s="5" t="s">
        <v>36</v>
      </c>
      <c r="G123" s="5" t="s">
        <v>11</v>
      </c>
      <c r="H123" s="7" t="s">
        <v>7</v>
      </c>
      <c r="I123" s="7" t="s">
        <v>190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100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1">
        <v>100</v>
      </c>
      <c r="BN123" s="15">
        <f t="shared" si="15"/>
        <v>100</v>
      </c>
      <c r="BO123" s="16">
        <f t="shared" si="11"/>
        <v>70</v>
      </c>
    </row>
    <row r="124" spans="1:67" x14ac:dyDescent="0.3">
      <c r="BO124" s="18">
        <f>SUM(BO2:BO123)</f>
        <v>7920316.6000000015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2022-11-02T05:26:06Z</dcterms:modified>
</cp:coreProperties>
</file>