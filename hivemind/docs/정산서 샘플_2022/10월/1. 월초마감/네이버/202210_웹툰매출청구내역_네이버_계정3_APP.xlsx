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네이버\"/>
    </mc:Choice>
  </mc:AlternateContent>
  <bookViews>
    <workbookView xWindow="0" yWindow="0" windowWidth="23040" windowHeight="8955" tabRatio="766"/>
  </bookViews>
  <sheets>
    <sheet name="합계(10)" sheetId="412" r:id="rId1"/>
  </sheets>
  <definedNames>
    <definedName name="_xlnm._FilterDatabase" localSheetId="0" hidden="1">'합계(10)'!$A$1:$BQ$32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BO77" i="412" l="1"/>
  <c r="BO76" i="412"/>
  <c r="BN76" i="412"/>
  <c r="BN73" i="412" l="1"/>
  <c r="BO73" i="412" s="1"/>
  <c r="BN74" i="412"/>
  <c r="BO74" i="412" s="1"/>
  <c r="BN75" i="412"/>
  <c r="BO75" i="412" s="1"/>
  <c r="BN72" i="412"/>
  <c r="BO72" i="412" s="1"/>
  <c r="BN71" i="412" l="1"/>
  <c r="BO71" i="412" s="1"/>
  <c r="BN70" i="412"/>
  <c r="BO70" i="412" s="1"/>
  <c r="BN69" i="412"/>
  <c r="BO69" i="412" s="1"/>
  <c r="BN33" i="412" l="1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32" i="412"/>
  <c r="BO32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2" i="412"/>
  <c r="BO2" i="412" s="1"/>
</calcChain>
</file>

<file path=xl/sharedStrings.xml><?xml version="1.0" encoding="utf-8"?>
<sst xmlns="http://schemas.openxmlformats.org/spreadsheetml/2006/main" count="594" uniqueCount="170">
  <si>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</si>
  <si>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</si>
  <si>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</si>
  <si>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</si>
  <si>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</si>
  <si>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</si>
  <si>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</si>
  <si>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</si>
  <si>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</si>
  <si>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</si>
  <si>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</si>
  <si>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</si>
  <si>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2022.03.16</t>
  </si>
  <si>
    <t>시리즈(APP)</t>
    <phoneticPr fontId="20" type="noConversion"/>
  </si>
  <si>
    <t>시리즈 완전판(APP)</t>
    <phoneticPr fontId="20" type="noConversion"/>
  </si>
  <si>
    <t>시리즈(iOS)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</si>
  <si>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</si>
  <si>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</si>
  <si>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</si>
  <si>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</si>
  <si>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</si>
  <si>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</si>
  <si>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</si>
  <si>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</si>
  <si>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</si>
  <si>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</si>
  <si>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</si>
  <si>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</si>
  <si>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</si>
  <si>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</si>
  <si>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</si>
  <si>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</si>
  <si>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</si>
  <si>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</si>
  <si>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</si>
  <si>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</si>
  <si>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</si>
  <si>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</si>
  <si>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</si>
  <si>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</si>
  <si>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</si>
  <si>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</si>
  <si>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</si>
  <si>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</si>
  <si>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</si>
  <si>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</si>
  <si>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</si>
  <si>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</si>
  <si>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</si>
  <si>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</si>
  <si>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</si>
  <si>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</si>
  <si>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</si>
  <si>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</si>
  <si>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</si>
  <si>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</si>
  <si>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</si>
  <si>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</si>
  <si>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</si>
  <si>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</si>
  <si>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</si>
  <si>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</si>
  <si>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</si>
  <si>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</si>
  <si>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</si>
  <si>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</si>
  <si>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</si>
  <si>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</si>
  <si>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</si>
  <si>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</si>
  <si>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</si>
  <si>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</si>
  <si>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</si>
  <si>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</si>
  <si>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2022.09.02</t>
  </si>
  <si>
    <t>별빛 아래 우리</t>
  </si>
  <si>
    <t>스토리위즈_만화</t>
  </si>
  <si>
    <t>건일</t>
  </si>
  <si>
    <t>스토리위즈</t>
  </si>
  <si>
    <t>가출천사 육성계약</t>
  </si>
  <si>
    <t>Bae.C, 조우</t>
  </si>
  <si>
    <t>악역이지만, 남주는 꼬시지 않아요</t>
  </si>
  <si>
    <t>kuri</t>
  </si>
  <si>
    <t>공주전쟁</t>
  </si>
  <si>
    <t>Luojie</t>
  </si>
  <si>
    <t>폐하, 옥체 보존하세요!</t>
  </si>
  <si>
    <t>IvyeqianheXyouzhijiaozi</t>
  </si>
  <si>
    <t>2020.07.13</t>
  </si>
  <si>
    <t>개천고 세계편</t>
  </si>
  <si>
    <t>채준</t>
  </si>
  <si>
    <t>2022.05.02</t>
  </si>
  <si>
    <t>최애에게 들켜버렸다</t>
  </si>
  <si>
    <t>Lv</t>
  </si>
  <si>
    <t>결혼전쟁</t>
  </si>
  <si>
    <t>성c네</t>
  </si>
  <si>
    <t>2018.09.30</t>
  </si>
  <si>
    <t>이세계 소환은 두 번째라구요</t>
  </si>
  <si>
    <t>Arashiyama</t>
  </si>
  <si>
    <t>2021.07.23</t>
  </si>
  <si>
    <t>계약연애, 오늘부터 1일</t>
  </si>
  <si>
    <t>원기공장</t>
  </si>
  <si>
    <t>2019.03.11</t>
  </si>
  <si>
    <t>무령후</t>
  </si>
  <si>
    <t>당만문화</t>
  </si>
  <si>
    <t>2019.01.27</t>
  </si>
  <si>
    <t>그남자의 사랑방식 [BL]</t>
  </si>
  <si>
    <t>원색동만</t>
  </si>
  <si>
    <t>2020.02.01</t>
  </si>
  <si>
    <t>역전의★샤이닝스타</t>
  </si>
  <si>
    <t>등광&amp;낙생</t>
  </si>
  <si>
    <t>2018.12.15</t>
  </si>
  <si>
    <t>마스코마스코 [독점]</t>
  </si>
  <si>
    <t>남정훈</t>
  </si>
  <si>
    <t>2021.10.25</t>
  </si>
  <si>
    <t>요괴님은 수련중</t>
  </si>
  <si>
    <t>망북</t>
  </si>
  <si>
    <t>보스 오빠, 살살!</t>
  </si>
  <si>
    <t>웹티, 올코</t>
  </si>
  <si>
    <t>2021.12.04</t>
  </si>
  <si>
    <t>달콤한 결혼</t>
  </si>
  <si>
    <t>낙신동만</t>
  </si>
  <si>
    <t>2019.02.10</t>
  </si>
  <si>
    <t>엔젤일진</t>
  </si>
  <si>
    <t>대운</t>
  </si>
  <si>
    <t>2022.05.08</t>
  </si>
  <si>
    <t>폭군의 눈물</t>
  </si>
  <si>
    <t>Ice×FANFAN COMIC</t>
  </si>
  <si>
    <t>바람의 전설</t>
  </si>
  <si>
    <t>성준(聖俊)</t>
  </si>
  <si>
    <t>2019.06.08</t>
  </si>
  <si>
    <t>백스테이지 키스신</t>
  </si>
  <si>
    <t>수정과</t>
  </si>
  <si>
    <t>2019.12.07</t>
  </si>
  <si>
    <t>커피여우 김삼월</t>
  </si>
  <si>
    <t>A.Noa, RK Studio</t>
  </si>
  <si>
    <t>천년의 사랑</t>
  </si>
  <si>
    <t>2019.10.05</t>
  </si>
  <si>
    <t>내 남편의 스토커</t>
  </si>
  <si>
    <t>혜원</t>
  </si>
  <si>
    <t>예쁜 남자 잘생긴 여자</t>
  </si>
  <si>
    <t>웹티,올코</t>
  </si>
  <si>
    <t>2020.08.24</t>
  </si>
  <si>
    <t>달콤한 그와 결혼했습니다</t>
  </si>
  <si>
    <t>2020.05.25</t>
  </si>
  <si>
    <t>사랑을 찾아서</t>
  </si>
  <si>
    <t>웹툰TV</t>
  </si>
  <si>
    <t>2020.04.01</t>
  </si>
  <si>
    <t>웹툰앤엔드(IOS)</t>
    <phoneticPr fontId="20" type="noConversion"/>
  </si>
  <si>
    <t>2022.09.21</t>
  </si>
  <si>
    <t>윤's 커피</t>
  </si>
  <si>
    <t>올코,세븐영</t>
  </si>
  <si>
    <t>황제의 사랑방식[BL]</t>
  </si>
  <si>
    <t>T.M, 올코</t>
  </si>
  <si>
    <t>2020.03.08</t>
  </si>
  <si>
    <t>웹툰스토어APP</t>
    <phoneticPr fontId="20" type="noConversion"/>
  </si>
  <si>
    <t>웹툰앤엔드APP</t>
    <phoneticPr fontId="20" type="noConversion"/>
  </si>
  <si>
    <t>출판사</t>
    <phoneticPr fontId="20" type="noConversion"/>
  </si>
  <si>
    <t>작가 CP</t>
    <phoneticPr fontId="20" type="noConversion"/>
  </si>
  <si>
    <t>2022.10.27</t>
  </si>
  <si>
    <t>2022.10.28</t>
  </si>
  <si>
    <t>옹주의 호위무사</t>
  </si>
  <si>
    <t>수국</t>
  </si>
  <si>
    <t>2022.10.17</t>
  </si>
  <si>
    <t>2022.11.02</t>
  </si>
  <si>
    <t>일월성신</t>
  </si>
  <si>
    <t>이름표</t>
  </si>
  <si>
    <t>2022.10.31</t>
  </si>
  <si>
    <t>달콤한 키스</t>
  </si>
  <si>
    <t>CF,성C네</t>
  </si>
  <si>
    <t>2019.11.16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</si>
</sst>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0" fontId="22" fillId="0" borderId="0" xfId="0" applyFont="1">
      <alignment vertical="center"/>
    </xf>
    <xf numFmtId="43" fontId="22" fillId="0" borderId="0" xfId="42" applyNumberFormat="1" applyFont="1" applyFill="1">
      <alignment vertical="center"/>
    </xf>
    <xf numFmtId="41" fontId="23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284"/>
  <sheetViews>
    <sheetView tabSelected="1" zoomScaleNormal="100" workbookViewId="0"/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7.75" style="13" customWidth="1"/>
    <col min="67" max="67" width="16.75" style="13" customWidth="1"/>
  </cols>
  <sheetData>
    <row r="1" spans="1:69" ht="27" customHeight="1" x14ac:dyDescent="0.3">
      <c r="A1" s="2" t="s">
        <v>16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17</v>
      </c>
      <c r="I1" s="14" t="s">
        <v>6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  <c r="O1" s="12" t="s">
        <v>23</v>
      </c>
      <c r="P1" s="12" t="s">
        <v>24</v>
      </c>
      <c r="Q1" s="12" t="s">
        <v>25</v>
      </c>
      <c r="R1" s="12" t="s">
        <v>26</v>
      </c>
      <c r="S1" s="12" t="s">
        <v>27</v>
      </c>
      <c r="T1" s="12" t="s">
        <v>28</v>
      </c>
      <c r="U1" s="12" t="s">
        <v>29</v>
      </c>
      <c r="V1" s="12" t="s">
        <v>30</v>
      </c>
      <c r="W1" s="12" t="s">
        <v>31</v>
      </c>
      <c r="X1" s="12" t="s">
        <v>32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44</v>
      </c>
      <c r="AK1" s="12" t="s">
        <v>45</v>
      </c>
      <c r="AL1" s="12" t="s">
        <v>46</v>
      </c>
      <c r="AM1" s="12" t="s">
        <v>47</v>
      </c>
      <c r="AN1" s="12" t="s">
        <v>48</v>
      </c>
      <c r="AO1" s="12" t="s">
        <v>49</v>
      </c>
      <c r="AP1" s="12" t="s">
        <v>50</v>
      </c>
      <c r="AQ1" s="12" t="s">
        <v>51</v>
      </c>
      <c r="AR1" s="12" t="s">
        <v>52</v>
      </c>
      <c r="AS1" s="12" t="s">
        <v>53</v>
      </c>
      <c r="AT1" s="12" t="s">
        <v>54</v>
      </c>
      <c r="AU1" s="12" t="s">
        <v>55</v>
      </c>
      <c r="AV1" s="12" t="s">
        <v>56</v>
      </c>
      <c r="AW1" s="12" t="s">
        <v>57</v>
      </c>
      <c r="AX1" s="12" t="s">
        <v>58</v>
      </c>
      <c r="AY1" s="12" t="s">
        <v>59</v>
      </c>
      <c r="AZ1" s="12" t="s">
        <v>60</v>
      </c>
      <c r="BA1" s="12" t="s">
        <v>61</v>
      </c>
      <c r="BB1" s="12" t="s">
        <v>62</v>
      </c>
      <c r="BC1" s="12" t="s">
        <v>63</v>
      </c>
      <c r="BD1" s="12" t="s">
        <v>64</v>
      </c>
      <c r="BE1" s="12" t="s">
        <v>65</v>
      </c>
      <c r="BF1" s="12" t="s">
        <v>66</v>
      </c>
      <c r="BG1" s="12" t="s">
        <v>67</v>
      </c>
      <c r="BH1" s="12" t="s">
        <v>68</v>
      </c>
      <c r="BI1" s="12" t="s">
        <v>69</v>
      </c>
      <c r="BJ1" s="12" t="s">
        <v>70</v>
      </c>
      <c r="BK1" s="12" t="s">
        <v>71</v>
      </c>
      <c r="BL1" s="12" t="s">
        <v>11</v>
      </c>
      <c r="BM1" s="12" t="s">
        <v>10</v>
      </c>
      <c r="BN1" s="12" t="s">
        <v>72</v>
      </c>
      <c r="BO1" s="12" t="s">
        <v>73</v>
      </c>
      <c r="BP1" s="12" t="s">
        <v>156</v>
      </c>
      <c r="BQ1" s="12" t="s">
        <v>157</v>
      </c>
    </row>
    <row r="2" spans="1:69" x14ac:dyDescent="0.3">
      <c r="A2" s="5" t="s">
        <v>13</v>
      </c>
      <c r="B2" s="5" t="s">
        <v>75</v>
      </c>
      <c r="C2" s="5">
        <v>435954</v>
      </c>
      <c r="D2" s="6"/>
      <c r="E2" s="5" t="s">
        <v>76</v>
      </c>
      <c r="F2" s="5" t="s">
        <v>77</v>
      </c>
      <c r="G2" s="5" t="s">
        <v>78</v>
      </c>
      <c r="H2" s="7" t="s">
        <v>7</v>
      </c>
      <c r="I2" s="7" t="s">
        <v>158</v>
      </c>
      <c r="J2" s="7">
        <v>0</v>
      </c>
      <c r="K2" s="7">
        <v>82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4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915</v>
      </c>
      <c r="AC2" s="8">
        <v>126160</v>
      </c>
      <c r="AD2" s="8">
        <v>64100</v>
      </c>
      <c r="AE2" s="7">
        <v>78</v>
      </c>
      <c r="AF2" s="8">
        <v>19800</v>
      </c>
      <c r="AG2" s="8">
        <v>10500</v>
      </c>
      <c r="AH2" s="7">
        <v>2</v>
      </c>
      <c r="AI2" s="8">
        <v>240</v>
      </c>
      <c r="AJ2" s="7">
        <v>200</v>
      </c>
      <c r="AK2" s="7">
        <v>0</v>
      </c>
      <c r="AL2" s="7">
        <v>0</v>
      </c>
      <c r="AM2" s="7">
        <v>0</v>
      </c>
      <c r="AN2" s="7">
        <v>30</v>
      </c>
      <c r="AO2" s="8">
        <v>6000</v>
      </c>
      <c r="AP2" s="7">
        <v>0</v>
      </c>
      <c r="AQ2" s="7">
        <v>8</v>
      </c>
      <c r="AR2" s="8">
        <v>3200</v>
      </c>
      <c r="AS2" s="8">
        <v>0</v>
      </c>
      <c r="AT2" s="7">
        <v>328</v>
      </c>
      <c r="AU2" s="8">
        <v>77520</v>
      </c>
      <c r="AV2" s="7">
        <v>800</v>
      </c>
      <c r="AW2" s="7">
        <v>13</v>
      </c>
      <c r="AX2" s="8">
        <v>6240</v>
      </c>
      <c r="AY2" s="7">
        <v>0</v>
      </c>
      <c r="AZ2" s="8">
        <v>737</v>
      </c>
      <c r="BA2" s="8">
        <v>176280</v>
      </c>
      <c r="BB2" s="7">
        <v>200</v>
      </c>
      <c r="BC2" s="7">
        <v>31</v>
      </c>
      <c r="BD2" s="8">
        <v>13560</v>
      </c>
      <c r="BE2" s="8">
        <v>0</v>
      </c>
      <c r="BF2" s="7">
        <v>2</v>
      </c>
      <c r="BG2" s="7">
        <v>480</v>
      </c>
      <c r="BH2" s="7">
        <v>0</v>
      </c>
      <c r="BI2" s="7">
        <v>0</v>
      </c>
      <c r="BJ2" s="7">
        <v>0</v>
      </c>
      <c r="BK2" s="7">
        <v>0</v>
      </c>
      <c r="BL2" s="9">
        <v>19862.400000000001</v>
      </c>
      <c r="BM2" s="10">
        <v>505280</v>
      </c>
      <c r="BN2" s="15">
        <f>BM2-BL2</f>
        <v>485417.6</v>
      </c>
      <c r="BO2" s="18">
        <f>BN2*70%</f>
        <v>339792.31999999995</v>
      </c>
      <c r="BP2" s="17"/>
      <c r="BQ2" s="17"/>
    </row>
    <row r="3" spans="1:69" x14ac:dyDescent="0.3">
      <c r="A3" s="5" t="s">
        <v>13</v>
      </c>
      <c r="B3" s="5" t="s">
        <v>81</v>
      </c>
      <c r="C3" s="5">
        <v>465461</v>
      </c>
      <c r="D3" s="6"/>
      <c r="E3" s="5" t="s">
        <v>76</v>
      </c>
      <c r="F3" s="5" t="s">
        <v>82</v>
      </c>
      <c r="G3" s="5" t="s">
        <v>78</v>
      </c>
      <c r="H3" s="7" t="s">
        <v>7</v>
      </c>
      <c r="I3" s="7" t="s">
        <v>159</v>
      </c>
      <c r="J3" s="7">
        <v>0</v>
      </c>
      <c r="K3" s="7">
        <v>18</v>
      </c>
      <c r="L3" s="8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10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351</v>
      </c>
      <c r="AC3" s="8">
        <v>26460</v>
      </c>
      <c r="AD3" s="8">
        <v>44000</v>
      </c>
      <c r="AE3" s="7">
        <v>105</v>
      </c>
      <c r="AF3" s="7">
        <v>35120</v>
      </c>
      <c r="AG3" s="8">
        <v>7100</v>
      </c>
      <c r="AH3" s="7">
        <v>16</v>
      </c>
      <c r="AI3" s="7">
        <v>0</v>
      </c>
      <c r="AJ3" s="7">
        <v>3100</v>
      </c>
      <c r="AK3" s="7">
        <v>0</v>
      </c>
      <c r="AL3" s="7">
        <v>0</v>
      </c>
      <c r="AM3" s="7">
        <v>0</v>
      </c>
      <c r="AN3" s="7">
        <v>95</v>
      </c>
      <c r="AO3" s="8">
        <v>18800</v>
      </c>
      <c r="AP3" s="7">
        <v>200</v>
      </c>
      <c r="AQ3" s="7">
        <v>5</v>
      </c>
      <c r="AR3" s="8">
        <v>2000</v>
      </c>
      <c r="AS3" s="7">
        <v>0</v>
      </c>
      <c r="AT3" s="7">
        <v>35</v>
      </c>
      <c r="AU3" s="8">
        <v>8400</v>
      </c>
      <c r="AV3" s="7">
        <v>0</v>
      </c>
      <c r="AW3" s="7">
        <v>11</v>
      </c>
      <c r="AX3" s="8">
        <v>4920</v>
      </c>
      <c r="AY3" s="7">
        <v>0</v>
      </c>
      <c r="AZ3" s="7">
        <v>210</v>
      </c>
      <c r="BA3" s="8">
        <v>50400</v>
      </c>
      <c r="BB3" s="7">
        <v>0</v>
      </c>
      <c r="BC3" s="7">
        <v>53</v>
      </c>
      <c r="BD3" s="8">
        <v>25440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5882.4</v>
      </c>
      <c r="BM3" s="10">
        <v>225940</v>
      </c>
      <c r="BN3" s="15">
        <f t="shared" ref="BN3:BN31" si="0">BM3-BL3</f>
        <v>220057.60000000001</v>
      </c>
      <c r="BO3" s="16">
        <f t="shared" ref="BO3:BO31" si="1">BN3*70%</f>
        <v>154040.32000000001</v>
      </c>
      <c r="BP3" s="17"/>
      <c r="BQ3" s="17"/>
    </row>
    <row r="4" spans="1:69" x14ac:dyDescent="0.3">
      <c r="A4" s="5" t="s">
        <v>13</v>
      </c>
      <c r="B4" s="5" t="s">
        <v>79</v>
      </c>
      <c r="C4" s="5">
        <v>465463</v>
      </c>
      <c r="D4" s="6"/>
      <c r="E4" s="5" t="s">
        <v>76</v>
      </c>
      <c r="F4" s="5" t="s">
        <v>80</v>
      </c>
      <c r="G4" s="5" t="s">
        <v>78</v>
      </c>
      <c r="H4" s="7" t="s">
        <v>9</v>
      </c>
      <c r="I4" s="7" t="s">
        <v>148</v>
      </c>
      <c r="J4" s="7">
        <v>10</v>
      </c>
      <c r="K4" s="7">
        <v>15</v>
      </c>
      <c r="L4" s="7">
        <v>2000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8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94</v>
      </c>
      <c r="AC4" s="8">
        <v>18200</v>
      </c>
      <c r="AD4" s="8">
        <v>2600</v>
      </c>
      <c r="AE4" s="7">
        <v>94</v>
      </c>
      <c r="AF4" s="8">
        <v>32080</v>
      </c>
      <c r="AG4" s="8">
        <v>5600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71</v>
      </c>
      <c r="AO4" s="8">
        <v>13700</v>
      </c>
      <c r="AP4" s="7">
        <v>500</v>
      </c>
      <c r="AQ4" s="7">
        <v>0</v>
      </c>
      <c r="AR4" s="7">
        <v>0</v>
      </c>
      <c r="AS4" s="7">
        <v>0</v>
      </c>
      <c r="AT4" s="7">
        <v>246</v>
      </c>
      <c r="AU4" s="8">
        <v>59040</v>
      </c>
      <c r="AV4" s="7">
        <v>0</v>
      </c>
      <c r="AW4" s="7">
        <v>0</v>
      </c>
      <c r="AX4" s="8">
        <v>0</v>
      </c>
      <c r="AY4" s="7">
        <v>0</v>
      </c>
      <c r="AZ4" s="7">
        <v>153</v>
      </c>
      <c r="BA4" s="8">
        <v>36720</v>
      </c>
      <c r="BB4" s="7">
        <v>0</v>
      </c>
      <c r="BC4" s="7">
        <v>29</v>
      </c>
      <c r="BD4" s="8">
        <v>13920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8942.4</v>
      </c>
      <c r="BM4" s="10">
        <v>184360</v>
      </c>
      <c r="BN4" s="15">
        <f t="shared" si="0"/>
        <v>175417.60000000001</v>
      </c>
      <c r="BO4" s="16">
        <f t="shared" si="1"/>
        <v>122792.31999999999</v>
      </c>
      <c r="BP4" s="17"/>
      <c r="BQ4" s="17"/>
    </row>
    <row r="5" spans="1:69" x14ac:dyDescent="0.3">
      <c r="A5" s="5" t="s">
        <v>13</v>
      </c>
      <c r="B5" s="5" t="s">
        <v>88</v>
      </c>
      <c r="C5" s="5">
        <v>467630</v>
      </c>
      <c r="D5" s="6"/>
      <c r="E5" s="5" t="s">
        <v>76</v>
      </c>
      <c r="F5" s="5" t="s">
        <v>89</v>
      </c>
      <c r="G5" s="5" t="s">
        <v>78</v>
      </c>
      <c r="H5" s="7" t="s">
        <v>8</v>
      </c>
      <c r="I5" s="7" t="s">
        <v>90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18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93</v>
      </c>
      <c r="AC5" s="8">
        <v>18440</v>
      </c>
      <c r="AD5" s="8">
        <v>200</v>
      </c>
      <c r="AE5" s="7">
        <v>21</v>
      </c>
      <c r="AF5" s="8">
        <v>5520</v>
      </c>
      <c r="AG5" s="8">
        <v>3600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81</v>
      </c>
      <c r="AR5" s="7">
        <v>31500</v>
      </c>
      <c r="AS5" s="7">
        <v>900</v>
      </c>
      <c r="AT5" s="7">
        <v>93</v>
      </c>
      <c r="AU5" s="8">
        <v>22320</v>
      </c>
      <c r="AV5" s="7">
        <v>0</v>
      </c>
      <c r="AW5" s="7">
        <v>74</v>
      </c>
      <c r="AX5" s="8">
        <v>35280</v>
      </c>
      <c r="AY5" s="8">
        <v>0</v>
      </c>
      <c r="AZ5" s="7">
        <v>6</v>
      </c>
      <c r="BA5" s="8">
        <v>1440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5846.4</v>
      </c>
      <c r="BM5" s="10">
        <v>119200</v>
      </c>
      <c r="BN5" s="15">
        <f t="shared" si="0"/>
        <v>113353.60000000001</v>
      </c>
      <c r="BO5" s="16">
        <f t="shared" si="1"/>
        <v>79347.520000000004</v>
      </c>
      <c r="BP5" s="17"/>
      <c r="BQ5" s="17"/>
    </row>
    <row r="6" spans="1:69" x14ac:dyDescent="0.3">
      <c r="A6" s="5" t="s">
        <v>13</v>
      </c>
      <c r="B6" s="5" t="s">
        <v>99</v>
      </c>
      <c r="C6" s="5">
        <v>351846</v>
      </c>
      <c r="D6" s="6"/>
      <c r="E6" s="5" t="s">
        <v>76</v>
      </c>
      <c r="F6" s="5" t="s">
        <v>100</v>
      </c>
      <c r="G6" s="5" t="s">
        <v>78</v>
      </c>
      <c r="H6" s="7" t="s">
        <v>7</v>
      </c>
      <c r="I6" s="7" t="s">
        <v>101</v>
      </c>
      <c r="J6" s="7">
        <v>0</v>
      </c>
      <c r="K6" s="7">
        <v>11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9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32</v>
      </c>
      <c r="AC6" s="7">
        <v>0</v>
      </c>
      <c r="AD6" s="8">
        <v>3200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8">
        <v>0</v>
      </c>
      <c r="AP6" s="7">
        <v>0</v>
      </c>
      <c r="AQ6" s="7">
        <v>0</v>
      </c>
      <c r="AR6" s="7">
        <v>0</v>
      </c>
      <c r="AS6" s="7">
        <v>0</v>
      </c>
      <c r="AT6" s="7">
        <v>144</v>
      </c>
      <c r="AU6" s="8">
        <v>17280</v>
      </c>
      <c r="AV6" s="7">
        <v>0</v>
      </c>
      <c r="AW6" s="7">
        <v>97</v>
      </c>
      <c r="AX6" s="7">
        <v>23280</v>
      </c>
      <c r="AY6" s="7">
        <v>0</v>
      </c>
      <c r="AZ6" s="7">
        <v>253</v>
      </c>
      <c r="BA6" s="8">
        <v>30360</v>
      </c>
      <c r="BB6" s="7">
        <v>0</v>
      </c>
      <c r="BC6" s="7">
        <v>115</v>
      </c>
      <c r="BD6" s="7">
        <v>27600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7533.6</v>
      </c>
      <c r="BM6" s="10">
        <v>101720</v>
      </c>
      <c r="BN6" s="15">
        <f t="shared" si="0"/>
        <v>94186.4</v>
      </c>
      <c r="BO6" s="16">
        <f t="shared" si="1"/>
        <v>65930.48</v>
      </c>
      <c r="BP6" s="17"/>
      <c r="BQ6" s="17"/>
    </row>
    <row r="7" spans="1:69" x14ac:dyDescent="0.3">
      <c r="A7" s="5" t="s">
        <v>13</v>
      </c>
      <c r="B7" s="5" t="s">
        <v>160</v>
      </c>
      <c r="C7" s="5">
        <v>484291</v>
      </c>
      <c r="D7" s="6"/>
      <c r="E7" s="5" t="s">
        <v>76</v>
      </c>
      <c r="F7" s="5" t="s">
        <v>161</v>
      </c>
      <c r="G7" s="5" t="s">
        <v>78</v>
      </c>
      <c r="H7" s="7" t="s">
        <v>7</v>
      </c>
      <c r="I7" s="7" t="s">
        <v>162</v>
      </c>
      <c r="J7" s="7">
        <v>0</v>
      </c>
      <c r="K7" s="7">
        <v>2497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6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102</v>
      </c>
      <c r="AC7" s="8">
        <v>2520</v>
      </c>
      <c r="AD7" s="8">
        <v>18100</v>
      </c>
      <c r="AE7" s="7">
        <v>1</v>
      </c>
      <c r="AF7" s="8">
        <v>0</v>
      </c>
      <c r="AG7" s="7">
        <v>400</v>
      </c>
      <c r="AH7" s="7">
        <v>0</v>
      </c>
      <c r="AI7" s="7">
        <v>0</v>
      </c>
      <c r="AJ7" s="7">
        <v>0</v>
      </c>
      <c r="AK7" s="7">
        <v>1</v>
      </c>
      <c r="AL7" s="7">
        <v>0</v>
      </c>
      <c r="AM7" s="7">
        <v>400</v>
      </c>
      <c r="AN7" s="7">
        <v>0</v>
      </c>
      <c r="AO7" s="8">
        <v>0</v>
      </c>
      <c r="AP7" s="7">
        <v>0</v>
      </c>
      <c r="AQ7" s="7">
        <v>0</v>
      </c>
      <c r="AR7" s="8">
        <v>0</v>
      </c>
      <c r="AS7" s="7">
        <v>0</v>
      </c>
      <c r="AT7" s="7">
        <v>74</v>
      </c>
      <c r="AU7" s="7">
        <v>17640</v>
      </c>
      <c r="AV7" s="7">
        <v>0</v>
      </c>
      <c r="AW7" s="7">
        <v>0</v>
      </c>
      <c r="AX7" s="7">
        <v>0</v>
      </c>
      <c r="AY7" s="7">
        <v>0</v>
      </c>
      <c r="AZ7" s="7">
        <v>137</v>
      </c>
      <c r="BA7" s="8">
        <v>32880</v>
      </c>
      <c r="BB7" s="7">
        <v>0</v>
      </c>
      <c r="BC7" s="7">
        <v>61</v>
      </c>
      <c r="BD7" s="8">
        <v>29280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5493.6</v>
      </c>
      <c r="BM7" s="10">
        <v>101220</v>
      </c>
      <c r="BN7" s="15">
        <f t="shared" si="0"/>
        <v>95726.399999999994</v>
      </c>
      <c r="BO7" s="16">
        <f t="shared" si="1"/>
        <v>67008.479999999996</v>
      </c>
      <c r="BP7" s="17"/>
      <c r="BQ7" s="17"/>
    </row>
    <row r="8" spans="1:69" ht="19.5" x14ac:dyDescent="0.3">
      <c r="A8" s="5" t="s">
        <v>13</v>
      </c>
      <c r="B8" s="5" t="s">
        <v>125</v>
      </c>
      <c r="C8" s="5">
        <v>434897</v>
      </c>
      <c r="D8" s="6"/>
      <c r="E8" s="5" t="s">
        <v>76</v>
      </c>
      <c r="F8" s="5" t="s">
        <v>126</v>
      </c>
      <c r="G8" s="5" t="s">
        <v>78</v>
      </c>
      <c r="H8" s="7" t="s">
        <v>8</v>
      </c>
      <c r="I8" s="7" t="s">
        <v>12</v>
      </c>
      <c r="J8" s="7">
        <v>4</v>
      </c>
      <c r="K8" s="7">
        <v>0</v>
      </c>
      <c r="L8" s="7">
        <v>800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56</v>
      </c>
      <c r="AC8" s="8">
        <v>11100</v>
      </c>
      <c r="AD8" s="8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53</v>
      </c>
      <c r="AO8" s="8">
        <v>10600</v>
      </c>
      <c r="AP8" s="7">
        <v>0</v>
      </c>
      <c r="AQ8" s="7">
        <v>0</v>
      </c>
      <c r="AR8" s="7">
        <v>0</v>
      </c>
      <c r="AS8" s="7">
        <v>0</v>
      </c>
      <c r="AT8" s="7">
        <v>131</v>
      </c>
      <c r="AU8" s="8">
        <v>31440</v>
      </c>
      <c r="AV8" s="7">
        <v>0</v>
      </c>
      <c r="AW8" s="7">
        <v>1</v>
      </c>
      <c r="AX8" s="7">
        <v>480</v>
      </c>
      <c r="AY8" s="7">
        <v>0</v>
      </c>
      <c r="AZ8" s="7">
        <v>2</v>
      </c>
      <c r="BA8" s="8">
        <v>360</v>
      </c>
      <c r="BB8" s="7">
        <v>0</v>
      </c>
      <c r="BC8" s="7">
        <v>0</v>
      </c>
      <c r="BD8" s="8">
        <v>0</v>
      </c>
      <c r="BE8" s="7">
        <v>0</v>
      </c>
      <c r="BF8" s="7">
        <v>0</v>
      </c>
      <c r="BG8" s="8">
        <v>0</v>
      </c>
      <c r="BH8" s="7">
        <v>0</v>
      </c>
      <c r="BI8" s="7">
        <v>0</v>
      </c>
      <c r="BJ8" s="7">
        <v>0</v>
      </c>
      <c r="BK8" s="7">
        <v>0</v>
      </c>
      <c r="BL8" s="9">
        <v>3213.6</v>
      </c>
      <c r="BM8" s="10">
        <v>54780</v>
      </c>
      <c r="BN8" s="15">
        <f t="shared" si="0"/>
        <v>51566.400000000001</v>
      </c>
      <c r="BO8" s="16">
        <f t="shared" si="1"/>
        <v>36096.479999999996</v>
      </c>
      <c r="BP8" s="17"/>
      <c r="BQ8" s="17"/>
    </row>
    <row r="9" spans="1:69" x14ac:dyDescent="0.3">
      <c r="A9" s="5" t="s">
        <v>13</v>
      </c>
      <c r="B9" s="5" t="s">
        <v>133</v>
      </c>
      <c r="C9" s="5">
        <v>464964</v>
      </c>
      <c r="D9" s="6"/>
      <c r="E9" s="5" t="s">
        <v>76</v>
      </c>
      <c r="F9" s="5" t="s">
        <v>134</v>
      </c>
      <c r="G9" s="5" t="s">
        <v>78</v>
      </c>
      <c r="H9" s="7" t="s">
        <v>7</v>
      </c>
      <c r="I9" s="7" t="s">
        <v>163</v>
      </c>
      <c r="J9" s="7">
        <v>0</v>
      </c>
      <c r="K9" s="7">
        <v>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72</v>
      </c>
      <c r="AC9" s="7">
        <v>13420</v>
      </c>
      <c r="AD9" s="8">
        <v>1900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8">
        <v>0</v>
      </c>
      <c r="AP9" s="7">
        <v>0</v>
      </c>
      <c r="AQ9" s="7">
        <v>0</v>
      </c>
      <c r="AR9" s="7">
        <v>0</v>
      </c>
      <c r="AS9" s="7">
        <v>0</v>
      </c>
      <c r="AT9" s="7">
        <v>35</v>
      </c>
      <c r="AU9" s="8">
        <v>8400</v>
      </c>
      <c r="AV9" s="7">
        <v>0</v>
      </c>
      <c r="AW9" s="7">
        <v>0</v>
      </c>
      <c r="AX9" s="7">
        <v>0</v>
      </c>
      <c r="AY9" s="7">
        <v>0</v>
      </c>
      <c r="AZ9" s="7">
        <v>49</v>
      </c>
      <c r="BA9" s="7">
        <v>11640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1538.4</v>
      </c>
      <c r="BM9" s="10">
        <v>35360</v>
      </c>
      <c r="BN9" s="15">
        <f t="shared" si="0"/>
        <v>33821.599999999999</v>
      </c>
      <c r="BO9" s="16">
        <f t="shared" si="1"/>
        <v>23675.119999999999</v>
      </c>
      <c r="BP9" s="17"/>
      <c r="BQ9" s="17"/>
    </row>
    <row r="10" spans="1:69" x14ac:dyDescent="0.3">
      <c r="A10" s="5" t="s">
        <v>13</v>
      </c>
      <c r="B10" s="5" t="s">
        <v>164</v>
      </c>
      <c r="C10" s="5">
        <v>483807</v>
      </c>
      <c r="D10" s="6"/>
      <c r="E10" s="5" t="s">
        <v>76</v>
      </c>
      <c r="F10" s="5" t="s">
        <v>165</v>
      </c>
      <c r="G10" s="5" t="s">
        <v>78</v>
      </c>
      <c r="H10" s="7" t="s">
        <v>7</v>
      </c>
      <c r="I10" s="7" t="s">
        <v>166</v>
      </c>
      <c r="J10" s="7">
        <v>0</v>
      </c>
      <c r="K10" s="7">
        <v>906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3</v>
      </c>
      <c r="AC10" s="7">
        <v>0</v>
      </c>
      <c r="AD10" s="7">
        <v>600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16</v>
      </c>
      <c r="AO10" s="7">
        <v>3200</v>
      </c>
      <c r="AP10" s="7">
        <v>0</v>
      </c>
      <c r="AQ10" s="7">
        <v>0</v>
      </c>
      <c r="AR10" s="7">
        <v>0</v>
      </c>
      <c r="AS10" s="7">
        <v>0</v>
      </c>
      <c r="AT10" s="7">
        <v>38</v>
      </c>
      <c r="AU10" s="8">
        <v>9120</v>
      </c>
      <c r="AV10" s="7">
        <v>0</v>
      </c>
      <c r="AW10" s="7">
        <v>0</v>
      </c>
      <c r="AX10" s="7">
        <v>0</v>
      </c>
      <c r="AY10" s="7">
        <v>0</v>
      </c>
      <c r="AZ10" s="7">
        <v>50</v>
      </c>
      <c r="BA10" s="8">
        <v>12000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1632</v>
      </c>
      <c r="BM10" s="10">
        <v>24920</v>
      </c>
      <c r="BN10" s="15">
        <f t="shared" si="0"/>
        <v>23288</v>
      </c>
      <c r="BO10" s="16">
        <f t="shared" si="1"/>
        <v>16301.599999999999</v>
      </c>
      <c r="BP10" s="17"/>
      <c r="BQ10" s="17"/>
    </row>
    <row r="11" spans="1:69" x14ac:dyDescent="0.3">
      <c r="A11" s="5" t="s">
        <v>13</v>
      </c>
      <c r="B11" s="5" t="s">
        <v>91</v>
      </c>
      <c r="C11" s="5">
        <v>432749</v>
      </c>
      <c r="D11" s="6"/>
      <c r="E11" s="5" t="s">
        <v>76</v>
      </c>
      <c r="F11" s="5" t="s">
        <v>92</v>
      </c>
      <c r="G11" s="5" t="s">
        <v>78</v>
      </c>
      <c r="H11" s="7" t="s">
        <v>7</v>
      </c>
      <c r="I11" s="7" t="s">
        <v>158</v>
      </c>
      <c r="J11" s="7">
        <v>4</v>
      </c>
      <c r="K11" s="7">
        <v>1</v>
      </c>
      <c r="L11" s="7">
        <v>800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41</v>
      </c>
      <c r="AC11" s="8">
        <v>2800</v>
      </c>
      <c r="AD11" s="8">
        <v>5400</v>
      </c>
      <c r="AE11" s="7">
        <v>9</v>
      </c>
      <c r="AF11" s="7">
        <v>2000</v>
      </c>
      <c r="AG11" s="7">
        <v>1300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6</v>
      </c>
      <c r="AO11" s="7">
        <v>1000</v>
      </c>
      <c r="AP11" s="7">
        <v>200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2</v>
      </c>
      <c r="AX11" s="8">
        <v>840</v>
      </c>
      <c r="AY11" s="7">
        <v>0</v>
      </c>
      <c r="AZ11" s="7">
        <v>18</v>
      </c>
      <c r="BA11" s="8">
        <v>4320</v>
      </c>
      <c r="BB11" s="7">
        <v>0</v>
      </c>
      <c r="BC11" s="7">
        <v>6</v>
      </c>
      <c r="BD11" s="7">
        <v>2880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516</v>
      </c>
      <c r="BM11" s="10">
        <v>21540</v>
      </c>
      <c r="BN11" s="15">
        <f t="shared" si="0"/>
        <v>21024</v>
      </c>
      <c r="BO11" s="16">
        <f t="shared" si="1"/>
        <v>14716.8</v>
      </c>
      <c r="BP11" s="17"/>
      <c r="BQ11" s="17"/>
    </row>
    <row r="12" spans="1:69" x14ac:dyDescent="0.3">
      <c r="A12" s="5" t="s">
        <v>13</v>
      </c>
      <c r="B12" s="5" t="s">
        <v>96</v>
      </c>
      <c r="C12" s="5">
        <v>419155</v>
      </c>
      <c r="D12" s="6"/>
      <c r="E12" s="5" t="s">
        <v>76</v>
      </c>
      <c r="F12" s="5" t="s">
        <v>97</v>
      </c>
      <c r="G12" s="5" t="s">
        <v>78</v>
      </c>
      <c r="H12" s="7" t="s">
        <v>7</v>
      </c>
      <c r="I12" s="7" t="s">
        <v>98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</v>
      </c>
      <c r="AC12" s="8">
        <v>0</v>
      </c>
      <c r="AD12" s="8">
        <v>300</v>
      </c>
      <c r="AE12" s="7">
        <v>4</v>
      </c>
      <c r="AF12" s="7">
        <v>0</v>
      </c>
      <c r="AG12" s="7">
        <v>2000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38</v>
      </c>
      <c r="AU12" s="8">
        <v>13680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8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1368</v>
      </c>
      <c r="BM12" s="10">
        <v>15980</v>
      </c>
      <c r="BN12" s="15">
        <f t="shared" si="0"/>
        <v>14612</v>
      </c>
      <c r="BO12" s="16">
        <f t="shared" si="1"/>
        <v>10228.4</v>
      </c>
      <c r="BP12" s="17"/>
      <c r="BQ12" s="17"/>
    </row>
    <row r="13" spans="1:69" x14ac:dyDescent="0.3">
      <c r="A13" s="5" t="s">
        <v>13</v>
      </c>
      <c r="B13" s="5" t="s">
        <v>114</v>
      </c>
      <c r="C13" s="5">
        <v>465658</v>
      </c>
      <c r="D13" s="6"/>
      <c r="E13" s="5" t="s">
        <v>76</v>
      </c>
      <c r="F13" s="5" t="s">
        <v>115</v>
      </c>
      <c r="G13" s="5" t="s">
        <v>78</v>
      </c>
      <c r="H13" s="7" t="s">
        <v>7</v>
      </c>
      <c r="I13" s="7" t="s">
        <v>159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7</v>
      </c>
      <c r="AC13" s="8">
        <v>200</v>
      </c>
      <c r="AD13" s="8">
        <v>1200</v>
      </c>
      <c r="AE13" s="7">
        <v>2</v>
      </c>
      <c r="AF13" s="8">
        <v>960</v>
      </c>
      <c r="AG13" s="8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1</v>
      </c>
      <c r="AO13" s="8">
        <v>200</v>
      </c>
      <c r="AP13" s="7">
        <v>0</v>
      </c>
      <c r="AQ13" s="7">
        <v>5</v>
      </c>
      <c r="AR13" s="7">
        <v>2000</v>
      </c>
      <c r="AS13" s="7">
        <v>0</v>
      </c>
      <c r="AT13" s="7">
        <v>16</v>
      </c>
      <c r="AU13" s="7">
        <v>3840</v>
      </c>
      <c r="AV13" s="7">
        <v>0</v>
      </c>
      <c r="AW13" s="7">
        <v>0</v>
      </c>
      <c r="AX13" s="7">
        <v>0</v>
      </c>
      <c r="AY13" s="7">
        <v>0</v>
      </c>
      <c r="AZ13" s="7">
        <v>19</v>
      </c>
      <c r="BA13" s="8">
        <v>4560</v>
      </c>
      <c r="BB13" s="7">
        <v>0</v>
      </c>
      <c r="BC13" s="7">
        <v>0</v>
      </c>
      <c r="BD13" s="8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657.6</v>
      </c>
      <c r="BM13" s="10">
        <v>12960</v>
      </c>
      <c r="BN13" s="15">
        <f t="shared" si="0"/>
        <v>12302.4</v>
      </c>
      <c r="BO13" s="16">
        <f t="shared" si="1"/>
        <v>8611.6799999999985</v>
      </c>
      <c r="BP13" s="17"/>
      <c r="BQ13" s="17"/>
    </row>
    <row r="14" spans="1:69" x14ac:dyDescent="0.3">
      <c r="A14" s="5" t="s">
        <v>13</v>
      </c>
      <c r="B14" s="5" t="s">
        <v>135</v>
      </c>
      <c r="C14" s="5">
        <v>330938</v>
      </c>
      <c r="D14" s="6"/>
      <c r="E14" s="5" t="s">
        <v>76</v>
      </c>
      <c r="F14" s="5" t="s">
        <v>106</v>
      </c>
      <c r="G14" s="5" t="s">
        <v>78</v>
      </c>
      <c r="H14" s="7" t="s">
        <v>7</v>
      </c>
      <c r="I14" s="7" t="s">
        <v>136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6</v>
      </c>
      <c r="AC14" s="8">
        <v>0</v>
      </c>
      <c r="AD14" s="7">
        <v>1200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8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48</v>
      </c>
      <c r="BA14" s="7">
        <v>11520</v>
      </c>
      <c r="BB14" s="7">
        <v>0</v>
      </c>
      <c r="BC14" s="7">
        <v>0</v>
      </c>
      <c r="BD14" s="8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691.2</v>
      </c>
      <c r="BM14" s="10">
        <v>12720</v>
      </c>
      <c r="BN14" s="15">
        <f t="shared" si="0"/>
        <v>12028.8</v>
      </c>
      <c r="BO14" s="16">
        <f t="shared" si="1"/>
        <v>8420.16</v>
      </c>
      <c r="BP14" s="17"/>
      <c r="BQ14" s="17"/>
    </row>
    <row r="15" spans="1:69" x14ac:dyDescent="0.3">
      <c r="A15" s="5" t="s">
        <v>13</v>
      </c>
      <c r="B15" s="5" t="s">
        <v>93</v>
      </c>
      <c r="C15" s="5">
        <v>307024</v>
      </c>
      <c r="D15" s="6"/>
      <c r="E15" s="5" t="s">
        <v>76</v>
      </c>
      <c r="F15" s="5" t="s">
        <v>94</v>
      </c>
      <c r="G15" s="5" t="s">
        <v>78</v>
      </c>
      <c r="H15" s="7" t="s">
        <v>7</v>
      </c>
      <c r="I15" s="7" t="s">
        <v>95</v>
      </c>
      <c r="J15" s="7">
        <v>0</v>
      </c>
      <c r="K15" s="7">
        <v>3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8">
        <v>0</v>
      </c>
      <c r="AE15" s="7">
        <v>0</v>
      </c>
      <c r="AF15" s="8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1</v>
      </c>
      <c r="AU15" s="7">
        <v>120</v>
      </c>
      <c r="AV15" s="7">
        <v>0</v>
      </c>
      <c r="AW15" s="7">
        <v>6</v>
      </c>
      <c r="AX15" s="7">
        <v>1440</v>
      </c>
      <c r="AY15" s="7">
        <v>0</v>
      </c>
      <c r="AZ15" s="7">
        <v>7</v>
      </c>
      <c r="BA15" s="7">
        <v>840</v>
      </c>
      <c r="BB15" s="7">
        <v>0</v>
      </c>
      <c r="BC15" s="7">
        <v>11</v>
      </c>
      <c r="BD15" s="7">
        <v>2640</v>
      </c>
      <c r="BE15" s="7">
        <v>0</v>
      </c>
      <c r="BF15" s="7">
        <v>50</v>
      </c>
      <c r="BG15" s="7">
        <v>6000</v>
      </c>
      <c r="BH15" s="7">
        <v>0</v>
      </c>
      <c r="BI15" s="7">
        <v>0</v>
      </c>
      <c r="BJ15" s="7">
        <v>0</v>
      </c>
      <c r="BK15" s="7">
        <v>0</v>
      </c>
      <c r="BL15" s="7">
        <v>664.8</v>
      </c>
      <c r="BM15" s="10">
        <v>11040</v>
      </c>
      <c r="BN15" s="15">
        <f t="shared" si="0"/>
        <v>10375.200000000001</v>
      </c>
      <c r="BO15" s="16">
        <f t="shared" si="1"/>
        <v>7262.64</v>
      </c>
      <c r="BP15" s="17"/>
      <c r="BQ15" s="17"/>
    </row>
    <row r="16" spans="1:69" ht="19.5" x14ac:dyDescent="0.3">
      <c r="A16" s="5" t="s">
        <v>13</v>
      </c>
      <c r="B16" s="5" t="s">
        <v>85</v>
      </c>
      <c r="C16" s="5">
        <v>380491</v>
      </c>
      <c r="D16" s="6"/>
      <c r="E16" s="5" t="s">
        <v>76</v>
      </c>
      <c r="F16" s="5" t="s">
        <v>86</v>
      </c>
      <c r="G16" s="5" t="s">
        <v>78</v>
      </c>
      <c r="H16" s="7" t="s">
        <v>7</v>
      </c>
      <c r="I16" s="7" t="s">
        <v>87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51</v>
      </c>
      <c r="AC16" s="7">
        <v>960</v>
      </c>
      <c r="AD16" s="7">
        <v>4300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8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8">
        <v>0</v>
      </c>
      <c r="AV16" s="7">
        <v>0</v>
      </c>
      <c r="AW16" s="7">
        <v>0</v>
      </c>
      <c r="AX16" s="7">
        <v>0</v>
      </c>
      <c r="AY16" s="7">
        <v>0</v>
      </c>
      <c r="AZ16" s="7">
        <v>33</v>
      </c>
      <c r="BA16" s="8">
        <v>3960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237.6</v>
      </c>
      <c r="BM16" s="10">
        <v>9220</v>
      </c>
      <c r="BN16" s="15">
        <f t="shared" si="0"/>
        <v>8982.4</v>
      </c>
      <c r="BO16" s="16">
        <f t="shared" si="1"/>
        <v>6287.6799999999994</v>
      </c>
      <c r="BP16" s="17"/>
      <c r="BQ16" s="17"/>
    </row>
    <row r="17" spans="1:69" x14ac:dyDescent="0.3">
      <c r="A17" s="5" t="s">
        <v>13</v>
      </c>
      <c r="B17" s="5" t="s">
        <v>102</v>
      </c>
      <c r="C17" s="5">
        <v>320809</v>
      </c>
      <c r="D17" s="6"/>
      <c r="E17" s="5" t="s">
        <v>76</v>
      </c>
      <c r="F17" s="5" t="s">
        <v>103</v>
      </c>
      <c r="G17" s="5" t="s">
        <v>78</v>
      </c>
      <c r="H17" s="7" t="s">
        <v>7</v>
      </c>
      <c r="I17" s="7" t="s">
        <v>104</v>
      </c>
      <c r="J17" s="7">
        <v>0</v>
      </c>
      <c r="K17" s="7">
        <v>3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</v>
      </c>
      <c r="AC17" s="8">
        <v>240</v>
      </c>
      <c r="AD17" s="8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8">
        <v>0</v>
      </c>
      <c r="AV17" s="7">
        <v>0</v>
      </c>
      <c r="AW17" s="7">
        <v>0</v>
      </c>
      <c r="AX17" s="7">
        <v>0</v>
      </c>
      <c r="AY17" s="7">
        <v>0</v>
      </c>
      <c r="AZ17" s="7">
        <v>28</v>
      </c>
      <c r="BA17" s="7">
        <v>6720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403.2</v>
      </c>
      <c r="BM17" s="10">
        <v>6960</v>
      </c>
      <c r="BN17" s="15">
        <f t="shared" si="0"/>
        <v>6556.8</v>
      </c>
      <c r="BO17" s="16">
        <f t="shared" si="1"/>
        <v>4589.76</v>
      </c>
      <c r="BP17" s="17"/>
      <c r="BQ17" s="17"/>
    </row>
    <row r="18" spans="1:69" x14ac:dyDescent="0.3">
      <c r="A18" s="5" t="s">
        <v>13</v>
      </c>
      <c r="B18" s="5" t="s">
        <v>116</v>
      </c>
      <c r="C18" s="5">
        <v>436040</v>
      </c>
      <c r="D18" s="6"/>
      <c r="E18" s="5" t="s">
        <v>76</v>
      </c>
      <c r="F18" s="5" t="s">
        <v>117</v>
      </c>
      <c r="G18" s="5" t="s">
        <v>78</v>
      </c>
      <c r="H18" s="7" t="s">
        <v>8</v>
      </c>
      <c r="I18" s="7" t="s">
        <v>118</v>
      </c>
      <c r="J18" s="7">
        <v>0</v>
      </c>
      <c r="K18" s="8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16</v>
      </c>
      <c r="AC18" s="7">
        <v>3320</v>
      </c>
      <c r="AD18" s="8">
        <v>0</v>
      </c>
      <c r="AE18" s="7">
        <v>5</v>
      </c>
      <c r="AF18" s="7">
        <v>2500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8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5820</v>
      </c>
      <c r="BN18" s="15">
        <f t="shared" si="0"/>
        <v>5820</v>
      </c>
      <c r="BO18" s="16">
        <f t="shared" si="1"/>
        <v>4073.9999999999995</v>
      </c>
      <c r="BP18" s="17"/>
      <c r="BQ18" s="17"/>
    </row>
    <row r="19" spans="1:69" x14ac:dyDescent="0.3">
      <c r="A19" s="5" t="s">
        <v>13</v>
      </c>
      <c r="B19" s="5" t="s">
        <v>139</v>
      </c>
      <c r="C19" s="5">
        <v>406076</v>
      </c>
      <c r="D19" s="6"/>
      <c r="E19" s="5" t="s">
        <v>76</v>
      </c>
      <c r="F19" s="5" t="s">
        <v>140</v>
      </c>
      <c r="G19" s="5" t="s">
        <v>78</v>
      </c>
      <c r="H19" s="7" t="s">
        <v>8</v>
      </c>
      <c r="I19" s="7" t="s">
        <v>141</v>
      </c>
      <c r="J19" s="7">
        <v>0</v>
      </c>
      <c r="K19" s="7">
        <v>19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</v>
      </c>
      <c r="AC19" s="7">
        <v>0</v>
      </c>
      <c r="AD19" s="8">
        <v>200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5</v>
      </c>
      <c r="AU19" s="7">
        <v>1200</v>
      </c>
      <c r="AV19" s="7">
        <v>0</v>
      </c>
      <c r="AW19" s="7">
        <v>0</v>
      </c>
      <c r="AX19" s="7">
        <v>0</v>
      </c>
      <c r="AY19" s="7">
        <v>0</v>
      </c>
      <c r="AZ19" s="7">
        <v>10</v>
      </c>
      <c r="BA19" s="8">
        <v>2400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264</v>
      </c>
      <c r="BM19" s="10">
        <v>3800</v>
      </c>
      <c r="BN19" s="15">
        <f t="shared" si="0"/>
        <v>3536</v>
      </c>
      <c r="BO19" s="16">
        <f t="shared" si="1"/>
        <v>2475.1999999999998</v>
      </c>
      <c r="BP19" s="17"/>
      <c r="BQ19" s="17"/>
    </row>
    <row r="20" spans="1:69" x14ac:dyDescent="0.3">
      <c r="A20" s="5" t="s">
        <v>13</v>
      </c>
      <c r="B20" s="5" t="s">
        <v>105</v>
      </c>
      <c r="C20" s="5">
        <v>336507</v>
      </c>
      <c r="D20" s="6"/>
      <c r="E20" s="5" t="s">
        <v>76</v>
      </c>
      <c r="F20" s="5" t="s">
        <v>106</v>
      </c>
      <c r="G20" s="5" t="s">
        <v>78</v>
      </c>
      <c r="H20" s="7" t="s">
        <v>8</v>
      </c>
      <c r="I20" s="7" t="s">
        <v>107</v>
      </c>
      <c r="J20" s="7">
        <v>1</v>
      </c>
      <c r="K20" s="7">
        <v>0</v>
      </c>
      <c r="L20" s="7">
        <v>200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</v>
      </c>
      <c r="AC20" s="7">
        <v>0</v>
      </c>
      <c r="AD20" s="8">
        <v>200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3</v>
      </c>
      <c r="BA20" s="7">
        <v>720</v>
      </c>
      <c r="BB20" s="7">
        <v>0</v>
      </c>
      <c r="BC20" s="7">
        <v>3</v>
      </c>
      <c r="BD20" s="7">
        <v>1800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151.19999999999999</v>
      </c>
      <c r="BM20" s="10">
        <v>2920</v>
      </c>
      <c r="BN20" s="15">
        <f t="shared" si="0"/>
        <v>2768.8</v>
      </c>
      <c r="BO20" s="16">
        <f t="shared" si="1"/>
        <v>1938.16</v>
      </c>
      <c r="BP20" s="17"/>
      <c r="BQ20" s="17"/>
    </row>
    <row r="21" spans="1:69" x14ac:dyDescent="0.3">
      <c r="A21" s="5" t="s">
        <v>13</v>
      </c>
      <c r="B21" s="5" t="s">
        <v>167</v>
      </c>
      <c r="C21" s="5">
        <v>354237</v>
      </c>
      <c r="D21" s="6"/>
      <c r="E21" s="5" t="s">
        <v>76</v>
      </c>
      <c r="F21" s="5" t="s">
        <v>168</v>
      </c>
      <c r="G21" s="5" t="s">
        <v>78</v>
      </c>
      <c r="H21" s="7" t="s">
        <v>7</v>
      </c>
      <c r="I21" s="7" t="s">
        <v>169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8">
        <v>0</v>
      </c>
      <c r="AE21" s="7">
        <v>1</v>
      </c>
      <c r="AF21" s="7">
        <v>0</v>
      </c>
      <c r="AG21" s="7">
        <v>300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9</v>
      </c>
      <c r="AO21" s="7">
        <v>1800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8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1</v>
      </c>
      <c r="BD21" s="7">
        <v>240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14.4</v>
      </c>
      <c r="BM21" s="10">
        <v>2340</v>
      </c>
      <c r="BN21" s="15">
        <f t="shared" si="0"/>
        <v>2325.6</v>
      </c>
      <c r="BO21" s="16">
        <f t="shared" si="1"/>
        <v>1627.9199999999998</v>
      </c>
      <c r="BP21" s="17"/>
      <c r="BQ21" s="17"/>
    </row>
    <row r="22" spans="1:69" x14ac:dyDescent="0.3">
      <c r="A22" s="5" t="s">
        <v>13</v>
      </c>
      <c r="B22" s="5" t="s">
        <v>83</v>
      </c>
      <c r="C22" s="5">
        <v>423525</v>
      </c>
      <c r="D22" s="6"/>
      <c r="E22" s="5" t="s">
        <v>76</v>
      </c>
      <c r="F22" s="5" t="s">
        <v>84</v>
      </c>
      <c r="G22" s="5" t="s">
        <v>78</v>
      </c>
      <c r="H22" s="7" t="s">
        <v>7</v>
      </c>
      <c r="I22" s="7" t="s">
        <v>74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9</v>
      </c>
      <c r="AC22" s="7">
        <v>0</v>
      </c>
      <c r="AD22" s="7">
        <v>1800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1</v>
      </c>
      <c r="BA22" s="8">
        <v>240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14.4</v>
      </c>
      <c r="BM22" s="10">
        <v>2040</v>
      </c>
      <c r="BN22" s="15">
        <f t="shared" si="0"/>
        <v>2025.6</v>
      </c>
      <c r="BO22" s="16">
        <f t="shared" si="1"/>
        <v>1417.9199999999998</v>
      </c>
      <c r="BP22" s="17"/>
      <c r="BQ22" s="17"/>
    </row>
    <row r="23" spans="1:69" x14ac:dyDescent="0.3">
      <c r="A23" s="5" t="s">
        <v>13</v>
      </c>
      <c r="B23" s="5" t="s">
        <v>111</v>
      </c>
      <c r="C23" s="5">
        <v>448747</v>
      </c>
      <c r="D23" s="6"/>
      <c r="E23" s="5" t="s">
        <v>76</v>
      </c>
      <c r="F23" s="5" t="s">
        <v>112</v>
      </c>
      <c r="G23" s="5" t="s">
        <v>78</v>
      </c>
      <c r="H23" s="7" t="s">
        <v>7</v>
      </c>
      <c r="I23" s="7" t="s">
        <v>113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9</v>
      </c>
      <c r="AC23" s="7">
        <v>0</v>
      </c>
      <c r="AD23" s="7">
        <v>1800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1800</v>
      </c>
      <c r="BN23" s="15">
        <f t="shared" si="0"/>
        <v>1800</v>
      </c>
      <c r="BO23" s="16">
        <f t="shared" si="1"/>
        <v>1260</v>
      </c>
      <c r="BP23" s="17"/>
      <c r="BQ23" s="17"/>
    </row>
    <row r="24" spans="1:69" x14ac:dyDescent="0.3">
      <c r="A24" s="5" t="s">
        <v>13</v>
      </c>
      <c r="B24" s="5" t="s">
        <v>130</v>
      </c>
      <c r="C24" s="5">
        <v>383201</v>
      </c>
      <c r="D24" s="6"/>
      <c r="E24" s="5" t="s">
        <v>76</v>
      </c>
      <c r="F24" s="5" t="s">
        <v>131</v>
      </c>
      <c r="G24" s="5" t="s">
        <v>78</v>
      </c>
      <c r="H24" s="7" t="s">
        <v>7</v>
      </c>
      <c r="I24" s="7" t="s">
        <v>132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5</v>
      </c>
      <c r="AC24" s="7">
        <v>0</v>
      </c>
      <c r="AD24" s="7">
        <v>1000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1</v>
      </c>
      <c r="AO24" s="8">
        <v>200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2</v>
      </c>
      <c r="BA24" s="7">
        <v>480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28.8</v>
      </c>
      <c r="BM24" s="10">
        <v>1680</v>
      </c>
      <c r="BN24" s="15">
        <f t="shared" si="0"/>
        <v>1651.2</v>
      </c>
      <c r="BO24" s="16">
        <f t="shared" si="1"/>
        <v>1155.8399999999999</v>
      </c>
      <c r="BP24" s="17"/>
      <c r="BQ24" s="17"/>
    </row>
    <row r="25" spans="1:69" x14ac:dyDescent="0.3">
      <c r="A25" s="5" t="s">
        <v>13</v>
      </c>
      <c r="B25" s="5" t="s">
        <v>142</v>
      </c>
      <c r="C25" s="5">
        <v>398413</v>
      </c>
      <c r="D25" s="6"/>
      <c r="E25" s="5" t="s">
        <v>76</v>
      </c>
      <c r="F25" s="5" t="s">
        <v>140</v>
      </c>
      <c r="G25" s="5" t="s">
        <v>78</v>
      </c>
      <c r="H25" s="7" t="s">
        <v>8</v>
      </c>
      <c r="I25" s="7" t="s">
        <v>143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5</v>
      </c>
      <c r="AU25" s="7">
        <v>1200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120</v>
      </c>
      <c r="BM25" s="11">
        <v>1200</v>
      </c>
      <c r="BN25" s="15">
        <f t="shared" si="0"/>
        <v>1080</v>
      </c>
      <c r="BO25" s="16">
        <f t="shared" si="1"/>
        <v>756</v>
      </c>
      <c r="BP25" s="17"/>
      <c r="BQ25" s="17"/>
    </row>
    <row r="26" spans="1:69" x14ac:dyDescent="0.3">
      <c r="A26" s="5" t="s">
        <v>13</v>
      </c>
      <c r="B26" s="5" t="s">
        <v>119</v>
      </c>
      <c r="C26" s="5">
        <v>323829</v>
      </c>
      <c r="D26" s="6"/>
      <c r="E26" s="5" t="s">
        <v>76</v>
      </c>
      <c r="F26" s="5" t="s">
        <v>120</v>
      </c>
      <c r="G26" s="5" t="s">
        <v>78</v>
      </c>
      <c r="H26" s="7" t="s">
        <v>7</v>
      </c>
      <c r="I26" s="7" t="s">
        <v>121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11</v>
      </c>
      <c r="AO26" s="7">
        <v>1100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1">
        <v>1100</v>
      </c>
      <c r="BN26" s="15">
        <f t="shared" si="0"/>
        <v>1100</v>
      </c>
      <c r="BO26" s="16">
        <f t="shared" si="1"/>
        <v>770</v>
      </c>
      <c r="BP26" s="17"/>
      <c r="BQ26" s="17"/>
    </row>
    <row r="27" spans="1:69" x14ac:dyDescent="0.3">
      <c r="A27" s="5" t="s">
        <v>13</v>
      </c>
      <c r="B27" s="5" t="s">
        <v>127</v>
      </c>
      <c r="C27" s="5">
        <v>308339</v>
      </c>
      <c r="D27" s="6"/>
      <c r="E27" s="5" t="s">
        <v>76</v>
      </c>
      <c r="F27" s="5" t="s">
        <v>128</v>
      </c>
      <c r="G27" s="5" t="s">
        <v>78</v>
      </c>
      <c r="H27" s="7" t="s">
        <v>7</v>
      </c>
      <c r="I27" s="7" t="s">
        <v>129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4</v>
      </c>
      <c r="AO27" s="7">
        <v>800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1">
        <v>800</v>
      </c>
      <c r="BN27" s="15">
        <f t="shared" si="0"/>
        <v>800</v>
      </c>
      <c r="BO27" s="16">
        <f t="shared" si="1"/>
        <v>560</v>
      </c>
      <c r="BP27" s="17"/>
      <c r="BQ27" s="17"/>
    </row>
    <row r="28" spans="1:69" x14ac:dyDescent="0.3">
      <c r="A28" s="5" t="s">
        <v>13</v>
      </c>
      <c r="B28" s="5" t="s">
        <v>151</v>
      </c>
      <c r="C28" s="5">
        <v>366233</v>
      </c>
      <c r="D28" s="6"/>
      <c r="E28" s="5" t="s">
        <v>76</v>
      </c>
      <c r="F28" s="5" t="s">
        <v>152</v>
      </c>
      <c r="G28" s="5" t="s">
        <v>78</v>
      </c>
      <c r="H28" s="7" t="s">
        <v>7</v>
      </c>
      <c r="I28" s="7" t="s">
        <v>153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2</v>
      </c>
      <c r="AC28" s="7">
        <v>0</v>
      </c>
      <c r="AD28" s="7">
        <v>400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1">
        <v>400</v>
      </c>
      <c r="BN28" s="15">
        <f t="shared" si="0"/>
        <v>400</v>
      </c>
      <c r="BO28" s="16">
        <f t="shared" si="1"/>
        <v>280</v>
      </c>
      <c r="BP28" s="17"/>
      <c r="BQ28" s="17"/>
    </row>
    <row r="29" spans="1:69" x14ac:dyDescent="0.3">
      <c r="A29" s="5" t="s">
        <v>13</v>
      </c>
      <c r="B29" s="5" t="s">
        <v>137</v>
      </c>
      <c r="C29" s="5">
        <v>403837</v>
      </c>
      <c r="D29" s="6"/>
      <c r="E29" s="5" t="s">
        <v>76</v>
      </c>
      <c r="F29" s="5" t="s">
        <v>138</v>
      </c>
      <c r="G29" s="5" t="s">
        <v>78</v>
      </c>
      <c r="H29" s="7" t="s">
        <v>7</v>
      </c>
      <c r="I29" s="7" t="s">
        <v>87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1</v>
      </c>
      <c r="AC29" s="7">
        <v>0</v>
      </c>
      <c r="AD29" s="7">
        <v>200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1">
        <v>200</v>
      </c>
      <c r="BN29" s="15">
        <f t="shared" si="0"/>
        <v>200</v>
      </c>
      <c r="BO29" s="16">
        <f t="shared" si="1"/>
        <v>140</v>
      </c>
      <c r="BP29" s="17"/>
      <c r="BQ29" s="17"/>
    </row>
    <row r="30" spans="1:69" x14ac:dyDescent="0.3">
      <c r="A30" s="5" t="s">
        <v>13</v>
      </c>
      <c r="B30" s="5" t="s">
        <v>108</v>
      </c>
      <c r="C30" s="5">
        <v>319050</v>
      </c>
      <c r="D30" s="6"/>
      <c r="E30" s="5" t="s">
        <v>76</v>
      </c>
      <c r="F30" s="5" t="s">
        <v>109</v>
      </c>
      <c r="G30" s="5" t="s">
        <v>78</v>
      </c>
      <c r="H30" s="7" t="s">
        <v>7</v>
      </c>
      <c r="I30" s="7" t="s">
        <v>110</v>
      </c>
      <c r="J30" s="7">
        <v>1</v>
      </c>
      <c r="K30" s="7">
        <v>0</v>
      </c>
      <c r="L30" s="7">
        <v>200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1">
        <v>200</v>
      </c>
      <c r="BN30" s="15">
        <f t="shared" si="0"/>
        <v>200</v>
      </c>
      <c r="BO30" s="16">
        <f t="shared" si="1"/>
        <v>140</v>
      </c>
      <c r="BP30" s="17"/>
      <c r="BQ30" s="17"/>
    </row>
    <row r="31" spans="1:69" x14ac:dyDescent="0.3">
      <c r="A31" s="5" t="s">
        <v>13</v>
      </c>
      <c r="B31" s="5" t="s">
        <v>144</v>
      </c>
      <c r="C31" s="5">
        <v>393567</v>
      </c>
      <c r="D31" s="6"/>
      <c r="E31" s="5" t="s">
        <v>76</v>
      </c>
      <c r="F31" s="5" t="s">
        <v>145</v>
      </c>
      <c r="G31" s="5" t="s">
        <v>78</v>
      </c>
      <c r="H31" s="7" t="s">
        <v>8</v>
      </c>
      <c r="I31" s="7" t="s">
        <v>146</v>
      </c>
      <c r="J31" s="7">
        <v>0</v>
      </c>
      <c r="K31" s="7">
        <v>237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1">
        <v>0</v>
      </c>
      <c r="BN31" s="15">
        <f t="shared" si="0"/>
        <v>0</v>
      </c>
      <c r="BO31" s="16">
        <f t="shared" si="1"/>
        <v>0</v>
      </c>
      <c r="BP31" s="17"/>
      <c r="BQ31" s="17"/>
    </row>
    <row r="32" spans="1:69" x14ac:dyDescent="0.3">
      <c r="A32" s="5" t="s">
        <v>13</v>
      </c>
      <c r="B32" s="5" t="s">
        <v>149</v>
      </c>
      <c r="C32" s="5">
        <v>393552</v>
      </c>
      <c r="D32" s="6"/>
      <c r="E32" s="5" t="s">
        <v>76</v>
      </c>
      <c r="F32" s="5" t="s">
        <v>150</v>
      </c>
      <c r="G32" s="5" t="s">
        <v>78</v>
      </c>
      <c r="H32" s="7" t="s">
        <v>7</v>
      </c>
      <c r="I32" s="7" t="s">
        <v>146</v>
      </c>
      <c r="J32" s="7">
        <v>0</v>
      </c>
      <c r="K32" s="7">
        <v>417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1">
        <v>0</v>
      </c>
      <c r="BN32" s="15">
        <f t="shared" ref="BN32" si="2">BM32-BL32</f>
        <v>0</v>
      </c>
      <c r="BO32" s="16">
        <f>BN32*70%</f>
        <v>0</v>
      </c>
      <c r="BP32" s="17"/>
      <c r="BQ32" s="17"/>
    </row>
    <row r="33" spans="1:67" ht="19.5" x14ac:dyDescent="0.3">
      <c r="A33" s="5" t="s">
        <v>14</v>
      </c>
      <c r="B33" s="5" t="s">
        <v>75</v>
      </c>
      <c r="C33" s="5">
        <v>435954</v>
      </c>
      <c r="D33" s="6"/>
      <c r="E33" s="5" t="s">
        <v>76</v>
      </c>
      <c r="F33" s="5" t="s">
        <v>77</v>
      </c>
      <c r="G33" s="5" t="s">
        <v>78</v>
      </c>
      <c r="H33" s="7" t="s">
        <v>7</v>
      </c>
      <c r="I33" s="7" t="s">
        <v>158</v>
      </c>
      <c r="J33" s="7">
        <v>0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1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144</v>
      </c>
      <c r="AC33" s="8">
        <v>25040</v>
      </c>
      <c r="AD33" s="8">
        <v>4700</v>
      </c>
      <c r="AE33" s="7">
        <v>28</v>
      </c>
      <c r="AF33" s="8">
        <v>2400</v>
      </c>
      <c r="AG33" s="8">
        <v>9000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12</v>
      </c>
      <c r="AO33" s="8">
        <v>2400</v>
      </c>
      <c r="AP33" s="7">
        <v>0</v>
      </c>
      <c r="AQ33" s="7">
        <v>3</v>
      </c>
      <c r="AR33" s="8">
        <v>1200</v>
      </c>
      <c r="AS33" s="7">
        <v>0</v>
      </c>
      <c r="AT33" s="7">
        <v>2</v>
      </c>
      <c r="AU33" s="7">
        <v>480</v>
      </c>
      <c r="AV33" s="7">
        <v>0</v>
      </c>
      <c r="AW33" s="7">
        <v>0</v>
      </c>
      <c r="AX33" s="7">
        <v>0</v>
      </c>
      <c r="AY33" s="7">
        <v>0</v>
      </c>
      <c r="AZ33" s="7">
        <v>10</v>
      </c>
      <c r="BA33" s="8">
        <v>2400</v>
      </c>
      <c r="BB33" s="7">
        <v>0</v>
      </c>
      <c r="BC33" s="7">
        <v>0</v>
      </c>
      <c r="BD33" s="7">
        <v>0</v>
      </c>
      <c r="BE33" s="7">
        <v>0</v>
      </c>
      <c r="BF33" s="7">
        <v>26</v>
      </c>
      <c r="BG33" s="8">
        <v>6120</v>
      </c>
      <c r="BH33" s="7">
        <v>0</v>
      </c>
      <c r="BI33" s="7">
        <v>8</v>
      </c>
      <c r="BJ33" s="8">
        <v>3480</v>
      </c>
      <c r="BK33" s="7">
        <v>0</v>
      </c>
      <c r="BL33" s="9">
        <v>672</v>
      </c>
      <c r="BM33" s="10">
        <v>57220</v>
      </c>
      <c r="BN33" s="15">
        <f t="shared" ref="BN33:BN68" si="3">BM33-BL33</f>
        <v>56548</v>
      </c>
      <c r="BO33" s="16">
        <f t="shared" ref="BO33:BO68" si="4">BN33*70%</f>
        <v>39583.599999999999</v>
      </c>
    </row>
    <row r="34" spans="1:67" ht="19.5" x14ac:dyDescent="0.3">
      <c r="A34" s="5" t="s">
        <v>14</v>
      </c>
      <c r="B34" s="5" t="s">
        <v>160</v>
      </c>
      <c r="C34" s="5">
        <v>484291</v>
      </c>
      <c r="D34" s="6"/>
      <c r="E34" s="5" t="s">
        <v>76</v>
      </c>
      <c r="F34" s="5" t="s">
        <v>161</v>
      </c>
      <c r="G34" s="5" t="s">
        <v>78</v>
      </c>
      <c r="H34" s="7" t="s">
        <v>7</v>
      </c>
      <c r="I34" s="7" t="s">
        <v>162</v>
      </c>
      <c r="J34" s="7">
        <v>0</v>
      </c>
      <c r="K34" s="7">
        <v>1005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133</v>
      </c>
      <c r="AC34" s="8">
        <v>28280</v>
      </c>
      <c r="AD34" s="7">
        <v>3000</v>
      </c>
      <c r="AE34" s="7">
        <v>1</v>
      </c>
      <c r="AF34" s="8">
        <v>480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6</v>
      </c>
      <c r="AO34" s="7">
        <v>1200</v>
      </c>
      <c r="AP34" s="7">
        <v>0</v>
      </c>
      <c r="AQ34" s="7">
        <v>0</v>
      </c>
      <c r="AR34" s="7">
        <v>0</v>
      </c>
      <c r="AS34" s="7">
        <v>0</v>
      </c>
      <c r="AT34" s="7">
        <v>1</v>
      </c>
      <c r="AU34" s="7">
        <v>240</v>
      </c>
      <c r="AV34" s="7">
        <v>0</v>
      </c>
      <c r="AW34" s="7">
        <v>0</v>
      </c>
      <c r="AX34" s="7">
        <v>0</v>
      </c>
      <c r="AY34" s="7">
        <v>0</v>
      </c>
      <c r="AZ34" s="7">
        <v>5</v>
      </c>
      <c r="BA34" s="7">
        <v>1080</v>
      </c>
      <c r="BB34" s="7">
        <v>0</v>
      </c>
      <c r="BC34" s="7">
        <v>0</v>
      </c>
      <c r="BD34" s="7">
        <v>0</v>
      </c>
      <c r="BE34" s="7">
        <v>0</v>
      </c>
      <c r="BF34" s="7">
        <v>45</v>
      </c>
      <c r="BG34" s="7">
        <v>10680</v>
      </c>
      <c r="BH34" s="7">
        <v>0</v>
      </c>
      <c r="BI34" s="7">
        <v>0</v>
      </c>
      <c r="BJ34" s="7">
        <v>0</v>
      </c>
      <c r="BK34" s="7">
        <v>0</v>
      </c>
      <c r="BL34" s="7">
        <v>622.79999999999995</v>
      </c>
      <c r="BM34" s="10">
        <v>44960</v>
      </c>
      <c r="BN34" s="15">
        <f t="shared" si="3"/>
        <v>44337.2</v>
      </c>
      <c r="BO34" s="16">
        <f t="shared" si="4"/>
        <v>31036.039999999997</v>
      </c>
    </row>
    <row r="35" spans="1:67" ht="19.5" x14ac:dyDescent="0.3">
      <c r="A35" s="5" t="s">
        <v>14</v>
      </c>
      <c r="B35" s="5" t="s">
        <v>88</v>
      </c>
      <c r="C35" s="5">
        <v>467630</v>
      </c>
      <c r="D35" s="6"/>
      <c r="E35" s="5" t="s">
        <v>76</v>
      </c>
      <c r="F35" s="5" t="s">
        <v>89</v>
      </c>
      <c r="G35" s="5" t="s">
        <v>78</v>
      </c>
      <c r="H35" s="7" t="s">
        <v>8</v>
      </c>
      <c r="I35" s="7" t="s">
        <v>90</v>
      </c>
      <c r="J35" s="7">
        <v>0</v>
      </c>
      <c r="K35" s="7">
        <v>9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24</v>
      </c>
      <c r="AC35" s="8">
        <v>0</v>
      </c>
      <c r="AD35" s="7">
        <v>4700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8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22</v>
      </c>
      <c r="BA35" s="7">
        <v>5040</v>
      </c>
      <c r="BB35" s="7">
        <v>0</v>
      </c>
      <c r="BC35" s="7">
        <v>0</v>
      </c>
      <c r="BD35" s="7">
        <v>0</v>
      </c>
      <c r="BE35" s="7">
        <v>0</v>
      </c>
      <c r="BF35" s="7">
        <v>37</v>
      </c>
      <c r="BG35" s="8">
        <v>8760</v>
      </c>
      <c r="BH35" s="7">
        <v>0</v>
      </c>
      <c r="BI35" s="7">
        <v>0</v>
      </c>
      <c r="BJ35" s="7">
        <v>0</v>
      </c>
      <c r="BK35" s="7">
        <v>0</v>
      </c>
      <c r="BL35" s="7">
        <v>740.4</v>
      </c>
      <c r="BM35" s="10">
        <v>18500</v>
      </c>
      <c r="BN35" s="15">
        <f t="shared" si="3"/>
        <v>17759.599999999999</v>
      </c>
      <c r="BO35" s="16">
        <f t="shared" si="4"/>
        <v>12431.719999999998</v>
      </c>
    </row>
    <row r="36" spans="1:67" ht="19.5" x14ac:dyDescent="0.3">
      <c r="A36" s="5" t="s">
        <v>14</v>
      </c>
      <c r="B36" s="5" t="s">
        <v>83</v>
      </c>
      <c r="C36" s="5">
        <v>423525</v>
      </c>
      <c r="D36" s="6"/>
      <c r="E36" s="5" t="s">
        <v>76</v>
      </c>
      <c r="F36" s="5" t="s">
        <v>84</v>
      </c>
      <c r="G36" s="5" t="s">
        <v>78</v>
      </c>
      <c r="H36" s="7" t="s">
        <v>7</v>
      </c>
      <c r="I36" s="7" t="s">
        <v>74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8">
        <v>0</v>
      </c>
      <c r="AD36" s="7">
        <v>0</v>
      </c>
      <c r="AE36" s="7">
        <v>21</v>
      </c>
      <c r="AF36" s="7">
        <v>0</v>
      </c>
      <c r="AG36" s="7">
        <v>8400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1</v>
      </c>
      <c r="AO36" s="7">
        <v>200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0">
        <v>8600</v>
      </c>
      <c r="BN36" s="15">
        <f t="shared" si="3"/>
        <v>8600</v>
      </c>
      <c r="BO36" s="16">
        <f t="shared" si="4"/>
        <v>6020</v>
      </c>
    </row>
    <row r="37" spans="1:67" ht="19.5" x14ac:dyDescent="0.3">
      <c r="A37" s="5" t="s">
        <v>14</v>
      </c>
      <c r="B37" s="5" t="s">
        <v>127</v>
      </c>
      <c r="C37" s="5">
        <v>308339</v>
      </c>
      <c r="D37" s="6"/>
      <c r="E37" s="5" t="s">
        <v>76</v>
      </c>
      <c r="F37" s="5" t="s">
        <v>128</v>
      </c>
      <c r="G37" s="5" t="s">
        <v>78</v>
      </c>
      <c r="H37" s="7" t="s">
        <v>7</v>
      </c>
      <c r="I37" s="7" t="s">
        <v>129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34</v>
      </c>
      <c r="AC37" s="8">
        <v>8160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8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0">
        <v>8160</v>
      </c>
      <c r="BN37" s="15">
        <f t="shared" si="3"/>
        <v>8160</v>
      </c>
      <c r="BO37" s="16">
        <f t="shared" si="4"/>
        <v>5712</v>
      </c>
    </row>
    <row r="38" spans="1:67" ht="19.5" x14ac:dyDescent="0.3">
      <c r="A38" s="5" t="s">
        <v>14</v>
      </c>
      <c r="B38" s="5" t="s">
        <v>164</v>
      </c>
      <c r="C38" s="5">
        <v>483807</v>
      </c>
      <c r="D38" s="6"/>
      <c r="E38" s="5" t="s">
        <v>76</v>
      </c>
      <c r="F38" s="5" t="s">
        <v>165</v>
      </c>
      <c r="G38" s="5" t="s">
        <v>78</v>
      </c>
      <c r="H38" s="7" t="s">
        <v>7</v>
      </c>
      <c r="I38" s="7" t="s">
        <v>166</v>
      </c>
      <c r="J38" s="7">
        <v>0</v>
      </c>
      <c r="K38" s="7">
        <v>305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9</v>
      </c>
      <c r="AC38" s="8">
        <v>1400</v>
      </c>
      <c r="AD38" s="8">
        <v>400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26</v>
      </c>
      <c r="BG38" s="7">
        <v>6240</v>
      </c>
      <c r="BH38" s="7">
        <v>0</v>
      </c>
      <c r="BI38" s="7">
        <v>0</v>
      </c>
      <c r="BJ38" s="7">
        <v>0</v>
      </c>
      <c r="BK38" s="7">
        <v>0</v>
      </c>
      <c r="BL38" s="7">
        <v>312</v>
      </c>
      <c r="BM38" s="10">
        <v>8040</v>
      </c>
      <c r="BN38" s="15">
        <f t="shared" si="3"/>
        <v>7728</v>
      </c>
      <c r="BO38" s="16">
        <f t="shared" si="4"/>
        <v>5409.5999999999995</v>
      </c>
    </row>
    <row r="39" spans="1:67" ht="19.5" x14ac:dyDescent="0.3">
      <c r="A39" s="5" t="s">
        <v>14</v>
      </c>
      <c r="B39" s="5" t="s">
        <v>81</v>
      </c>
      <c r="C39" s="5">
        <v>465461</v>
      </c>
      <c r="D39" s="6"/>
      <c r="E39" s="5" t="s">
        <v>76</v>
      </c>
      <c r="F39" s="5" t="s">
        <v>82</v>
      </c>
      <c r="G39" s="5" t="s">
        <v>78</v>
      </c>
      <c r="H39" s="7" t="s">
        <v>7</v>
      </c>
      <c r="I39" s="7" t="s">
        <v>159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6</v>
      </c>
      <c r="AC39" s="8">
        <v>800</v>
      </c>
      <c r="AD39" s="7">
        <v>400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8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28</v>
      </c>
      <c r="BG39" s="7">
        <v>6720</v>
      </c>
      <c r="BH39" s="7">
        <v>0</v>
      </c>
      <c r="BI39" s="7">
        <v>0</v>
      </c>
      <c r="BJ39" s="7">
        <v>0</v>
      </c>
      <c r="BK39" s="7">
        <v>0</v>
      </c>
      <c r="BL39" s="7">
        <v>336</v>
      </c>
      <c r="BM39" s="10">
        <v>7920</v>
      </c>
      <c r="BN39" s="15">
        <f t="shared" si="3"/>
        <v>7584</v>
      </c>
      <c r="BO39" s="16">
        <f t="shared" si="4"/>
        <v>5308.7999999999993</v>
      </c>
    </row>
    <row r="40" spans="1:67" ht="19.5" x14ac:dyDescent="0.3">
      <c r="A40" s="5" t="s">
        <v>14</v>
      </c>
      <c r="B40" s="5" t="s">
        <v>130</v>
      </c>
      <c r="C40" s="5">
        <v>383201</v>
      </c>
      <c r="D40" s="6"/>
      <c r="E40" s="5" t="s">
        <v>76</v>
      </c>
      <c r="F40" s="5" t="s">
        <v>131</v>
      </c>
      <c r="G40" s="5" t="s">
        <v>78</v>
      </c>
      <c r="H40" s="7" t="s">
        <v>7</v>
      </c>
      <c r="I40" s="7" t="s">
        <v>132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32</v>
      </c>
      <c r="AC40" s="7">
        <v>4400</v>
      </c>
      <c r="AD40" s="8">
        <v>2000</v>
      </c>
      <c r="AE40" s="7">
        <v>0</v>
      </c>
      <c r="AF40" s="7">
        <v>0</v>
      </c>
      <c r="AG40" s="8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8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6400</v>
      </c>
      <c r="BN40" s="15">
        <f t="shared" si="3"/>
        <v>6400</v>
      </c>
      <c r="BO40" s="16">
        <f t="shared" si="4"/>
        <v>4480</v>
      </c>
    </row>
    <row r="41" spans="1:67" ht="19.5" x14ac:dyDescent="0.3">
      <c r="A41" s="5" t="s">
        <v>14</v>
      </c>
      <c r="B41" s="5" t="s">
        <v>91</v>
      </c>
      <c r="C41" s="5">
        <v>432749</v>
      </c>
      <c r="D41" s="6"/>
      <c r="E41" s="5" t="s">
        <v>76</v>
      </c>
      <c r="F41" s="5" t="s">
        <v>92</v>
      </c>
      <c r="G41" s="5" t="s">
        <v>78</v>
      </c>
      <c r="H41" s="7" t="s">
        <v>7</v>
      </c>
      <c r="I41" s="7" t="s">
        <v>158</v>
      </c>
      <c r="J41" s="7">
        <v>3</v>
      </c>
      <c r="K41" s="7">
        <v>0</v>
      </c>
      <c r="L41" s="7">
        <v>600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3</v>
      </c>
      <c r="AC41" s="8">
        <v>0</v>
      </c>
      <c r="AD41" s="7">
        <v>600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4</v>
      </c>
      <c r="AO41" s="7">
        <v>800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6</v>
      </c>
      <c r="BG41" s="7">
        <v>1440</v>
      </c>
      <c r="BH41" s="7">
        <v>0</v>
      </c>
      <c r="BI41" s="7">
        <v>5</v>
      </c>
      <c r="BJ41" s="7">
        <v>2400</v>
      </c>
      <c r="BK41" s="7">
        <v>0</v>
      </c>
      <c r="BL41" s="7">
        <v>192</v>
      </c>
      <c r="BM41" s="10">
        <v>5840</v>
      </c>
      <c r="BN41" s="15">
        <f t="shared" si="3"/>
        <v>5648</v>
      </c>
      <c r="BO41" s="16">
        <f t="shared" si="4"/>
        <v>3953.6</v>
      </c>
    </row>
    <row r="42" spans="1:67" ht="19.5" x14ac:dyDescent="0.3">
      <c r="A42" s="5" t="s">
        <v>14</v>
      </c>
      <c r="B42" s="5" t="s">
        <v>99</v>
      </c>
      <c r="C42" s="5">
        <v>351846</v>
      </c>
      <c r="D42" s="6"/>
      <c r="E42" s="5" t="s">
        <v>76</v>
      </c>
      <c r="F42" s="5" t="s">
        <v>100</v>
      </c>
      <c r="G42" s="5" t="s">
        <v>78</v>
      </c>
      <c r="H42" s="7" t="s">
        <v>7</v>
      </c>
      <c r="I42" s="7" t="s">
        <v>101</v>
      </c>
      <c r="J42" s="7">
        <v>0</v>
      </c>
      <c r="K42" s="7">
        <v>16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27</v>
      </c>
      <c r="AO42" s="7">
        <v>2700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8">
        <v>0</v>
      </c>
      <c r="BK42" s="7">
        <v>0</v>
      </c>
      <c r="BL42" s="7">
        <v>0</v>
      </c>
      <c r="BM42" s="10">
        <v>2700</v>
      </c>
      <c r="BN42" s="15">
        <f t="shared" si="3"/>
        <v>2700</v>
      </c>
      <c r="BO42" s="16">
        <f t="shared" si="4"/>
        <v>1889.9999999999998</v>
      </c>
    </row>
    <row r="43" spans="1:67" ht="19.5" x14ac:dyDescent="0.3">
      <c r="A43" s="5" t="s">
        <v>14</v>
      </c>
      <c r="B43" s="5" t="s">
        <v>135</v>
      </c>
      <c r="C43" s="5">
        <v>330938</v>
      </c>
      <c r="D43" s="6"/>
      <c r="E43" s="5" t="s">
        <v>76</v>
      </c>
      <c r="F43" s="5" t="s">
        <v>106</v>
      </c>
      <c r="G43" s="5" t="s">
        <v>78</v>
      </c>
      <c r="H43" s="7" t="s">
        <v>7</v>
      </c>
      <c r="I43" s="7" t="s">
        <v>136</v>
      </c>
      <c r="J43" s="7">
        <v>0</v>
      </c>
      <c r="K43" s="8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8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10</v>
      </c>
      <c r="BA43" s="7">
        <v>2400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144</v>
      </c>
      <c r="BM43" s="10">
        <v>2400</v>
      </c>
      <c r="BN43" s="15">
        <f t="shared" si="3"/>
        <v>2256</v>
      </c>
      <c r="BO43" s="16">
        <f t="shared" si="4"/>
        <v>1579.1999999999998</v>
      </c>
    </row>
    <row r="44" spans="1:67" ht="19.5" x14ac:dyDescent="0.3">
      <c r="A44" s="5" t="s">
        <v>14</v>
      </c>
      <c r="B44" s="5" t="s">
        <v>93</v>
      </c>
      <c r="C44" s="5">
        <v>307024</v>
      </c>
      <c r="D44" s="6"/>
      <c r="E44" s="5" t="s">
        <v>76</v>
      </c>
      <c r="F44" s="5" t="s">
        <v>94</v>
      </c>
      <c r="G44" s="5" t="s">
        <v>78</v>
      </c>
      <c r="H44" s="7" t="s">
        <v>7</v>
      </c>
      <c r="I44" s="7" t="s">
        <v>95</v>
      </c>
      <c r="J44" s="7">
        <v>0</v>
      </c>
      <c r="K44" s="7">
        <v>2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8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8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20</v>
      </c>
      <c r="BG44" s="7">
        <v>2400</v>
      </c>
      <c r="BH44" s="7">
        <v>0</v>
      </c>
      <c r="BI44" s="7">
        <v>0</v>
      </c>
      <c r="BJ44" s="8">
        <v>0</v>
      </c>
      <c r="BK44" s="7">
        <v>0</v>
      </c>
      <c r="BL44" s="7">
        <v>120</v>
      </c>
      <c r="BM44" s="10">
        <v>2400</v>
      </c>
      <c r="BN44" s="15">
        <f t="shared" si="3"/>
        <v>2280</v>
      </c>
      <c r="BO44" s="16">
        <f t="shared" si="4"/>
        <v>1596</v>
      </c>
    </row>
    <row r="45" spans="1:67" ht="19.5" x14ac:dyDescent="0.3">
      <c r="A45" s="5" t="s">
        <v>14</v>
      </c>
      <c r="B45" s="5" t="s">
        <v>111</v>
      </c>
      <c r="C45" s="5">
        <v>448747</v>
      </c>
      <c r="D45" s="6"/>
      <c r="E45" s="5" t="s">
        <v>76</v>
      </c>
      <c r="F45" s="5" t="s">
        <v>112</v>
      </c>
      <c r="G45" s="5" t="s">
        <v>78</v>
      </c>
      <c r="H45" s="7" t="s">
        <v>7</v>
      </c>
      <c r="I45" s="7" t="s">
        <v>113</v>
      </c>
      <c r="J45" s="7">
        <v>0</v>
      </c>
      <c r="K45" s="7">
        <v>1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9</v>
      </c>
      <c r="AC45" s="7">
        <v>0</v>
      </c>
      <c r="AD45" s="7">
        <v>1800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8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1800</v>
      </c>
      <c r="BN45" s="15">
        <f t="shared" si="3"/>
        <v>1800</v>
      </c>
      <c r="BO45" s="16">
        <f t="shared" si="4"/>
        <v>1260</v>
      </c>
    </row>
    <row r="46" spans="1:67" ht="19.5" x14ac:dyDescent="0.3">
      <c r="A46" s="5" t="s">
        <v>14</v>
      </c>
      <c r="B46" s="5" t="s">
        <v>139</v>
      </c>
      <c r="C46" s="5">
        <v>406076</v>
      </c>
      <c r="D46" s="6"/>
      <c r="E46" s="5" t="s">
        <v>76</v>
      </c>
      <c r="F46" s="5" t="s">
        <v>140</v>
      </c>
      <c r="G46" s="5" t="s">
        <v>78</v>
      </c>
      <c r="H46" s="7" t="s">
        <v>8</v>
      </c>
      <c r="I46" s="7" t="s">
        <v>141</v>
      </c>
      <c r="J46" s="7">
        <v>0</v>
      </c>
      <c r="K46" s="7">
        <v>3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6</v>
      </c>
      <c r="AC46" s="7">
        <v>1000</v>
      </c>
      <c r="AD46" s="7">
        <v>200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8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1200</v>
      </c>
      <c r="BN46" s="15">
        <f t="shared" si="3"/>
        <v>1200</v>
      </c>
      <c r="BO46" s="16">
        <f t="shared" si="4"/>
        <v>840</v>
      </c>
    </row>
    <row r="47" spans="1:67" ht="19.5" x14ac:dyDescent="0.3">
      <c r="A47" s="5" t="s">
        <v>14</v>
      </c>
      <c r="B47" s="5" t="s">
        <v>114</v>
      </c>
      <c r="C47" s="5">
        <v>465658</v>
      </c>
      <c r="D47" s="6"/>
      <c r="E47" s="5" t="s">
        <v>76</v>
      </c>
      <c r="F47" s="5" t="s">
        <v>115</v>
      </c>
      <c r="G47" s="5" t="s">
        <v>78</v>
      </c>
      <c r="H47" s="7" t="s">
        <v>7</v>
      </c>
      <c r="I47" s="7" t="s">
        <v>159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1</v>
      </c>
      <c r="AC47" s="8">
        <v>200</v>
      </c>
      <c r="AD47" s="7">
        <v>0</v>
      </c>
      <c r="AE47" s="7">
        <v>2</v>
      </c>
      <c r="AF47" s="7">
        <v>960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8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1160</v>
      </c>
      <c r="BN47" s="15">
        <f t="shared" si="3"/>
        <v>1160</v>
      </c>
      <c r="BO47" s="16">
        <f t="shared" si="4"/>
        <v>812</v>
      </c>
    </row>
    <row r="48" spans="1:67" ht="19.5" x14ac:dyDescent="0.3">
      <c r="A48" s="5" t="s">
        <v>14</v>
      </c>
      <c r="B48" s="5" t="s">
        <v>79</v>
      </c>
      <c r="C48" s="5">
        <v>465463</v>
      </c>
      <c r="D48" s="6"/>
      <c r="E48" s="5" t="s">
        <v>76</v>
      </c>
      <c r="F48" s="5" t="s">
        <v>80</v>
      </c>
      <c r="G48" s="5" t="s">
        <v>78</v>
      </c>
      <c r="H48" s="7" t="s">
        <v>9</v>
      </c>
      <c r="I48" s="7" t="s">
        <v>148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2</v>
      </c>
      <c r="AF48" s="7">
        <v>0</v>
      </c>
      <c r="AG48" s="7">
        <v>800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1</v>
      </c>
      <c r="AU48" s="7">
        <v>240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24</v>
      </c>
      <c r="BM48" s="10">
        <v>1040</v>
      </c>
      <c r="BN48" s="15">
        <f t="shared" si="3"/>
        <v>1016</v>
      </c>
      <c r="BO48" s="16">
        <f t="shared" si="4"/>
        <v>711.19999999999993</v>
      </c>
    </row>
    <row r="49" spans="1:67" ht="19.5" x14ac:dyDescent="0.3">
      <c r="A49" s="5" t="s">
        <v>14</v>
      </c>
      <c r="B49" s="5" t="s">
        <v>149</v>
      </c>
      <c r="C49" s="5">
        <v>393552</v>
      </c>
      <c r="D49" s="6"/>
      <c r="E49" s="5" t="s">
        <v>76</v>
      </c>
      <c r="F49" s="5" t="s">
        <v>150</v>
      </c>
      <c r="G49" s="5" t="s">
        <v>78</v>
      </c>
      <c r="H49" s="7" t="s">
        <v>7</v>
      </c>
      <c r="I49" s="7" t="s">
        <v>146</v>
      </c>
      <c r="J49" s="7">
        <v>0</v>
      </c>
      <c r="K49" s="7">
        <v>250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8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3</v>
      </c>
      <c r="AO49" s="7">
        <v>200</v>
      </c>
      <c r="AP49" s="7">
        <v>400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600</v>
      </c>
      <c r="BN49" s="15">
        <f t="shared" si="3"/>
        <v>600</v>
      </c>
      <c r="BO49" s="16">
        <f t="shared" si="4"/>
        <v>420</v>
      </c>
    </row>
    <row r="50" spans="1:67" ht="19.5" x14ac:dyDescent="0.3">
      <c r="A50" s="5" t="s">
        <v>14</v>
      </c>
      <c r="B50" s="5" t="s">
        <v>108</v>
      </c>
      <c r="C50" s="5">
        <v>319050</v>
      </c>
      <c r="D50" s="6"/>
      <c r="E50" s="5" t="s">
        <v>76</v>
      </c>
      <c r="F50" s="5" t="s">
        <v>109</v>
      </c>
      <c r="G50" s="5" t="s">
        <v>78</v>
      </c>
      <c r="H50" s="7" t="s">
        <v>7</v>
      </c>
      <c r="I50" s="7" t="s">
        <v>110</v>
      </c>
      <c r="J50" s="7">
        <v>1</v>
      </c>
      <c r="K50" s="7">
        <v>0</v>
      </c>
      <c r="L50" s="7">
        <v>200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1">
        <v>200</v>
      </c>
      <c r="BN50" s="15">
        <f t="shared" si="3"/>
        <v>200</v>
      </c>
      <c r="BO50" s="16">
        <f t="shared" si="4"/>
        <v>140</v>
      </c>
    </row>
    <row r="51" spans="1:67" ht="19.5" x14ac:dyDescent="0.3">
      <c r="A51" s="5" t="s">
        <v>14</v>
      </c>
      <c r="B51" s="5" t="s">
        <v>122</v>
      </c>
      <c r="C51" s="5">
        <v>463278</v>
      </c>
      <c r="D51" s="6"/>
      <c r="E51" s="5" t="s">
        <v>76</v>
      </c>
      <c r="F51" s="5" t="s">
        <v>123</v>
      </c>
      <c r="G51" s="5" t="s">
        <v>78</v>
      </c>
      <c r="H51" s="7" t="s">
        <v>7</v>
      </c>
      <c r="I51" s="7" t="s">
        <v>124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</v>
      </c>
      <c r="AC51" s="7">
        <v>200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1">
        <v>200</v>
      </c>
      <c r="BN51" s="15">
        <f t="shared" si="3"/>
        <v>200</v>
      </c>
      <c r="BO51" s="16">
        <f t="shared" si="4"/>
        <v>140</v>
      </c>
    </row>
    <row r="52" spans="1:67" ht="19.5" x14ac:dyDescent="0.3">
      <c r="A52" s="5" t="s">
        <v>14</v>
      </c>
      <c r="B52" s="5" t="s">
        <v>85</v>
      </c>
      <c r="C52" s="5">
        <v>380491</v>
      </c>
      <c r="D52" s="6"/>
      <c r="E52" s="5" t="s">
        <v>76</v>
      </c>
      <c r="F52" s="5" t="s">
        <v>86</v>
      </c>
      <c r="G52" s="5" t="s">
        <v>78</v>
      </c>
      <c r="H52" s="7" t="s">
        <v>7</v>
      </c>
      <c r="I52" s="7" t="s">
        <v>87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1</v>
      </c>
      <c r="BG52" s="7">
        <v>120</v>
      </c>
      <c r="BH52" s="7">
        <v>0</v>
      </c>
      <c r="BI52" s="7">
        <v>0</v>
      </c>
      <c r="BJ52" s="7">
        <v>0</v>
      </c>
      <c r="BK52" s="7">
        <v>0</v>
      </c>
      <c r="BL52" s="7">
        <v>6</v>
      </c>
      <c r="BM52" s="11">
        <v>120</v>
      </c>
      <c r="BN52" s="15">
        <f t="shared" si="3"/>
        <v>114</v>
      </c>
      <c r="BO52" s="16">
        <f t="shared" si="4"/>
        <v>79.8</v>
      </c>
    </row>
    <row r="53" spans="1:67" ht="19.5" x14ac:dyDescent="0.3">
      <c r="A53" s="5" t="s">
        <v>14</v>
      </c>
      <c r="B53" s="5" t="s">
        <v>144</v>
      </c>
      <c r="C53" s="5">
        <v>393567</v>
      </c>
      <c r="D53" s="6"/>
      <c r="E53" s="5" t="s">
        <v>76</v>
      </c>
      <c r="F53" s="5" t="s">
        <v>145</v>
      </c>
      <c r="G53" s="5" t="s">
        <v>78</v>
      </c>
      <c r="H53" s="7" t="s">
        <v>8</v>
      </c>
      <c r="I53" s="7" t="s">
        <v>146</v>
      </c>
      <c r="J53" s="7">
        <v>0</v>
      </c>
      <c r="K53" s="7">
        <v>82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1">
        <v>0</v>
      </c>
      <c r="BN53" s="15">
        <f t="shared" si="3"/>
        <v>0</v>
      </c>
      <c r="BO53" s="16">
        <f t="shared" si="4"/>
        <v>0</v>
      </c>
    </row>
    <row r="54" spans="1:67" x14ac:dyDescent="0.3">
      <c r="A54" s="5" t="s">
        <v>15</v>
      </c>
      <c r="B54" s="5" t="s">
        <v>75</v>
      </c>
      <c r="C54" s="5">
        <v>435954</v>
      </c>
      <c r="D54" s="6"/>
      <c r="E54" s="5" t="s">
        <v>76</v>
      </c>
      <c r="F54" s="5" t="s">
        <v>77</v>
      </c>
      <c r="G54" s="5" t="s">
        <v>78</v>
      </c>
      <c r="H54" s="7" t="s">
        <v>7</v>
      </c>
      <c r="I54" s="7" t="s">
        <v>158</v>
      </c>
      <c r="J54" s="7">
        <v>1</v>
      </c>
      <c r="K54" s="7">
        <v>53</v>
      </c>
      <c r="L54" s="7">
        <v>200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9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8">
        <v>822</v>
      </c>
      <c r="AC54" s="8">
        <v>146600</v>
      </c>
      <c r="AD54" s="8">
        <v>17100</v>
      </c>
      <c r="AE54" s="7">
        <v>68</v>
      </c>
      <c r="AF54" s="8">
        <v>17600</v>
      </c>
      <c r="AG54" s="8">
        <v>8700</v>
      </c>
      <c r="AH54" s="8">
        <v>960</v>
      </c>
      <c r="AI54" s="8">
        <v>182708</v>
      </c>
      <c r="AJ54" s="8">
        <v>39200</v>
      </c>
      <c r="AK54" s="7">
        <v>42</v>
      </c>
      <c r="AL54" s="8">
        <v>16176</v>
      </c>
      <c r="AM54" s="8">
        <v>3200</v>
      </c>
      <c r="AN54" s="7">
        <v>83</v>
      </c>
      <c r="AO54" s="8">
        <v>15700</v>
      </c>
      <c r="AP54" s="7">
        <v>900</v>
      </c>
      <c r="AQ54" s="7">
        <v>41</v>
      </c>
      <c r="AR54" s="8">
        <v>15700</v>
      </c>
      <c r="AS54" s="7">
        <v>400</v>
      </c>
      <c r="AT54" s="7">
        <v>16</v>
      </c>
      <c r="AU54" s="7">
        <v>4092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9">
        <v>60074.400000000001</v>
      </c>
      <c r="BM54" s="10">
        <v>468276</v>
      </c>
      <c r="BN54" s="15">
        <f t="shared" si="3"/>
        <v>408201.6</v>
      </c>
      <c r="BO54" s="16">
        <f t="shared" si="4"/>
        <v>285741.11999999994</v>
      </c>
    </row>
    <row r="55" spans="1:67" x14ac:dyDescent="0.3">
      <c r="A55" s="5" t="s">
        <v>15</v>
      </c>
      <c r="B55" s="5" t="s">
        <v>81</v>
      </c>
      <c r="C55" s="5">
        <v>465461</v>
      </c>
      <c r="D55" s="6"/>
      <c r="E55" s="5" t="s">
        <v>76</v>
      </c>
      <c r="F55" s="5" t="s">
        <v>82</v>
      </c>
      <c r="G55" s="5" t="s">
        <v>78</v>
      </c>
      <c r="H55" s="7" t="s">
        <v>7</v>
      </c>
      <c r="I55" s="7" t="s">
        <v>159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4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111</v>
      </c>
      <c r="AC55" s="8">
        <v>21800</v>
      </c>
      <c r="AD55" s="8">
        <v>400</v>
      </c>
      <c r="AE55" s="7">
        <v>60</v>
      </c>
      <c r="AF55" s="8">
        <v>18000</v>
      </c>
      <c r="AG55" s="7">
        <v>6000</v>
      </c>
      <c r="AH55" s="7">
        <v>172</v>
      </c>
      <c r="AI55" s="8">
        <v>26880</v>
      </c>
      <c r="AJ55" s="7">
        <v>12000</v>
      </c>
      <c r="AK55" s="7">
        <v>8</v>
      </c>
      <c r="AL55" s="7">
        <v>0</v>
      </c>
      <c r="AM55" s="7">
        <v>3200</v>
      </c>
      <c r="AN55" s="7">
        <v>3</v>
      </c>
      <c r="AO55" s="8">
        <v>600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8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9">
        <v>8064</v>
      </c>
      <c r="BM55" s="10">
        <v>88880</v>
      </c>
      <c r="BN55" s="15">
        <f t="shared" si="3"/>
        <v>80816</v>
      </c>
      <c r="BO55" s="16">
        <f t="shared" si="4"/>
        <v>56571.199999999997</v>
      </c>
    </row>
    <row r="56" spans="1:67" x14ac:dyDescent="0.3">
      <c r="A56" s="5" t="s">
        <v>15</v>
      </c>
      <c r="B56" s="5" t="s">
        <v>79</v>
      </c>
      <c r="C56" s="5">
        <v>465463</v>
      </c>
      <c r="D56" s="6"/>
      <c r="E56" s="5" t="s">
        <v>76</v>
      </c>
      <c r="F56" s="5" t="s">
        <v>80</v>
      </c>
      <c r="G56" s="5" t="s">
        <v>78</v>
      </c>
      <c r="H56" s="7" t="s">
        <v>9</v>
      </c>
      <c r="I56" s="7" t="s">
        <v>148</v>
      </c>
      <c r="J56" s="7">
        <v>2</v>
      </c>
      <c r="K56" s="7">
        <v>15</v>
      </c>
      <c r="L56" s="7">
        <v>400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47</v>
      </c>
      <c r="AC56" s="8">
        <v>9400</v>
      </c>
      <c r="AD56" s="8">
        <v>0</v>
      </c>
      <c r="AE56" s="7">
        <v>1</v>
      </c>
      <c r="AF56" s="8">
        <v>400</v>
      </c>
      <c r="AG56" s="8">
        <v>0</v>
      </c>
      <c r="AH56" s="7">
        <v>129</v>
      </c>
      <c r="AI56" s="8">
        <v>30960</v>
      </c>
      <c r="AJ56" s="8">
        <v>0</v>
      </c>
      <c r="AK56" s="7">
        <v>0</v>
      </c>
      <c r="AL56" s="7">
        <v>0</v>
      </c>
      <c r="AM56" s="8">
        <v>0</v>
      </c>
      <c r="AN56" s="7">
        <v>3</v>
      </c>
      <c r="AO56" s="8">
        <v>600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9">
        <v>9288</v>
      </c>
      <c r="BM56" s="10">
        <v>41760</v>
      </c>
      <c r="BN56" s="15">
        <f t="shared" si="3"/>
        <v>32472</v>
      </c>
      <c r="BO56" s="16">
        <f t="shared" si="4"/>
        <v>22730.399999999998</v>
      </c>
    </row>
    <row r="57" spans="1:67" x14ac:dyDescent="0.3">
      <c r="A57" s="5" t="s">
        <v>15</v>
      </c>
      <c r="B57" s="5" t="s">
        <v>160</v>
      </c>
      <c r="C57" s="5">
        <v>484291</v>
      </c>
      <c r="D57" s="6"/>
      <c r="E57" s="5" t="s">
        <v>76</v>
      </c>
      <c r="F57" s="5" t="s">
        <v>161</v>
      </c>
      <c r="G57" s="5" t="s">
        <v>78</v>
      </c>
      <c r="H57" s="7" t="s">
        <v>7</v>
      </c>
      <c r="I57" s="7" t="s">
        <v>162</v>
      </c>
      <c r="J57" s="7">
        <v>0</v>
      </c>
      <c r="K57" s="7">
        <v>590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33</v>
      </c>
      <c r="AC57" s="8">
        <v>6500</v>
      </c>
      <c r="AD57" s="7">
        <v>0</v>
      </c>
      <c r="AE57" s="7">
        <v>0</v>
      </c>
      <c r="AF57" s="7">
        <v>0</v>
      </c>
      <c r="AG57" s="7">
        <v>0</v>
      </c>
      <c r="AH57" s="7">
        <v>61</v>
      </c>
      <c r="AI57" s="8">
        <v>11520</v>
      </c>
      <c r="AJ57" s="8">
        <v>2500</v>
      </c>
      <c r="AK57" s="7">
        <v>1</v>
      </c>
      <c r="AL57" s="7">
        <v>480</v>
      </c>
      <c r="AM57" s="7">
        <v>0</v>
      </c>
      <c r="AN57" s="7">
        <v>53</v>
      </c>
      <c r="AO57" s="7">
        <v>10600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7</v>
      </c>
      <c r="BA57" s="7">
        <v>1680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9">
        <v>3700.8</v>
      </c>
      <c r="BM57" s="10">
        <v>33280</v>
      </c>
      <c r="BN57" s="15">
        <f t="shared" si="3"/>
        <v>29579.200000000001</v>
      </c>
      <c r="BO57" s="16">
        <f t="shared" si="4"/>
        <v>20705.439999999999</v>
      </c>
    </row>
    <row r="58" spans="1:67" x14ac:dyDescent="0.3">
      <c r="A58" s="5" t="s">
        <v>15</v>
      </c>
      <c r="B58" s="5" t="s">
        <v>133</v>
      </c>
      <c r="C58" s="5">
        <v>464964</v>
      </c>
      <c r="D58" s="6"/>
      <c r="E58" s="5" t="s">
        <v>76</v>
      </c>
      <c r="F58" s="5" t="s">
        <v>134</v>
      </c>
      <c r="G58" s="5" t="s">
        <v>78</v>
      </c>
      <c r="H58" s="7" t="s">
        <v>7</v>
      </c>
      <c r="I58" s="7" t="s">
        <v>163</v>
      </c>
      <c r="J58" s="7">
        <v>0</v>
      </c>
      <c r="K58" s="7">
        <v>1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3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37</v>
      </c>
      <c r="AC58" s="8">
        <v>7400</v>
      </c>
      <c r="AD58" s="7">
        <v>0</v>
      </c>
      <c r="AE58" s="7">
        <v>35</v>
      </c>
      <c r="AF58" s="7">
        <v>17500</v>
      </c>
      <c r="AG58" s="7">
        <v>0</v>
      </c>
      <c r="AH58" s="7">
        <v>39</v>
      </c>
      <c r="AI58" s="8">
        <v>0</v>
      </c>
      <c r="AJ58" s="8">
        <v>7800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9">
        <v>0</v>
      </c>
      <c r="BM58" s="10">
        <v>32700</v>
      </c>
      <c r="BN58" s="15">
        <f t="shared" si="3"/>
        <v>32700</v>
      </c>
      <c r="BO58" s="16">
        <f t="shared" si="4"/>
        <v>22890</v>
      </c>
    </row>
    <row r="59" spans="1:67" x14ac:dyDescent="0.3">
      <c r="A59" s="5" t="s">
        <v>15</v>
      </c>
      <c r="B59" s="5" t="s">
        <v>99</v>
      </c>
      <c r="C59" s="5">
        <v>351846</v>
      </c>
      <c r="D59" s="6"/>
      <c r="E59" s="5" t="s">
        <v>76</v>
      </c>
      <c r="F59" s="5" t="s">
        <v>100</v>
      </c>
      <c r="G59" s="5" t="s">
        <v>78</v>
      </c>
      <c r="H59" s="7" t="s">
        <v>7</v>
      </c>
      <c r="I59" s="7" t="s">
        <v>101</v>
      </c>
      <c r="J59" s="7">
        <v>0</v>
      </c>
      <c r="K59" s="7">
        <v>4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8">
        <v>0</v>
      </c>
      <c r="AE59" s="7">
        <v>96</v>
      </c>
      <c r="AF59" s="7">
        <v>19200</v>
      </c>
      <c r="AG59" s="7">
        <v>0</v>
      </c>
      <c r="AH59" s="7">
        <v>99</v>
      </c>
      <c r="AI59" s="8">
        <v>7080</v>
      </c>
      <c r="AJ59" s="8">
        <v>4000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9">
        <v>2124</v>
      </c>
      <c r="BM59" s="10">
        <v>30280</v>
      </c>
      <c r="BN59" s="15">
        <f t="shared" si="3"/>
        <v>28156</v>
      </c>
      <c r="BO59" s="16">
        <f t="shared" si="4"/>
        <v>19709.199999999997</v>
      </c>
    </row>
    <row r="60" spans="1:67" x14ac:dyDescent="0.3">
      <c r="A60" s="5" t="s">
        <v>15</v>
      </c>
      <c r="B60" s="5" t="s">
        <v>88</v>
      </c>
      <c r="C60" s="5">
        <v>467630</v>
      </c>
      <c r="D60" s="6"/>
      <c r="E60" s="5" t="s">
        <v>76</v>
      </c>
      <c r="F60" s="5" t="s">
        <v>89</v>
      </c>
      <c r="G60" s="5" t="s">
        <v>78</v>
      </c>
      <c r="H60" s="7" t="s">
        <v>8</v>
      </c>
      <c r="I60" s="7" t="s">
        <v>90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2</v>
      </c>
      <c r="AC60" s="7">
        <v>200</v>
      </c>
      <c r="AD60" s="7">
        <v>200</v>
      </c>
      <c r="AE60" s="7">
        <v>0</v>
      </c>
      <c r="AF60" s="7">
        <v>0</v>
      </c>
      <c r="AG60" s="7">
        <v>0</v>
      </c>
      <c r="AH60" s="7">
        <v>109</v>
      </c>
      <c r="AI60" s="8">
        <v>21720</v>
      </c>
      <c r="AJ60" s="7">
        <v>3700</v>
      </c>
      <c r="AK60" s="7">
        <v>1</v>
      </c>
      <c r="AL60" s="7">
        <v>480</v>
      </c>
      <c r="AM60" s="7">
        <v>0</v>
      </c>
      <c r="AN60" s="7">
        <v>1</v>
      </c>
      <c r="AO60" s="7">
        <v>200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9">
        <v>6660</v>
      </c>
      <c r="BM60" s="10">
        <v>26500</v>
      </c>
      <c r="BN60" s="15">
        <f t="shared" si="3"/>
        <v>19840</v>
      </c>
      <c r="BO60" s="16">
        <f t="shared" si="4"/>
        <v>13888</v>
      </c>
    </row>
    <row r="61" spans="1:67" x14ac:dyDescent="0.3">
      <c r="A61" s="5" t="s">
        <v>15</v>
      </c>
      <c r="B61" s="5" t="s">
        <v>91</v>
      </c>
      <c r="C61" s="5">
        <v>432749</v>
      </c>
      <c r="D61" s="6"/>
      <c r="E61" s="5" t="s">
        <v>76</v>
      </c>
      <c r="F61" s="5" t="s">
        <v>92</v>
      </c>
      <c r="G61" s="5" t="s">
        <v>78</v>
      </c>
      <c r="H61" s="7" t="s">
        <v>7</v>
      </c>
      <c r="I61" s="7" t="s">
        <v>158</v>
      </c>
      <c r="J61" s="7">
        <v>1</v>
      </c>
      <c r="K61" s="7">
        <v>1</v>
      </c>
      <c r="L61" s="7">
        <v>200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19</v>
      </c>
      <c r="AC61" s="7">
        <v>3200</v>
      </c>
      <c r="AD61" s="7">
        <v>600</v>
      </c>
      <c r="AE61" s="7">
        <v>9</v>
      </c>
      <c r="AF61" s="7">
        <v>3600</v>
      </c>
      <c r="AG61" s="7">
        <v>0</v>
      </c>
      <c r="AH61" s="7">
        <v>30</v>
      </c>
      <c r="AI61" s="8">
        <v>4080</v>
      </c>
      <c r="AJ61" s="7">
        <v>2600</v>
      </c>
      <c r="AK61" s="7">
        <v>0</v>
      </c>
      <c r="AL61" s="7">
        <v>0</v>
      </c>
      <c r="AM61" s="7">
        <v>0</v>
      </c>
      <c r="AN61" s="7">
        <v>12</v>
      </c>
      <c r="AO61" s="7">
        <v>2400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9">
        <v>1224</v>
      </c>
      <c r="BM61" s="10">
        <v>16680</v>
      </c>
      <c r="BN61" s="15">
        <f t="shared" si="3"/>
        <v>15456</v>
      </c>
      <c r="BO61" s="16">
        <f t="shared" si="4"/>
        <v>10819.199999999999</v>
      </c>
    </row>
    <row r="62" spans="1:67" x14ac:dyDescent="0.3">
      <c r="A62" s="5" t="s">
        <v>15</v>
      </c>
      <c r="B62" s="5" t="s">
        <v>164</v>
      </c>
      <c r="C62" s="5">
        <v>483807</v>
      </c>
      <c r="D62" s="6"/>
      <c r="E62" s="5" t="s">
        <v>76</v>
      </c>
      <c r="F62" s="5" t="s">
        <v>165</v>
      </c>
      <c r="G62" s="5" t="s">
        <v>78</v>
      </c>
      <c r="H62" s="7" t="s">
        <v>7</v>
      </c>
      <c r="I62" s="7" t="s">
        <v>166</v>
      </c>
      <c r="J62" s="7">
        <v>0</v>
      </c>
      <c r="K62" s="7">
        <v>179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2</v>
      </c>
      <c r="AC62" s="7">
        <v>200</v>
      </c>
      <c r="AD62" s="7">
        <v>200</v>
      </c>
      <c r="AE62" s="7">
        <v>0</v>
      </c>
      <c r="AF62" s="7">
        <v>0</v>
      </c>
      <c r="AG62" s="7">
        <v>0</v>
      </c>
      <c r="AH62" s="7">
        <v>40</v>
      </c>
      <c r="AI62" s="7">
        <v>6480</v>
      </c>
      <c r="AJ62" s="7">
        <v>2600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8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1944</v>
      </c>
      <c r="BM62" s="10">
        <v>9480</v>
      </c>
      <c r="BN62" s="15">
        <f t="shared" si="3"/>
        <v>7536</v>
      </c>
      <c r="BO62" s="16">
        <f t="shared" si="4"/>
        <v>5275.2</v>
      </c>
    </row>
    <row r="63" spans="1:67" x14ac:dyDescent="0.3">
      <c r="A63" s="5" t="s">
        <v>15</v>
      </c>
      <c r="B63" s="5" t="s">
        <v>130</v>
      </c>
      <c r="C63" s="5">
        <v>383201</v>
      </c>
      <c r="D63" s="6"/>
      <c r="E63" s="5" t="s">
        <v>76</v>
      </c>
      <c r="F63" s="5" t="s">
        <v>131</v>
      </c>
      <c r="G63" s="5" t="s">
        <v>78</v>
      </c>
      <c r="H63" s="7" t="s">
        <v>7</v>
      </c>
      <c r="I63" s="7" t="s">
        <v>132</v>
      </c>
      <c r="J63" s="7">
        <v>0</v>
      </c>
      <c r="K63" s="7">
        <v>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8">
        <v>0</v>
      </c>
      <c r="AD63" s="7">
        <v>0</v>
      </c>
      <c r="AE63" s="7">
        <v>0</v>
      </c>
      <c r="AF63" s="7">
        <v>0</v>
      </c>
      <c r="AG63" s="7">
        <v>0</v>
      </c>
      <c r="AH63" s="7">
        <v>41</v>
      </c>
      <c r="AI63" s="7">
        <v>9348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2804.4</v>
      </c>
      <c r="BM63" s="10">
        <v>9348</v>
      </c>
      <c r="BN63" s="15">
        <f t="shared" si="3"/>
        <v>6543.6</v>
      </c>
      <c r="BO63" s="16">
        <f t="shared" si="4"/>
        <v>4580.5199999999995</v>
      </c>
    </row>
    <row r="64" spans="1:67" x14ac:dyDescent="0.3">
      <c r="A64" s="5" t="s">
        <v>15</v>
      </c>
      <c r="B64" s="5" t="s">
        <v>114</v>
      </c>
      <c r="C64" s="5">
        <v>465658</v>
      </c>
      <c r="D64" s="6"/>
      <c r="E64" s="5" t="s">
        <v>76</v>
      </c>
      <c r="F64" s="5" t="s">
        <v>115</v>
      </c>
      <c r="G64" s="5" t="s">
        <v>78</v>
      </c>
      <c r="H64" s="7" t="s">
        <v>7</v>
      </c>
      <c r="I64" s="7" t="s">
        <v>159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8">
        <v>0</v>
      </c>
      <c r="AE64" s="7">
        <v>0</v>
      </c>
      <c r="AF64" s="7">
        <v>0</v>
      </c>
      <c r="AG64" s="7">
        <v>0</v>
      </c>
      <c r="AH64" s="7">
        <v>38</v>
      </c>
      <c r="AI64" s="7">
        <v>9120</v>
      </c>
      <c r="AJ64" s="8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2736</v>
      </c>
      <c r="BM64" s="10">
        <v>9120</v>
      </c>
      <c r="BN64" s="15">
        <f t="shared" si="3"/>
        <v>6384</v>
      </c>
      <c r="BO64" s="16">
        <f t="shared" si="4"/>
        <v>4468.7999999999993</v>
      </c>
    </row>
    <row r="65" spans="1:67" x14ac:dyDescent="0.3">
      <c r="A65" s="5" t="s">
        <v>15</v>
      </c>
      <c r="B65" s="5" t="s">
        <v>137</v>
      </c>
      <c r="C65" s="5">
        <v>403837</v>
      </c>
      <c r="D65" s="6"/>
      <c r="E65" s="5" t="s">
        <v>76</v>
      </c>
      <c r="F65" s="5" t="s">
        <v>138</v>
      </c>
      <c r="G65" s="5" t="s">
        <v>78</v>
      </c>
      <c r="H65" s="7" t="s">
        <v>7</v>
      </c>
      <c r="I65" s="7" t="s">
        <v>87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5</v>
      </c>
      <c r="AC65" s="8">
        <v>1000</v>
      </c>
      <c r="AD65" s="7">
        <v>0</v>
      </c>
      <c r="AE65" s="7">
        <v>0</v>
      </c>
      <c r="AF65" s="7">
        <v>0</v>
      </c>
      <c r="AG65" s="7">
        <v>0</v>
      </c>
      <c r="AH65" s="7">
        <v>18</v>
      </c>
      <c r="AI65" s="8">
        <v>4320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9">
        <v>1296</v>
      </c>
      <c r="BM65" s="10">
        <v>5320</v>
      </c>
      <c r="BN65" s="15">
        <f t="shared" si="3"/>
        <v>4024</v>
      </c>
      <c r="BO65" s="16">
        <f t="shared" si="4"/>
        <v>2816.7999999999997</v>
      </c>
    </row>
    <row r="66" spans="1:67" x14ac:dyDescent="0.3">
      <c r="A66" s="5" t="s">
        <v>15</v>
      </c>
      <c r="B66" s="5" t="s">
        <v>142</v>
      </c>
      <c r="C66" s="5">
        <v>398413</v>
      </c>
      <c r="D66" s="6"/>
      <c r="E66" s="5" t="s">
        <v>76</v>
      </c>
      <c r="F66" s="5" t="s">
        <v>140</v>
      </c>
      <c r="G66" s="5" t="s">
        <v>78</v>
      </c>
      <c r="H66" s="7" t="s">
        <v>8</v>
      </c>
      <c r="I66" s="7" t="s">
        <v>143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8">
        <v>0</v>
      </c>
      <c r="AD66" s="7">
        <v>0</v>
      </c>
      <c r="AE66" s="7">
        <v>0</v>
      </c>
      <c r="AF66" s="7">
        <v>0</v>
      </c>
      <c r="AG66" s="7">
        <v>0</v>
      </c>
      <c r="AH66" s="7">
        <v>19</v>
      </c>
      <c r="AI66" s="7">
        <v>4560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1368</v>
      </c>
      <c r="BM66" s="10">
        <v>4560</v>
      </c>
      <c r="BN66" s="15">
        <f t="shared" si="3"/>
        <v>3192</v>
      </c>
      <c r="BO66" s="16">
        <f t="shared" si="4"/>
        <v>2234.3999999999996</v>
      </c>
    </row>
    <row r="67" spans="1:67" ht="19.5" x14ac:dyDescent="0.3">
      <c r="A67" s="5" t="s">
        <v>15</v>
      </c>
      <c r="B67" s="5" t="s">
        <v>125</v>
      </c>
      <c r="C67" s="5">
        <v>434897</v>
      </c>
      <c r="D67" s="6"/>
      <c r="E67" s="5" t="s">
        <v>76</v>
      </c>
      <c r="F67" s="5" t="s">
        <v>126</v>
      </c>
      <c r="G67" s="5" t="s">
        <v>78</v>
      </c>
      <c r="H67" s="7" t="s">
        <v>8</v>
      </c>
      <c r="I67" s="7" t="s">
        <v>12</v>
      </c>
      <c r="J67" s="7">
        <v>1</v>
      </c>
      <c r="K67" s="7">
        <v>0</v>
      </c>
      <c r="L67" s="7">
        <v>200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15</v>
      </c>
      <c r="AC67" s="7">
        <v>0</v>
      </c>
      <c r="AD67" s="7">
        <v>3000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3200</v>
      </c>
      <c r="BN67" s="15">
        <f t="shared" si="3"/>
        <v>3200</v>
      </c>
      <c r="BO67" s="16">
        <f t="shared" si="4"/>
        <v>2240</v>
      </c>
    </row>
    <row r="68" spans="1:67" x14ac:dyDescent="0.3">
      <c r="A68" s="5" t="s">
        <v>15</v>
      </c>
      <c r="B68" s="5" t="s">
        <v>83</v>
      </c>
      <c r="C68" s="5">
        <v>423525</v>
      </c>
      <c r="D68" s="6"/>
      <c r="E68" s="5" t="s">
        <v>76</v>
      </c>
      <c r="F68" s="5" t="s">
        <v>84</v>
      </c>
      <c r="G68" s="5" t="s">
        <v>78</v>
      </c>
      <c r="H68" s="7" t="s">
        <v>7</v>
      </c>
      <c r="I68" s="7" t="s">
        <v>74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11</v>
      </c>
      <c r="AC68" s="7">
        <v>2200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2200</v>
      </c>
      <c r="BN68" s="15">
        <f t="shared" si="3"/>
        <v>2200</v>
      </c>
      <c r="BO68" s="16">
        <f t="shared" si="4"/>
        <v>1540</v>
      </c>
    </row>
    <row r="69" spans="1:67" x14ac:dyDescent="0.3">
      <c r="A69" s="5" t="s">
        <v>15</v>
      </c>
      <c r="B69" s="5" t="s">
        <v>167</v>
      </c>
      <c r="C69" s="5">
        <v>354237</v>
      </c>
      <c r="D69" s="6"/>
      <c r="E69" s="5" t="s">
        <v>76</v>
      </c>
      <c r="F69" s="5" t="s">
        <v>168</v>
      </c>
      <c r="G69" s="5" t="s">
        <v>78</v>
      </c>
      <c r="H69" s="7" t="s">
        <v>7</v>
      </c>
      <c r="I69" s="7" t="s">
        <v>169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1</v>
      </c>
      <c r="AL69" s="7">
        <v>0</v>
      </c>
      <c r="AM69" s="7">
        <v>500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1">
        <v>500</v>
      </c>
      <c r="BN69" s="15">
        <f t="shared" ref="BN69:BN71" si="5">BM69-BL69</f>
        <v>500</v>
      </c>
      <c r="BO69" s="16">
        <f t="shared" ref="BO69:BO71" si="6">BN69*70%</f>
        <v>350</v>
      </c>
    </row>
    <row r="70" spans="1:67" ht="19.5" x14ac:dyDescent="0.3">
      <c r="A70" s="5" t="s">
        <v>15</v>
      </c>
      <c r="B70" s="5" t="s">
        <v>85</v>
      </c>
      <c r="C70" s="5">
        <v>380491</v>
      </c>
      <c r="D70" s="6"/>
      <c r="E70" s="5" t="s">
        <v>76</v>
      </c>
      <c r="F70" s="5" t="s">
        <v>86</v>
      </c>
      <c r="G70" s="5" t="s">
        <v>78</v>
      </c>
      <c r="H70" s="7" t="s">
        <v>7</v>
      </c>
      <c r="I70" s="7" t="s">
        <v>87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3</v>
      </c>
      <c r="AI70" s="7">
        <v>0</v>
      </c>
      <c r="AJ70" s="7">
        <v>300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1">
        <v>300</v>
      </c>
      <c r="BN70" s="15">
        <f t="shared" si="5"/>
        <v>300</v>
      </c>
      <c r="BO70" s="16">
        <f t="shared" si="6"/>
        <v>210</v>
      </c>
    </row>
    <row r="71" spans="1:67" x14ac:dyDescent="0.3">
      <c r="A71" s="5" t="s">
        <v>15</v>
      </c>
      <c r="B71" s="5" t="s">
        <v>105</v>
      </c>
      <c r="C71" s="5">
        <v>336507</v>
      </c>
      <c r="D71" s="6"/>
      <c r="E71" s="5" t="s">
        <v>76</v>
      </c>
      <c r="F71" s="5" t="s">
        <v>106</v>
      </c>
      <c r="G71" s="5" t="s">
        <v>78</v>
      </c>
      <c r="H71" s="7" t="s">
        <v>8</v>
      </c>
      <c r="I71" s="7" t="s">
        <v>107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1</v>
      </c>
      <c r="AC71" s="7">
        <v>0</v>
      </c>
      <c r="AD71" s="7">
        <v>200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1">
        <v>200</v>
      </c>
      <c r="BN71" s="15">
        <f t="shared" si="5"/>
        <v>200</v>
      </c>
      <c r="BO71" s="16">
        <f t="shared" si="6"/>
        <v>140</v>
      </c>
    </row>
    <row r="72" spans="1:67" x14ac:dyDescent="0.3">
      <c r="A72" s="5" t="s">
        <v>15</v>
      </c>
      <c r="B72" s="5" t="s">
        <v>149</v>
      </c>
      <c r="C72" s="5">
        <v>393552</v>
      </c>
      <c r="D72" s="6"/>
      <c r="E72" s="5" t="s">
        <v>76</v>
      </c>
      <c r="F72" s="5" t="s">
        <v>150</v>
      </c>
      <c r="G72" s="5" t="s">
        <v>78</v>
      </c>
      <c r="H72" s="7" t="s">
        <v>7</v>
      </c>
      <c r="I72" s="7" t="s">
        <v>146</v>
      </c>
      <c r="J72" s="7">
        <v>0</v>
      </c>
      <c r="K72" s="7">
        <v>85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1">
        <v>0</v>
      </c>
      <c r="BN72" s="15">
        <f t="shared" ref="BN72" si="7">BM72-BL72</f>
        <v>0</v>
      </c>
      <c r="BO72" s="16">
        <f t="shared" ref="BO72" si="8">BN72*70%</f>
        <v>0</v>
      </c>
    </row>
    <row r="73" spans="1:67" x14ac:dyDescent="0.3">
      <c r="A73" s="5" t="s">
        <v>15</v>
      </c>
      <c r="B73" s="5" t="s">
        <v>144</v>
      </c>
      <c r="C73" s="5">
        <v>393567</v>
      </c>
      <c r="D73" s="6"/>
      <c r="E73" s="5" t="s">
        <v>76</v>
      </c>
      <c r="F73" s="5" t="s">
        <v>145</v>
      </c>
      <c r="G73" s="5" t="s">
        <v>78</v>
      </c>
      <c r="H73" s="7" t="s">
        <v>8</v>
      </c>
      <c r="I73" s="7" t="s">
        <v>146</v>
      </c>
      <c r="J73" s="7">
        <v>0</v>
      </c>
      <c r="K73" s="7">
        <v>7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1">
        <v>0</v>
      </c>
      <c r="BN73" s="15">
        <f t="shared" ref="BN73:BN76" si="9">BM73-BL73</f>
        <v>0</v>
      </c>
      <c r="BO73" s="16">
        <f t="shared" ref="BO73:BO76" si="10">BN73*70%</f>
        <v>0</v>
      </c>
    </row>
    <row r="74" spans="1:67" x14ac:dyDescent="0.3">
      <c r="A74" s="5" t="s">
        <v>154</v>
      </c>
      <c r="B74" s="5" t="s">
        <v>111</v>
      </c>
      <c r="C74" s="5">
        <v>448747</v>
      </c>
      <c r="D74" s="6"/>
      <c r="E74" s="5" t="s">
        <v>76</v>
      </c>
      <c r="F74" s="5" t="s">
        <v>112</v>
      </c>
      <c r="G74" s="5" t="s">
        <v>78</v>
      </c>
      <c r="H74" s="7" t="s">
        <v>7</v>
      </c>
      <c r="I74" s="7" t="s">
        <v>113</v>
      </c>
      <c r="J74" s="7">
        <v>0</v>
      </c>
      <c r="K74" s="8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1</v>
      </c>
      <c r="AC74" s="7">
        <v>200</v>
      </c>
      <c r="AD74" s="8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8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8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8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200</v>
      </c>
      <c r="BN74" s="15">
        <f t="shared" si="9"/>
        <v>200</v>
      </c>
      <c r="BO74" s="16">
        <f t="shared" si="10"/>
        <v>140</v>
      </c>
    </row>
    <row r="75" spans="1:67" x14ac:dyDescent="0.3">
      <c r="A75" s="5" t="s">
        <v>155</v>
      </c>
      <c r="B75" s="5" t="s">
        <v>111</v>
      </c>
      <c r="C75" s="5">
        <v>448747</v>
      </c>
      <c r="D75" s="6"/>
      <c r="E75" s="5" t="s">
        <v>76</v>
      </c>
      <c r="F75" s="5" t="s">
        <v>112</v>
      </c>
      <c r="G75" s="5" t="s">
        <v>78</v>
      </c>
      <c r="H75" s="7" t="s">
        <v>7</v>
      </c>
      <c r="I75" s="7" t="s">
        <v>113</v>
      </c>
      <c r="J75" s="7">
        <v>0</v>
      </c>
      <c r="K75" s="7">
        <v>1385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11</v>
      </c>
      <c r="AC75" s="8">
        <v>1200</v>
      </c>
      <c r="AD75" s="7">
        <v>1000</v>
      </c>
      <c r="AE75" s="7">
        <v>0</v>
      </c>
      <c r="AF75" s="7">
        <v>0</v>
      </c>
      <c r="AG75" s="7">
        <v>0</v>
      </c>
      <c r="AH75" s="7">
        <v>0</v>
      </c>
      <c r="AI75" s="8">
        <v>0</v>
      </c>
      <c r="AJ75" s="8">
        <v>0</v>
      </c>
      <c r="AK75" s="7">
        <v>0</v>
      </c>
      <c r="AL75" s="7">
        <v>0</v>
      </c>
      <c r="AM75" s="7">
        <v>0</v>
      </c>
      <c r="AN75" s="7">
        <v>11</v>
      </c>
      <c r="AO75" s="7">
        <v>2200</v>
      </c>
      <c r="AP75" s="7">
        <v>0</v>
      </c>
      <c r="AQ75" s="7">
        <v>0</v>
      </c>
      <c r="AR75" s="7">
        <v>0</v>
      </c>
      <c r="AS75" s="7">
        <v>0</v>
      </c>
      <c r="AT75" s="7">
        <v>1</v>
      </c>
      <c r="AU75" s="7">
        <v>240</v>
      </c>
      <c r="AV75" s="7">
        <v>0</v>
      </c>
      <c r="AW75" s="7">
        <v>0</v>
      </c>
      <c r="AX75" s="7">
        <v>0</v>
      </c>
      <c r="AY75" s="7">
        <v>0</v>
      </c>
      <c r="AZ75" s="7">
        <v>30</v>
      </c>
      <c r="BA75" s="7">
        <v>7200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9">
        <v>456</v>
      </c>
      <c r="BM75" s="10">
        <v>11840</v>
      </c>
      <c r="BN75" s="15">
        <f t="shared" si="9"/>
        <v>11384</v>
      </c>
      <c r="BO75" s="16">
        <f t="shared" si="10"/>
        <v>7968.7999999999993</v>
      </c>
    </row>
    <row r="76" spans="1:67" x14ac:dyDescent="0.3">
      <c r="A76" s="5" t="s">
        <v>147</v>
      </c>
      <c r="B76" s="5" t="s">
        <v>111</v>
      </c>
      <c r="C76" s="5">
        <v>448747</v>
      </c>
      <c r="D76" s="6"/>
      <c r="E76" s="5" t="s">
        <v>76</v>
      </c>
      <c r="F76" s="5" t="s">
        <v>112</v>
      </c>
      <c r="G76" s="5" t="s">
        <v>78</v>
      </c>
      <c r="H76" s="7" t="s">
        <v>7</v>
      </c>
      <c r="I76" s="7" t="s">
        <v>113</v>
      </c>
      <c r="J76" s="7">
        <v>0</v>
      </c>
      <c r="K76" s="7">
        <v>715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25</v>
      </c>
      <c r="AC76" s="7">
        <v>0</v>
      </c>
      <c r="AD76" s="7">
        <v>4900</v>
      </c>
      <c r="AE76" s="7">
        <v>0</v>
      </c>
      <c r="AF76" s="8">
        <v>0</v>
      </c>
      <c r="AG76" s="7">
        <v>0</v>
      </c>
      <c r="AH76" s="7">
        <v>22</v>
      </c>
      <c r="AI76" s="7">
        <v>4560</v>
      </c>
      <c r="AJ76" s="7">
        <v>600</v>
      </c>
      <c r="AK76" s="7">
        <v>0</v>
      </c>
      <c r="AL76" s="7">
        <v>0</v>
      </c>
      <c r="AM76" s="7">
        <v>0</v>
      </c>
      <c r="AN76" s="7">
        <v>18</v>
      </c>
      <c r="AO76" s="7">
        <v>3500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1368</v>
      </c>
      <c r="BM76" s="10">
        <v>13560</v>
      </c>
      <c r="BN76" s="15">
        <f t="shared" si="9"/>
        <v>12192</v>
      </c>
      <c r="BO76" s="16">
        <f t="shared" si="10"/>
        <v>8534.4</v>
      </c>
    </row>
    <row r="77" spans="1:67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  <c r="BO77" s="19">
        <f>SUM(BO2:BO76)</f>
        <v>1598653.8399999999</v>
      </c>
    </row>
    <row r="78" spans="1:67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7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7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8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8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8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8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8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8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1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1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1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1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1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1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1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1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1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1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1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1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1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1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1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1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1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1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1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1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1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1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1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1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1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8"/>
      <c r="L155" s="8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8"/>
      <c r="AF155" s="8"/>
      <c r="AG155" s="8"/>
      <c r="AH155" s="7"/>
      <c r="AI155" s="7"/>
      <c r="AJ155" s="7"/>
      <c r="AK155" s="8"/>
      <c r="AL155" s="8"/>
      <c r="AM155" s="8"/>
      <c r="AN155" s="7"/>
      <c r="AO155" s="7"/>
      <c r="AP155" s="7"/>
      <c r="AQ155" s="8"/>
      <c r="AR155" s="8"/>
      <c r="AS155" s="8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9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8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8"/>
      <c r="AF156" s="8"/>
      <c r="AG156" s="8"/>
      <c r="AH156" s="7"/>
      <c r="AI156" s="7"/>
      <c r="AJ156" s="7"/>
      <c r="AK156" s="8"/>
      <c r="AL156" s="8"/>
      <c r="AM156" s="8"/>
      <c r="AN156" s="7"/>
      <c r="AO156" s="7"/>
      <c r="AP156" s="7"/>
      <c r="AQ156" s="7"/>
      <c r="AR156" s="8"/>
      <c r="AS156" s="8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9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8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8"/>
      <c r="AF157" s="8"/>
      <c r="AG157" s="8"/>
      <c r="AH157" s="7"/>
      <c r="AI157" s="7"/>
      <c r="AJ157" s="7"/>
      <c r="AK157" s="8"/>
      <c r="AL157" s="8"/>
      <c r="AM157" s="8"/>
      <c r="AN157" s="7"/>
      <c r="AO157" s="7"/>
      <c r="AP157" s="7"/>
      <c r="AQ157" s="8"/>
      <c r="AR157" s="8"/>
      <c r="AS157" s="8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9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8"/>
      <c r="AF158" s="8"/>
      <c r="AG158" s="8"/>
      <c r="AH158" s="7"/>
      <c r="AI158" s="7"/>
      <c r="AJ158" s="7"/>
      <c r="AK158" s="8"/>
      <c r="AL158" s="8"/>
      <c r="AM158" s="8"/>
      <c r="AN158" s="7"/>
      <c r="AO158" s="7"/>
      <c r="AP158" s="7"/>
      <c r="AQ158" s="8"/>
      <c r="AR158" s="8"/>
      <c r="AS158" s="8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9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8"/>
      <c r="AM159" s="8"/>
      <c r="AN159" s="7"/>
      <c r="AO159" s="7"/>
      <c r="AP159" s="7"/>
      <c r="AQ159" s="7"/>
      <c r="AR159" s="8"/>
      <c r="AS159" s="8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9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8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8"/>
      <c r="AF160" s="8"/>
      <c r="AG160" s="8"/>
      <c r="AH160" s="7"/>
      <c r="AI160" s="7"/>
      <c r="AJ160" s="7"/>
      <c r="AK160" s="8"/>
      <c r="AL160" s="8"/>
      <c r="AM160" s="8"/>
      <c r="AN160" s="7"/>
      <c r="AO160" s="7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9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8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8"/>
      <c r="AF161" s="8"/>
      <c r="AG161" s="8"/>
      <c r="AH161" s="7"/>
      <c r="AI161" s="7"/>
      <c r="AJ161" s="7"/>
      <c r="AK161" s="8"/>
      <c r="AL161" s="8"/>
      <c r="AM161" s="8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9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8"/>
      <c r="AF162" s="8"/>
      <c r="AG162" s="8"/>
      <c r="AH162" s="7"/>
      <c r="AI162" s="7"/>
      <c r="AJ162" s="7"/>
      <c r="AK162" s="8"/>
      <c r="AL162" s="8"/>
      <c r="AM162" s="8"/>
      <c r="AN162" s="7"/>
      <c r="AO162" s="7"/>
      <c r="AP162" s="7"/>
      <c r="AQ162" s="7"/>
      <c r="AR162" s="8"/>
      <c r="AS162" s="8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9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8"/>
      <c r="L163" s="8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8"/>
      <c r="AF163" s="8"/>
      <c r="AG163" s="8"/>
      <c r="AH163" s="7"/>
      <c r="AI163" s="7"/>
      <c r="AJ163" s="7"/>
      <c r="AK163" s="8"/>
      <c r="AL163" s="8"/>
      <c r="AM163" s="8"/>
      <c r="AN163" s="7"/>
      <c r="AO163" s="7"/>
      <c r="AP163" s="7"/>
      <c r="AQ163" s="7"/>
      <c r="AR163" s="8"/>
      <c r="AS163" s="8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9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8"/>
      <c r="AF164" s="8"/>
      <c r="AG164" s="8"/>
      <c r="AH164" s="7"/>
      <c r="AI164" s="7"/>
      <c r="AJ164" s="7"/>
      <c r="AK164" s="8"/>
      <c r="AL164" s="8"/>
      <c r="AM164" s="8"/>
      <c r="AN164" s="7"/>
      <c r="AO164" s="7"/>
      <c r="AP164" s="7"/>
      <c r="AQ164" s="7"/>
      <c r="AR164" s="8"/>
      <c r="AS164" s="8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9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8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8"/>
      <c r="AF165" s="8"/>
      <c r="AG165" s="8"/>
      <c r="AH165" s="7"/>
      <c r="AI165" s="7"/>
      <c r="AJ165" s="7"/>
      <c r="AK165" s="8"/>
      <c r="AL165" s="8"/>
      <c r="AM165" s="8"/>
      <c r="AN165" s="7"/>
      <c r="AO165" s="7"/>
      <c r="AP165" s="7"/>
      <c r="AQ165" s="7"/>
      <c r="AR165" s="8"/>
      <c r="AS165" s="8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9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8"/>
      <c r="AH166" s="7"/>
      <c r="AI166" s="7"/>
      <c r="AJ166" s="7"/>
      <c r="AK166" s="8"/>
      <c r="AL166" s="8"/>
      <c r="AM166" s="8"/>
      <c r="AN166" s="7"/>
      <c r="AO166" s="7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9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8"/>
      <c r="AH167" s="7"/>
      <c r="AI167" s="7"/>
      <c r="AJ167" s="7"/>
      <c r="AK167" s="7"/>
      <c r="AL167" s="8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9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8"/>
      <c r="K168" s="7"/>
      <c r="L168" s="8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8"/>
      <c r="AM168" s="8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9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8"/>
      <c r="AM169" s="8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9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8"/>
      <c r="AM170" s="8"/>
      <c r="AN170" s="7"/>
      <c r="AO170" s="7"/>
      <c r="AP170" s="7"/>
      <c r="AQ170" s="7"/>
      <c r="AR170" s="8"/>
      <c r="AS170" s="8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9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8"/>
      <c r="AM171" s="8"/>
      <c r="AN171" s="7"/>
      <c r="AO171" s="7"/>
      <c r="AP171" s="7"/>
      <c r="AQ171" s="7"/>
      <c r="AR171" s="8"/>
      <c r="AS171" s="8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9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8"/>
      <c r="AJ172" s="8"/>
      <c r="AK172" s="7"/>
      <c r="AL172" s="7"/>
      <c r="AM172" s="7"/>
      <c r="AN172" s="7"/>
      <c r="AO172" s="7"/>
      <c r="AP172" s="7"/>
      <c r="AQ172" s="7"/>
      <c r="AR172" s="8"/>
      <c r="AS172" s="8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9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8"/>
      <c r="AM173" s="8"/>
      <c r="AN173" s="7"/>
      <c r="AO173" s="7"/>
      <c r="AP173" s="7"/>
      <c r="AQ173" s="7"/>
      <c r="AR173" s="8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9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8"/>
      <c r="AM175" s="7"/>
      <c r="AN175" s="7"/>
      <c r="AO175" s="7"/>
      <c r="AP175" s="7"/>
      <c r="AQ175" s="7"/>
      <c r="AR175" s="8"/>
      <c r="AS175" s="8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9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8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8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9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8"/>
      <c r="AM178" s="7"/>
      <c r="AN178" s="7"/>
      <c r="AO178" s="7"/>
      <c r="AP178" s="7"/>
      <c r="AQ178" s="7"/>
      <c r="AR178" s="8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9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8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9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8"/>
      <c r="AM181" s="8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9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8"/>
      <c r="AH182" s="7"/>
      <c r="AI182" s="7"/>
      <c r="AJ182" s="7"/>
      <c r="AK182" s="7"/>
      <c r="AL182" s="8"/>
      <c r="AM182" s="8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9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8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9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8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9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8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9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8"/>
      <c r="AM186" s="8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9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8"/>
      <c r="AM187" s="8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8"/>
      <c r="AM188" s="8"/>
      <c r="AN188" s="7"/>
      <c r="AO188" s="7"/>
      <c r="AP188" s="7"/>
      <c r="AQ188" s="7"/>
      <c r="AR188" s="8"/>
      <c r="AS188" s="8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9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8"/>
      <c r="AM189" s="8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9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8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9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8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9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8"/>
      <c r="AM193" s="8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9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8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9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8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8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8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9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8"/>
      <c r="AM199" s="8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9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8"/>
      <c r="AM200" s="8"/>
      <c r="AN200" s="7"/>
      <c r="AO200" s="7"/>
      <c r="AP200" s="7"/>
      <c r="AQ200" s="7"/>
      <c r="AR200" s="8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8"/>
      <c r="AJ201" s="7"/>
      <c r="AK201" s="7"/>
      <c r="AL201" s="8"/>
      <c r="AM201" s="7"/>
      <c r="AN201" s="7"/>
      <c r="AO201" s="8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9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8"/>
      <c r="AM202" s="8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9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8"/>
      <c r="AM203" s="7"/>
      <c r="AN203" s="7"/>
      <c r="AO203" s="7"/>
      <c r="AP203" s="7"/>
      <c r="AQ203" s="7"/>
      <c r="AR203" s="8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9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8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9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8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9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8"/>
      <c r="AS207" s="8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8"/>
      <c r="AM208" s="8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9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8"/>
      <c r="AM209" s="8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9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8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8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9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8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9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8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9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8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8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9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8"/>
      <c r="AN216" s="7"/>
      <c r="AO216" s="7"/>
      <c r="AP216" s="7"/>
      <c r="AQ216" s="7"/>
      <c r="AR216" s="8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8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9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8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9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8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8"/>
      <c r="AH220" s="7"/>
      <c r="AI220" s="7"/>
      <c r="AJ220" s="7"/>
      <c r="AK220" s="7"/>
      <c r="AL220" s="8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8"/>
      <c r="AM221" s="7"/>
      <c r="AN221" s="7"/>
      <c r="AO221" s="7"/>
      <c r="AP221" s="7"/>
      <c r="AQ221" s="7"/>
      <c r="AR221" s="8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9"/>
      <c r="BM221" s="10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8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9"/>
      <c r="BM222" s="10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8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9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8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8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8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9"/>
      <c r="BM226" s="10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8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9"/>
      <c r="BM227" s="10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8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8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9"/>
      <c r="BM229" s="10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8"/>
      <c r="AH230" s="7"/>
      <c r="AI230" s="7"/>
      <c r="AJ230" s="7"/>
      <c r="AK230" s="7"/>
      <c r="AL230" s="7"/>
      <c r="AM230" s="8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8"/>
      <c r="AH231" s="7"/>
      <c r="AI231" s="7"/>
      <c r="AJ231" s="7"/>
      <c r="AK231" s="7"/>
      <c r="AL231" s="7"/>
      <c r="AM231" s="8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8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8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9"/>
      <c r="BM234" s="10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8"/>
      <c r="AM236" s="8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8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8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9"/>
      <c r="BM238" s="10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8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8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8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8"/>
      <c r="AH247" s="7"/>
      <c r="AI247" s="7"/>
      <c r="AJ247" s="7"/>
      <c r="AK247" s="7"/>
      <c r="AL247" s="7"/>
      <c r="AM247" s="8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8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8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8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8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8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8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8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8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1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1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1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1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1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1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1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1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1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1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1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1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1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1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2022-11-02T02:55:06Z</dcterms:modified>
</cp:coreProperties>
</file>