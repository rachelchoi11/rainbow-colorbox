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3040" windowHeight="8955" tabRatio="766"/>
  </bookViews>
  <sheets>
    <sheet name="합계(10)" sheetId="412" r:id="rId1"/>
  </sheets>
  <definedNames>
    <definedName name="_xlnm._FilterDatabase" localSheetId="0" hidden="1">'합계(10)'!$A$1:$AM$1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O96" i="412" l="1"/>
  <c r="BO95" i="412"/>
  <c r="BO94" i="412"/>
  <c r="BO93" i="412"/>
  <c r="BO92" i="412"/>
  <c r="BO91" i="412"/>
  <c r="BO90" i="412"/>
  <c r="BO89" i="412"/>
  <c r="BO88" i="412"/>
  <c r="BO87" i="412"/>
  <c r="BO86" i="412"/>
  <c r="BO85" i="412"/>
  <c r="BO84" i="412"/>
  <c r="BO83" i="412"/>
  <c r="BO82" i="412"/>
  <c r="BO81" i="412"/>
  <c r="BO80" i="412"/>
  <c r="BO79" i="412"/>
  <c r="BO78" i="412"/>
  <c r="BO77" i="412"/>
  <c r="BO76" i="412"/>
  <c r="BO75" i="412"/>
  <c r="BO74" i="412"/>
  <c r="BO73" i="412"/>
  <c r="BO72" i="412"/>
  <c r="BO71" i="412"/>
  <c r="BO70" i="412"/>
  <c r="BO69" i="412"/>
  <c r="BO68" i="412"/>
  <c r="BO67" i="412"/>
  <c r="BO66" i="412"/>
  <c r="BO65" i="412"/>
  <c r="BO64" i="412"/>
  <c r="BO63" i="412"/>
  <c r="BN95" i="412"/>
  <c r="BN94" i="412"/>
  <c r="BN93" i="412"/>
  <c r="BN92" i="412"/>
  <c r="BN91" i="412"/>
  <c r="BN90" i="412"/>
  <c r="BN89" i="412"/>
  <c r="BN88" i="412"/>
  <c r="BN87" i="412"/>
  <c r="BN86" i="412"/>
  <c r="BN85" i="412"/>
  <c r="BN84" i="412"/>
  <c r="BN83" i="412"/>
  <c r="BN82" i="412"/>
  <c r="BN81" i="412"/>
  <c r="BN80" i="412"/>
  <c r="BN79" i="412"/>
  <c r="BN78" i="412"/>
  <c r="BN77" i="412"/>
  <c r="BN76" i="412"/>
  <c r="BN75" i="412"/>
  <c r="BN74" i="412"/>
  <c r="BN73" i="412"/>
  <c r="BN72" i="412"/>
  <c r="BN71" i="412"/>
  <c r="BN70" i="412"/>
  <c r="BN69" i="412"/>
  <c r="BN68" i="412"/>
  <c r="BN67" i="412"/>
  <c r="BN66" i="412"/>
  <c r="BN65" i="412"/>
  <c r="BN64" i="412"/>
  <c r="BN63" i="412"/>
  <c r="BN27" i="412" l="1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" i="412" l="1"/>
  <c r="BO2" i="412" l="1"/>
</calcChain>
</file>

<file path=xl/sharedStrings.xml><?xml version="1.0" encoding="utf-8"?>
<sst xmlns="http://schemas.openxmlformats.org/spreadsheetml/2006/main" count="729" uniqueCount="238">
  <si>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</si>
  <si>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</si>
  <si>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</si>
  <si>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</si>
  <si>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</si>
  <si>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</si>
  <si>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</si>
  <si>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</si>
  <si>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</si>
  <si>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</si>
  <si>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</si>
  <si>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</si>
  <si>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</si>
  <si>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스토리위즈_2</t>
  </si>
  <si>
    <t>백범(白帆)</t>
  </si>
  <si>
    <t>에필로그</t>
  </si>
  <si>
    <t>법보다 주먹</t>
  </si>
  <si>
    <t>일교차 [단행본]</t>
  </si>
  <si>
    <t>해화</t>
  </si>
  <si>
    <t>밀리오리지널</t>
  </si>
  <si>
    <t>2022.04.08</t>
  </si>
  <si>
    <t>19세 이상 이용가능</t>
  </si>
  <si>
    <t>용가리맛쿠키</t>
  </si>
  <si>
    <t>블러쉬</t>
  </si>
  <si>
    <t>서혜은</t>
  </si>
  <si>
    <t>최재봉</t>
  </si>
  <si>
    <t>협행마</t>
  </si>
  <si>
    <t>진짜 사나이 [단행본]</t>
  </si>
  <si>
    <t>2021.12.15</t>
  </si>
  <si>
    <t>이차적 일탈 [단행본]</t>
  </si>
  <si>
    <t>2022.03.04</t>
  </si>
  <si>
    <t>너만 보면 두근두근 [단행본]</t>
  </si>
  <si>
    <t>정경하</t>
  </si>
  <si>
    <t>2022.01.14</t>
  </si>
  <si>
    <t>더티독 [BL][단행본]</t>
  </si>
  <si>
    <t>2020.04.09</t>
  </si>
  <si>
    <t>마뇽</t>
  </si>
  <si>
    <t>더티독 외전 [BL][단행본]</t>
  </si>
  <si>
    <t>무심코 [단행본]</t>
  </si>
  <si>
    <t>달로</t>
  </si>
  <si>
    <t>2022.06.03</t>
  </si>
  <si>
    <t>위사무적 [단행본]</t>
  </si>
  <si>
    <t>2020.09.11</t>
  </si>
  <si>
    <t>하일군재래(何日君再來) [단행본]</t>
  </si>
  <si>
    <t>신윤희(에드가)</t>
  </si>
  <si>
    <t>2022.07.14</t>
  </si>
  <si>
    <t>송여희</t>
  </si>
  <si>
    <t>탈각 [단행본]</t>
  </si>
  <si>
    <t>공호</t>
  </si>
  <si>
    <t>2022.06.29</t>
  </si>
  <si>
    <t>남창목가 [단행본]</t>
  </si>
  <si>
    <t>2020.05.18</t>
  </si>
  <si>
    <t>근수저 오크는 근손실이 싫다 [독점]</t>
  </si>
  <si>
    <t>ARC곽도우</t>
  </si>
  <si>
    <t>스토리아크</t>
  </si>
  <si>
    <t>N스토어(PC)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</si>
  <si>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</si>
  <si>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</si>
  <si>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</si>
  <si>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</si>
  <si>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</si>
  <si>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</si>
  <si>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</si>
  <si>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</si>
  <si>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</si>
  <si>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</si>
  <si>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</si>
  <si>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</si>
  <si>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</si>
  <si>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</si>
  <si>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</si>
  <si>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</si>
  <si>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</si>
  <si>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</si>
  <si>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</si>
  <si>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</si>
  <si>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</si>
  <si>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</si>
  <si>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</si>
  <si>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</si>
  <si>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</si>
  <si>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</si>
  <si>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</si>
  <si>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</si>
  <si>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</si>
  <si>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</si>
  <si>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</si>
  <si>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</si>
  <si>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</si>
  <si>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</si>
  <si>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</si>
  <si>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</si>
  <si>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</si>
  <si>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</si>
  <si>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</si>
  <si>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</si>
  <si>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</si>
  <si>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</si>
  <si>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</si>
  <si>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</si>
  <si>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</si>
  <si>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</si>
  <si>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</si>
  <si>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</si>
  <si>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</si>
  <si>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</si>
  <si>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</si>
  <si>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</si>
  <si>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</si>
  <si>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</si>
  <si>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</si>
  <si>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</si>
  <si>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</si>
  <si>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</si>
  <si>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</si>
  <si>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차크</t>
  </si>
  <si>
    <t>주해나</t>
  </si>
  <si>
    <t>쉬즈노블</t>
  </si>
  <si>
    <t>PC 뷰어(PC)</t>
    <phoneticPr fontId="20" type="noConversion"/>
  </si>
  <si>
    <t>2022.08.11</t>
  </si>
  <si>
    <t>남궁세가 건달공자 [단행본]</t>
  </si>
  <si>
    <t>2019.06.18</t>
  </si>
  <si>
    <t>강호, 미치다</t>
  </si>
  <si>
    <t>2019.09.18</t>
  </si>
  <si>
    <t>작열감 [단행본]</t>
  </si>
  <si>
    <t>리밀</t>
  </si>
  <si>
    <t>연애의 시작 [단행본]</t>
  </si>
  <si>
    <t>2022.02.18</t>
  </si>
  <si>
    <t>비엘스토리</t>
  </si>
  <si>
    <t>N스토어(PC)</t>
    <phoneticPr fontId="20" type="noConversion"/>
  </si>
  <si>
    <t>PC 뷰어(PC)</t>
    <phoneticPr fontId="20" type="noConversion"/>
  </si>
  <si>
    <t>PC 뷰어(PC)</t>
    <phoneticPr fontId="20" type="noConversion"/>
  </si>
  <si>
    <t>N스토어(MW)</t>
    <phoneticPr fontId="20" type="noConversion"/>
  </si>
  <si>
    <t>어게인(Again) [단행본]</t>
  </si>
  <si>
    <t>최준서</t>
  </si>
  <si>
    <t>2022.04.27</t>
  </si>
  <si>
    <t>브레이크 어웨이(Break Away) [단행본]</t>
  </si>
  <si>
    <t>서정윤</t>
  </si>
  <si>
    <t>2022.05.23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</si>
  <si>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</si>
  <si>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</si>
  <si>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SISSI</t>
  </si>
  <si>
    <t>테이크 백(Take Back) [단행본]</t>
  </si>
  <si>
    <t>일락</t>
  </si>
  <si>
    <t>2022.06.24</t>
  </si>
  <si>
    <t>이예즈</t>
  </si>
  <si>
    <t>시아</t>
  </si>
  <si>
    <t>익스클루시브(Exclusive) [BL][단행본]</t>
  </si>
  <si>
    <t>사틴</t>
  </si>
  <si>
    <t>2021.08.13</t>
  </si>
  <si>
    <t>슈크림 [단행본]</t>
  </si>
  <si>
    <t>송민선</t>
  </si>
  <si>
    <t>2022.04.15</t>
  </si>
  <si>
    <t>달보드레 외전 [BL] [단행본]</t>
  </si>
  <si>
    <t>2018.08.10</t>
  </si>
  <si>
    <t>바스락 [단행본]</t>
  </si>
  <si>
    <t>2022.10.12</t>
  </si>
  <si>
    <t>사내 연애의 끝 [단행본]</t>
  </si>
  <si>
    <t>라벤더블루</t>
  </si>
  <si>
    <t>2022.10.24</t>
  </si>
  <si>
    <t>이별하기 좋은 계절 [단행본]</t>
  </si>
  <si>
    <t>2022.10.06</t>
  </si>
  <si>
    <t>오후 4시의 남자 [단행본]</t>
  </si>
  <si>
    <t>차연유</t>
  </si>
  <si>
    <t>2022.10.21</t>
  </si>
  <si>
    <t>봄, 어리 이야기 [단행본]</t>
  </si>
  <si>
    <t>2022.10.19</t>
  </si>
  <si>
    <t>첫사랑을 종료하시겠습니까 [단행본]</t>
  </si>
  <si>
    <t>이파람</t>
  </si>
  <si>
    <t>여름, 밤의 사정 [단행본]</t>
  </si>
  <si>
    <t>춈춈</t>
  </si>
  <si>
    <t>2022.10.26</t>
  </si>
  <si>
    <t>엑스 비서 [단행본]</t>
  </si>
  <si>
    <t>비향</t>
  </si>
  <si>
    <t>꽃처럼 너를 안는다 [단행본]</t>
  </si>
  <si>
    <t>반지영</t>
  </si>
  <si>
    <t>낯선 밤에 마주친 [단행본]</t>
  </si>
  <si>
    <t>수면제 [단행본]</t>
  </si>
  <si>
    <t>명우</t>
  </si>
  <si>
    <t>위사무적</t>
  </si>
  <si>
    <t>너와 나의 절정 [단행본]</t>
  </si>
  <si>
    <t>비공개 열애 [단행본]</t>
  </si>
  <si>
    <t>박지영</t>
  </si>
  <si>
    <t>이별 그리고 그 후 [단행본]</t>
  </si>
  <si>
    <t>최현자</t>
  </si>
  <si>
    <t>2022.05.11</t>
  </si>
  <si>
    <t>호랑헌화가 [단행본]</t>
  </si>
  <si>
    <t>여도흔</t>
  </si>
  <si>
    <t>삶의 끝에서 [단행본]</t>
  </si>
  <si>
    <t>이승희</t>
  </si>
  <si>
    <t>깊은 밤 너의 고백이 [단행본]</t>
  </si>
  <si>
    <t>이새인</t>
  </si>
  <si>
    <t>이중생활 [단행본]</t>
  </si>
  <si>
    <t>이정숙</t>
  </si>
  <si>
    <t>너는 싱그러운 여름처럼 [단행본]</t>
  </si>
  <si>
    <t>2022.04.25</t>
  </si>
  <si>
    <t>악당의 리턴!</t>
  </si>
  <si>
    <t>354950</t>
  </si>
  <si>
    <t>2019.06.20</t>
  </si>
  <si>
    <t>미확인 사고</t>
  </si>
  <si>
    <t>2019.03.20</t>
  </si>
  <si>
    <t>벗어 주세요</t>
  </si>
  <si>
    <t>2019.03.07</t>
  </si>
  <si>
    <t>2022.11.02</t>
  </si>
  <si>
    <t>전장의 금기 [단행본]</t>
  </si>
  <si>
    <t>2020.09.13</t>
  </si>
  <si>
    <t>어딜 봐요? [외전증보판]</t>
  </si>
  <si>
    <t>2019.07.10</t>
  </si>
  <si>
    <t>이세계 최강 군바리 [단행본]</t>
  </si>
  <si>
    <t>2019.11.04</t>
  </si>
  <si>
    <t>꽃 무덤 [단행본]</t>
  </si>
  <si>
    <t>2022.10.13</t>
  </si>
  <si>
    <t>연애의 끝 [단행본]</t>
  </si>
  <si>
    <t>2022.07.28</t>
  </si>
  <si>
    <t>짝사랑 중입니다 [단행본]</t>
  </si>
  <si>
    <t>진양</t>
  </si>
  <si>
    <t>2022.06.27</t>
  </si>
  <si>
    <t>인턴사원 [단행본]</t>
  </si>
  <si>
    <t>트리플베리</t>
  </si>
  <si>
    <t>대공의 아내 [단행본]</t>
  </si>
  <si>
    <t>문시티</t>
  </si>
  <si>
    <t>쉬라즈</t>
  </si>
  <si>
    <t>2020.01.16</t>
  </si>
  <si>
    <t>붉은 정자-살라댕 [단행본]</t>
  </si>
  <si>
    <t>2022.01.10</t>
  </si>
  <si>
    <t>시선... 그리고 떨림 [단행본]</t>
  </si>
  <si>
    <t>마티네(Matinée) [BL][단행본]</t>
  </si>
  <si>
    <t>2020.10.30</t>
  </si>
  <si>
    <t>불건전한 수컷 [단행본]</t>
  </si>
  <si>
    <t>sJessi</t>
  </si>
  <si>
    <t>2020.10.31</t>
  </si>
  <si>
    <t>오늘의 날씨 [BL][단행본]</t>
  </si>
  <si>
    <t>2018.11.23</t>
  </si>
  <si>
    <t>이번 생은 망한 줄 알았는데 [단행본]</t>
  </si>
  <si>
    <t>이윤미</t>
  </si>
  <si>
    <t>넘어와 [단행본]</t>
  </si>
  <si>
    <t>2022.04.04</t>
  </si>
  <si>
    <t>마티네(Matinée) 외전 [BL][단행본]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</si>
</sst>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0" fontId="22" fillId="0" borderId="0" xfId="0" applyFont="1">
      <alignment vertical="center"/>
    </xf>
    <xf numFmtId="41" fontId="24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71"/>
  <sheetViews>
    <sheetView tabSelected="1" zoomScaleNormal="100" workbookViewId="0"/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style="16" bestFit="1" customWidth="1"/>
    <col min="67" max="67" width="13.375" style="14" customWidth="1"/>
  </cols>
  <sheetData>
    <row r="1" spans="1:69" ht="27" customHeight="1" x14ac:dyDescent="0.3">
      <c r="A1" s="2" t="s">
        <v>57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58</v>
      </c>
      <c r="I1" s="13" t="s">
        <v>6</v>
      </c>
      <c r="J1" s="12" t="s">
        <v>59</v>
      </c>
      <c r="K1" s="12" t="s">
        <v>60</v>
      </c>
      <c r="L1" s="12" t="s">
        <v>61</v>
      </c>
      <c r="M1" s="12" t="s">
        <v>62</v>
      </c>
      <c r="N1" s="12" t="s">
        <v>63</v>
      </c>
      <c r="O1" s="12" t="s">
        <v>64</v>
      </c>
      <c r="P1" s="12" t="s">
        <v>65</v>
      </c>
      <c r="Q1" s="12" t="s">
        <v>66</v>
      </c>
      <c r="R1" s="12" t="s">
        <v>67</v>
      </c>
      <c r="S1" s="12" t="s">
        <v>68</v>
      </c>
      <c r="T1" s="12" t="s">
        <v>69</v>
      </c>
      <c r="U1" s="12" t="s">
        <v>70</v>
      </c>
      <c r="V1" s="12" t="s">
        <v>71</v>
      </c>
      <c r="W1" s="12" t="s">
        <v>72</v>
      </c>
      <c r="X1" s="12" t="s">
        <v>73</v>
      </c>
      <c r="Y1" s="12" t="s">
        <v>74</v>
      </c>
      <c r="Z1" s="12" t="s">
        <v>75</v>
      </c>
      <c r="AA1" s="12" t="s">
        <v>76</v>
      </c>
      <c r="AB1" s="12" t="s">
        <v>77</v>
      </c>
      <c r="AC1" s="12" t="s">
        <v>78</v>
      </c>
      <c r="AD1" s="12" t="s">
        <v>79</v>
      </c>
      <c r="AE1" s="12" t="s">
        <v>80</v>
      </c>
      <c r="AF1" s="12" t="s">
        <v>81</v>
      </c>
      <c r="AG1" s="12" t="s">
        <v>82</v>
      </c>
      <c r="AH1" s="12" t="s">
        <v>83</v>
      </c>
      <c r="AI1" s="12" t="s">
        <v>84</v>
      </c>
      <c r="AJ1" s="12" t="s">
        <v>85</v>
      </c>
      <c r="AK1" s="12" t="s">
        <v>86</v>
      </c>
      <c r="AL1" s="12" t="s">
        <v>87</v>
      </c>
      <c r="AM1" s="12" t="s">
        <v>88</v>
      </c>
      <c r="AN1" s="12" t="s">
        <v>89</v>
      </c>
      <c r="AO1" s="12" t="s">
        <v>90</v>
      </c>
      <c r="AP1" s="12" t="s">
        <v>91</v>
      </c>
      <c r="AQ1" s="12" t="s">
        <v>92</v>
      </c>
      <c r="AR1" s="12" t="s">
        <v>93</v>
      </c>
      <c r="AS1" s="12" t="s">
        <v>94</v>
      </c>
      <c r="AT1" s="12" t="s">
        <v>95</v>
      </c>
      <c r="AU1" s="12" t="s">
        <v>96</v>
      </c>
      <c r="AV1" s="12" t="s">
        <v>97</v>
      </c>
      <c r="AW1" s="12" t="s">
        <v>98</v>
      </c>
      <c r="AX1" s="12" t="s">
        <v>99</v>
      </c>
      <c r="AY1" s="12" t="s">
        <v>100</v>
      </c>
      <c r="AZ1" s="12" t="s">
        <v>101</v>
      </c>
      <c r="BA1" s="12" t="s">
        <v>102</v>
      </c>
      <c r="BB1" s="12" t="s">
        <v>103</v>
      </c>
      <c r="BC1" s="12" t="s">
        <v>104</v>
      </c>
      <c r="BD1" s="12" t="s">
        <v>105</v>
      </c>
      <c r="BE1" s="12" t="s">
        <v>106</v>
      </c>
      <c r="BF1" s="12" t="s">
        <v>107</v>
      </c>
      <c r="BG1" s="12" t="s">
        <v>108</v>
      </c>
      <c r="BH1" s="12" t="s">
        <v>109</v>
      </c>
      <c r="BI1" s="12" t="s">
        <v>110</v>
      </c>
      <c r="BJ1" s="12" t="s">
        <v>111</v>
      </c>
      <c r="BK1" s="12" t="s">
        <v>112</v>
      </c>
      <c r="BL1" s="12" t="s">
        <v>11</v>
      </c>
      <c r="BM1" s="12" t="s">
        <v>10</v>
      </c>
      <c r="BN1" s="12" t="s">
        <v>113</v>
      </c>
      <c r="BO1" s="12" t="s">
        <v>114</v>
      </c>
      <c r="BP1" s="12" t="s">
        <v>139</v>
      </c>
      <c r="BQ1" s="12" t="s">
        <v>140</v>
      </c>
    </row>
    <row r="2" spans="1:69" x14ac:dyDescent="0.3">
      <c r="A2" s="5" t="s">
        <v>55</v>
      </c>
      <c r="B2" s="5" t="s">
        <v>155</v>
      </c>
      <c r="C2" s="5">
        <v>461353</v>
      </c>
      <c r="D2" s="6"/>
      <c r="E2" s="5" t="s">
        <v>13</v>
      </c>
      <c r="F2" s="5" t="s">
        <v>39</v>
      </c>
      <c r="G2" s="5" t="s">
        <v>19</v>
      </c>
      <c r="H2" s="7" t="s">
        <v>21</v>
      </c>
      <c r="I2" s="7" t="s">
        <v>156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9</v>
      </c>
      <c r="AF2" s="8">
        <v>18000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4</v>
      </c>
      <c r="AR2" s="7">
        <v>8000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26000</v>
      </c>
      <c r="BN2" s="14">
        <f>BM2-BL2</f>
        <v>26000</v>
      </c>
      <c r="BO2" s="15">
        <f>BN2*70%</f>
        <v>18200</v>
      </c>
    </row>
    <row r="3" spans="1:69" x14ac:dyDescent="0.3">
      <c r="A3" s="5" t="s">
        <v>55</v>
      </c>
      <c r="B3" s="5" t="s">
        <v>157</v>
      </c>
      <c r="C3" s="5">
        <v>468580</v>
      </c>
      <c r="D3" s="6"/>
      <c r="E3" s="5" t="s">
        <v>13</v>
      </c>
      <c r="F3" s="5" t="s">
        <v>158</v>
      </c>
      <c r="G3" s="5" t="s">
        <v>19</v>
      </c>
      <c r="H3" s="7" t="s">
        <v>21</v>
      </c>
      <c r="I3" s="7" t="s">
        <v>159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4</v>
      </c>
      <c r="AF3" s="8">
        <v>10000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10000</v>
      </c>
      <c r="BN3" s="14">
        <f t="shared" ref="BN3:BN26" si="0">BM3-BL3</f>
        <v>10000</v>
      </c>
      <c r="BO3" s="15">
        <f t="shared" ref="BO3:BO26" si="1">BN3*70%</f>
        <v>7000</v>
      </c>
    </row>
    <row r="4" spans="1:69" x14ac:dyDescent="0.3">
      <c r="A4" s="5" t="s">
        <v>55</v>
      </c>
      <c r="B4" s="5" t="s">
        <v>160</v>
      </c>
      <c r="C4" s="5">
        <v>483769</v>
      </c>
      <c r="D4" s="6"/>
      <c r="E4" s="5" t="s">
        <v>13</v>
      </c>
      <c r="F4" s="5" t="s">
        <v>151</v>
      </c>
      <c r="G4" s="5" t="s">
        <v>19</v>
      </c>
      <c r="H4" s="7" t="s">
        <v>8</v>
      </c>
      <c r="I4" s="7" t="s">
        <v>161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4</v>
      </c>
      <c r="AF4" s="8">
        <v>10000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8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8">
        <v>0</v>
      </c>
      <c r="BK4" s="7">
        <v>0</v>
      </c>
      <c r="BL4" s="7">
        <v>0</v>
      </c>
      <c r="BM4" s="10">
        <v>10000</v>
      </c>
      <c r="BN4" s="14">
        <f t="shared" si="0"/>
        <v>10000</v>
      </c>
      <c r="BO4" s="15">
        <f t="shared" si="1"/>
        <v>7000</v>
      </c>
    </row>
    <row r="5" spans="1:69" x14ac:dyDescent="0.3">
      <c r="A5" s="5" t="s">
        <v>55</v>
      </c>
      <c r="B5" s="5" t="s">
        <v>162</v>
      </c>
      <c r="C5" s="5">
        <v>467557</v>
      </c>
      <c r="D5" s="6"/>
      <c r="E5" s="5" t="s">
        <v>13</v>
      </c>
      <c r="F5" s="5" t="s">
        <v>163</v>
      </c>
      <c r="G5" s="5" t="s">
        <v>19</v>
      </c>
      <c r="H5" s="7" t="s">
        <v>21</v>
      </c>
      <c r="I5" s="7" t="s">
        <v>164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2</v>
      </c>
      <c r="AF5" s="7">
        <v>2000</v>
      </c>
      <c r="AG5" s="8">
        <v>2000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1</v>
      </c>
      <c r="AR5" s="8">
        <v>2000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1</v>
      </c>
      <c r="BD5" s="7">
        <v>2400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144</v>
      </c>
      <c r="BM5" s="10">
        <v>8400</v>
      </c>
      <c r="BN5" s="14">
        <f t="shared" si="0"/>
        <v>8256</v>
      </c>
      <c r="BO5" s="15">
        <f t="shared" si="1"/>
        <v>5779.2</v>
      </c>
    </row>
    <row r="6" spans="1:69" x14ac:dyDescent="0.3">
      <c r="A6" s="5" t="s">
        <v>55</v>
      </c>
      <c r="B6" s="5" t="s">
        <v>165</v>
      </c>
      <c r="C6" s="5">
        <v>465768</v>
      </c>
      <c r="D6" s="6"/>
      <c r="E6" s="5" t="s">
        <v>13</v>
      </c>
      <c r="F6" s="5" t="s">
        <v>44</v>
      </c>
      <c r="G6" s="5" t="s">
        <v>19</v>
      </c>
      <c r="H6" s="7" t="s">
        <v>21</v>
      </c>
      <c r="I6" s="7" t="s">
        <v>166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2</v>
      </c>
      <c r="AF6" s="8">
        <v>5000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1</v>
      </c>
      <c r="BD6" s="7">
        <v>3000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180</v>
      </c>
      <c r="BM6" s="10">
        <v>8000</v>
      </c>
      <c r="BN6" s="14">
        <f t="shared" si="0"/>
        <v>7820</v>
      </c>
      <c r="BO6" s="15">
        <f t="shared" si="1"/>
        <v>5474</v>
      </c>
    </row>
    <row r="7" spans="1:69" x14ac:dyDescent="0.3">
      <c r="A7" s="5" t="s">
        <v>129</v>
      </c>
      <c r="B7" s="5" t="s">
        <v>167</v>
      </c>
      <c r="C7" s="5">
        <v>467565</v>
      </c>
      <c r="D7" s="6"/>
      <c r="E7" s="5" t="s">
        <v>13</v>
      </c>
      <c r="F7" s="5" t="s">
        <v>168</v>
      </c>
      <c r="G7" s="5" t="s">
        <v>19</v>
      </c>
      <c r="H7" s="7" t="s">
        <v>21</v>
      </c>
      <c r="I7" s="7" t="s">
        <v>159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3</v>
      </c>
      <c r="AF7" s="7">
        <v>6000</v>
      </c>
      <c r="AG7" s="7">
        <v>0</v>
      </c>
      <c r="AH7" s="7">
        <v>0</v>
      </c>
      <c r="AI7" s="7">
        <v>0</v>
      </c>
      <c r="AJ7" s="7">
        <v>0</v>
      </c>
      <c r="AK7" s="7">
        <v>1</v>
      </c>
      <c r="AL7" s="7">
        <v>0</v>
      </c>
      <c r="AM7" s="8">
        <v>2000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8000</v>
      </c>
      <c r="BN7" s="14">
        <f t="shared" si="0"/>
        <v>8000</v>
      </c>
      <c r="BO7" s="15">
        <f t="shared" si="1"/>
        <v>5600</v>
      </c>
    </row>
    <row r="8" spans="1:69" x14ac:dyDescent="0.3">
      <c r="A8" s="5" t="s">
        <v>55</v>
      </c>
      <c r="B8" s="5" t="s">
        <v>169</v>
      </c>
      <c r="C8" s="5">
        <v>468590</v>
      </c>
      <c r="D8" s="6"/>
      <c r="E8" s="5" t="s">
        <v>13</v>
      </c>
      <c r="F8" s="5" t="s">
        <v>170</v>
      </c>
      <c r="G8" s="5" t="s">
        <v>19</v>
      </c>
      <c r="H8" s="7" t="s">
        <v>21</v>
      </c>
      <c r="I8" s="7" t="s">
        <v>171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4</v>
      </c>
      <c r="AF8" s="8">
        <v>6000</v>
      </c>
      <c r="AG8" s="7">
        <v>2000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8000</v>
      </c>
      <c r="BN8" s="14">
        <f t="shared" si="0"/>
        <v>8000</v>
      </c>
      <c r="BO8" s="15">
        <f t="shared" si="1"/>
        <v>5600</v>
      </c>
    </row>
    <row r="9" spans="1:69" x14ac:dyDescent="0.3">
      <c r="A9" s="5" t="s">
        <v>129</v>
      </c>
      <c r="B9" s="5" t="s">
        <v>41</v>
      </c>
      <c r="C9" s="5">
        <v>408836</v>
      </c>
      <c r="D9" s="6"/>
      <c r="E9" s="5" t="s">
        <v>13</v>
      </c>
      <c r="F9" s="5" t="s">
        <v>26</v>
      </c>
      <c r="G9" s="5" t="s">
        <v>15</v>
      </c>
      <c r="H9" s="7" t="s">
        <v>7</v>
      </c>
      <c r="I9" s="7" t="s">
        <v>42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9</v>
      </c>
      <c r="AC9" s="7">
        <v>6300</v>
      </c>
      <c r="AD9" s="7">
        <v>0</v>
      </c>
      <c r="AE9" s="7">
        <v>0</v>
      </c>
      <c r="AF9" s="8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1</v>
      </c>
      <c r="BA9" s="7">
        <v>840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50.4</v>
      </c>
      <c r="BM9" s="10">
        <v>7140</v>
      </c>
      <c r="BN9" s="14">
        <f t="shared" si="0"/>
        <v>7089.6</v>
      </c>
      <c r="BO9" s="15">
        <f t="shared" si="1"/>
        <v>4962.72</v>
      </c>
    </row>
    <row r="10" spans="1:69" x14ac:dyDescent="0.3">
      <c r="A10" s="5" t="s">
        <v>129</v>
      </c>
      <c r="B10" s="5" t="s">
        <v>172</v>
      </c>
      <c r="C10" s="5">
        <v>464790</v>
      </c>
      <c r="D10" s="6"/>
      <c r="E10" s="5" t="s">
        <v>13</v>
      </c>
      <c r="F10" s="5" t="s">
        <v>173</v>
      </c>
      <c r="G10" s="5" t="s">
        <v>19</v>
      </c>
      <c r="H10" s="7" t="s">
        <v>21</v>
      </c>
      <c r="I10" s="7" t="s">
        <v>156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2</v>
      </c>
      <c r="AF10" s="8">
        <v>4000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1</v>
      </c>
      <c r="AR10" s="7">
        <v>2000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6000</v>
      </c>
      <c r="BN10" s="14">
        <f t="shared" si="0"/>
        <v>6000</v>
      </c>
      <c r="BO10" s="15">
        <f t="shared" si="1"/>
        <v>4200</v>
      </c>
    </row>
    <row r="11" spans="1:69" x14ac:dyDescent="0.3">
      <c r="A11" s="5" t="s">
        <v>129</v>
      </c>
      <c r="B11" s="5" t="s">
        <v>174</v>
      </c>
      <c r="C11" s="5">
        <v>464780</v>
      </c>
      <c r="D11" s="6"/>
      <c r="E11" s="5" t="s">
        <v>13</v>
      </c>
      <c r="F11" s="5" t="s">
        <v>175</v>
      </c>
      <c r="G11" s="5" t="s">
        <v>19</v>
      </c>
      <c r="H11" s="7" t="s">
        <v>21</v>
      </c>
      <c r="I11" s="7" t="s">
        <v>156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</v>
      </c>
      <c r="AF11" s="7">
        <v>6000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8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6000</v>
      </c>
      <c r="BN11" s="14">
        <f t="shared" si="0"/>
        <v>6000</v>
      </c>
      <c r="BO11" s="15">
        <f t="shared" si="1"/>
        <v>4200</v>
      </c>
    </row>
    <row r="12" spans="1:69" x14ac:dyDescent="0.3">
      <c r="A12" s="5" t="s">
        <v>55</v>
      </c>
      <c r="B12" s="5" t="s">
        <v>38</v>
      </c>
      <c r="C12" s="5">
        <v>470383</v>
      </c>
      <c r="D12" s="6"/>
      <c r="E12" s="5" t="s">
        <v>13</v>
      </c>
      <c r="F12" s="5" t="s">
        <v>39</v>
      </c>
      <c r="G12" s="5" t="s">
        <v>19</v>
      </c>
      <c r="H12" s="7" t="s">
        <v>21</v>
      </c>
      <c r="I12" s="7" t="s">
        <v>40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7">
        <v>0</v>
      </c>
      <c r="AG12" s="8">
        <v>200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3</v>
      </c>
      <c r="AR12" s="8">
        <v>5800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6000</v>
      </c>
      <c r="BN12" s="14">
        <f t="shared" si="0"/>
        <v>6000</v>
      </c>
      <c r="BO12" s="15">
        <f t="shared" si="1"/>
        <v>4200</v>
      </c>
    </row>
    <row r="13" spans="1:69" x14ac:dyDescent="0.3">
      <c r="A13" s="5" t="s">
        <v>55</v>
      </c>
      <c r="B13" s="5" t="s">
        <v>176</v>
      </c>
      <c r="C13" s="5">
        <v>457677</v>
      </c>
      <c r="D13" s="6"/>
      <c r="E13" s="5" t="s">
        <v>13</v>
      </c>
      <c r="F13" s="5" t="s">
        <v>170</v>
      </c>
      <c r="G13" s="5" t="s">
        <v>19</v>
      </c>
      <c r="H13" s="7" t="s">
        <v>21</v>
      </c>
      <c r="I13" s="7" t="s">
        <v>156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2</v>
      </c>
      <c r="AF13" s="7">
        <v>4000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8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4000</v>
      </c>
      <c r="BN13" s="14">
        <f t="shared" si="0"/>
        <v>4000</v>
      </c>
      <c r="BO13" s="15">
        <f t="shared" si="1"/>
        <v>2800</v>
      </c>
    </row>
    <row r="14" spans="1:69" x14ac:dyDescent="0.3">
      <c r="A14" s="5" t="s">
        <v>55</v>
      </c>
      <c r="B14" s="5" t="s">
        <v>177</v>
      </c>
      <c r="C14" s="5">
        <v>468591</v>
      </c>
      <c r="D14" s="6"/>
      <c r="E14" s="5" t="s">
        <v>13</v>
      </c>
      <c r="F14" s="5" t="s">
        <v>178</v>
      </c>
      <c r="G14" s="5" t="s">
        <v>19</v>
      </c>
      <c r="H14" s="7" t="s">
        <v>21</v>
      </c>
      <c r="I14" s="7" t="s">
        <v>171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</v>
      </c>
      <c r="AF14" s="7">
        <v>2000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8">
        <v>0</v>
      </c>
      <c r="AN14" s="7">
        <v>0</v>
      </c>
      <c r="AO14" s="7">
        <v>0</v>
      </c>
      <c r="AP14" s="7">
        <v>0</v>
      </c>
      <c r="AQ14" s="7">
        <v>1</v>
      </c>
      <c r="AR14" s="7">
        <v>2000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4000</v>
      </c>
      <c r="BN14" s="14">
        <f t="shared" si="0"/>
        <v>4000</v>
      </c>
      <c r="BO14" s="15">
        <f t="shared" si="1"/>
        <v>2800</v>
      </c>
    </row>
    <row r="15" spans="1:69" x14ac:dyDescent="0.3">
      <c r="A15" s="5" t="s">
        <v>129</v>
      </c>
      <c r="B15" s="5" t="s">
        <v>133</v>
      </c>
      <c r="C15" s="5">
        <v>465773</v>
      </c>
      <c r="D15" s="6"/>
      <c r="E15" s="5" t="s">
        <v>13</v>
      </c>
      <c r="F15" s="5" t="s">
        <v>134</v>
      </c>
      <c r="G15" s="5" t="s">
        <v>19</v>
      </c>
      <c r="H15" s="7" t="s">
        <v>21</v>
      </c>
      <c r="I15" s="7" t="s">
        <v>135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8">
        <v>0</v>
      </c>
      <c r="AD15" s="7">
        <v>0</v>
      </c>
      <c r="AE15" s="7">
        <v>1</v>
      </c>
      <c r="AF15" s="7">
        <v>3500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3500</v>
      </c>
      <c r="BN15" s="14">
        <f t="shared" si="0"/>
        <v>3500</v>
      </c>
      <c r="BO15" s="15">
        <f t="shared" si="1"/>
        <v>2450</v>
      </c>
    </row>
    <row r="16" spans="1:69" x14ac:dyDescent="0.3">
      <c r="A16" s="5" t="s">
        <v>129</v>
      </c>
      <c r="B16" s="5" t="s">
        <v>126</v>
      </c>
      <c r="C16" s="5">
        <v>459229</v>
      </c>
      <c r="D16" s="6"/>
      <c r="E16" s="5" t="s">
        <v>13</v>
      </c>
      <c r="F16" s="5" t="s">
        <v>115</v>
      </c>
      <c r="G16" s="5" t="s">
        <v>19</v>
      </c>
      <c r="H16" s="7" t="s">
        <v>21</v>
      </c>
      <c r="I16" s="7" t="s">
        <v>127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</v>
      </c>
      <c r="AF16" s="7">
        <v>3000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1">
        <v>3000</v>
      </c>
      <c r="BN16" s="14">
        <f t="shared" si="0"/>
        <v>3000</v>
      </c>
      <c r="BO16" s="15">
        <f t="shared" si="1"/>
        <v>2100</v>
      </c>
    </row>
    <row r="17" spans="1:67" x14ac:dyDescent="0.3">
      <c r="A17" s="5" t="s">
        <v>129</v>
      </c>
      <c r="B17" s="5" t="s">
        <v>179</v>
      </c>
      <c r="C17" s="5">
        <v>408838</v>
      </c>
      <c r="D17" s="6"/>
      <c r="E17" s="5" t="s">
        <v>13</v>
      </c>
      <c r="F17" s="5" t="s">
        <v>26</v>
      </c>
      <c r="G17" s="5" t="s">
        <v>15</v>
      </c>
      <c r="H17" s="7" t="s">
        <v>7</v>
      </c>
      <c r="I17" s="7" t="s">
        <v>166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25</v>
      </c>
      <c r="AF17" s="7">
        <v>2500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3</v>
      </c>
      <c r="AR17" s="7">
        <v>300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1">
        <v>2800</v>
      </c>
      <c r="BN17" s="14">
        <f t="shared" si="0"/>
        <v>2800</v>
      </c>
      <c r="BO17" s="15">
        <f t="shared" si="1"/>
        <v>1959.9999999999998</v>
      </c>
    </row>
    <row r="18" spans="1:67" ht="19.5" x14ac:dyDescent="0.3">
      <c r="A18" s="5" t="s">
        <v>129</v>
      </c>
      <c r="B18" s="5" t="s">
        <v>136</v>
      </c>
      <c r="C18" s="5">
        <v>468582</v>
      </c>
      <c r="D18" s="6"/>
      <c r="E18" s="5" t="s">
        <v>13</v>
      </c>
      <c r="F18" s="5" t="s">
        <v>137</v>
      </c>
      <c r="G18" s="5" t="s">
        <v>19</v>
      </c>
      <c r="H18" s="7" t="s">
        <v>9</v>
      </c>
      <c r="I18" s="7" t="s">
        <v>138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2500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1">
        <v>2500</v>
      </c>
      <c r="BN18" s="14">
        <f t="shared" si="0"/>
        <v>2500</v>
      </c>
      <c r="BO18" s="15">
        <f t="shared" si="1"/>
        <v>1750</v>
      </c>
    </row>
    <row r="19" spans="1:67" x14ac:dyDescent="0.3">
      <c r="A19" s="5" t="s">
        <v>129</v>
      </c>
      <c r="B19" s="5" t="s">
        <v>43</v>
      </c>
      <c r="C19" s="5">
        <v>474766</v>
      </c>
      <c r="D19" s="6"/>
      <c r="E19" s="5" t="s">
        <v>13</v>
      </c>
      <c r="F19" s="5" t="s">
        <v>44</v>
      </c>
      <c r="G19" s="5" t="s">
        <v>19</v>
      </c>
      <c r="H19" s="7" t="s">
        <v>21</v>
      </c>
      <c r="I19" s="7" t="s">
        <v>45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7">
        <v>2500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1">
        <v>2500</v>
      </c>
      <c r="BN19" s="14">
        <f t="shared" si="0"/>
        <v>2500</v>
      </c>
      <c r="BO19" s="15">
        <f t="shared" si="1"/>
        <v>1750</v>
      </c>
    </row>
    <row r="20" spans="1:67" x14ac:dyDescent="0.3">
      <c r="A20" s="5" t="s">
        <v>129</v>
      </c>
      <c r="B20" s="5" t="s">
        <v>180</v>
      </c>
      <c r="C20" s="5">
        <v>464785</v>
      </c>
      <c r="D20" s="6"/>
      <c r="E20" s="5" t="s">
        <v>13</v>
      </c>
      <c r="F20" s="5" t="s">
        <v>48</v>
      </c>
      <c r="G20" s="5" t="s">
        <v>19</v>
      </c>
      <c r="H20" s="7" t="s">
        <v>21</v>
      </c>
      <c r="I20" s="7" t="s">
        <v>156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7">
        <v>2500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1">
        <v>2500</v>
      </c>
      <c r="BN20" s="14">
        <f t="shared" si="0"/>
        <v>2500</v>
      </c>
      <c r="BO20" s="15">
        <f t="shared" si="1"/>
        <v>1750</v>
      </c>
    </row>
    <row r="21" spans="1:67" x14ac:dyDescent="0.3">
      <c r="A21" s="5" t="s">
        <v>129</v>
      </c>
      <c r="B21" s="5" t="s">
        <v>142</v>
      </c>
      <c r="C21" s="5">
        <v>472518</v>
      </c>
      <c r="D21" s="6"/>
      <c r="E21" s="5" t="s">
        <v>13</v>
      </c>
      <c r="F21" s="5" t="s">
        <v>143</v>
      </c>
      <c r="G21" s="5" t="s">
        <v>19</v>
      </c>
      <c r="H21" s="7" t="s">
        <v>21</v>
      </c>
      <c r="I21" s="7" t="s">
        <v>144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7">
        <v>2500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2500</v>
      </c>
      <c r="BN21" s="14">
        <f t="shared" si="0"/>
        <v>2500</v>
      </c>
      <c r="BO21" s="15">
        <f t="shared" si="1"/>
        <v>1750</v>
      </c>
    </row>
    <row r="22" spans="1:67" x14ac:dyDescent="0.3">
      <c r="A22" s="5" t="s">
        <v>129</v>
      </c>
      <c r="B22" s="5" t="s">
        <v>122</v>
      </c>
      <c r="C22" s="5">
        <v>367415</v>
      </c>
      <c r="D22" s="6"/>
      <c r="E22" s="5" t="s">
        <v>13</v>
      </c>
      <c r="F22" s="5" t="s">
        <v>25</v>
      </c>
      <c r="G22" s="5" t="s">
        <v>15</v>
      </c>
      <c r="H22" s="7" t="s">
        <v>7</v>
      </c>
      <c r="I22" s="7" t="s">
        <v>123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24</v>
      </c>
      <c r="AF22" s="7">
        <v>2400</v>
      </c>
      <c r="AG22" s="8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8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2400</v>
      </c>
      <c r="BN22" s="14">
        <f t="shared" si="0"/>
        <v>2400</v>
      </c>
      <c r="BO22" s="15">
        <f t="shared" si="1"/>
        <v>1680</v>
      </c>
    </row>
    <row r="23" spans="1:67" x14ac:dyDescent="0.3">
      <c r="A23" s="5" t="s">
        <v>129</v>
      </c>
      <c r="B23" s="5" t="s">
        <v>29</v>
      </c>
      <c r="C23" s="5">
        <v>461347</v>
      </c>
      <c r="D23" s="6"/>
      <c r="E23" s="5" t="s">
        <v>13</v>
      </c>
      <c r="F23" s="5" t="s">
        <v>24</v>
      </c>
      <c r="G23" s="5" t="s">
        <v>19</v>
      </c>
      <c r="H23" s="7" t="s">
        <v>21</v>
      </c>
      <c r="I23" s="7" t="s">
        <v>30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8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1</v>
      </c>
      <c r="BD23" s="7">
        <v>2400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144</v>
      </c>
      <c r="BM23" s="10">
        <v>2400</v>
      </c>
      <c r="BN23" s="14">
        <f t="shared" si="0"/>
        <v>2256</v>
      </c>
      <c r="BO23" s="15">
        <f t="shared" si="1"/>
        <v>1579.1999999999998</v>
      </c>
    </row>
    <row r="24" spans="1:67" x14ac:dyDescent="0.3">
      <c r="A24" s="5" t="s">
        <v>129</v>
      </c>
      <c r="B24" s="5" t="s">
        <v>181</v>
      </c>
      <c r="C24" s="5">
        <v>457674</v>
      </c>
      <c r="D24" s="6"/>
      <c r="E24" s="5" t="s">
        <v>13</v>
      </c>
      <c r="F24" s="5" t="s">
        <v>182</v>
      </c>
      <c r="G24" s="5" t="s">
        <v>19</v>
      </c>
      <c r="H24" s="7" t="s">
        <v>21</v>
      </c>
      <c r="I24" s="7" t="s">
        <v>156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8">
        <v>0</v>
      </c>
      <c r="AD24" s="7">
        <v>0</v>
      </c>
      <c r="AE24" s="7">
        <v>1</v>
      </c>
      <c r="AF24" s="7">
        <v>2000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2000</v>
      </c>
      <c r="BN24" s="14">
        <f t="shared" si="0"/>
        <v>2000</v>
      </c>
      <c r="BO24" s="15">
        <f t="shared" si="1"/>
        <v>1400</v>
      </c>
    </row>
    <row r="25" spans="1:67" x14ac:dyDescent="0.3">
      <c r="A25" s="5" t="s">
        <v>129</v>
      </c>
      <c r="B25" s="5" t="s">
        <v>183</v>
      </c>
      <c r="C25" s="5">
        <v>467564</v>
      </c>
      <c r="D25" s="6"/>
      <c r="E25" s="5" t="s">
        <v>13</v>
      </c>
      <c r="F25" s="5" t="s">
        <v>184</v>
      </c>
      <c r="G25" s="5" t="s">
        <v>19</v>
      </c>
      <c r="H25" s="7" t="s">
        <v>21</v>
      </c>
      <c r="I25" s="7" t="s">
        <v>185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</v>
      </c>
      <c r="AF25" s="8">
        <v>2000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2000</v>
      </c>
      <c r="BN25" s="14">
        <f t="shared" si="0"/>
        <v>2000</v>
      </c>
      <c r="BO25" s="15">
        <f t="shared" si="1"/>
        <v>1400</v>
      </c>
    </row>
    <row r="26" spans="1:67" x14ac:dyDescent="0.3">
      <c r="A26" s="5" t="s">
        <v>129</v>
      </c>
      <c r="B26" s="5" t="s">
        <v>186</v>
      </c>
      <c r="C26" s="5">
        <v>457672</v>
      </c>
      <c r="D26" s="6"/>
      <c r="E26" s="5" t="s">
        <v>13</v>
      </c>
      <c r="F26" s="5" t="s">
        <v>187</v>
      </c>
      <c r="G26" s="5" t="s">
        <v>19</v>
      </c>
      <c r="H26" s="7" t="s">
        <v>21</v>
      </c>
      <c r="I26" s="7" t="s">
        <v>156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8">
        <v>0</v>
      </c>
      <c r="AD26" s="7">
        <v>0</v>
      </c>
      <c r="AE26" s="7">
        <v>1</v>
      </c>
      <c r="AF26" s="7">
        <v>2000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8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2000</v>
      </c>
      <c r="BN26" s="14">
        <f t="shared" si="0"/>
        <v>2000</v>
      </c>
      <c r="BO26" s="15">
        <f t="shared" si="1"/>
        <v>1400</v>
      </c>
    </row>
    <row r="27" spans="1:67" x14ac:dyDescent="0.3">
      <c r="A27" s="5" t="s">
        <v>129</v>
      </c>
      <c r="B27" s="5" t="s">
        <v>188</v>
      </c>
      <c r="C27" s="5">
        <v>461359</v>
      </c>
      <c r="D27" s="6"/>
      <c r="E27" s="5" t="s">
        <v>13</v>
      </c>
      <c r="F27" s="5" t="s">
        <v>189</v>
      </c>
      <c r="G27" s="5" t="s">
        <v>19</v>
      </c>
      <c r="H27" s="7" t="s">
        <v>21</v>
      </c>
      <c r="I27" s="7" t="s">
        <v>156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</v>
      </c>
      <c r="AF27" s="8">
        <v>2000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2000</v>
      </c>
      <c r="BN27" s="14">
        <f t="shared" ref="BN27:BN90" si="2">BM27-BL27</f>
        <v>2000</v>
      </c>
      <c r="BO27" s="15">
        <f t="shared" ref="BO27:BO90" si="3">BN27*70%</f>
        <v>1400</v>
      </c>
    </row>
    <row r="28" spans="1:67" x14ac:dyDescent="0.3">
      <c r="A28" s="5" t="s">
        <v>129</v>
      </c>
      <c r="B28" s="5" t="s">
        <v>190</v>
      </c>
      <c r="C28" s="5">
        <v>467563</v>
      </c>
      <c r="D28" s="6"/>
      <c r="E28" s="5" t="s">
        <v>13</v>
      </c>
      <c r="F28" s="5" t="s">
        <v>191</v>
      </c>
      <c r="G28" s="5" t="s">
        <v>19</v>
      </c>
      <c r="H28" s="7" t="s">
        <v>21</v>
      </c>
      <c r="I28" s="7" t="s">
        <v>164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8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1</v>
      </c>
      <c r="AR28" s="7">
        <v>2000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2000</v>
      </c>
      <c r="BN28" s="14">
        <f t="shared" si="2"/>
        <v>2000</v>
      </c>
      <c r="BO28" s="15">
        <f t="shared" si="3"/>
        <v>1400</v>
      </c>
    </row>
    <row r="29" spans="1:67" x14ac:dyDescent="0.3">
      <c r="A29" s="5" t="s">
        <v>129</v>
      </c>
      <c r="B29" s="5" t="s">
        <v>192</v>
      </c>
      <c r="C29" s="5">
        <v>459231</v>
      </c>
      <c r="D29" s="6"/>
      <c r="E29" s="5" t="s">
        <v>13</v>
      </c>
      <c r="F29" s="5" t="s">
        <v>193</v>
      </c>
      <c r="G29" s="5" t="s">
        <v>19</v>
      </c>
      <c r="H29" s="7" t="s">
        <v>21</v>
      </c>
      <c r="I29" s="7" t="s">
        <v>156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</v>
      </c>
      <c r="AF29" s="8">
        <v>2000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2000</v>
      </c>
      <c r="BN29" s="14">
        <f t="shared" si="2"/>
        <v>2000</v>
      </c>
      <c r="BO29" s="15">
        <f t="shared" si="3"/>
        <v>1400</v>
      </c>
    </row>
    <row r="30" spans="1:67" x14ac:dyDescent="0.3">
      <c r="A30" s="5" t="s">
        <v>129</v>
      </c>
      <c r="B30" s="5" t="s">
        <v>194</v>
      </c>
      <c r="C30" s="5">
        <v>465771</v>
      </c>
      <c r="D30" s="6"/>
      <c r="E30" s="5" t="s">
        <v>13</v>
      </c>
      <c r="F30" s="5" t="s">
        <v>182</v>
      </c>
      <c r="G30" s="5" t="s">
        <v>19</v>
      </c>
      <c r="H30" s="7" t="s">
        <v>9</v>
      </c>
      <c r="I30" s="7" t="s">
        <v>195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</v>
      </c>
      <c r="AF30" s="7">
        <v>2000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8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2000</v>
      </c>
      <c r="BN30" s="14">
        <f t="shared" si="2"/>
        <v>2000</v>
      </c>
      <c r="BO30" s="15">
        <f t="shared" si="3"/>
        <v>1400</v>
      </c>
    </row>
    <row r="31" spans="1:67" x14ac:dyDescent="0.3">
      <c r="A31" s="5" t="s">
        <v>129</v>
      </c>
      <c r="B31" s="5" t="s">
        <v>120</v>
      </c>
      <c r="C31" s="5">
        <v>365225</v>
      </c>
      <c r="D31" s="6"/>
      <c r="E31" s="5" t="s">
        <v>13</v>
      </c>
      <c r="F31" s="5" t="s">
        <v>26</v>
      </c>
      <c r="G31" s="5" t="s">
        <v>15</v>
      </c>
      <c r="H31" s="7" t="s">
        <v>7</v>
      </c>
      <c r="I31" s="7" t="s">
        <v>121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2</v>
      </c>
      <c r="AC31" s="8">
        <v>1800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1800</v>
      </c>
      <c r="BN31" s="14">
        <f t="shared" si="2"/>
        <v>1800</v>
      </c>
      <c r="BO31" s="15">
        <f t="shared" si="3"/>
        <v>1260</v>
      </c>
    </row>
    <row r="32" spans="1:67" x14ac:dyDescent="0.3">
      <c r="A32" s="5" t="s">
        <v>129</v>
      </c>
      <c r="B32" s="5" t="s">
        <v>50</v>
      </c>
      <c r="C32" s="5">
        <v>380954</v>
      </c>
      <c r="D32" s="6"/>
      <c r="E32" s="5" t="s">
        <v>13</v>
      </c>
      <c r="F32" s="5" t="s">
        <v>25</v>
      </c>
      <c r="G32" s="5" t="s">
        <v>15</v>
      </c>
      <c r="H32" s="7" t="s">
        <v>7</v>
      </c>
      <c r="I32" s="7" t="s">
        <v>51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900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8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900</v>
      </c>
      <c r="BN32" s="14">
        <f t="shared" si="2"/>
        <v>900</v>
      </c>
      <c r="BO32" s="15">
        <f t="shared" si="3"/>
        <v>630</v>
      </c>
    </row>
    <row r="33" spans="1:67" x14ac:dyDescent="0.3">
      <c r="A33" s="5" t="s">
        <v>129</v>
      </c>
      <c r="B33" s="5" t="s">
        <v>196</v>
      </c>
      <c r="C33" s="5">
        <v>354950</v>
      </c>
      <c r="D33" s="6" t="s">
        <v>197</v>
      </c>
      <c r="E33" s="5" t="s">
        <v>13</v>
      </c>
      <c r="F33" s="5" t="s">
        <v>14</v>
      </c>
      <c r="G33" s="5" t="s">
        <v>15</v>
      </c>
      <c r="H33" s="7" t="s">
        <v>7</v>
      </c>
      <c r="I33" s="7" t="s">
        <v>198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2</v>
      </c>
      <c r="AF33" s="7">
        <v>100</v>
      </c>
      <c r="AG33" s="7">
        <v>100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8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200</v>
      </c>
      <c r="BN33" s="14">
        <f t="shared" si="2"/>
        <v>200</v>
      </c>
      <c r="BO33" s="15">
        <f t="shared" si="3"/>
        <v>140</v>
      </c>
    </row>
    <row r="34" spans="1:67" x14ac:dyDescent="0.3">
      <c r="A34" s="5" t="s">
        <v>129</v>
      </c>
      <c r="B34" s="5" t="s">
        <v>16</v>
      </c>
      <c r="C34" s="5">
        <v>451051</v>
      </c>
      <c r="D34" s="6"/>
      <c r="E34" s="5" t="s">
        <v>13</v>
      </c>
      <c r="F34" s="5" t="s">
        <v>14</v>
      </c>
      <c r="G34" s="5" t="s">
        <v>15</v>
      </c>
      <c r="H34" s="7" t="s">
        <v>9</v>
      </c>
      <c r="I34" s="7" t="s">
        <v>12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2</v>
      </c>
      <c r="AR34" s="7">
        <v>200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1">
        <v>200</v>
      </c>
      <c r="BN34" s="14">
        <f t="shared" si="2"/>
        <v>200</v>
      </c>
      <c r="BO34" s="15">
        <f t="shared" si="3"/>
        <v>140</v>
      </c>
    </row>
    <row r="35" spans="1:67" x14ac:dyDescent="0.3">
      <c r="A35" s="5" t="s">
        <v>129</v>
      </c>
      <c r="B35" s="5" t="s">
        <v>199</v>
      </c>
      <c r="C35" s="5">
        <v>356315</v>
      </c>
      <c r="D35" s="6"/>
      <c r="E35" s="5" t="s">
        <v>13</v>
      </c>
      <c r="F35" s="5" t="s">
        <v>116</v>
      </c>
      <c r="G35" s="5" t="s">
        <v>117</v>
      </c>
      <c r="H35" s="7" t="s">
        <v>8</v>
      </c>
      <c r="I35" s="7" t="s">
        <v>200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</v>
      </c>
      <c r="AF35" s="7">
        <v>100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1">
        <v>100</v>
      </c>
      <c r="BN35" s="14">
        <f t="shared" si="2"/>
        <v>100</v>
      </c>
      <c r="BO35" s="15">
        <f t="shared" si="3"/>
        <v>70</v>
      </c>
    </row>
    <row r="36" spans="1:67" x14ac:dyDescent="0.3">
      <c r="A36" s="5" t="s">
        <v>129</v>
      </c>
      <c r="B36" s="5" t="s">
        <v>201</v>
      </c>
      <c r="C36" s="5">
        <v>354768</v>
      </c>
      <c r="D36" s="6"/>
      <c r="E36" s="5" t="s">
        <v>13</v>
      </c>
      <c r="F36" s="5" t="s">
        <v>116</v>
      </c>
      <c r="G36" s="5" t="s">
        <v>117</v>
      </c>
      <c r="H36" s="7" t="s">
        <v>8</v>
      </c>
      <c r="I36" s="7" t="s">
        <v>202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</v>
      </c>
      <c r="AF36" s="7">
        <v>100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1">
        <v>100</v>
      </c>
      <c r="BN36" s="14">
        <f t="shared" si="2"/>
        <v>100</v>
      </c>
      <c r="BO36" s="15">
        <f t="shared" si="3"/>
        <v>70</v>
      </c>
    </row>
    <row r="37" spans="1:67" x14ac:dyDescent="0.3">
      <c r="A37" s="5" t="s">
        <v>129</v>
      </c>
      <c r="B37" s="5" t="s">
        <v>52</v>
      </c>
      <c r="C37" s="5">
        <v>469971</v>
      </c>
      <c r="D37" s="6"/>
      <c r="E37" s="5" t="s">
        <v>13</v>
      </c>
      <c r="F37" s="5" t="s">
        <v>53</v>
      </c>
      <c r="G37" s="5" t="s">
        <v>54</v>
      </c>
      <c r="H37" s="7" t="s">
        <v>7</v>
      </c>
      <c r="I37" s="7" t="s">
        <v>203</v>
      </c>
      <c r="J37" s="7">
        <v>0</v>
      </c>
      <c r="K37" s="7">
        <v>11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8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8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8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0</v>
      </c>
      <c r="BN37" s="14">
        <f t="shared" si="2"/>
        <v>0</v>
      </c>
      <c r="BO37" s="15">
        <f t="shared" si="3"/>
        <v>0</v>
      </c>
    </row>
    <row r="38" spans="1:67" x14ac:dyDescent="0.3">
      <c r="A38" s="5" t="s">
        <v>130</v>
      </c>
      <c r="B38" s="5" t="s">
        <v>122</v>
      </c>
      <c r="C38" s="5">
        <v>367415</v>
      </c>
      <c r="D38" s="6"/>
      <c r="E38" s="5" t="s">
        <v>13</v>
      </c>
      <c r="F38" s="5" t="s">
        <v>25</v>
      </c>
      <c r="G38" s="5" t="s">
        <v>15</v>
      </c>
      <c r="H38" s="7" t="s">
        <v>7</v>
      </c>
      <c r="I38" s="7" t="s">
        <v>123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760</v>
      </c>
      <c r="AF38" s="8">
        <v>76000</v>
      </c>
      <c r="AG38" s="8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8">
        <v>0</v>
      </c>
      <c r="AN38" s="7">
        <v>0</v>
      </c>
      <c r="AO38" s="7">
        <v>0</v>
      </c>
      <c r="AP38" s="7">
        <v>0</v>
      </c>
      <c r="AQ38" s="7">
        <v>0</v>
      </c>
      <c r="AR38" s="8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0">
        <v>76000</v>
      </c>
      <c r="BN38" s="14">
        <f t="shared" si="2"/>
        <v>76000</v>
      </c>
      <c r="BO38" s="15">
        <f t="shared" si="3"/>
        <v>53200</v>
      </c>
    </row>
    <row r="39" spans="1:67" x14ac:dyDescent="0.3">
      <c r="A39" s="5" t="s">
        <v>131</v>
      </c>
      <c r="B39" s="5" t="s">
        <v>179</v>
      </c>
      <c r="C39" s="5">
        <v>408838</v>
      </c>
      <c r="D39" s="6"/>
      <c r="E39" s="5" t="s">
        <v>13</v>
      </c>
      <c r="F39" s="5" t="s">
        <v>26</v>
      </c>
      <c r="G39" s="5" t="s">
        <v>15</v>
      </c>
      <c r="H39" s="7" t="s">
        <v>7</v>
      </c>
      <c r="I39" s="7" t="s">
        <v>166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269</v>
      </c>
      <c r="AF39" s="8">
        <v>26900</v>
      </c>
      <c r="AG39" s="8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8">
        <v>0</v>
      </c>
      <c r="AN39" s="7">
        <v>0</v>
      </c>
      <c r="AO39" s="7">
        <v>0</v>
      </c>
      <c r="AP39" s="7">
        <v>0</v>
      </c>
      <c r="AQ39" s="7">
        <v>232</v>
      </c>
      <c r="AR39" s="7">
        <v>22600</v>
      </c>
      <c r="AS39" s="7">
        <v>600</v>
      </c>
      <c r="AT39" s="7">
        <v>0</v>
      </c>
      <c r="AU39" s="7">
        <v>0</v>
      </c>
      <c r="AV39" s="7">
        <v>0</v>
      </c>
      <c r="AW39" s="7">
        <v>0</v>
      </c>
      <c r="AX39" s="8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0">
        <v>50100</v>
      </c>
      <c r="BN39" s="14">
        <f t="shared" si="2"/>
        <v>50100</v>
      </c>
      <c r="BO39" s="15">
        <f t="shared" si="3"/>
        <v>35070</v>
      </c>
    </row>
    <row r="40" spans="1:67" x14ac:dyDescent="0.3">
      <c r="A40" s="5" t="s">
        <v>131</v>
      </c>
      <c r="B40" s="5" t="s">
        <v>16</v>
      </c>
      <c r="C40" s="5">
        <v>451051</v>
      </c>
      <c r="D40" s="6"/>
      <c r="E40" s="5" t="s">
        <v>13</v>
      </c>
      <c r="F40" s="5" t="s">
        <v>14</v>
      </c>
      <c r="G40" s="5" t="s">
        <v>15</v>
      </c>
      <c r="H40" s="7" t="s">
        <v>9</v>
      </c>
      <c r="I40" s="7" t="s">
        <v>12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8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8">
        <v>0</v>
      </c>
      <c r="AM40" s="7">
        <v>0</v>
      </c>
      <c r="AN40" s="7">
        <v>0</v>
      </c>
      <c r="AO40" s="7">
        <v>0</v>
      </c>
      <c r="AP40" s="7">
        <v>0</v>
      </c>
      <c r="AQ40" s="7">
        <v>381</v>
      </c>
      <c r="AR40" s="7">
        <v>36100</v>
      </c>
      <c r="AS40" s="7">
        <v>2000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38100</v>
      </c>
      <c r="BN40" s="14">
        <f t="shared" si="2"/>
        <v>38100</v>
      </c>
      <c r="BO40" s="15">
        <f t="shared" si="3"/>
        <v>26670</v>
      </c>
    </row>
    <row r="41" spans="1:67" x14ac:dyDescent="0.3">
      <c r="A41" s="5" t="s">
        <v>131</v>
      </c>
      <c r="B41" s="5" t="s">
        <v>196</v>
      </c>
      <c r="C41" s="5">
        <v>354950</v>
      </c>
      <c r="D41" s="6" t="s">
        <v>197</v>
      </c>
      <c r="E41" s="5" t="s">
        <v>13</v>
      </c>
      <c r="F41" s="5" t="s">
        <v>14</v>
      </c>
      <c r="G41" s="5" t="s">
        <v>15</v>
      </c>
      <c r="H41" s="7" t="s">
        <v>7</v>
      </c>
      <c r="I41" s="7" t="s">
        <v>198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272</v>
      </c>
      <c r="AF41" s="8">
        <v>26500</v>
      </c>
      <c r="AG41" s="8">
        <v>700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8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0">
        <v>27200</v>
      </c>
      <c r="BN41" s="14">
        <f t="shared" si="2"/>
        <v>27200</v>
      </c>
      <c r="BO41" s="15">
        <f t="shared" si="3"/>
        <v>19040</v>
      </c>
    </row>
    <row r="42" spans="1:67" x14ac:dyDescent="0.3">
      <c r="A42" s="5" t="s">
        <v>118</v>
      </c>
      <c r="B42" s="5" t="s">
        <v>41</v>
      </c>
      <c r="C42" s="5">
        <v>408836</v>
      </c>
      <c r="D42" s="6"/>
      <c r="E42" s="5" t="s">
        <v>13</v>
      </c>
      <c r="F42" s="5" t="s">
        <v>26</v>
      </c>
      <c r="G42" s="5" t="s">
        <v>15</v>
      </c>
      <c r="H42" s="7" t="s">
        <v>7</v>
      </c>
      <c r="I42" s="7" t="s">
        <v>42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15</v>
      </c>
      <c r="AC42" s="7">
        <v>10100</v>
      </c>
      <c r="AD42" s="7">
        <v>0</v>
      </c>
      <c r="AE42" s="7">
        <v>0</v>
      </c>
      <c r="AF42" s="8">
        <v>0</v>
      </c>
      <c r="AG42" s="8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2</v>
      </c>
      <c r="BA42" s="7">
        <v>1320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79.2</v>
      </c>
      <c r="BM42" s="10">
        <v>11420</v>
      </c>
      <c r="BN42" s="14">
        <f t="shared" si="2"/>
        <v>11340.8</v>
      </c>
      <c r="BO42" s="15">
        <f t="shared" si="3"/>
        <v>7938.5599999999986</v>
      </c>
    </row>
    <row r="43" spans="1:67" x14ac:dyDescent="0.3">
      <c r="A43" s="5" t="s">
        <v>131</v>
      </c>
      <c r="B43" s="5" t="s">
        <v>204</v>
      </c>
      <c r="C43" s="5">
        <v>408846</v>
      </c>
      <c r="D43" s="6"/>
      <c r="E43" s="5" t="s">
        <v>13</v>
      </c>
      <c r="F43" s="5" t="s">
        <v>26</v>
      </c>
      <c r="G43" s="5" t="s">
        <v>15</v>
      </c>
      <c r="H43" s="7" t="s">
        <v>7</v>
      </c>
      <c r="I43" s="7" t="s">
        <v>205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4</v>
      </c>
      <c r="AC43" s="7">
        <v>3600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8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3600</v>
      </c>
      <c r="BN43" s="14">
        <f t="shared" si="2"/>
        <v>3600</v>
      </c>
      <c r="BO43" s="15">
        <f t="shared" si="3"/>
        <v>2520</v>
      </c>
    </row>
    <row r="44" spans="1:67" x14ac:dyDescent="0.3">
      <c r="A44" s="5" t="s">
        <v>131</v>
      </c>
      <c r="B44" s="5" t="s">
        <v>206</v>
      </c>
      <c r="C44" s="5">
        <v>368432</v>
      </c>
      <c r="D44" s="6"/>
      <c r="E44" s="5" t="s">
        <v>13</v>
      </c>
      <c r="F44" s="5" t="s">
        <v>116</v>
      </c>
      <c r="G44" s="5" t="s">
        <v>117</v>
      </c>
      <c r="H44" s="7" t="s">
        <v>8</v>
      </c>
      <c r="I44" s="7" t="s">
        <v>207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30</v>
      </c>
      <c r="AF44" s="8">
        <v>3000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8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3000</v>
      </c>
      <c r="BN44" s="14">
        <f t="shared" si="2"/>
        <v>3000</v>
      </c>
      <c r="BO44" s="15">
        <f t="shared" si="3"/>
        <v>2100</v>
      </c>
    </row>
    <row r="45" spans="1:67" x14ac:dyDescent="0.3">
      <c r="A45" s="5" t="s">
        <v>131</v>
      </c>
      <c r="B45" s="5" t="s">
        <v>208</v>
      </c>
      <c r="C45" s="5">
        <v>379289</v>
      </c>
      <c r="D45" s="6"/>
      <c r="E45" s="5" t="s">
        <v>13</v>
      </c>
      <c r="F45" s="5" t="s">
        <v>26</v>
      </c>
      <c r="G45" s="5" t="s">
        <v>15</v>
      </c>
      <c r="H45" s="7" t="s">
        <v>7</v>
      </c>
      <c r="I45" s="7" t="s">
        <v>209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8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3</v>
      </c>
      <c r="AO45" s="7">
        <v>800</v>
      </c>
      <c r="AP45" s="7">
        <v>1900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8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2700</v>
      </c>
      <c r="BN45" s="14">
        <f t="shared" si="2"/>
        <v>2700</v>
      </c>
      <c r="BO45" s="15">
        <f t="shared" si="3"/>
        <v>1889.9999999999998</v>
      </c>
    </row>
    <row r="46" spans="1:67" x14ac:dyDescent="0.3">
      <c r="A46" s="5" t="s">
        <v>118</v>
      </c>
      <c r="B46" s="5" t="s">
        <v>50</v>
      </c>
      <c r="C46" s="5">
        <v>380954</v>
      </c>
      <c r="D46" s="6"/>
      <c r="E46" s="5" t="s">
        <v>13</v>
      </c>
      <c r="F46" s="5" t="s">
        <v>25</v>
      </c>
      <c r="G46" s="5" t="s">
        <v>15</v>
      </c>
      <c r="H46" s="7" t="s">
        <v>7</v>
      </c>
      <c r="I46" s="7" t="s">
        <v>51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2</v>
      </c>
      <c r="AC46" s="7">
        <v>1800</v>
      </c>
      <c r="AD46" s="7">
        <v>0</v>
      </c>
      <c r="AE46" s="7">
        <v>0</v>
      </c>
      <c r="AF46" s="8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8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1800</v>
      </c>
      <c r="BN46" s="14">
        <f t="shared" si="2"/>
        <v>1800</v>
      </c>
      <c r="BO46" s="15">
        <f t="shared" si="3"/>
        <v>1260</v>
      </c>
    </row>
    <row r="47" spans="1:67" x14ac:dyDescent="0.3">
      <c r="A47" s="5" t="s">
        <v>118</v>
      </c>
      <c r="B47" s="5" t="s">
        <v>27</v>
      </c>
      <c r="C47" s="5">
        <v>453445</v>
      </c>
      <c r="D47" s="6"/>
      <c r="E47" s="5" t="s">
        <v>13</v>
      </c>
      <c r="F47" s="5" t="s">
        <v>14</v>
      </c>
      <c r="G47" s="5" t="s">
        <v>15</v>
      </c>
      <c r="H47" s="7" t="s">
        <v>8</v>
      </c>
      <c r="I47" s="7" t="s">
        <v>28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1</v>
      </c>
      <c r="AO47" s="7">
        <v>900</v>
      </c>
      <c r="AP47" s="7">
        <v>0</v>
      </c>
      <c r="AQ47" s="7">
        <v>0</v>
      </c>
      <c r="AR47" s="8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900</v>
      </c>
      <c r="BN47" s="14">
        <f t="shared" si="2"/>
        <v>900</v>
      </c>
      <c r="BO47" s="15">
        <f t="shared" si="3"/>
        <v>630</v>
      </c>
    </row>
    <row r="48" spans="1:67" x14ac:dyDescent="0.3">
      <c r="A48" s="5" t="s">
        <v>131</v>
      </c>
      <c r="B48" s="5" t="s">
        <v>52</v>
      </c>
      <c r="C48" s="5">
        <v>469971</v>
      </c>
      <c r="D48" s="6"/>
      <c r="E48" s="5" t="s">
        <v>13</v>
      </c>
      <c r="F48" s="5" t="s">
        <v>53</v>
      </c>
      <c r="G48" s="5" t="s">
        <v>54</v>
      </c>
      <c r="H48" s="7" t="s">
        <v>7</v>
      </c>
      <c r="I48" s="7" t="s">
        <v>203</v>
      </c>
      <c r="J48" s="7">
        <v>0</v>
      </c>
      <c r="K48" s="7">
        <v>6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</v>
      </c>
      <c r="AF48" s="8">
        <v>0</v>
      </c>
      <c r="AG48" s="7">
        <v>200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200</v>
      </c>
      <c r="BN48" s="14">
        <f t="shared" si="2"/>
        <v>200</v>
      </c>
      <c r="BO48" s="15">
        <f t="shared" si="3"/>
        <v>140</v>
      </c>
    </row>
    <row r="49" spans="1:67" x14ac:dyDescent="0.3">
      <c r="A49" s="5" t="s">
        <v>56</v>
      </c>
      <c r="B49" s="5" t="s">
        <v>155</v>
      </c>
      <c r="C49" s="5">
        <v>461353</v>
      </c>
      <c r="D49" s="6"/>
      <c r="E49" s="5" t="s">
        <v>13</v>
      </c>
      <c r="F49" s="5" t="s">
        <v>39</v>
      </c>
      <c r="G49" s="5" t="s">
        <v>19</v>
      </c>
      <c r="H49" s="7" t="s">
        <v>21</v>
      </c>
      <c r="I49" s="7" t="s">
        <v>156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60</v>
      </c>
      <c r="AF49" s="8">
        <v>88600</v>
      </c>
      <c r="AG49" s="7">
        <v>17500</v>
      </c>
      <c r="AH49" s="7">
        <v>0</v>
      </c>
      <c r="AI49" s="7">
        <v>0</v>
      </c>
      <c r="AJ49" s="7">
        <v>0</v>
      </c>
      <c r="AK49" s="7">
        <v>17</v>
      </c>
      <c r="AL49" s="7">
        <v>4580</v>
      </c>
      <c r="AM49" s="7">
        <v>19900</v>
      </c>
      <c r="AN49" s="7">
        <v>0</v>
      </c>
      <c r="AO49" s="7">
        <v>0</v>
      </c>
      <c r="AP49" s="7">
        <v>0</v>
      </c>
      <c r="AQ49" s="7">
        <v>8</v>
      </c>
      <c r="AR49" s="7">
        <v>16000</v>
      </c>
      <c r="AS49" s="7">
        <v>0</v>
      </c>
      <c r="AT49" s="7">
        <v>0</v>
      </c>
      <c r="AU49" s="7">
        <v>0</v>
      </c>
      <c r="AV49" s="7">
        <v>0</v>
      </c>
      <c r="AW49" s="7">
        <v>1</v>
      </c>
      <c r="AX49" s="7">
        <v>2400</v>
      </c>
      <c r="AY49" s="7">
        <v>0</v>
      </c>
      <c r="AZ49" s="7">
        <v>0</v>
      </c>
      <c r="BA49" s="7">
        <v>0</v>
      </c>
      <c r="BB49" s="7">
        <v>0</v>
      </c>
      <c r="BC49" s="7">
        <v>2</v>
      </c>
      <c r="BD49" s="7">
        <v>4800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1902</v>
      </c>
      <c r="BM49" s="10">
        <v>153780</v>
      </c>
      <c r="BN49" s="14">
        <f t="shared" si="2"/>
        <v>151878</v>
      </c>
      <c r="BO49" s="15">
        <f t="shared" si="3"/>
        <v>106314.59999999999</v>
      </c>
    </row>
    <row r="50" spans="1:67" x14ac:dyDescent="0.3">
      <c r="A50" s="5" t="s">
        <v>56</v>
      </c>
      <c r="B50" s="5" t="s">
        <v>176</v>
      </c>
      <c r="C50" s="5">
        <v>457677</v>
      </c>
      <c r="D50" s="6"/>
      <c r="E50" s="5" t="s">
        <v>13</v>
      </c>
      <c r="F50" s="5" t="s">
        <v>170</v>
      </c>
      <c r="G50" s="5" t="s">
        <v>19</v>
      </c>
      <c r="H50" s="7" t="s">
        <v>21</v>
      </c>
      <c r="I50" s="7" t="s">
        <v>156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23</v>
      </c>
      <c r="AF50" s="7">
        <v>35200</v>
      </c>
      <c r="AG50" s="7">
        <v>6200</v>
      </c>
      <c r="AH50" s="7">
        <v>0</v>
      </c>
      <c r="AI50" s="7">
        <v>0</v>
      </c>
      <c r="AJ50" s="7">
        <v>0</v>
      </c>
      <c r="AK50" s="7">
        <v>6</v>
      </c>
      <c r="AL50" s="7">
        <v>4400</v>
      </c>
      <c r="AM50" s="7">
        <v>5900</v>
      </c>
      <c r="AN50" s="7">
        <v>0</v>
      </c>
      <c r="AO50" s="7">
        <v>0</v>
      </c>
      <c r="AP50" s="7">
        <v>0</v>
      </c>
      <c r="AQ50" s="7">
        <v>2</v>
      </c>
      <c r="AR50" s="8">
        <v>4000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2</v>
      </c>
      <c r="BD50" s="7">
        <v>3240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1514.4</v>
      </c>
      <c r="BM50" s="10">
        <v>58940</v>
      </c>
      <c r="BN50" s="14">
        <f t="shared" si="2"/>
        <v>57425.599999999999</v>
      </c>
      <c r="BO50" s="15">
        <f t="shared" si="3"/>
        <v>40197.919999999998</v>
      </c>
    </row>
    <row r="51" spans="1:67" x14ac:dyDescent="0.3">
      <c r="A51" s="5" t="s">
        <v>56</v>
      </c>
      <c r="B51" s="5" t="s">
        <v>172</v>
      </c>
      <c r="C51" s="5">
        <v>464790</v>
      </c>
      <c r="D51" s="6"/>
      <c r="E51" s="5" t="s">
        <v>13</v>
      </c>
      <c r="F51" s="5" t="s">
        <v>173</v>
      </c>
      <c r="G51" s="5" t="s">
        <v>19</v>
      </c>
      <c r="H51" s="7" t="s">
        <v>21</v>
      </c>
      <c r="I51" s="7" t="s">
        <v>156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24</v>
      </c>
      <c r="AF51" s="8">
        <v>45500</v>
      </c>
      <c r="AG51" s="7">
        <v>2500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2</v>
      </c>
      <c r="AR51" s="7">
        <v>4000</v>
      </c>
      <c r="AS51" s="7">
        <v>0</v>
      </c>
      <c r="AT51" s="7">
        <v>0</v>
      </c>
      <c r="AU51" s="7">
        <v>0</v>
      </c>
      <c r="AV51" s="7">
        <v>0</v>
      </c>
      <c r="AW51" s="7">
        <v>1</v>
      </c>
      <c r="AX51" s="7">
        <v>2400</v>
      </c>
      <c r="AY51" s="7">
        <v>0</v>
      </c>
      <c r="AZ51" s="7">
        <v>0</v>
      </c>
      <c r="BA51" s="7">
        <v>0</v>
      </c>
      <c r="BB51" s="7">
        <v>0</v>
      </c>
      <c r="BC51" s="7">
        <v>1</v>
      </c>
      <c r="BD51" s="7">
        <v>2400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384</v>
      </c>
      <c r="BM51" s="10">
        <v>56800</v>
      </c>
      <c r="BN51" s="14">
        <f t="shared" si="2"/>
        <v>56416</v>
      </c>
      <c r="BO51" s="15">
        <f t="shared" si="3"/>
        <v>39491.199999999997</v>
      </c>
    </row>
    <row r="52" spans="1:67" x14ac:dyDescent="0.3">
      <c r="A52" s="5" t="s">
        <v>56</v>
      </c>
      <c r="B52" s="5" t="s">
        <v>157</v>
      </c>
      <c r="C52" s="5">
        <v>468580</v>
      </c>
      <c r="D52" s="6"/>
      <c r="E52" s="5" t="s">
        <v>13</v>
      </c>
      <c r="F52" s="5" t="s">
        <v>158</v>
      </c>
      <c r="G52" s="5" t="s">
        <v>19</v>
      </c>
      <c r="H52" s="7" t="s">
        <v>21</v>
      </c>
      <c r="I52" s="7" t="s">
        <v>159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18</v>
      </c>
      <c r="AF52" s="8">
        <v>39700</v>
      </c>
      <c r="AG52" s="7">
        <v>2700</v>
      </c>
      <c r="AH52" s="7">
        <v>0</v>
      </c>
      <c r="AI52" s="7">
        <v>0</v>
      </c>
      <c r="AJ52" s="7">
        <v>0</v>
      </c>
      <c r="AK52" s="7">
        <v>1</v>
      </c>
      <c r="AL52" s="7">
        <v>0</v>
      </c>
      <c r="AM52" s="7">
        <v>2000</v>
      </c>
      <c r="AN52" s="7">
        <v>0</v>
      </c>
      <c r="AO52" s="7">
        <v>0</v>
      </c>
      <c r="AP52" s="7">
        <v>0</v>
      </c>
      <c r="AQ52" s="7">
        <v>2</v>
      </c>
      <c r="AR52" s="7">
        <v>2100</v>
      </c>
      <c r="AS52" s="7">
        <v>700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1</v>
      </c>
      <c r="BD52" s="7">
        <v>360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21.6</v>
      </c>
      <c r="BM52" s="10">
        <v>47560</v>
      </c>
      <c r="BN52" s="14">
        <f t="shared" si="2"/>
        <v>47538.400000000001</v>
      </c>
      <c r="BO52" s="15">
        <f t="shared" si="3"/>
        <v>33276.879999999997</v>
      </c>
    </row>
    <row r="53" spans="1:67" x14ac:dyDescent="0.3">
      <c r="A53" s="5" t="s">
        <v>56</v>
      </c>
      <c r="B53" s="5" t="s">
        <v>38</v>
      </c>
      <c r="C53" s="5">
        <v>470383</v>
      </c>
      <c r="D53" s="6"/>
      <c r="E53" s="5" t="s">
        <v>13</v>
      </c>
      <c r="F53" s="5" t="s">
        <v>39</v>
      </c>
      <c r="G53" s="5" t="s">
        <v>19</v>
      </c>
      <c r="H53" s="7" t="s">
        <v>21</v>
      </c>
      <c r="I53" s="7" t="s">
        <v>40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15</v>
      </c>
      <c r="AF53" s="7">
        <v>22200</v>
      </c>
      <c r="AG53" s="7">
        <v>3600</v>
      </c>
      <c r="AH53" s="7">
        <v>0</v>
      </c>
      <c r="AI53" s="7">
        <v>0</v>
      </c>
      <c r="AJ53" s="7">
        <v>0</v>
      </c>
      <c r="AK53" s="7">
        <v>7</v>
      </c>
      <c r="AL53" s="7">
        <v>6840</v>
      </c>
      <c r="AM53" s="7">
        <v>6700</v>
      </c>
      <c r="AN53" s="7">
        <v>0</v>
      </c>
      <c r="AO53" s="7">
        <v>0</v>
      </c>
      <c r="AP53" s="7">
        <v>0</v>
      </c>
      <c r="AQ53" s="7">
        <v>1</v>
      </c>
      <c r="AR53" s="7">
        <v>2000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1</v>
      </c>
      <c r="BD53" s="8">
        <v>2400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2196</v>
      </c>
      <c r="BM53" s="10">
        <v>43740</v>
      </c>
      <c r="BN53" s="14">
        <f t="shared" si="2"/>
        <v>41544</v>
      </c>
      <c r="BO53" s="15">
        <f t="shared" si="3"/>
        <v>29080.799999999999</v>
      </c>
    </row>
    <row r="54" spans="1:67" x14ac:dyDescent="0.3">
      <c r="A54" s="5" t="s">
        <v>132</v>
      </c>
      <c r="B54" s="5" t="s">
        <v>169</v>
      </c>
      <c r="C54" s="5">
        <v>468590</v>
      </c>
      <c r="D54" s="6"/>
      <c r="E54" s="5" t="s">
        <v>13</v>
      </c>
      <c r="F54" s="5" t="s">
        <v>170</v>
      </c>
      <c r="G54" s="5" t="s">
        <v>19</v>
      </c>
      <c r="H54" s="7" t="s">
        <v>21</v>
      </c>
      <c r="I54" s="7" t="s">
        <v>171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13</v>
      </c>
      <c r="AF54" s="7">
        <v>20600</v>
      </c>
      <c r="AG54" s="7">
        <v>3300</v>
      </c>
      <c r="AH54" s="7">
        <v>0</v>
      </c>
      <c r="AI54" s="7">
        <v>0</v>
      </c>
      <c r="AJ54" s="7">
        <v>0</v>
      </c>
      <c r="AK54" s="7">
        <v>3</v>
      </c>
      <c r="AL54" s="7">
        <v>2400</v>
      </c>
      <c r="AM54" s="8">
        <v>3400</v>
      </c>
      <c r="AN54" s="7">
        <v>0</v>
      </c>
      <c r="AO54" s="7">
        <v>0</v>
      </c>
      <c r="AP54" s="7">
        <v>0</v>
      </c>
      <c r="AQ54" s="7">
        <v>1</v>
      </c>
      <c r="AR54" s="7">
        <v>700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1</v>
      </c>
      <c r="BD54" s="7">
        <v>2400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864</v>
      </c>
      <c r="BM54" s="10">
        <v>32800</v>
      </c>
      <c r="BN54" s="14">
        <f t="shared" si="2"/>
        <v>31936</v>
      </c>
      <c r="BO54" s="15">
        <f t="shared" si="3"/>
        <v>22355.199999999997</v>
      </c>
    </row>
    <row r="55" spans="1:67" x14ac:dyDescent="0.3">
      <c r="A55" s="5" t="s">
        <v>56</v>
      </c>
      <c r="B55" s="5" t="s">
        <v>174</v>
      </c>
      <c r="C55" s="5">
        <v>464780</v>
      </c>
      <c r="D55" s="6"/>
      <c r="E55" s="5" t="s">
        <v>13</v>
      </c>
      <c r="F55" s="5" t="s">
        <v>175</v>
      </c>
      <c r="G55" s="5" t="s">
        <v>19</v>
      </c>
      <c r="H55" s="7" t="s">
        <v>21</v>
      </c>
      <c r="I55" s="7" t="s">
        <v>156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11</v>
      </c>
      <c r="AF55" s="8">
        <v>16000</v>
      </c>
      <c r="AG55" s="7">
        <v>4700</v>
      </c>
      <c r="AH55" s="7">
        <v>0</v>
      </c>
      <c r="AI55" s="7">
        <v>0</v>
      </c>
      <c r="AJ55" s="7">
        <v>0</v>
      </c>
      <c r="AK55" s="7">
        <v>2</v>
      </c>
      <c r="AL55" s="7">
        <v>2180</v>
      </c>
      <c r="AM55" s="7">
        <v>1300</v>
      </c>
      <c r="AN55" s="7">
        <v>0</v>
      </c>
      <c r="AO55" s="7">
        <v>0</v>
      </c>
      <c r="AP55" s="7">
        <v>0</v>
      </c>
      <c r="AQ55" s="7">
        <v>2</v>
      </c>
      <c r="AR55" s="7">
        <v>4000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1</v>
      </c>
      <c r="BD55" s="7">
        <v>2400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798</v>
      </c>
      <c r="BM55" s="10">
        <v>30580</v>
      </c>
      <c r="BN55" s="14">
        <f t="shared" si="2"/>
        <v>29782</v>
      </c>
      <c r="BO55" s="15">
        <f t="shared" si="3"/>
        <v>20847.399999999998</v>
      </c>
    </row>
    <row r="56" spans="1:67" x14ac:dyDescent="0.3">
      <c r="A56" s="5" t="s">
        <v>56</v>
      </c>
      <c r="B56" s="5" t="s">
        <v>180</v>
      </c>
      <c r="C56" s="5">
        <v>464785</v>
      </c>
      <c r="D56" s="6"/>
      <c r="E56" s="5" t="s">
        <v>13</v>
      </c>
      <c r="F56" s="5" t="s">
        <v>48</v>
      </c>
      <c r="G56" s="5" t="s">
        <v>19</v>
      </c>
      <c r="H56" s="7" t="s">
        <v>21</v>
      </c>
      <c r="I56" s="7" t="s">
        <v>156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7</v>
      </c>
      <c r="AF56" s="8">
        <v>16900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1</v>
      </c>
      <c r="AR56" s="7">
        <v>2500</v>
      </c>
      <c r="AS56" s="7">
        <v>0</v>
      </c>
      <c r="AT56" s="7">
        <v>0</v>
      </c>
      <c r="AU56" s="7">
        <v>0</v>
      </c>
      <c r="AV56" s="7">
        <v>0</v>
      </c>
      <c r="AW56" s="7">
        <v>1</v>
      </c>
      <c r="AX56" s="7">
        <v>720</v>
      </c>
      <c r="AY56" s="7">
        <v>0</v>
      </c>
      <c r="AZ56" s="7">
        <v>0</v>
      </c>
      <c r="BA56" s="7">
        <v>0</v>
      </c>
      <c r="BB56" s="7">
        <v>0</v>
      </c>
      <c r="BC56" s="7">
        <v>1</v>
      </c>
      <c r="BD56" s="7">
        <v>3000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252</v>
      </c>
      <c r="BM56" s="10">
        <v>23120</v>
      </c>
      <c r="BN56" s="14">
        <f t="shared" si="2"/>
        <v>22868</v>
      </c>
      <c r="BO56" s="15">
        <f t="shared" si="3"/>
        <v>16007.599999999999</v>
      </c>
    </row>
    <row r="57" spans="1:67" x14ac:dyDescent="0.3">
      <c r="A57" s="5" t="s">
        <v>56</v>
      </c>
      <c r="B57" s="5" t="s">
        <v>17</v>
      </c>
      <c r="C57" s="5">
        <v>464786</v>
      </c>
      <c r="D57" s="6"/>
      <c r="E57" s="5" t="s">
        <v>13</v>
      </c>
      <c r="F57" s="5" t="s">
        <v>18</v>
      </c>
      <c r="G57" s="5" t="s">
        <v>19</v>
      </c>
      <c r="H57" s="7" t="s">
        <v>9</v>
      </c>
      <c r="I57" s="7" t="s">
        <v>20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5</v>
      </c>
      <c r="AF57" s="8">
        <v>6800</v>
      </c>
      <c r="AG57" s="7">
        <v>2000</v>
      </c>
      <c r="AH57" s="7">
        <v>0</v>
      </c>
      <c r="AI57" s="7">
        <v>0</v>
      </c>
      <c r="AJ57" s="7">
        <v>0</v>
      </c>
      <c r="AK57" s="7">
        <v>4</v>
      </c>
      <c r="AL57" s="7">
        <v>6000</v>
      </c>
      <c r="AM57" s="7">
        <v>3700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1</v>
      </c>
      <c r="BD57" s="7">
        <v>3000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1980</v>
      </c>
      <c r="BM57" s="10">
        <v>21500</v>
      </c>
      <c r="BN57" s="14">
        <f t="shared" si="2"/>
        <v>19520</v>
      </c>
      <c r="BO57" s="15">
        <f t="shared" si="3"/>
        <v>13664</v>
      </c>
    </row>
    <row r="58" spans="1:67" x14ac:dyDescent="0.3">
      <c r="A58" s="5" t="s">
        <v>56</v>
      </c>
      <c r="B58" s="5" t="s">
        <v>192</v>
      </c>
      <c r="C58" s="5">
        <v>459231</v>
      </c>
      <c r="D58" s="6"/>
      <c r="E58" s="5" t="s">
        <v>13</v>
      </c>
      <c r="F58" s="5" t="s">
        <v>193</v>
      </c>
      <c r="G58" s="5" t="s">
        <v>19</v>
      </c>
      <c r="H58" s="7" t="s">
        <v>21</v>
      </c>
      <c r="I58" s="7" t="s">
        <v>156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9</v>
      </c>
      <c r="AF58" s="7">
        <v>17700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8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2</v>
      </c>
      <c r="BD58" s="7">
        <v>2760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165.6</v>
      </c>
      <c r="BM58" s="10">
        <v>20460</v>
      </c>
      <c r="BN58" s="14">
        <f t="shared" si="2"/>
        <v>20294.400000000001</v>
      </c>
      <c r="BO58" s="15">
        <f t="shared" si="3"/>
        <v>14206.08</v>
      </c>
    </row>
    <row r="59" spans="1:67" x14ac:dyDescent="0.3">
      <c r="A59" s="5" t="s">
        <v>56</v>
      </c>
      <c r="B59" s="5" t="s">
        <v>50</v>
      </c>
      <c r="C59" s="5">
        <v>380954</v>
      </c>
      <c r="D59" s="6"/>
      <c r="E59" s="5" t="s">
        <v>13</v>
      </c>
      <c r="F59" s="5" t="s">
        <v>25</v>
      </c>
      <c r="G59" s="5" t="s">
        <v>15</v>
      </c>
      <c r="H59" s="7" t="s">
        <v>7</v>
      </c>
      <c r="I59" s="7" t="s">
        <v>51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20</v>
      </c>
      <c r="AC59" s="7">
        <v>18000</v>
      </c>
      <c r="AD59" s="7">
        <v>0</v>
      </c>
      <c r="AE59" s="7">
        <v>0</v>
      </c>
      <c r="AF59" s="8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18000</v>
      </c>
      <c r="BN59" s="14">
        <f t="shared" si="2"/>
        <v>18000</v>
      </c>
      <c r="BO59" s="15">
        <f t="shared" si="3"/>
        <v>12600</v>
      </c>
    </row>
    <row r="60" spans="1:67" x14ac:dyDescent="0.3">
      <c r="A60" s="5" t="s">
        <v>56</v>
      </c>
      <c r="B60" s="5" t="s">
        <v>181</v>
      </c>
      <c r="C60" s="5">
        <v>457674</v>
      </c>
      <c r="D60" s="6"/>
      <c r="E60" s="5" t="s">
        <v>13</v>
      </c>
      <c r="F60" s="5" t="s">
        <v>182</v>
      </c>
      <c r="G60" s="5" t="s">
        <v>19</v>
      </c>
      <c r="H60" s="7" t="s">
        <v>21</v>
      </c>
      <c r="I60" s="7" t="s">
        <v>156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7</v>
      </c>
      <c r="AF60" s="8">
        <v>13200</v>
      </c>
      <c r="AG60" s="7">
        <v>800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2</v>
      </c>
      <c r="AR60" s="7">
        <v>3800</v>
      </c>
      <c r="AS60" s="7">
        <v>200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18000</v>
      </c>
      <c r="BN60" s="14">
        <f t="shared" si="2"/>
        <v>18000</v>
      </c>
      <c r="BO60" s="15">
        <f t="shared" si="3"/>
        <v>12600</v>
      </c>
    </row>
    <row r="61" spans="1:67" x14ac:dyDescent="0.3">
      <c r="A61" s="5" t="s">
        <v>56</v>
      </c>
      <c r="B61" s="5" t="s">
        <v>167</v>
      </c>
      <c r="C61" s="5">
        <v>467565</v>
      </c>
      <c r="D61" s="6"/>
      <c r="E61" s="5" t="s">
        <v>13</v>
      </c>
      <c r="F61" s="5" t="s">
        <v>168</v>
      </c>
      <c r="G61" s="5" t="s">
        <v>19</v>
      </c>
      <c r="H61" s="7" t="s">
        <v>21</v>
      </c>
      <c r="I61" s="7" t="s">
        <v>159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6</v>
      </c>
      <c r="AF61" s="8">
        <v>10000</v>
      </c>
      <c r="AG61" s="7">
        <v>1200</v>
      </c>
      <c r="AH61" s="7">
        <v>0</v>
      </c>
      <c r="AI61" s="7">
        <v>0</v>
      </c>
      <c r="AJ61" s="7">
        <v>0</v>
      </c>
      <c r="AK61" s="7">
        <v>1</v>
      </c>
      <c r="AL61" s="7">
        <v>0</v>
      </c>
      <c r="AM61" s="7">
        <v>800</v>
      </c>
      <c r="AN61" s="7">
        <v>0</v>
      </c>
      <c r="AO61" s="7">
        <v>0</v>
      </c>
      <c r="AP61" s="7">
        <v>0</v>
      </c>
      <c r="AQ61" s="7">
        <v>2</v>
      </c>
      <c r="AR61" s="7">
        <v>4000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16000</v>
      </c>
      <c r="BN61" s="14">
        <f t="shared" si="2"/>
        <v>16000</v>
      </c>
      <c r="BO61" s="15">
        <f t="shared" si="3"/>
        <v>11200</v>
      </c>
    </row>
    <row r="62" spans="1:67" x14ac:dyDescent="0.3">
      <c r="A62" s="5" t="s">
        <v>56</v>
      </c>
      <c r="B62" s="5" t="s">
        <v>210</v>
      </c>
      <c r="C62" s="5">
        <v>483770</v>
      </c>
      <c r="D62" s="6"/>
      <c r="E62" s="5" t="s">
        <v>13</v>
      </c>
      <c r="F62" s="5" t="s">
        <v>36</v>
      </c>
      <c r="G62" s="5" t="s">
        <v>19</v>
      </c>
      <c r="H62" s="7" t="s">
        <v>21</v>
      </c>
      <c r="I62" s="7" t="s">
        <v>211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6</v>
      </c>
      <c r="AF62" s="8">
        <v>12400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1</v>
      </c>
      <c r="AR62" s="7">
        <v>2000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14400</v>
      </c>
      <c r="BN62" s="14">
        <f t="shared" si="2"/>
        <v>14400</v>
      </c>
      <c r="BO62" s="15">
        <f t="shared" si="3"/>
        <v>10080</v>
      </c>
    </row>
    <row r="63" spans="1:67" x14ac:dyDescent="0.3">
      <c r="A63" s="5" t="s">
        <v>56</v>
      </c>
      <c r="B63" s="5" t="s">
        <v>124</v>
      </c>
      <c r="C63" s="5">
        <v>477489</v>
      </c>
      <c r="D63" s="6"/>
      <c r="E63" s="5" t="s">
        <v>13</v>
      </c>
      <c r="F63" s="5" t="s">
        <v>125</v>
      </c>
      <c r="G63" s="5" t="s">
        <v>19</v>
      </c>
      <c r="H63" s="7" t="s">
        <v>21</v>
      </c>
      <c r="I63" s="7" t="s">
        <v>119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6</v>
      </c>
      <c r="AF63" s="8">
        <v>10000</v>
      </c>
      <c r="AG63" s="8">
        <v>200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2</v>
      </c>
      <c r="AR63" s="8">
        <v>3800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14000</v>
      </c>
      <c r="BN63" s="14">
        <f t="shared" si="2"/>
        <v>14000</v>
      </c>
      <c r="BO63" s="15">
        <f t="shared" si="3"/>
        <v>9800</v>
      </c>
    </row>
    <row r="64" spans="1:67" x14ac:dyDescent="0.3">
      <c r="A64" s="5" t="s">
        <v>56</v>
      </c>
      <c r="B64" s="5" t="s">
        <v>160</v>
      </c>
      <c r="C64" s="5">
        <v>483769</v>
      </c>
      <c r="D64" s="6"/>
      <c r="E64" s="5" t="s">
        <v>13</v>
      </c>
      <c r="F64" s="5" t="s">
        <v>151</v>
      </c>
      <c r="G64" s="5" t="s">
        <v>19</v>
      </c>
      <c r="H64" s="7" t="s">
        <v>8</v>
      </c>
      <c r="I64" s="7" t="s">
        <v>161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2</v>
      </c>
      <c r="AF64" s="8">
        <v>5000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2</v>
      </c>
      <c r="AR64" s="8">
        <v>5000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1</v>
      </c>
      <c r="BD64" s="7">
        <v>3000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180</v>
      </c>
      <c r="BM64" s="10">
        <v>13000</v>
      </c>
      <c r="BN64" s="14">
        <f t="shared" si="2"/>
        <v>12820</v>
      </c>
      <c r="BO64" s="15">
        <f t="shared" si="3"/>
        <v>8974</v>
      </c>
    </row>
    <row r="65" spans="1:67" x14ac:dyDescent="0.3">
      <c r="A65" s="5" t="s">
        <v>56</v>
      </c>
      <c r="B65" s="5" t="s">
        <v>212</v>
      </c>
      <c r="C65" s="5">
        <v>474768</v>
      </c>
      <c r="D65" s="6"/>
      <c r="E65" s="5" t="s">
        <v>13</v>
      </c>
      <c r="F65" s="5" t="s">
        <v>115</v>
      </c>
      <c r="G65" s="5" t="s">
        <v>19</v>
      </c>
      <c r="H65" s="7" t="s">
        <v>21</v>
      </c>
      <c r="I65" s="7" t="s">
        <v>213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8">
        <v>0</v>
      </c>
      <c r="AD65" s="7">
        <v>0</v>
      </c>
      <c r="AE65" s="7">
        <v>2</v>
      </c>
      <c r="AF65" s="7">
        <v>7000</v>
      </c>
      <c r="AG65" s="7">
        <v>0</v>
      </c>
      <c r="AH65" s="7">
        <v>0</v>
      </c>
      <c r="AI65" s="7">
        <v>0</v>
      </c>
      <c r="AJ65" s="7">
        <v>0</v>
      </c>
      <c r="AK65" s="7">
        <v>1</v>
      </c>
      <c r="AL65" s="7">
        <v>4200</v>
      </c>
      <c r="AM65" s="7">
        <v>0</v>
      </c>
      <c r="AN65" s="7">
        <v>0</v>
      </c>
      <c r="AO65" s="8">
        <v>0</v>
      </c>
      <c r="AP65" s="7">
        <v>0</v>
      </c>
      <c r="AQ65" s="7">
        <v>0</v>
      </c>
      <c r="AR65" s="8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1260</v>
      </c>
      <c r="BM65" s="10">
        <v>11200</v>
      </c>
      <c r="BN65" s="14">
        <f t="shared" si="2"/>
        <v>9940</v>
      </c>
      <c r="BO65" s="15">
        <f t="shared" si="3"/>
        <v>6958</v>
      </c>
    </row>
    <row r="66" spans="1:67" x14ac:dyDescent="0.3">
      <c r="A66" s="5" t="s">
        <v>56</v>
      </c>
      <c r="B66" s="5" t="s">
        <v>214</v>
      </c>
      <c r="C66" s="5">
        <v>472519</v>
      </c>
      <c r="D66" s="6"/>
      <c r="E66" s="5" t="s">
        <v>13</v>
      </c>
      <c r="F66" s="5" t="s">
        <v>215</v>
      </c>
      <c r="G66" s="5" t="s">
        <v>19</v>
      </c>
      <c r="H66" s="7" t="s">
        <v>7</v>
      </c>
      <c r="I66" s="7" t="s">
        <v>216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3</v>
      </c>
      <c r="AF66" s="8">
        <v>8600</v>
      </c>
      <c r="AG66" s="8">
        <v>0</v>
      </c>
      <c r="AH66" s="7">
        <v>0</v>
      </c>
      <c r="AI66" s="7">
        <v>0</v>
      </c>
      <c r="AJ66" s="7">
        <v>0</v>
      </c>
      <c r="AK66" s="7">
        <v>1</v>
      </c>
      <c r="AL66" s="7">
        <v>0</v>
      </c>
      <c r="AM66" s="7">
        <v>700</v>
      </c>
      <c r="AN66" s="7">
        <v>0</v>
      </c>
      <c r="AO66" s="7">
        <v>0</v>
      </c>
      <c r="AP66" s="7">
        <v>0</v>
      </c>
      <c r="AQ66" s="7">
        <v>1</v>
      </c>
      <c r="AR66" s="8">
        <v>1500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10800</v>
      </c>
      <c r="BN66" s="14">
        <f t="shared" si="2"/>
        <v>10800</v>
      </c>
      <c r="BO66" s="15">
        <f t="shared" si="3"/>
        <v>7559.9999999999991</v>
      </c>
    </row>
    <row r="67" spans="1:67" x14ac:dyDescent="0.3">
      <c r="A67" s="5" t="s">
        <v>56</v>
      </c>
      <c r="B67" s="5" t="s">
        <v>31</v>
      </c>
      <c r="C67" s="5">
        <v>457533</v>
      </c>
      <c r="D67" s="6"/>
      <c r="E67" s="5" t="s">
        <v>13</v>
      </c>
      <c r="F67" s="5" t="s">
        <v>32</v>
      </c>
      <c r="G67" s="5" t="s">
        <v>19</v>
      </c>
      <c r="H67" s="7" t="s">
        <v>21</v>
      </c>
      <c r="I67" s="7" t="s">
        <v>33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2</v>
      </c>
      <c r="AF67" s="8">
        <v>5000</v>
      </c>
      <c r="AG67" s="8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2</v>
      </c>
      <c r="AR67" s="8">
        <v>5000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10000</v>
      </c>
      <c r="BN67" s="14">
        <f t="shared" si="2"/>
        <v>10000</v>
      </c>
      <c r="BO67" s="15">
        <f t="shared" si="3"/>
        <v>7000</v>
      </c>
    </row>
    <row r="68" spans="1:67" x14ac:dyDescent="0.3">
      <c r="A68" s="5" t="s">
        <v>56</v>
      </c>
      <c r="B68" s="5" t="s">
        <v>188</v>
      </c>
      <c r="C68" s="5">
        <v>461359</v>
      </c>
      <c r="D68" s="6"/>
      <c r="E68" s="5" t="s">
        <v>13</v>
      </c>
      <c r="F68" s="5" t="s">
        <v>189</v>
      </c>
      <c r="G68" s="5" t="s">
        <v>19</v>
      </c>
      <c r="H68" s="7" t="s">
        <v>21</v>
      </c>
      <c r="I68" s="7" t="s">
        <v>156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5</v>
      </c>
      <c r="AF68" s="8">
        <v>9200</v>
      </c>
      <c r="AG68" s="8">
        <v>800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8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10000</v>
      </c>
      <c r="BN68" s="14">
        <f t="shared" si="2"/>
        <v>10000</v>
      </c>
      <c r="BO68" s="15">
        <f t="shared" si="3"/>
        <v>7000</v>
      </c>
    </row>
    <row r="69" spans="1:67" x14ac:dyDescent="0.3">
      <c r="A69" s="5" t="s">
        <v>56</v>
      </c>
      <c r="B69" s="5" t="s">
        <v>165</v>
      </c>
      <c r="C69" s="5">
        <v>465768</v>
      </c>
      <c r="D69" s="6"/>
      <c r="E69" s="5" t="s">
        <v>13</v>
      </c>
      <c r="F69" s="5" t="s">
        <v>44</v>
      </c>
      <c r="G69" s="5" t="s">
        <v>19</v>
      </c>
      <c r="H69" s="7" t="s">
        <v>21</v>
      </c>
      <c r="I69" s="7" t="s">
        <v>166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4</v>
      </c>
      <c r="AF69" s="8">
        <v>10000</v>
      </c>
      <c r="AG69" s="8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8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10000</v>
      </c>
      <c r="BN69" s="14">
        <f t="shared" si="2"/>
        <v>10000</v>
      </c>
      <c r="BO69" s="15">
        <f t="shared" si="3"/>
        <v>7000</v>
      </c>
    </row>
    <row r="70" spans="1:67" x14ac:dyDescent="0.3">
      <c r="A70" s="5" t="s">
        <v>56</v>
      </c>
      <c r="B70" s="5" t="s">
        <v>162</v>
      </c>
      <c r="C70" s="5">
        <v>467557</v>
      </c>
      <c r="D70" s="6"/>
      <c r="E70" s="5" t="s">
        <v>13</v>
      </c>
      <c r="F70" s="5" t="s">
        <v>163</v>
      </c>
      <c r="G70" s="5" t="s">
        <v>19</v>
      </c>
      <c r="H70" s="7" t="s">
        <v>21</v>
      </c>
      <c r="I70" s="7" t="s">
        <v>164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3</v>
      </c>
      <c r="AF70" s="8">
        <v>6000</v>
      </c>
      <c r="AG70" s="8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1</v>
      </c>
      <c r="AR70" s="7">
        <v>1800</v>
      </c>
      <c r="AS70" s="7">
        <v>200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8000</v>
      </c>
      <c r="BN70" s="14">
        <f t="shared" si="2"/>
        <v>8000</v>
      </c>
      <c r="BO70" s="15">
        <f t="shared" si="3"/>
        <v>5600</v>
      </c>
    </row>
    <row r="71" spans="1:67" x14ac:dyDescent="0.3">
      <c r="A71" s="5" t="s">
        <v>56</v>
      </c>
      <c r="B71" s="5" t="s">
        <v>217</v>
      </c>
      <c r="C71" s="5">
        <v>467552</v>
      </c>
      <c r="D71" s="6"/>
      <c r="E71" s="5" t="s">
        <v>13</v>
      </c>
      <c r="F71" s="5" t="s">
        <v>218</v>
      </c>
      <c r="G71" s="5" t="s">
        <v>19</v>
      </c>
      <c r="H71" s="7" t="s">
        <v>21</v>
      </c>
      <c r="I71" s="7" t="s">
        <v>164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2</v>
      </c>
      <c r="AF71" s="8">
        <v>6400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6400</v>
      </c>
      <c r="BN71" s="14">
        <f t="shared" si="2"/>
        <v>6400</v>
      </c>
      <c r="BO71" s="15">
        <f t="shared" si="3"/>
        <v>4480</v>
      </c>
    </row>
    <row r="72" spans="1:67" x14ac:dyDescent="0.3">
      <c r="A72" s="5" t="s">
        <v>56</v>
      </c>
      <c r="B72" s="5" t="s">
        <v>219</v>
      </c>
      <c r="C72" s="5">
        <v>387161</v>
      </c>
      <c r="D72" s="6"/>
      <c r="E72" s="5" t="s">
        <v>13</v>
      </c>
      <c r="F72" s="5" t="s">
        <v>220</v>
      </c>
      <c r="G72" s="5" t="s">
        <v>221</v>
      </c>
      <c r="H72" s="7" t="s">
        <v>21</v>
      </c>
      <c r="I72" s="7" t="s">
        <v>222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2</v>
      </c>
      <c r="AF72" s="8">
        <v>6400</v>
      </c>
      <c r="AG72" s="8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6400</v>
      </c>
      <c r="BN72" s="14">
        <f t="shared" si="2"/>
        <v>6400</v>
      </c>
      <c r="BO72" s="15">
        <f t="shared" si="3"/>
        <v>4480</v>
      </c>
    </row>
    <row r="73" spans="1:67" x14ac:dyDescent="0.3">
      <c r="A73" s="5" t="s">
        <v>56</v>
      </c>
      <c r="B73" s="5" t="s">
        <v>177</v>
      </c>
      <c r="C73" s="5">
        <v>468591</v>
      </c>
      <c r="D73" s="6"/>
      <c r="E73" s="5" t="s">
        <v>13</v>
      </c>
      <c r="F73" s="5" t="s">
        <v>178</v>
      </c>
      <c r="G73" s="5" t="s">
        <v>19</v>
      </c>
      <c r="H73" s="7" t="s">
        <v>21</v>
      </c>
      <c r="I73" s="7" t="s">
        <v>171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2</v>
      </c>
      <c r="AF73" s="8">
        <v>4000</v>
      </c>
      <c r="AG73" s="8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1</v>
      </c>
      <c r="BD73" s="7">
        <v>2400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144</v>
      </c>
      <c r="BM73" s="10">
        <v>6400</v>
      </c>
      <c r="BN73" s="14">
        <f t="shared" si="2"/>
        <v>6256</v>
      </c>
      <c r="BO73" s="15">
        <f t="shared" si="3"/>
        <v>4379.2</v>
      </c>
    </row>
    <row r="74" spans="1:67" x14ac:dyDescent="0.3">
      <c r="A74" s="5" t="s">
        <v>56</v>
      </c>
      <c r="B74" s="5" t="s">
        <v>186</v>
      </c>
      <c r="C74" s="5">
        <v>457672</v>
      </c>
      <c r="D74" s="6"/>
      <c r="E74" s="5" t="s">
        <v>13</v>
      </c>
      <c r="F74" s="5" t="s">
        <v>187</v>
      </c>
      <c r="G74" s="5" t="s">
        <v>19</v>
      </c>
      <c r="H74" s="7" t="s">
        <v>21</v>
      </c>
      <c r="I74" s="7" t="s">
        <v>156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3</v>
      </c>
      <c r="AF74" s="8">
        <v>4400</v>
      </c>
      <c r="AG74" s="7">
        <v>0</v>
      </c>
      <c r="AH74" s="7">
        <v>0</v>
      </c>
      <c r="AI74" s="7">
        <v>0</v>
      </c>
      <c r="AJ74" s="7">
        <v>0</v>
      </c>
      <c r="AK74" s="7">
        <v>1</v>
      </c>
      <c r="AL74" s="7">
        <v>1920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576</v>
      </c>
      <c r="BM74" s="10">
        <v>6320</v>
      </c>
      <c r="BN74" s="14">
        <f t="shared" si="2"/>
        <v>5744</v>
      </c>
      <c r="BO74" s="15">
        <f t="shared" si="3"/>
        <v>4020.7999999999997</v>
      </c>
    </row>
    <row r="75" spans="1:67" x14ac:dyDescent="0.3">
      <c r="A75" s="5" t="s">
        <v>56</v>
      </c>
      <c r="B75" s="5" t="s">
        <v>47</v>
      </c>
      <c r="C75" s="5">
        <v>472520</v>
      </c>
      <c r="D75" s="6"/>
      <c r="E75" s="5" t="s">
        <v>13</v>
      </c>
      <c r="F75" s="5" t="s">
        <v>48</v>
      </c>
      <c r="G75" s="5" t="s">
        <v>19</v>
      </c>
      <c r="H75" s="7" t="s">
        <v>21</v>
      </c>
      <c r="I75" s="7" t="s">
        <v>49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2</v>
      </c>
      <c r="AF75" s="7">
        <v>6000</v>
      </c>
      <c r="AG75" s="8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8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6000</v>
      </c>
      <c r="BN75" s="14">
        <f t="shared" si="2"/>
        <v>6000</v>
      </c>
      <c r="BO75" s="15">
        <f t="shared" si="3"/>
        <v>4200</v>
      </c>
    </row>
    <row r="76" spans="1:67" x14ac:dyDescent="0.3">
      <c r="A76" s="5" t="s">
        <v>56</v>
      </c>
      <c r="B76" s="5" t="s">
        <v>126</v>
      </c>
      <c r="C76" s="5">
        <v>459229</v>
      </c>
      <c r="D76" s="6"/>
      <c r="E76" s="5" t="s">
        <v>13</v>
      </c>
      <c r="F76" s="5" t="s">
        <v>115</v>
      </c>
      <c r="G76" s="5" t="s">
        <v>19</v>
      </c>
      <c r="H76" s="7" t="s">
        <v>21</v>
      </c>
      <c r="I76" s="7" t="s">
        <v>127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2</v>
      </c>
      <c r="AF76" s="8">
        <v>6000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6000</v>
      </c>
      <c r="BN76" s="14">
        <f t="shared" si="2"/>
        <v>6000</v>
      </c>
      <c r="BO76" s="15">
        <f t="shared" si="3"/>
        <v>4200</v>
      </c>
    </row>
    <row r="77" spans="1:67" x14ac:dyDescent="0.3">
      <c r="A77" s="5" t="s">
        <v>56</v>
      </c>
      <c r="B77" s="5" t="s">
        <v>190</v>
      </c>
      <c r="C77" s="5">
        <v>467563</v>
      </c>
      <c r="D77" s="6"/>
      <c r="E77" s="5" t="s">
        <v>13</v>
      </c>
      <c r="F77" s="5" t="s">
        <v>191</v>
      </c>
      <c r="G77" s="5" t="s">
        <v>19</v>
      </c>
      <c r="H77" s="7" t="s">
        <v>21</v>
      </c>
      <c r="I77" s="7" t="s">
        <v>164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3</v>
      </c>
      <c r="AF77" s="8">
        <v>6000</v>
      </c>
      <c r="AG77" s="8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8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6000</v>
      </c>
      <c r="BN77" s="14">
        <f t="shared" si="2"/>
        <v>6000</v>
      </c>
      <c r="BO77" s="15">
        <f t="shared" si="3"/>
        <v>4200</v>
      </c>
    </row>
    <row r="78" spans="1:67" x14ac:dyDescent="0.3">
      <c r="A78" s="5" t="s">
        <v>56</v>
      </c>
      <c r="B78" s="5" t="s">
        <v>223</v>
      </c>
      <c r="C78" s="5">
        <v>457068</v>
      </c>
      <c r="D78" s="6"/>
      <c r="E78" s="5" t="s">
        <v>13</v>
      </c>
      <c r="F78" s="5" t="s">
        <v>158</v>
      </c>
      <c r="G78" s="5" t="s">
        <v>19</v>
      </c>
      <c r="H78" s="7" t="s">
        <v>21</v>
      </c>
      <c r="I78" s="7" t="s">
        <v>224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2</v>
      </c>
      <c r="AF78" s="8">
        <v>3100</v>
      </c>
      <c r="AG78" s="7">
        <v>1900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5000</v>
      </c>
      <c r="BN78" s="14">
        <f t="shared" si="2"/>
        <v>5000</v>
      </c>
      <c r="BO78" s="15">
        <f t="shared" si="3"/>
        <v>3500</v>
      </c>
    </row>
    <row r="79" spans="1:67" ht="19.5" x14ac:dyDescent="0.3">
      <c r="A79" s="5" t="s">
        <v>56</v>
      </c>
      <c r="B79" s="5" t="s">
        <v>136</v>
      </c>
      <c r="C79" s="5">
        <v>468582</v>
      </c>
      <c r="D79" s="6"/>
      <c r="E79" s="5" t="s">
        <v>13</v>
      </c>
      <c r="F79" s="5" t="s">
        <v>137</v>
      </c>
      <c r="G79" s="5" t="s">
        <v>19</v>
      </c>
      <c r="H79" s="7" t="s">
        <v>9</v>
      </c>
      <c r="I79" s="7" t="s">
        <v>138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2</v>
      </c>
      <c r="AF79" s="8">
        <v>4200</v>
      </c>
      <c r="AG79" s="8">
        <v>800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5000</v>
      </c>
      <c r="BN79" s="14">
        <f t="shared" si="2"/>
        <v>5000</v>
      </c>
      <c r="BO79" s="15">
        <f t="shared" si="3"/>
        <v>3500</v>
      </c>
    </row>
    <row r="80" spans="1:67" x14ac:dyDescent="0.3">
      <c r="A80" s="5" t="s">
        <v>56</v>
      </c>
      <c r="B80" s="5" t="s">
        <v>225</v>
      </c>
      <c r="C80" s="5">
        <v>468579</v>
      </c>
      <c r="D80" s="6"/>
      <c r="E80" s="5" t="s">
        <v>13</v>
      </c>
      <c r="F80" s="5" t="s">
        <v>189</v>
      </c>
      <c r="G80" s="5" t="s">
        <v>19</v>
      </c>
      <c r="H80" s="7" t="s">
        <v>21</v>
      </c>
      <c r="I80" s="7" t="s">
        <v>159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2</v>
      </c>
      <c r="AF80" s="7">
        <v>5000</v>
      </c>
      <c r="AG80" s="8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5000</v>
      </c>
      <c r="BN80" s="14">
        <f t="shared" si="2"/>
        <v>5000</v>
      </c>
      <c r="BO80" s="15">
        <f t="shared" si="3"/>
        <v>3500</v>
      </c>
    </row>
    <row r="81" spans="1:67" x14ac:dyDescent="0.3">
      <c r="A81" s="5" t="s">
        <v>56</v>
      </c>
      <c r="B81" s="5" t="s">
        <v>226</v>
      </c>
      <c r="C81" s="5">
        <v>414536</v>
      </c>
      <c r="D81" s="6"/>
      <c r="E81" s="5" t="s">
        <v>13</v>
      </c>
      <c r="F81" s="5" t="s">
        <v>141</v>
      </c>
      <c r="G81" s="5" t="s">
        <v>23</v>
      </c>
      <c r="H81" s="7" t="s">
        <v>21</v>
      </c>
      <c r="I81" s="7" t="s">
        <v>227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8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1</v>
      </c>
      <c r="BD81" s="7">
        <v>3600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216</v>
      </c>
      <c r="BM81" s="10">
        <v>3600</v>
      </c>
      <c r="BN81" s="14">
        <f t="shared" si="2"/>
        <v>3384</v>
      </c>
      <c r="BO81" s="15">
        <f t="shared" si="3"/>
        <v>2368.7999999999997</v>
      </c>
    </row>
    <row r="82" spans="1:67" x14ac:dyDescent="0.3">
      <c r="A82" s="5" t="s">
        <v>56</v>
      </c>
      <c r="B82" s="5" t="s">
        <v>34</v>
      </c>
      <c r="C82" s="5">
        <v>395231</v>
      </c>
      <c r="D82" s="6"/>
      <c r="E82" s="5" t="s">
        <v>13</v>
      </c>
      <c r="F82" s="5" t="s">
        <v>22</v>
      </c>
      <c r="G82" s="5" t="s">
        <v>23</v>
      </c>
      <c r="H82" s="7" t="s">
        <v>21</v>
      </c>
      <c r="I82" s="7" t="s">
        <v>35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</v>
      </c>
      <c r="AF82" s="8">
        <v>3500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3500</v>
      </c>
      <c r="BN82" s="14">
        <f t="shared" si="2"/>
        <v>3500</v>
      </c>
      <c r="BO82" s="15">
        <f t="shared" si="3"/>
        <v>2450</v>
      </c>
    </row>
    <row r="83" spans="1:67" x14ac:dyDescent="0.3">
      <c r="A83" s="5" t="s">
        <v>56</v>
      </c>
      <c r="B83" s="5" t="s">
        <v>228</v>
      </c>
      <c r="C83" s="5">
        <v>414543</v>
      </c>
      <c r="D83" s="6"/>
      <c r="E83" s="5" t="s">
        <v>13</v>
      </c>
      <c r="F83" s="5" t="s">
        <v>229</v>
      </c>
      <c r="G83" s="5" t="s">
        <v>221</v>
      </c>
      <c r="H83" s="7" t="s">
        <v>21</v>
      </c>
      <c r="I83" s="7" t="s">
        <v>230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</v>
      </c>
      <c r="AF83" s="8">
        <v>3400</v>
      </c>
      <c r="AG83" s="8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3400</v>
      </c>
      <c r="BN83" s="14">
        <f t="shared" si="2"/>
        <v>3400</v>
      </c>
      <c r="BO83" s="15">
        <f t="shared" si="3"/>
        <v>2380</v>
      </c>
    </row>
    <row r="84" spans="1:67" x14ac:dyDescent="0.3">
      <c r="A84" s="5" t="s">
        <v>56</v>
      </c>
      <c r="B84" s="5" t="s">
        <v>231</v>
      </c>
      <c r="C84" s="5">
        <v>335136</v>
      </c>
      <c r="D84" s="6"/>
      <c r="E84" s="5" t="s">
        <v>13</v>
      </c>
      <c r="F84" s="5" t="s">
        <v>145</v>
      </c>
      <c r="G84" s="5" t="s">
        <v>23</v>
      </c>
      <c r="H84" s="7" t="s">
        <v>21</v>
      </c>
      <c r="I84" s="7" t="s">
        <v>232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</v>
      </c>
      <c r="AF84" s="7">
        <v>3000</v>
      </c>
      <c r="AG84" s="8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8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3000</v>
      </c>
      <c r="BN84" s="14">
        <f t="shared" si="2"/>
        <v>3000</v>
      </c>
      <c r="BO84" s="15">
        <f t="shared" si="3"/>
        <v>2100</v>
      </c>
    </row>
    <row r="85" spans="1:67" x14ac:dyDescent="0.3">
      <c r="A85" s="5" t="s">
        <v>56</v>
      </c>
      <c r="B85" s="5" t="s">
        <v>147</v>
      </c>
      <c r="C85" s="5">
        <v>442667</v>
      </c>
      <c r="D85" s="6"/>
      <c r="E85" s="5" t="s">
        <v>13</v>
      </c>
      <c r="F85" s="5" t="s">
        <v>148</v>
      </c>
      <c r="G85" s="5" t="s">
        <v>23</v>
      </c>
      <c r="H85" s="7" t="s">
        <v>21</v>
      </c>
      <c r="I85" s="7" t="s">
        <v>149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1</v>
      </c>
      <c r="AF85" s="8">
        <v>3000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3000</v>
      </c>
      <c r="BN85" s="14">
        <f t="shared" si="2"/>
        <v>3000</v>
      </c>
      <c r="BO85" s="15">
        <f t="shared" si="3"/>
        <v>2100</v>
      </c>
    </row>
    <row r="86" spans="1:67" x14ac:dyDescent="0.3">
      <c r="A86" s="5" t="s">
        <v>56</v>
      </c>
      <c r="B86" s="5" t="s">
        <v>233</v>
      </c>
      <c r="C86" s="5">
        <v>468589</v>
      </c>
      <c r="D86" s="6"/>
      <c r="E86" s="5" t="s">
        <v>13</v>
      </c>
      <c r="F86" s="5" t="s">
        <v>234</v>
      </c>
      <c r="G86" s="5" t="s">
        <v>19</v>
      </c>
      <c r="H86" s="7" t="s">
        <v>9</v>
      </c>
      <c r="I86" s="7" t="s">
        <v>171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8">
        <v>0</v>
      </c>
      <c r="AD86" s="7">
        <v>0</v>
      </c>
      <c r="AE86" s="7">
        <v>1</v>
      </c>
      <c r="AF86" s="7">
        <v>2500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2500</v>
      </c>
      <c r="BN86" s="14">
        <f t="shared" si="2"/>
        <v>2500</v>
      </c>
      <c r="BO86" s="15">
        <f t="shared" si="3"/>
        <v>1750</v>
      </c>
    </row>
    <row r="87" spans="1:67" x14ac:dyDescent="0.3">
      <c r="A87" s="5" t="s">
        <v>56</v>
      </c>
      <c r="B87" s="5" t="s">
        <v>150</v>
      </c>
      <c r="C87" s="5">
        <v>464792</v>
      </c>
      <c r="D87" s="6"/>
      <c r="E87" s="5" t="s">
        <v>13</v>
      </c>
      <c r="F87" s="5" t="s">
        <v>151</v>
      </c>
      <c r="G87" s="5" t="s">
        <v>19</v>
      </c>
      <c r="H87" s="7" t="s">
        <v>21</v>
      </c>
      <c r="I87" s="7" t="s">
        <v>152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8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1</v>
      </c>
      <c r="AR87" s="7">
        <v>2500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0">
        <v>2500</v>
      </c>
      <c r="BN87" s="14">
        <f t="shared" si="2"/>
        <v>2500</v>
      </c>
      <c r="BO87" s="15">
        <f t="shared" si="3"/>
        <v>1750</v>
      </c>
    </row>
    <row r="88" spans="1:67" x14ac:dyDescent="0.3">
      <c r="A88" s="5" t="s">
        <v>56</v>
      </c>
      <c r="B88" s="5" t="s">
        <v>142</v>
      </c>
      <c r="C88" s="5">
        <v>472518</v>
      </c>
      <c r="D88" s="6"/>
      <c r="E88" s="5" t="s">
        <v>13</v>
      </c>
      <c r="F88" s="5" t="s">
        <v>143</v>
      </c>
      <c r="G88" s="5" t="s">
        <v>19</v>
      </c>
      <c r="H88" s="7" t="s">
        <v>21</v>
      </c>
      <c r="I88" s="7" t="s">
        <v>144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8">
        <v>0</v>
      </c>
      <c r="AH88" s="7">
        <v>0</v>
      </c>
      <c r="AI88" s="7">
        <v>0</v>
      </c>
      <c r="AJ88" s="7">
        <v>0</v>
      </c>
      <c r="AK88" s="7">
        <v>1</v>
      </c>
      <c r="AL88" s="7">
        <v>0</v>
      </c>
      <c r="AM88" s="7">
        <v>2500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2500</v>
      </c>
      <c r="BN88" s="14">
        <f t="shared" si="2"/>
        <v>2500</v>
      </c>
      <c r="BO88" s="15">
        <f t="shared" si="3"/>
        <v>1750</v>
      </c>
    </row>
    <row r="89" spans="1:67" x14ac:dyDescent="0.3">
      <c r="A89" s="5" t="s">
        <v>56</v>
      </c>
      <c r="B89" s="5" t="s">
        <v>29</v>
      </c>
      <c r="C89" s="5">
        <v>461347</v>
      </c>
      <c r="D89" s="6"/>
      <c r="E89" s="5" t="s">
        <v>13</v>
      </c>
      <c r="F89" s="5" t="s">
        <v>24</v>
      </c>
      <c r="G89" s="5" t="s">
        <v>19</v>
      </c>
      <c r="H89" s="7" t="s">
        <v>21</v>
      </c>
      <c r="I89" s="7" t="s">
        <v>30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</v>
      </c>
      <c r="AF89" s="8">
        <v>2000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0">
        <v>2000</v>
      </c>
      <c r="BN89" s="14">
        <f t="shared" si="2"/>
        <v>2000</v>
      </c>
      <c r="BO89" s="15">
        <f t="shared" si="3"/>
        <v>1400</v>
      </c>
    </row>
    <row r="90" spans="1:67" x14ac:dyDescent="0.3">
      <c r="A90" s="5" t="s">
        <v>56</v>
      </c>
      <c r="B90" s="5" t="s">
        <v>183</v>
      </c>
      <c r="C90" s="5">
        <v>467564</v>
      </c>
      <c r="D90" s="6"/>
      <c r="E90" s="5" t="s">
        <v>13</v>
      </c>
      <c r="F90" s="5" t="s">
        <v>184</v>
      </c>
      <c r="G90" s="5" t="s">
        <v>19</v>
      </c>
      <c r="H90" s="7" t="s">
        <v>21</v>
      </c>
      <c r="I90" s="7" t="s">
        <v>185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8">
        <v>0</v>
      </c>
      <c r="AG90" s="7">
        <v>0</v>
      </c>
      <c r="AH90" s="7">
        <v>0</v>
      </c>
      <c r="AI90" s="7">
        <v>0</v>
      </c>
      <c r="AJ90" s="7">
        <v>0</v>
      </c>
      <c r="AK90" s="7">
        <v>1</v>
      </c>
      <c r="AL90" s="7">
        <v>0</v>
      </c>
      <c r="AM90" s="7">
        <v>2000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2000</v>
      </c>
      <c r="BN90" s="14">
        <f t="shared" si="2"/>
        <v>2000</v>
      </c>
      <c r="BO90" s="15">
        <f t="shared" si="3"/>
        <v>1400</v>
      </c>
    </row>
    <row r="91" spans="1:67" x14ac:dyDescent="0.3">
      <c r="A91" s="5" t="s">
        <v>56</v>
      </c>
      <c r="B91" s="5" t="s">
        <v>235</v>
      </c>
      <c r="C91" s="5">
        <v>464782</v>
      </c>
      <c r="D91" s="6"/>
      <c r="E91" s="5" t="s">
        <v>13</v>
      </c>
      <c r="F91" s="5" t="s">
        <v>46</v>
      </c>
      <c r="G91" s="5" t="s">
        <v>19</v>
      </c>
      <c r="H91" s="7" t="s">
        <v>21</v>
      </c>
      <c r="I91" s="7" t="s">
        <v>236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</v>
      </c>
      <c r="AF91" s="7">
        <v>2000</v>
      </c>
      <c r="AG91" s="8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2000</v>
      </c>
      <c r="BN91" s="14">
        <f t="shared" ref="BN91:BN95" si="4">BM91-BL91</f>
        <v>2000</v>
      </c>
      <c r="BO91" s="15">
        <f t="shared" ref="BO91:BO95" si="5">BN91*70%</f>
        <v>1400</v>
      </c>
    </row>
    <row r="92" spans="1:67" x14ac:dyDescent="0.3">
      <c r="A92" s="5" t="s">
        <v>56</v>
      </c>
      <c r="B92" s="5" t="s">
        <v>153</v>
      </c>
      <c r="C92" s="5">
        <v>324393</v>
      </c>
      <c r="D92" s="6"/>
      <c r="E92" s="5" t="s">
        <v>13</v>
      </c>
      <c r="F92" s="5" t="s">
        <v>146</v>
      </c>
      <c r="G92" s="5" t="s">
        <v>128</v>
      </c>
      <c r="H92" s="7" t="s">
        <v>21</v>
      </c>
      <c r="I92" s="7" t="s">
        <v>154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8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1</v>
      </c>
      <c r="BD92" s="7">
        <v>1200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72</v>
      </c>
      <c r="BM92" s="10">
        <v>1200</v>
      </c>
      <c r="BN92" s="14">
        <f t="shared" si="4"/>
        <v>1128</v>
      </c>
      <c r="BO92" s="15">
        <f t="shared" si="5"/>
        <v>789.59999999999991</v>
      </c>
    </row>
    <row r="93" spans="1:67" x14ac:dyDescent="0.3">
      <c r="A93" s="5" t="s">
        <v>56</v>
      </c>
      <c r="B93" s="5" t="s">
        <v>237</v>
      </c>
      <c r="C93" s="5">
        <v>414537</v>
      </c>
      <c r="D93" s="6"/>
      <c r="E93" s="5" t="s">
        <v>13</v>
      </c>
      <c r="F93" s="5" t="s">
        <v>141</v>
      </c>
      <c r="G93" s="5" t="s">
        <v>23</v>
      </c>
      <c r="H93" s="7" t="s">
        <v>21</v>
      </c>
      <c r="I93" s="7" t="s">
        <v>227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8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1</v>
      </c>
      <c r="BD93" s="7">
        <v>600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36</v>
      </c>
      <c r="BM93" s="10">
        <v>600</v>
      </c>
      <c r="BN93" s="14">
        <f t="shared" si="4"/>
        <v>564</v>
      </c>
      <c r="BO93" s="15">
        <f t="shared" si="5"/>
        <v>394.79999999999995</v>
      </c>
    </row>
    <row r="94" spans="1:67" x14ac:dyDescent="0.3">
      <c r="A94" s="5" t="s">
        <v>56</v>
      </c>
      <c r="B94" s="5" t="s">
        <v>37</v>
      </c>
      <c r="C94" s="5">
        <v>395237</v>
      </c>
      <c r="D94" s="6"/>
      <c r="E94" s="5" t="s">
        <v>13</v>
      </c>
      <c r="F94" s="5" t="s">
        <v>22</v>
      </c>
      <c r="G94" s="5" t="s">
        <v>23</v>
      </c>
      <c r="H94" s="7" t="s">
        <v>21</v>
      </c>
      <c r="I94" s="7" t="s">
        <v>35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</v>
      </c>
      <c r="AF94" s="8">
        <v>200</v>
      </c>
      <c r="AG94" s="8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1</v>
      </c>
      <c r="AR94" s="7">
        <v>200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10">
        <v>400</v>
      </c>
      <c r="BN94" s="14">
        <f t="shared" si="4"/>
        <v>400</v>
      </c>
      <c r="BO94" s="15">
        <f t="shared" si="5"/>
        <v>280</v>
      </c>
    </row>
    <row r="95" spans="1:67" x14ac:dyDescent="0.3">
      <c r="A95" s="5" t="s">
        <v>56</v>
      </c>
      <c r="B95" s="5" t="s">
        <v>16</v>
      </c>
      <c r="C95" s="5">
        <v>451051</v>
      </c>
      <c r="D95" s="6"/>
      <c r="E95" s="5" t="s">
        <v>13</v>
      </c>
      <c r="F95" s="5" t="s">
        <v>14</v>
      </c>
      <c r="G95" s="5" t="s">
        <v>15</v>
      </c>
      <c r="H95" s="7" t="s">
        <v>9</v>
      </c>
      <c r="I95" s="7" t="s">
        <v>12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</v>
      </c>
      <c r="AF95" s="8">
        <v>100</v>
      </c>
      <c r="AG95" s="8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0">
        <v>100</v>
      </c>
      <c r="BN95" s="14">
        <f t="shared" si="4"/>
        <v>100</v>
      </c>
      <c r="BO95" s="15">
        <f t="shared" si="5"/>
        <v>70</v>
      </c>
    </row>
    <row r="96" spans="1:67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  <c r="BO96" s="17">
        <f>SUM(BO2:BO95)</f>
        <v>761810.55999999994</v>
      </c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8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8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8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8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8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1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1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1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1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1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1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1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1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1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1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1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1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8"/>
      <c r="AM133" s="8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9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8"/>
      <c r="AD134" s="7"/>
      <c r="AE134" s="7"/>
      <c r="AF134" s="7"/>
      <c r="AG134" s="7"/>
      <c r="AH134" s="7"/>
      <c r="AI134" s="8"/>
      <c r="AJ134" s="7"/>
      <c r="AK134" s="7"/>
      <c r="AL134" s="7"/>
      <c r="AM134" s="7"/>
      <c r="AN134" s="7"/>
      <c r="AO134" s="8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8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9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8"/>
      <c r="AM136" s="8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9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8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9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8"/>
      <c r="AM138" s="7"/>
      <c r="AN138" s="7"/>
      <c r="AO138" s="7"/>
      <c r="AP138" s="7"/>
      <c r="AQ138" s="7"/>
      <c r="AR138" s="8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9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8"/>
      <c r="AM140" s="8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8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8"/>
      <c r="AM142" s="7"/>
      <c r="AN142" s="7"/>
      <c r="AO142" s="7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8"/>
      <c r="AH143" s="7"/>
      <c r="AI143" s="7"/>
      <c r="AJ143" s="7"/>
      <c r="AK143" s="7"/>
      <c r="AL143" s="8"/>
      <c r="AM143" s="8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8"/>
      <c r="AM144" s="8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9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8"/>
      <c r="AM145" s="8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9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8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9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8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9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8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8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8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8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8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8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8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8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8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1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1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1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1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1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8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8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8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8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8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1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1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1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1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1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8"/>
      <c r="L242" s="8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8"/>
      <c r="AF242" s="8"/>
      <c r="AG242" s="8"/>
      <c r="AH242" s="7"/>
      <c r="AI242" s="7"/>
      <c r="AJ242" s="7"/>
      <c r="AK242" s="8"/>
      <c r="AL242" s="8"/>
      <c r="AM242" s="8"/>
      <c r="AN242" s="7"/>
      <c r="AO242" s="7"/>
      <c r="AP242" s="7"/>
      <c r="AQ242" s="8"/>
      <c r="AR242" s="8"/>
      <c r="AS242" s="8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9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8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8"/>
      <c r="AF243" s="8"/>
      <c r="AG243" s="8"/>
      <c r="AH243" s="7"/>
      <c r="AI243" s="7"/>
      <c r="AJ243" s="7"/>
      <c r="AK243" s="8"/>
      <c r="AL243" s="8"/>
      <c r="AM243" s="8"/>
      <c r="AN243" s="7"/>
      <c r="AO243" s="7"/>
      <c r="AP243" s="7"/>
      <c r="AQ243" s="7"/>
      <c r="AR243" s="8"/>
      <c r="AS243" s="8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9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8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8"/>
      <c r="AF244" s="8"/>
      <c r="AG244" s="8"/>
      <c r="AH244" s="7"/>
      <c r="AI244" s="7"/>
      <c r="AJ244" s="7"/>
      <c r="AK244" s="8"/>
      <c r="AL244" s="8"/>
      <c r="AM244" s="8"/>
      <c r="AN244" s="7"/>
      <c r="AO244" s="7"/>
      <c r="AP244" s="7"/>
      <c r="AQ244" s="8"/>
      <c r="AR244" s="8"/>
      <c r="AS244" s="8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9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8"/>
      <c r="AF245" s="8"/>
      <c r="AG245" s="8"/>
      <c r="AH245" s="7"/>
      <c r="AI245" s="7"/>
      <c r="AJ245" s="7"/>
      <c r="AK245" s="8"/>
      <c r="AL245" s="8"/>
      <c r="AM245" s="8"/>
      <c r="AN245" s="7"/>
      <c r="AO245" s="7"/>
      <c r="AP245" s="7"/>
      <c r="AQ245" s="8"/>
      <c r="AR245" s="8"/>
      <c r="AS245" s="8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9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8"/>
      <c r="AH246" s="7"/>
      <c r="AI246" s="7"/>
      <c r="AJ246" s="7"/>
      <c r="AK246" s="7"/>
      <c r="AL246" s="8"/>
      <c r="AM246" s="8"/>
      <c r="AN246" s="7"/>
      <c r="AO246" s="7"/>
      <c r="AP246" s="7"/>
      <c r="AQ246" s="7"/>
      <c r="AR246" s="8"/>
      <c r="AS246" s="8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9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8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8"/>
      <c r="AF247" s="8"/>
      <c r="AG247" s="8"/>
      <c r="AH247" s="7"/>
      <c r="AI247" s="7"/>
      <c r="AJ247" s="7"/>
      <c r="AK247" s="8"/>
      <c r="AL247" s="8"/>
      <c r="AM247" s="8"/>
      <c r="AN247" s="7"/>
      <c r="AO247" s="7"/>
      <c r="AP247" s="7"/>
      <c r="AQ247" s="7"/>
      <c r="AR247" s="8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9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8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8"/>
      <c r="AF248" s="8"/>
      <c r="AG248" s="8"/>
      <c r="AH248" s="7"/>
      <c r="AI248" s="7"/>
      <c r="AJ248" s="7"/>
      <c r="AK248" s="8"/>
      <c r="AL248" s="8"/>
      <c r="AM248" s="8"/>
      <c r="AN248" s="7"/>
      <c r="AO248" s="7"/>
      <c r="AP248" s="7"/>
      <c r="AQ248" s="7"/>
      <c r="AR248" s="8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9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8"/>
      <c r="AF249" s="8"/>
      <c r="AG249" s="8"/>
      <c r="AH249" s="7"/>
      <c r="AI249" s="7"/>
      <c r="AJ249" s="7"/>
      <c r="AK249" s="8"/>
      <c r="AL249" s="8"/>
      <c r="AM249" s="8"/>
      <c r="AN249" s="7"/>
      <c r="AO249" s="7"/>
      <c r="AP249" s="7"/>
      <c r="AQ249" s="7"/>
      <c r="AR249" s="8"/>
      <c r="AS249" s="8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9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8"/>
      <c r="L250" s="8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8"/>
      <c r="AF250" s="8"/>
      <c r="AG250" s="8"/>
      <c r="AH250" s="7"/>
      <c r="AI250" s="7"/>
      <c r="AJ250" s="7"/>
      <c r="AK250" s="8"/>
      <c r="AL250" s="8"/>
      <c r="AM250" s="8"/>
      <c r="AN250" s="7"/>
      <c r="AO250" s="7"/>
      <c r="AP250" s="7"/>
      <c r="AQ250" s="7"/>
      <c r="AR250" s="8"/>
      <c r="AS250" s="8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9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8"/>
      <c r="AF251" s="8"/>
      <c r="AG251" s="8"/>
      <c r="AH251" s="7"/>
      <c r="AI251" s="7"/>
      <c r="AJ251" s="7"/>
      <c r="AK251" s="8"/>
      <c r="AL251" s="8"/>
      <c r="AM251" s="8"/>
      <c r="AN251" s="7"/>
      <c r="AO251" s="7"/>
      <c r="AP251" s="7"/>
      <c r="AQ251" s="7"/>
      <c r="AR251" s="8"/>
      <c r="AS251" s="8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9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8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8"/>
      <c r="AF252" s="8"/>
      <c r="AG252" s="8"/>
      <c r="AH252" s="7"/>
      <c r="AI252" s="7"/>
      <c r="AJ252" s="7"/>
      <c r="AK252" s="8"/>
      <c r="AL252" s="8"/>
      <c r="AM252" s="8"/>
      <c r="AN252" s="7"/>
      <c r="AO252" s="7"/>
      <c r="AP252" s="7"/>
      <c r="AQ252" s="7"/>
      <c r="AR252" s="8"/>
      <c r="AS252" s="8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8"/>
      <c r="AH253" s="7"/>
      <c r="AI253" s="7"/>
      <c r="AJ253" s="7"/>
      <c r="AK253" s="8"/>
      <c r="AL253" s="8"/>
      <c r="AM253" s="8"/>
      <c r="AN253" s="7"/>
      <c r="AO253" s="7"/>
      <c r="AP253" s="7"/>
      <c r="AQ253" s="7"/>
      <c r="AR253" s="8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9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8"/>
      <c r="AH254" s="7"/>
      <c r="AI254" s="7"/>
      <c r="AJ254" s="7"/>
      <c r="AK254" s="7"/>
      <c r="AL254" s="8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8"/>
      <c r="K255" s="7"/>
      <c r="L255" s="8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8"/>
      <c r="AH255" s="7"/>
      <c r="AI255" s="7"/>
      <c r="AJ255" s="7"/>
      <c r="AK255" s="7"/>
      <c r="AL255" s="8"/>
      <c r="AM255" s="8"/>
      <c r="AN255" s="7"/>
      <c r="AO255" s="7"/>
      <c r="AP255" s="7"/>
      <c r="AQ255" s="7"/>
      <c r="AR255" s="8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8"/>
      <c r="AM256" s="8"/>
      <c r="AN256" s="7"/>
      <c r="AO256" s="7"/>
      <c r="AP256" s="7"/>
      <c r="AQ256" s="7"/>
      <c r="AR256" s="8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9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8"/>
      <c r="AM257" s="8"/>
      <c r="AN257" s="7"/>
      <c r="AO257" s="7"/>
      <c r="AP257" s="7"/>
      <c r="AQ257" s="7"/>
      <c r="AR257" s="8"/>
      <c r="AS257" s="8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8"/>
      <c r="AH258" s="7"/>
      <c r="AI258" s="7"/>
      <c r="AJ258" s="7"/>
      <c r="AK258" s="7"/>
      <c r="AL258" s="8"/>
      <c r="AM258" s="8"/>
      <c r="AN258" s="7"/>
      <c r="AO258" s="7"/>
      <c r="AP258" s="7"/>
      <c r="AQ258" s="7"/>
      <c r="AR258" s="8"/>
      <c r="AS258" s="8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8"/>
      <c r="AJ259" s="8"/>
      <c r="AK259" s="7"/>
      <c r="AL259" s="7"/>
      <c r="AM259" s="7"/>
      <c r="AN259" s="7"/>
      <c r="AO259" s="7"/>
      <c r="AP259" s="7"/>
      <c r="AQ259" s="7"/>
      <c r="AR259" s="8"/>
      <c r="AS259" s="8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8"/>
      <c r="AM260" s="8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8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8"/>
      <c r="AM262" s="7"/>
      <c r="AN262" s="7"/>
      <c r="AO262" s="7"/>
      <c r="AP262" s="7"/>
      <c r="AQ262" s="7"/>
      <c r="AR262" s="8"/>
      <c r="AS262" s="8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8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8"/>
      <c r="AM264" s="7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8"/>
      <c r="AM265" s="7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8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8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8"/>
      <c r="AM268" s="8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8"/>
      <c r="AH269" s="7"/>
      <c r="AI269" s="7"/>
      <c r="AJ269" s="7"/>
      <c r="AK269" s="7"/>
      <c r="AL269" s="8"/>
      <c r="AM269" s="8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8"/>
      <c r="AM270" s="7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9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8"/>
      <c r="AH273" s="7"/>
      <c r="AI273" s="7"/>
      <c r="AJ273" s="7"/>
      <c r="AK273" s="7"/>
      <c r="AL273" s="8"/>
      <c r="AM273" s="8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8"/>
      <c r="AH274" s="7"/>
      <c r="AI274" s="7"/>
      <c r="AJ274" s="7"/>
      <c r="AK274" s="7"/>
      <c r="AL274" s="8"/>
      <c r="AM274" s="8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8"/>
      <c r="AM275" s="8"/>
      <c r="AN275" s="7"/>
      <c r="AO275" s="7"/>
      <c r="AP275" s="7"/>
      <c r="AQ275" s="7"/>
      <c r="AR275" s="8"/>
      <c r="AS275" s="8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8"/>
      <c r="AH276" s="7"/>
      <c r="AI276" s="7"/>
      <c r="AJ276" s="7"/>
      <c r="AK276" s="7"/>
      <c r="AL276" s="8"/>
      <c r="AM276" s="8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8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8"/>
      <c r="AM280" s="8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8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8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8"/>
      <c r="AM287" s="8"/>
      <c r="AN287" s="7"/>
      <c r="AO287" s="7"/>
      <c r="AP287" s="7"/>
      <c r="AQ287" s="7"/>
      <c r="AR287" s="8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  <c r="AJ288" s="7"/>
      <c r="AK288" s="7"/>
      <c r="AL288" s="8"/>
      <c r="AM288" s="7"/>
      <c r="AN288" s="7"/>
      <c r="AO288" s="8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8"/>
      <c r="AM289" s="8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8"/>
      <c r="AM290" s="7"/>
      <c r="AN290" s="7"/>
      <c r="AO290" s="7"/>
      <c r="AP290" s="7"/>
      <c r="AQ290" s="7"/>
      <c r="AR290" s="8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8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8"/>
      <c r="AS294" s="8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7"/>
      <c r="AH295" s="7"/>
      <c r="AI295" s="7"/>
      <c r="AJ295" s="7"/>
      <c r="AK295" s="7"/>
      <c r="AL295" s="8"/>
      <c r="AM295" s="8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8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7"/>
      <c r="AM297" s="8"/>
      <c r="AN297" s="7"/>
      <c r="AO297" s="7"/>
      <c r="AP297" s="7"/>
      <c r="AQ297" s="7"/>
      <c r="AR297" s="8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8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8"/>
      <c r="AN303" s="7"/>
      <c r="AO303" s="7"/>
      <c r="AP303" s="7"/>
      <c r="AQ303" s="7"/>
      <c r="AR303" s="8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10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8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0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8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0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8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10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8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0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0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8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0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8"/>
      <c r="AH317" s="7"/>
      <c r="AI317" s="7"/>
      <c r="AJ317" s="7"/>
      <c r="AK317" s="7"/>
      <c r="AL317" s="7"/>
      <c r="AM317" s="8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0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8"/>
      <c r="AH318" s="7"/>
      <c r="AI318" s="7"/>
      <c r="AJ318" s="7"/>
      <c r="AK318" s="7"/>
      <c r="AL318" s="7"/>
      <c r="AM318" s="8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0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8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0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8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8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8"/>
      <c r="AH334" s="7"/>
      <c r="AI334" s="7"/>
      <c r="AJ334" s="7"/>
      <c r="AK334" s="7"/>
      <c r="AL334" s="7"/>
      <c r="AM334" s="8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8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8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7"/>
      <c r="AM343" s="8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7"/>
      <c r="AM344" s="8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8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8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1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1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1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1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1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1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1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1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1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1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1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1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1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1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2022-11-02T03:11:04Z</dcterms:modified>
</cp:coreProperties>
</file>