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네이버\"/>
    </mc:Choice>
  </mc:AlternateContent>
  <bookViews>
    <workbookView xWindow="0" yWindow="0" windowWidth="2175" windowHeight="0" tabRatio="766"/>
  </bookViews>
  <sheets>
    <sheet name="합계(10)" sheetId="412" r:id="rId1"/>
  </sheets>
  <definedNames>
    <definedName name="_xlnm._FilterDatabase" localSheetId="0" hidden="1">'합계(10)'!$A$1:$AM$1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C46" i="412" l="1"/>
  <c r="BO8" i="412"/>
  <c r="D46" i="412"/>
  <c r="D47" i="412" s="1"/>
  <c r="D45" i="412"/>
  <c r="D43" i="412" l="1"/>
  <c r="D42" i="412"/>
  <c r="BN7" i="412" l="1"/>
  <c r="BO7" i="412" s="1"/>
  <c r="BN6" i="412" l="1"/>
  <c r="BO6" i="412" s="1"/>
  <c r="BN5" i="412"/>
  <c r="BO5" i="412" s="1"/>
  <c r="BN3" i="412"/>
  <c r="BP6" i="412" l="1"/>
  <c r="B48" i="412"/>
  <c r="BO3" i="412" l="1"/>
  <c r="BN4" i="412"/>
  <c r="BO4" i="412" s="1"/>
  <c r="BN2" i="412"/>
  <c r="BO2" i="412" l="1"/>
  <c r="D11" i="412"/>
  <c r="D12" i="412" s="1"/>
  <c r="D13" i="412" s="1"/>
  <c r="D14" i="412" s="1"/>
  <c r="D15" i="412" s="1"/>
  <c r="D16" i="412" s="1"/>
  <c r="D17" i="412" s="1"/>
  <c r="D18" i="412" s="1"/>
  <c r="D19" i="412" s="1"/>
  <c r="D20" i="412" s="1"/>
  <c r="D21" i="412" s="1"/>
  <c r="D22" i="412" s="1"/>
  <c r="D23" i="412" s="1"/>
  <c r="D24" i="412" s="1"/>
  <c r="D25" i="412" s="1"/>
  <c r="D26" i="412" s="1"/>
  <c r="D27" i="412" s="1"/>
  <c r="D28" i="412" s="1"/>
  <c r="D29" i="412" s="1"/>
  <c r="D30" i="412" s="1"/>
  <c r="D31" i="412" s="1"/>
  <c r="D32" i="412" s="1"/>
  <c r="D33" i="412" s="1"/>
  <c r="D34" i="412" s="1"/>
  <c r="D35" i="412" s="1"/>
  <c r="D36" i="412" s="1"/>
  <c r="D37" i="412" s="1"/>
  <c r="D38" i="412" s="1"/>
  <c r="D39" i="412" s="1"/>
  <c r="D40" i="412" s="1"/>
  <c r="D41" i="412" s="1"/>
  <c r="BP4" i="412" l="1"/>
  <c r="C48" i="412" l="1"/>
  <c r="D44" i="412"/>
</calcChain>
</file>

<file path=xl/sharedStrings.xml><?xml version="1.0" encoding="utf-8"?>
<sst xmlns="http://schemas.openxmlformats.org/spreadsheetml/2006/main" count="135" uniqueCount="105">
  <si>
    <t>컨텐츠</t>
  </si>
  <si>
    <t>컨텐츠No</t>
  </si>
  <si>
    <t>공급자코드</t>
  </si>
  <si>
    <t>CP명</t>
  </si>
  <si>
    <t>작가명</t>
  </si>
  <si>
    <t>출판사</t>
  </si>
  <si>
    <t>서비스일</t>
  </si>
  <si>
    <t>합계</t>
  </si>
  <si>
    <t>앱마켓수수료</t>
  </si>
  <si>
    <t>&lt;사비타&gt; MG차감내역</t>
    <phoneticPr fontId="20" type="noConversion"/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</si>
  <si>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</si>
  <si>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</si>
  <si>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</si>
  <si>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</si>
  <si>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 xml:space="preserve"> </t>
    <phoneticPr fontId="20" type="noConversion"/>
  </si>
  <si>
    <t>21.07(US)</t>
    <phoneticPr fontId="20" type="noConversion"/>
  </si>
  <si>
    <t>21.08(US)</t>
    <phoneticPr fontId="20" type="noConversion"/>
  </si>
  <si>
    <t>21.09(US)</t>
    <phoneticPr fontId="20" type="noConversion"/>
  </si>
  <si>
    <t>21.10</t>
    <phoneticPr fontId="20" type="noConversion"/>
  </si>
  <si>
    <t>21.10(US/JP)</t>
    <phoneticPr fontId="20" type="noConversion"/>
  </si>
  <si>
    <t>21.11(US/JP/FR)</t>
    <phoneticPr fontId="20" type="noConversion"/>
  </si>
  <si>
    <t>21.12(US/JP/FR)</t>
    <phoneticPr fontId="20" type="noConversion"/>
  </si>
  <si>
    <t>22.01(US/JP/FR)</t>
    <phoneticPr fontId="20" type="noConversion"/>
  </si>
  <si>
    <t>22.02(US/JP/FR)</t>
    <phoneticPr fontId="20" type="noConversion"/>
  </si>
  <si>
    <t>22.03(JP/US/FR)</t>
    <phoneticPr fontId="20" type="noConversion"/>
  </si>
  <si>
    <t>합계</t>
    <phoneticPr fontId="20" type="noConversion"/>
  </si>
  <si>
    <t>22.04(JP/FR/DE)</t>
    <phoneticPr fontId="20" type="noConversion"/>
  </si>
  <si>
    <t>22.06(JP/FR/DE)</t>
    <phoneticPr fontId="20" type="noConversion"/>
  </si>
  <si>
    <t>22.05(JP/FR/DE)</t>
    <phoneticPr fontId="20" type="noConversion"/>
  </si>
  <si>
    <t>사랑은 비를 타고 [독점]</t>
  </si>
  <si>
    <t>스토리위즈_사랑은비를타고_MG</t>
  </si>
  <si>
    <t>예리</t>
  </si>
  <si>
    <t>스토리위즈</t>
  </si>
  <si>
    <t>전체이용가</t>
  </si>
  <si>
    <t>2022.04.27</t>
  </si>
  <si>
    <t>시리즈(APP)</t>
    <phoneticPr fontId="20" type="noConversion"/>
  </si>
  <si>
    <t>시리즈 완전판(APP)</t>
    <phoneticPr fontId="20" type="noConversion"/>
  </si>
  <si>
    <t>시리즈(iOS)</t>
    <phoneticPr fontId="20" type="noConversion"/>
  </si>
  <si>
    <t>N스토어(PC)</t>
    <phoneticPr fontId="20" type="noConversion"/>
  </si>
  <si>
    <t>PC뷰어(PC)</t>
    <phoneticPr fontId="20" type="noConversion"/>
  </si>
  <si>
    <t>22.07(JP/FR/DE/US)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</si>
  <si>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</si>
  <si>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</si>
  <si>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</si>
  <si>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</si>
  <si>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</si>
  <si>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</si>
  <si>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</si>
  <si>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</si>
  <si>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</si>
  <si>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</si>
  <si>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</si>
  <si>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</si>
  <si>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</si>
  <si>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</si>
  <si>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</si>
  <si>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</si>
  <si>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</si>
  <si>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</si>
  <si>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</si>
  <si>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</si>
  <si>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</si>
  <si>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</si>
  <si>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</si>
  <si>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</si>
  <si>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</si>
  <si>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</si>
  <si>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</si>
  <si>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</si>
  <si>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</si>
  <si>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</si>
  <si>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</si>
  <si>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</si>
  <si>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</si>
  <si>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</si>
  <si>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</si>
  <si>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</si>
  <si>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</si>
  <si>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</si>
  <si>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</si>
  <si>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</si>
  <si>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</si>
  <si>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</si>
  <si>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</si>
  <si>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</si>
  <si>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</si>
  <si>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</si>
  <si>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</si>
  <si>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</si>
  <si>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</si>
  <si>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</si>
  <si>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</si>
  <si>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</si>
  <si>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</si>
  <si>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</si>
  <si>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</si>
  <si>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</si>
  <si>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</si>
  <si>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</si>
  <si>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APP 매출</t>
    <phoneticPr fontId="20" type="noConversion"/>
  </si>
  <si>
    <t>WEB 매출</t>
    <phoneticPr fontId="20" type="noConversion"/>
  </si>
  <si>
    <t>N스토어(MW)</t>
    <phoneticPr fontId="20" type="noConversion"/>
  </si>
  <si>
    <t>22.09(JP/FR/DE/US)</t>
    <phoneticPr fontId="20" type="noConversion"/>
  </si>
  <si>
    <t>22.08(JP/FR/DE/US)</t>
  </si>
  <si>
    <t>22.10(JP/FR/DE/US)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</si>
</sst>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sz val="7"/>
      <color rgb="FF000000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3" fontId="23" fillId="0" borderId="0" xfId="0" applyNumberFormat="1" applyFont="1">
      <alignment vertical="center"/>
    </xf>
    <xf numFmtId="0" fontId="24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3" fontId="18" fillId="0" borderId="10" xfId="0" applyNumberFormat="1" applyFont="1" applyBorder="1" applyAlignment="1">
      <alignment horizontal="right" vertical="center"/>
    </xf>
    <xf numFmtId="41" fontId="18" fillId="0" borderId="10" xfId="0" applyNumberFormat="1" applyFont="1" applyBorder="1">
      <alignment vertical="center"/>
    </xf>
    <xf numFmtId="41" fontId="18" fillId="0" borderId="10" xfId="42" applyFont="1" applyBorder="1">
      <alignment vertical="center"/>
    </xf>
    <xf numFmtId="0" fontId="24" fillId="36" borderId="10" xfId="0" applyFont="1" applyFill="1" applyBorder="1" applyAlignment="1">
      <alignment horizontal="center" vertical="center"/>
    </xf>
    <xf numFmtId="3" fontId="18" fillId="36" borderId="10" xfId="0" applyNumberFormat="1" applyFont="1" applyFill="1" applyBorder="1" applyAlignment="1">
      <alignment horizontal="right" vertical="center"/>
    </xf>
    <xf numFmtId="41" fontId="18" fillId="36" borderId="10" xfId="0" applyNumberFormat="1" applyFont="1" applyFill="1" applyBorder="1">
      <alignment vertical="center"/>
    </xf>
    <xf numFmtId="41" fontId="18" fillId="36" borderId="10" xfId="42" applyFont="1" applyFill="1" applyBorder="1">
      <alignment vertical="center"/>
    </xf>
    <xf numFmtId="3" fontId="18" fillId="0" borderId="0" xfId="0" applyNumberFormat="1" applyFont="1" applyBorder="1">
      <alignment vertical="center"/>
    </xf>
    <xf numFmtId="0" fontId="24" fillId="0" borderId="10" xfId="0" quotePrefix="1" applyFont="1" applyFill="1" applyBorder="1" applyAlignment="1">
      <alignment horizontal="center" vertical="center"/>
    </xf>
    <xf numFmtId="3" fontId="18" fillId="0" borderId="10" xfId="0" applyNumberFormat="1" applyFont="1" applyFill="1" applyBorder="1" applyAlignment="1">
      <alignment horizontal="right" vertical="center"/>
    </xf>
    <xf numFmtId="41" fontId="18" fillId="0" borderId="10" xfId="0" applyNumberFormat="1" applyFont="1" applyFill="1" applyBorder="1">
      <alignment vertical="center"/>
    </xf>
    <xf numFmtId="41" fontId="18" fillId="0" borderId="10" xfId="42" applyFont="1" applyFill="1" applyBorder="1">
      <alignment vertical="center"/>
    </xf>
    <xf numFmtId="0" fontId="24" fillId="36" borderId="10" xfId="0" quotePrefix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41" fontId="25" fillId="0" borderId="10" xfId="0" applyNumberFormat="1" applyFont="1" applyFill="1" applyBorder="1">
      <alignment vertical="center"/>
    </xf>
    <xf numFmtId="41" fontId="25" fillId="37" borderId="10" xfId="0" applyNumberFormat="1" applyFont="1" applyFill="1" applyBorder="1">
      <alignment vertical="center"/>
    </xf>
    <xf numFmtId="0" fontId="24" fillId="36" borderId="10" xfId="0" quotePrefix="1" applyFont="1" applyFill="1" applyBorder="1">
      <alignment vertical="center"/>
    </xf>
    <xf numFmtId="0" fontId="18" fillId="36" borderId="10" xfId="0" applyFont="1" applyFill="1" applyBorder="1" applyAlignment="1">
      <alignment horizontal="center" vertical="center"/>
    </xf>
    <xf numFmtId="41" fontId="21" fillId="0" borderId="0" xfId="0" applyNumberFormat="1" applyFont="1" applyBorder="1">
      <alignment vertical="center"/>
    </xf>
    <xf numFmtId="41" fontId="24" fillId="0" borderId="0" xfId="42" applyFont="1" applyAlignment="1">
      <alignment vertical="center" wrapText="1"/>
    </xf>
    <xf numFmtId="41" fontId="26" fillId="0" borderId="0" xfId="0" applyNumberFormat="1" applyFont="1">
      <alignment vertical="center"/>
    </xf>
    <xf numFmtId="0" fontId="26" fillId="0" borderId="0" xfId="0" applyFont="1">
      <alignment vertical="center"/>
    </xf>
    <xf numFmtId="0" fontId="24" fillId="0" borderId="0" xfId="0" applyFont="1">
      <alignment vertical="center"/>
    </xf>
    <xf numFmtId="41" fontId="24" fillId="0" borderId="0" xfId="0" applyNumberFormat="1" applyFont="1">
      <alignment vertical="center"/>
    </xf>
    <xf numFmtId="41" fontId="18" fillId="0" borderId="0" xfId="42" applyFont="1" applyAlignment="1">
      <alignment vertical="center" wrapText="1"/>
    </xf>
    <xf numFmtId="41" fontId="27" fillId="34" borderId="0" xfId="42" applyFont="1" applyFill="1" applyAlignment="1">
      <alignment vertical="center" wrapText="1"/>
    </xf>
    <xf numFmtId="0" fontId="28" fillId="0" borderId="10" xfId="0" quotePrefix="1" applyFont="1" applyFill="1" applyBorder="1" applyAlignment="1">
      <alignment horizontal="center" vertical="center"/>
    </xf>
    <xf numFmtId="3" fontId="25" fillId="0" borderId="10" xfId="0" applyNumberFormat="1" applyFont="1" applyFill="1" applyBorder="1" applyAlignment="1">
      <alignment horizontal="right" vertical="center"/>
    </xf>
    <xf numFmtId="0" fontId="28" fillId="37" borderId="10" xfId="0" quotePrefix="1" applyFont="1" applyFill="1" applyBorder="1">
      <alignment vertical="center"/>
    </xf>
    <xf numFmtId="0" fontId="25" fillId="37" borderId="10" xfId="0" applyFont="1" applyFill="1" applyBorder="1" applyAlignment="1">
      <alignment horizontal="center" vertical="center"/>
    </xf>
    <xf numFmtId="41" fontId="25" fillId="37" borderId="10" xfId="42" applyFont="1" applyFill="1" applyBorder="1">
      <alignment vertical="center"/>
    </xf>
    <xf numFmtId="0" fontId="18" fillId="0" borderId="10" xfId="0" applyFont="1" applyFill="1" applyBorder="1" applyAlignment="1">
      <alignment horizontal="center" vertical="center"/>
    </xf>
    <xf numFmtId="2" fontId="24" fillId="0" borderId="10" xfId="0" quotePrefix="1" applyNumberFormat="1" applyFont="1" applyFill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51"/>
  <sheetViews>
    <sheetView tabSelected="1" topLeftCell="A22" zoomScale="115" zoomScaleNormal="115" workbookViewId="0">
      <selection activeCell="C48" sqref="C48"/>
    </sheetView>
  </sheetViews>
  <sheetFormatPr defaultRowHeight="16.5" x14ac:dyDescent="0.3"/>
  <cols>
    <col min="1" max="1" width="11.875" style="1" customWidth="1"/>
    <col min="2" max="2" width="20" bestFit="1" customWidth="1"/>
    <col min="3" max="3" width="7.75" bestFit="1" customWidth="1"/>
    <col min="4" max="4" width="8.375" bestFit="1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bestFit="1" customWidth="1"/>
    <col min="67" max="67" width="13.375" style="13" customWidth="1"/>
  </cols>
  <sheetData>
    <row r="1" spans="1:69" ht="27" customHeight="1" x14ac:dyDescent="0.3">
      <c r="A1" s="2" t="s">
        <v>41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42</v>
      </c>
      <c r="I1" s="14" t="s">
        <v>6</v>
      </c>
      <c r="J1" s="12" t="s">
        <v>43</v>
      </c>
      <c r="K1" s="12" t="s">
        <v>44</v>
      </c>
      <c r="L1" s="12" t="s">
        <v>45</v>
      </c>
      <c r="M1" s="12" t="s">
        <v>46</v>
      </c>
      <c r="N1" s="12" t="s">
        <v>47</v>
      </c>
      <c r="O1" s="12" t="s">
        <v>48</v>
      </c>
      <c r="P1" s="12" t="s">
        <v>49</v>
      </c>
      <c r="Q1" s="12" t="s">
        <v>50</v>
      </c>
      <c r="R1" s="12" t="s">
        <v>51</v>
      </c>
      <c r="S1" s="12" t="s">
        <v>52</v>
      </c>
      <c r="T1" s="12" t="s">
        <v>53</v>
      </c>
      <c r="U1" s="12" t="s">
        <v>54</v>
      </c>
      <c r="V1" s="12" t="s">
        <v>55</v>
      </c>
      <c r="W1" s="12" t="s">
        <v>56</v>
      </c>
      <c r="X1" s="12" t="s">
        <v>57</v>
      </c>
      <c r="Y1" s="12" t="s">
        <v>58</v>
      </c>
      <c r="Z1" s="12" t="s">
        <v>59</v>
      </c>
      <c r="AA1" s="12" t="s">
        <v>60</v>
      </c>
      <c r="AB1" s="12" t="s">
        <v>61</v>
      </c>
      <c r="AC1" s="12" t="s">
        <v>62</v>
      </c>
      <c r="AD1" s="12" t="s">
        <v>63</v>
      </c>
      <c r="AE1" s="12" t="s">
        <v>64</v>
      </c>
      <c r="AF1" s="12" t="s">
        <v>65</v>
      </c>
      <c r="AG1" s="12" t="s">
        <v>66</v>
      </c>
      <c r="AH1" s="12" t="s">
        <v>67</v>
      </c>
      <c r="AI1" s="12" t="s">
        <v>68</v>
      </c>
      <c r="AJ1" s="12" t="s">
        <v>69</v>
      </c>
      <c r="AK1" s="12" t="s">
        <v>70</v>
      </c>
      <c r="AL1" s="12" t="s">
        <v>71</v>
      </c>
      <c r="AM1" s="12" t="s">
        <v>72</v>
      </c>
      <c r="AN1" s="12" t="s">
        <v>73</v>
      </c>
      <c r="AO1" s="12" t="s">
        <v>74</v>
      </c>
      <c r="AP1" s="12" t="s">
        <v>75</v>
      </c>
      <c r="AQ1" s="12" t="s">
        <v>76</v>
      </c>
      <c r="AR1" s="12" t="s">
        <v>77</v>
      </c>
      <c r="AS1" s="12" t="s">
        <v>78</v>
      </c>
      <c r="AT1" s="12" t="s">
        <v>79</v>
      </c>
      <c r="AU1" s="12" t="s">
        <v>80</v>
      </c>
      <c r="AV1" s="12" t="s">
        <v>81</v>
      </c>
      <c r="AW1" s="12" t="s">
        <v>82</v>
      </c>
      <c r="AX1" s="12" t="s">
        <v>83</v>
      </c>
      <c r="AY1" s="12" t="s">
        <v>84</v>
      </c>
      <c r="AZ1" s="12" t="s">
        <v>85</v>
      </c>
      <c r="BA1" s="12" t="s">
        <v>86</v>
      </c>
      <c r="BB1" s="12" t="s">
        <v>87</v>
      </c>
      <c r="BC1" s="12" t="s">
        <v>88</v>
      </c>
      <c r="BD1" s="12" t="s">
        <v>89</v>
      </c>
      <c r="BE1" s="12" t="s">
        <v>90</v>
      </c>
      <c r="BF1" s="12" t="s">
        <v>91</v>
      </c>
      <c r="BG1" s="12" t="s">
        <v>92</v>
      </c>
      <c r="BH1" s="12" t="s">
        <v>93</v>
      </c>
      <c r="BI1" s="12" t="s">
        <v>94</v>
      </c>
      <c r="BJ1" s="12" t="s">
        <v>95</v>
      </c>
      <c r="BK1" s="12" t="s">
        <v>96</v>
      </c>
      <c r="BL1" s="12" t="s">
        <v>8</v>
      </c>
      <c r="BM1" s="12" t="s">
        <v>7</v>
      </c>
      <c r="BN1" s="12" t="s">
        <v>97</v>
      </c>
      <c r="BO1" s="12" t="s">
        <v>98</v>
      </c>
    </row>
    <row r="2" spans="1:69" ht="19.5" x14ac:dyDescent="0.3">
      <c r="A2" s="5" t="s">
        <v>35</v>
      </c>
      <c r="B2" s="5" t="s">
        <v>29</v>
      </c>
      <c r="C2" s="5">
        <v>423644</v>
      </c>
      <c r="D2" s="6"/>
      <c r="E2" s="5" t="s">
        <v>30</v>
      </c>
      <c r="F2" s="5" t="s">
        <v>31</v>
      </c>
      <c r="G2" s="5" t="s">
        <v>32</v>
      </c>
      <c r="H2" s="7" t="s">
        <v>33</v>
      </c>
      <c r="I2" s="7" t="s">
        <v>34</v>
      </c>
      <c r="J2" s="7">
        <v>1</v>
      </c>
      <c r="K2" s="8">
        <v>3284</v>
      </c>
      <c r="L2" s="7">
        <v>200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296</v>
      </c>
      <c r="AC2" s="8">
        <v>19420</v>
      </c>
      <c r="AD2" s="8">
        <v>39500</v>
      </c>
      <c r="AE2" s="7">
        <v>11</v>
      </c>
      <c r="AF2" s="7">
        <v>2400</v>
      </c>
      <c r="AG2" s="8">
        <v>2000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43</v>
      </c>
      <c r="AO2" s="8">
        <v>8300</v>
      </c>
      <c r="AP2" s="7">
        <v>200</v>
      </c>
      <c r="AQ2" s="7">
        <v>0</v>
      </c>
      <c r="AR2" s="7">
        <v>0</v>
      </c>
      <c r="AS2" s="7">
        <v>0</v>
      </c>
      <c r="AT2" s="7">
        <v>0</v>
      </c>
      <c r="AU2" s="8">
        <v>0</v>
      </c>
      <c r="AV2" s="7">
        <v>0</v>
      </c>
      <c r="AW2" s="7">
        <v>0</v>
      </c>
      <c r="AX2" s="8">
        <v>0</v>
      </c>
      <c r="AY2" s="7">
        <v>0</v>
      </c>
      <c r="AZ2" s="7">
        <v>89</v>
      </c>
      <c r="BA2" s="8">
        <v>21120</v>
      </c>
      <c r="BB2" s="7">
        <v>0</v>
      </c>
      <c r="BC2" s="7">
        <v>0</v>
      </c>
      <c r="BD2" s="8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1267.2</v>
      </c>
      <c r="BM2" s="10">
        <v>93140</v>
      </c>
      <c r="BN2" s="46">
        <f>BM2-BL2</f>
        <v>91872.8</v>
      </c>
      <c r="BO2" s="46">
        <f>BN2*60%</f>
        <v>55123.68</v>
      </c>
    </row>
    <row r="3" spans="1:69" ht="19.5" x14ac:dyDescent="0.3">
      <c r="A3" s="5" t="s">
        <v>36</v>
      </c>
      <c r="B3" s="5" t="s">
        <v>29</v>
      </c>
      <c r="C3" s="5">
        <v>423644</v>
      </c>
      <c r="D3" s="6"/>
      <c r="E3" s="5" t="s">
        <v>30</v>
      </c>
      <c r="F3" s="5" t="s">
        <v>31</v>
      </c>
      <c r="G3" s="5" t="s">
        <v>32</v>
      </c>
      <c r="H3" s="7" t="s">
        <v>33</v>
      </c>
      <c r="I3" s="7" t="s">
        <v>34</v>
      </c>
      <c r="J3" s="7">
        <v>2</v>
      </c>
      <c r="K3" s="8">
        <v>2242</v>
      </c>
      <c r="L3" s="7">
        <v>400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223</v>
      </c>
      <c r="AC3" s="8">
        <v>13580</v>
      </c>
      <c r="AD3" s="8">
        <v>32400</v>
      </c>
      <c r="AE3" s="7">
        <v>26</v>
      </c>
      <c r="AF3" s="7">
        <v>0</v>
      </c>
      <c r="AG3" s="8">
        <v>10400</v>
      </c>
      <c r="AH3" s="7">
        <v>1</v>
      </c>
      <c r="AI3" s="7">
        <v>0</v>
      </c>
      <c r="AJ3" s="7">
        <v>200</v>
      </c>
      <c r="AK3" s="7">
        <v>0</v>
      </c>
      <c r="AL3" s="7">
        <v>0</v>
      </c>
      <c r="AM3" s="7">
        <v>0</v>
      </c>
      <c r="AN3" s="7">
        <v>10</v>
      </c>
      <c r="AO3" s="8">
        <v>2000</v>
      </c>
      <c r="AP3" s="7">
        <v>0</v>
      </c>
      <c r="AQ3" s="7">
        <v>2</v>
      </c>
      <c r="AR3" s="8">
        <v>800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18</v>
      </c>
      <c r="BA3" s="8">
        <v>4320</v>
      </c>
      <c r="BB3" s="7">
        <v>0</v>
      </c>
      <c r="BC3" s="7">
        <v>0</v>
      </c>
      <c r="BD3" s="7">
        <v>0</v>
      </c>
      <c r="BE3" s="7">
        <v>0</v>
      </c>
      <c r="BF3" s="7">
        <v>106</v>
      </c>
      <c r="BG3" s="8">
        <v>25440</v>
      </c>
      <c r="BH3" s="7">
        <v>0</v>
      </c>
      <c r="BI3" s="7">
        <v>0</v>
      </c>
      <c r="BJ3" s="8">
        <v>0</v>
      </c>
      <c r="BK3" s="7">
        <v>0</v>
      </c>
      <c r="BL3" s="9">
        <v>1531.2</v>
      </c>
      <c r="BM3" s="10">
        <v>89540</v>
      </c>
      <c r="BN3" s="46">
        <f t="shared" ref="BN3:BN4" si="0">BM3-BL3</f>
        <v>88008.8</v>
      </c>
      <c r="BO3" s="46">
        <f t="shared" ref="BO3:BO4" si="1">BN3*60%</f>
        <v>52805.279999999999</v>
      </c>
    </row>
    <row r="4" spans="1:69" ht="19.5" x14ac:dyDescent="0.3">
      <c r="A4" s="5" t="s">
        <v>37</v>
      </c>
      <c r="B4" s="5" t="s">
        <v>29</v>
      </c>
      <c r="C4" s="5">
        <v>423644</v>
      </c>
      <c r="D4" s="6"/>
      <c r="E4" s="5" t="s">
        <v>30</v>
      </c>
      <c r="F4" s="5" t="s">
        <v>31</v>
      </c>
      <c r="G4" s="5" t="s">
        <v>32</v>
      </c>
      <c r="H4" s="7" t="s">
        <v>33</v>
      </c>
      <c r="I4" s="7" t="s">
        <v>34</v>
      </c>
      <c r="J4" s="7">
        <v>2</v>
      </c>
      <c r="K4" s="8">
        <v>873</v>
      </c>
      <c r="L4" s="7">
        <v>400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36</v>
      </c>
      <c r="AC4" s="8">
        <v>3000</v>
      </c>
      <c r="AD4" s="8">
        <v>3900</v>
      </c>
      <c r="AE4" s="7">
        <v>0</v>
      </c>
      <c r="AF4" s="7">
        <v>0</v>
      </c>
      <c r="AG4" s="7">
        <v>0</v>
      </c>
      <c r="AH4" s="7">
        <v>128</v>
      </c>
      <c r="AI4" s="8">
        <v>25097</v>
      </c>
      <c r="AJ4" s="8">
        <v>7100</v>
      </c>
      <c r="AK4" s="7">
        <v>0</v>
      </c>
      <c r="AL4" s="7">
        <v>0</v>
      </c>
      <c r="AM4" s="7">
        <v>0</v>
      </c>
      <c r="AN4" s="7">
        <v>7</v>
      </c>
      <c r="AO4" s="8">
        <v>1400</v>
      </c>
      <c r="AP4" s="7">
        <v>0</v>
      </c>
      <c r="AQ4" s="7">
        <v>0</v>
      </c>
      <c r="AR4" s="8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7529.1</v>
      </c>
      <c r="BM4" s="10">
        <v>40897</v>
      </c>
      <c r="BN4" s="46">
        <f t="shared" si="0"/>
        <v>33367.9</v>
      </c>
      <c r="BO4" s="46">
        <f t="shared" si="1"/>
        <v>20020.740000000002</v>
      </c>
      <c r="BP4" s="42">
        <f>SUM(BO2:BO4)</f>
        <v>127949.7</v>
      </c>
      <c r="BQ4" s="43" t="s">
        <v>99</v>
      </c>
    </row>
    <row r="5" spans="1:69" ht="19.5" x14ac:dyDescent="0.3">
      <c r="A5" s="5" t="s">
        <v>38</v>
      </c>
      <c r="B5" s="5" t="s">
        <v>29</v>
      </c>
      <c r="C5" s="5">
        <v>423644</v>
      </c>
      <c r="D5" s="6"/>
      <c r="E5" s="5" t="s">
        <v>30</v>
      </c>
      <c r="F5" s="5" t="s">
        <v>31</v>
      </c>
      <c r="G5" s="5" t="s">
        <v>32</v>
      </c>
      <c r="H5" s="7" t="s">
        <v>33</v>
      </c>
      <c r="I5" s="7" t="s">
        <v>34</v>
      </c>
      <c r="J5" s="7">
        <v>0</v>
      </c>
      <c r="K5" s="7">
        <v>81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8">
        <v>0</v>
      </c>
      <c r="AK5" s="7">
        <v>0</v>
      </c>
      <c r="AL5" s="7">
        <v>0</v>
      </c>
      <c r="AM5" s="7">
        <v>0</v>
      </c>
      <c r="AN5" s="7">
        <v>0</v>
      </c>
      <c r="AO5" s="8">
        <v>0</v>
      </c>
      <c r="AP5" s="7">
        <v>0</v>
      </c>
      <c r="AQ5" s="7">
        <v>0</v>
      </c>
      <c r="AR5" s="8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0</v>
      </c>
      <c r="BM5" s="10">
        <v>0</v>
      </c>
      <c r="BN5" s="46">
        <f t="shared" ref="BN5" si="2">BM5-BL5</f>
        <v>0</v>
      </c>
      <c r="BO5" s="46">
        <f t="shared" ref="BO5" si="3">BN5*60%</f>
        <v>0</v>
      </c>
      <c r="BP5" s="44"/>
      <c r="BQ5" s="44"/>
    </row>
    <row r="6" spans="1:69" ht="19.5" x14ac:dyDescent="0.3">
      <c r="A6" s="5" t="s">
        <v>39</v>
      </c>
      <c r="B6" s="5" t="s">
        <v>29</v>
      </c>
      <c r="C6" s="5">
        <v>423644</v>
      </c>
      <c r="D6" s="6"/>
      <c r="E6" s="5" t="s">
        <v>30</v>
      </c>
      <c r="F6" s="5" t="s">
        <v>31</v>
      </c>
      <c r="G6" s="5" t="s">
        <v>32</v>
      </c>
      <c r="H6" s="7" t="s">
        <v>33</v>
      </c>
      <c r="I6" s="7" t="s">
        <v>34</v>
      </c>
      <c r="J6" s="7">
        <v>0</v>
      </c>
      <c r="K6" s="7">
        <v>5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8">
        <v>0</v>
      </c>
      <c r="AK6" s="7">
        <v>0</v>
      </c>
      <c r="AL6" s="7">
        <v>0</v>
      </c>
      <c r="AM6" s="7">
        <v>0</v>
      </c>
      <c r="AN6" s="7">
        <v>0</v>
      </c>
      <c r="AO6" s="8">
        <v>0</v>
      </c>
      <c r="AP6" s="7">
        <v>0</v>
      </c>
      <c r="AQ6" s="7">
        <v>0</v>
      </c>
      <c r="AR6" s="8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0</v>
      </c>
      <c r="BM6" s="10">
        <v>0</v>
      </c>
      <c r="BN6" s="46">
        <f t="shared" ref="BN6:BN7" si="4">BM6-BL6</f>
        <v>0</v>
      </c>
      <c r="BO6" s="46">
        <f>BN6*60%</f>
        <v>0</v>
      </c>
      <c r="BP6" s="45">
        <f>SUM(BO5:BO7)</f>
        <v>120</v>
      </c>
      <c r="BQ6" s="44" t="s">
        <v>100</v>
      </c>
    </row>
    <row r="7" spans="1:69" ht="19.5" x14ac:dyDescent="0.3">
      <c r="A7" s="5" t="s">
        <v>101</v>
      </c>
      <c r="B7" s="5" t="s">
        <v>29</v>
      </c>
      <c r="C7" s="5">
        <v>423644</v>
      </c>
      <c r="D7" s="6"/>
      <c r="E7" s="5" t="s">
        <v>30</v>
      </c>
      <c r="F7" s="5" t="s">
        <v>31</v>
      </c>
      <c r="G7" s="5" t="s">
        <v>32</v>
      </c>
      <c r="H7" s="7" t="s">
        <v>33</v>
      </c>
      <c r="I7" s="7" t="s">
        <v>34</v>
      </c>
      <c r="J7" s="7">
        <v>0</v>
      </c>
      <c r="K7" s="7">
        <v>16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</v>
      </c>
      <c r="AC7" s="7">
        <v>100</v>
      </c>
      <c r="AD7" s="7">
        <v>100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8">
        <v>0</v>
      </c>
      <c r="AK7" s="7">
        <v>0</v>
      </c>
      <c r="AL7" s="7">
        <v>0</v>
      </c>
      <c r="AM7" s="7">
        <v>0</v>
      </c>
      <c r="AN7" s="7">
        <v>0</v>
      </c>
      <c r="AO7" s="8">
        <v>0</v>
      </c>
      <c r="AP7" s="7">
        <v>0</v>
      </c>
      <c r="AQ7" s="7">
        <v>0</v>
      </c>
      <c r="AR7" s="8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0</v>
      </c>
      <c r="BM7" s="10">
        <v>200</v>
      </c>
      <c r="BN7" s="46">
        <f t="shared" si="4"/>
        <v>200</v>
      </c>
      <c r="BO7" s="46">
        <f>BN7*60%</f>
        <v>120</v>
      </c>
    </row>
    <row r="8" spans="1:69" x14ac:dyDescent="0.3">
      <c r="A8" s="5"/>
      <c r="B8" s="5"/>
      <c r="C8" s="5"/>
      <c r="D8" s="6"/>
      <c r="E8" s="5"/>
      <c r="F8" s="5"/>
      <c r="G8" s="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10"/>
      <c r="BN8" s="41"/>
      <c r="BO8" s="47">
        <f>SUM(BO2:BO7)</f>
        <v>128069.7</v>
      </c>
    </row>
    <row r="9" spans="1:69" s="17" customFormat="1" ht="14.25" x14ac:dyDescent="0.3">
      <c r="A9" s="15" t="s">
        <v>9</v>
      </c>
      <c r="B9" s="16"/>
      <c r="AU9" s="18"/>
      <c r="AW9" s="18"/>
      <c r="BO9" s="40"/>
    </row>
    <row r="10" spans="1:69" s="17" customFormat="1" ht="11.25" x14ac:dyDescent="0.3">
      <c r="A10" s="19" t="s">
        <v>10</v>
      </c>
      <c r="B10" s="20" t="s">
        <v>11</v>
      </c>
      <c r="C10" s="20" t="s">
        <v>12</v>
      </c>
      <c r="D10" s="20" t="s">
        <v>13</v>
      </c>
      <c r="J10" s="17" t="s">
        <v>14</v>
      </c>
    </row>
    <row r="11" spans="1:69" s="17" customFormat="1" ht="11.25" x14ac:dyDescent="0.3">
      <c r="A11" s="21">
        <v>21.02</v>
      </c>
      <c r="B11" s="22">
        <v>30000000</v>
      </c>
      <c r="C11" s="23">
        <v>472077</v>
      </c>
      <c r="D11" s="24">
        <f>B11-C11</f>
        <v>29527923</v>
      </c>
    </row>
    <row r="12" spans="1:69" s="17" customFormat="1" ht="11.25" x14ac:dyDescent="0.3">
      <c r="A12" s="21">
        <v>21.03</v>
      </c>
      <c r="B12" s="22"/>
      <c r="C12" s="23">
        <v>408648</v>
      </c>
      <c r="D12" s="24">
        <f t="shared" ref="D12:D33" si="5">D11-C12</f>
        <v>29119275</v>
      </c>
    </row>
    <row r="13" spans="1:69" s="17" customFormat="1" ht="11.25" x14ac:dyDescent="0.3">
      <c r="A13" s="21">
        <v>21.04</v>
      </c>
      <c r="B13" s="22"/>
      <c r="C13" s="23">
        <v>160198.56</v>
      </c>
      <c r="D13" s="24">
        <f t="shared" si="5"/>
        <v>28959076.440000001</v>
      </c>
    </row>
    <row r="14" spans="1:69" s="17" customFormat="1" ht="11.25" x14ac:dyDescent="0.3">
      <c r="A14" s="21">
        <v>21.05</v>
      </c>
      <c r="B14" s="22"/>
      <c r="C14" s="23">
        <v>121166</v>
      </c>
      <c r="D14" s="24">
        <f t="shared" si="5"/>
        <v>28837910.440000001</v>
      </c>
    </row>
    <row r="15" spans="1:69" s="17" customFormat="1" ht="10.9" customHeight="1" x14ac:dyDescent="0.3">
      <c r="A15" s="21">
        <v>21.06</v>
      </c>
      <c r="B15" s="22"/>
      <c r="C15" s="23">
        <v>290693</v>
      </c>
      <c r="D15" s="24">
        <f t="shared" si="5"/>
        <v>28547217.440000001</v>
      </c>
    </row>
    <row r="16" spans="1:69" s="17" customFormat="1" ht="11.25" x14ac:dyDescent="0.3">
      <c r="A16" s="25" t="s">
        <v>15</v>
      </c>
      <c r="B16" s="26"/>
      <c r="C16" s="27">
        <v>1204515</v>
      </c>
      <c r="D16" s="28">
        <f t="shared" si="5"/>
        <v>27342702.440000001</v>
      </c>
    </row>
    <row r="17" spans="1:49" s="17" customFormat="1" ht="11.25" x14ac:dyDescent="0.3">
      <c r="A17" s="21">
        <v>21.07</v>
      </c>
      <c r="B17" s="22"/>
      <c r="C17" s="23">
        <v>188088</v>
      </c>
      <c r="D17" s="24">
        <f t="shared" si="5"/>
        <v>27154614.440000001</v>
      </c>
      <c r="AU17" s="29"/>
      <c r="AW17" s="29"/>
    </row>
    <row r="18" spans="1:49" s="17" customFormat="1" ht="11.25" x14ac:dyDescent="0.3">
      <c r="A18" s="21">
        <v>21.08</v>
      </c>
      <c r="B18" s="22"/>
      <c r="C18" s="23">
        <v>118512</v>
      </c>
      <c r="D18" s="24">
        <f t="shared" si="5"/>
        <v>27036102.440000001</v>
      </c>
      <c r="AU18" s="29"/>
      <c r="AW18" s="29"/>
    </row>
    <row r="19" spans="1:49" s="17" customFormat="1" ht="11.25" x14ac:dyDescent="0.3">
      <c r="A19" s="25" t="s">
        <v>16</v>
      </c>
      <c r="B19" s="26"/>
      <c r="C19" s="27">
        <v>844621</v>
      </c>
      <c r="D19" s="28">
        <f t="shared" si="5"/>
        <v>26191481.440000001</v>
      </c>
      <c r="AU19" s="29"/>
      <c r="AW19" s="29"/>
    </row>
    <row r="20" spans="1:49" s="17" customFormat="1" ht="11.25" x14ac:dyDescent="0.3">
      <c r="A20" s="21">
        <v>21.09</v>
      </c>
      <c r="B20" s="22"/>
      <c r="C20" s="23">
        <v>322027</v>
      </c>
      <c r="D20" s="24">
        <f t="shared" si="5"/>
        <v>25869454.440000001</v>
      </c>
      <c r="AU20" s="29"/>
      <c r="AW20" s="29"/>
    </row>
    <row r="21" spans="1:49" s="17" customFormat="1" ht="11.25" x14ac:dyDescent="0.3">
      <c r="A21" s="25" t="s">
        <v>17</v>
      </c>
      <c r="B21" s="26"/>
      <c r="C21" s="27">
        <v>552842</v>
      </c>
      <c r="D21" s="28">
        <f t="shared" si="5"/>
        <v>25316612.440000001</v>
      </c>
      <c r="AU21" s="29"/>
      <c r="AW21" s="29"/>
    </row>
    <row r="22" spans="1:49" s="17" customFormat="1" ht="11.25" x14ac:dyDescent="0.3">
      <c r="A22" s="30" t="s">
        <v>18</v>
      </c>
      <c r="B22" s="31"/>
      <c r="C22" s="32">
        <v>91790.399999999994</v>
      </c>
      <c r="D22" s="33">
        <f t="shared" si="5"/>
        <v>25224822.040000003</v>
      </c>
      <c r="AU22" s="29"/>
      <c r="AW22" s="29"/>
    </row>
    <row r="23" spans="1:49" s="17" customFormat="1" ht="11.25" x14ac:dyDescent="0.3">
      <c r="A23" s="34" t="s">
        <v>19</v>
      </c>
      <c r="B23" s="26"/>
      <c r="C23" s="27">
        <v>605653</v>
      </c>
      <c r="D23" s="28">
        <f t="shared" si="5"/>
        <v>24619169.040000003</v>
      </c>
      <c r="AU23" s="29"/>
      <c r="AW23" s="29"/>
    </row>
    <row r="24" spans="1:49" s="17" customFormat="1" ht="11.25" x14ac:dyDescent="0.3">
      <c r="A24" s="34" t="s">
        <v>20</v>
      </c>
      <c r="B24" s="26"/>
      <c r="C24" s="27">
        <v>547220</v>
      </c>
      <c r="D24" s="28">
        <f t="shared" si="5"/>
        <v>24071949.040000003</v>
      </c>
      <c r="AU24" s="29"/>
      <c r="AW24" s="29"/>
    </row>
    <row r="25" spans="1:49" s="17" customFormat="1" ht="10.9" customHeight="1" x14ac:dyDescent="0.3">
      <c r="A25" s="30">
        <v>21.11</v>
      </c>
      <c r="B25" s="31"/>
      <c r="C25" s="32">
        <v>25450</v>
      </c>
      <c r="D25" s="33">
        <f t="shared" si="5"/>
        <v>24046499.040000003</v>
      </c>
      <c r="AU25" s="29"/>
      <c r="AW25" s="29"/>
    </row>
    <row r="26" spans="1:49" s="17" customFormat="1" ht="11.25" x14ac:dyDescent="0.3">
      <c r="A26" s="34" t="s">
        <v>21</v>
      </c>
      <c r="B26" s="26"/>
      <c r="C26" s="27">
        <v>457391</v>
      </c>
      <c r="D26" s="28">
        <f t="shared" si="5"/>
        <v>23589108.040000003</v>
      </c>
      <c r="AU26" s="29"/>
      <c r="AW26" s="29"/>
    </row>
    <row r="27" spans="1:49" s="17" customFormat="1" ht="11.25" x14ac:dyDescent="0.3">
      <c r="A27" s="30">
        <v>21.12</v>
      </c>
      <c r="B27" s="31"/>
      <c r="C27" s="32">
        <v>23400</v>
      </c>
      <c r="D27" s="33">
        <f t="shared" si="5"/>
        <v>23565708.040000003</v>
      </c>
      <c r="AU27" s="29"/>
      <c r="AW27" s="29"/>
    </row>
    <row r="28" spans="1:49" s="17" customFormat="1" ht="11.25" x14ac:dyDescent="0.3">
      <c r="A28" s="34" t="s">
        <v>22</v>
      </c>
      <c r="B28" s="26"/>
      <c r="C28" s="27">
        <v>477210</v>
      </c>
      <c r="D28" s="28">
        <f t="shared" si="5"/>
        <v>23088498.040000003</v>
      </c>
      <c r="AU28" s="29"/>
      <c r="AW28" s="29"/>
    </row>
    <row r="29" spans="1:49" s="17" customFormat="1" ht="11.25" x14ac:dyDescent="0.3">
      <c r="A29" s="30">
        <v>22.01</v>
      </c>
      <c r="B29" s="31"/>
      <c r="C29" s="32">
        <v>260419.20000000001</v>
      </c>
      <c r="D29" s="33">
        <f t="shared" si="5"/>
        <v>22828078.840000004</v>
      </c>
      <c r="AU29" s="29"/>
      <c r="AW29" s="29"/>
    </row>
    <row r="30" spans="1:49" s="17" customFormat="1" ht="11.25" x14ac:dyDescent="0.3">
      <c r="A30" s="34" t="s">
        <v>23</v>
      </c>
      <c r="B30" s="26"/>
      <c r="C30" s="27">
        <v>295476</v>
      </c>
      <c r="D30" s="28">
        <f t="shared" si="5"/>
        <v>22532602.840000004</v>
      </c>
      <c r="AU30" s="29"/>
      <c r="AW30" s="29"/>
    </row>
    <row r="31" spans="1:49" s="17" customFormat="1" ht="11.25" x14ac:dyDescent="0.3">
      <c r="A31" s="30">
        <v>22.02</v>
      </c>
      <c r="B31" s="31"/>
      <c r="C31" s="36">
        <v>482780.27999999991</v>
      </c>
      <c r="D31" s="33">
        <f t="shared" si="5"/>
        <v>22049822.560000002</v>
      </c>
      <c r="AU31" s="29"/>
      <c r="AW31" s="29"/>
    </row>
    <row r="32" spans="1:49" s="17" customFormat="1" ht="11.25" x14ac:dyDescent="0.3">
      <c r="A32" s="30">
        <v>22.03</v>
      </c>
      <c r="B32" s="31"/>
      <c r="C32" s="36">
        <v>905174.87999999989</v>
      </c>
      <c r="D32" s="33">
        <f t="shared" si="5"/>
        <v>21144647.680000003</v>
      </c>
      <c r="AU32" s="29"/>
      <c r="AW32" s="29"/>
    </row>
    <row r="33" spans="1:49" s="17" customFormat="1" ht="11.25" x14ac:dyDescent="0.3">
      <c r="A33" s="34" t="s">
        <v>24</v>
      </c>
      <c r="B33" s="26"/>
      <c r="C33" s="37">
        <v>113872</v>
      </c>
      <c r="D33" s="28">
        <f t="shared" si="5"/>
        <v>21030775.680000003</v>
      </c>
      <c r="AU33" s="29"/>
      <c r="AW33" s="29"/>
    </row>
    <row r="34" spans="1:49" s="17" customFormat="1" ht="19.899999999999999" customHeight="1" x14ac:dyDescent="0.3">
      <c r="A34" s="30">
        <v>22.04</v>
      </c>
      <c r="B34" s="35"/>
      <c r="C34" s="36">
        <v>905174.87999999989</v>
      </c>
      <c r="D34" s="33">
        <f t="shared" ref="D34:D39" si="6">D33-C34</f>
        <v>20125600.800000004</v>
      </c>
    </row>
    <row r="35" spans="1:49" s="17" customFormat="1" ht="11.25" x14ac:dyDescent="0.3">
      <c r="A35" s="34" t="s">
        <v>26</v>
      </c>
      <c r="B35" s="26"/>
      <c r="C35" s="37">
        <v>169682</v>
      </c>
      <c r="D35" s="28">
        <f t="shared" si="6"/>
        <v>19955918.800000004</v>
      </c>
      <c r="AU35" s="29"/>
      <c r="AW35" s="29"/>
    </row>
    <row r="36" spans="1:49" s="17" customFormat="1" ht="11.25" x14ac:dyDescent="0.3">
      <c r="A36" s="30">
        <v>22.05</v>
      </c>
      <c r="B36" s="31"/>
      <c r="C36" s="32">
        <v>1300003.9799999997</v>
      </c>
      <c r="D36" s="33">
        <f t="shared" si="6"/>
        <v>18655914.820000004</v>
      </c>
      <c r="AU36" s="29"/>
      <c r="AW36" s="29"/>
    </row>
    <row r="37" spans="1:49" s="17" customFormat="1" ht="11.25" x14ac:dyDescent="0.3">
      <c r="A37" s="38" t="s">
        <v>28</v>
      </c>
      <c r="B37" s="39"/>
      <c r="C37" s="28">
        <v>105406</v>
      </c>
      <c r="D37" s="28">
        <f t="shared" si="6"/>
        <v>18550508.820000004</v>
      </c>
    </row>
    <row r="38" spans="1:49" s="17" customFormat="1" ht="11.25" x14ac:dyDescent="0.3">
      <c r="A38" s="30">
        <v>22.06</v>
      </c>
      <c r="B38" s="31"/>
      <c r="C38" s="32">
        <v>103000</v>
      </c>
      <c r="D38" s="33">
        <f t="shared" si="6"/>
        <v>18447508.820000004</v>
      </c>
      <c r="AU38" s="29"/>
      <c r="AW38" s="29"/>
    </row>
    <row r="39" spans="1:49" s="17" customFormat="1" ht="11.25" x14ac:dyDescent="0.3">
      <c r="A39" s="38" t="s">
        <v>27</v>
      </c>
      <c r="B39" s="39"/>
      <c r="C39" s="28">
        <v>588627</v>
      </c>
      <c r="D39" s="28">
        <f t="shared" si="6"/>
        <v>17858881.820000004</v>
      </c>
    </row>
    <row r="40" spans="1:49" s="17" customFormat="1" ht="11.25" x14ac:dyDescent="0.3">
      <c r="A40" s="30">
        <v>22.07</v>
      </c>
      <c r="B40" s="31"/>
      <c r="C40" s="32">
        <v>21828.480000000003</v>
      </c>
      <c r="D40" s="33">
        <f t="shared" ref="D40:D45" si="7">D39-C40</f>
        <v>17837053.340000004</v>
      </c>
    </row>
    <row r="41" spans="1:49" s="17" customFormat="1" ht="11.25" x14ac:dyDescent="0.3">
      <c r="A41" s="38" t="s">
        <v>40</v>
      </c>
      <c r="B41" s="39"/>
      <c r="C41" s="28">
        <v>631815</v>
      </c>
      <c r="D41" s="28">
        <f t="shared" si="7"/>
        <v>17205238.340000004</v>
      </c>
    </row>
    <row r="42" spans="1:49" s="17" customFormat="1" ht="11.25" x14ac:dyDescent="0.3">
      <c r="A42" s="48">
        <v>22.08</v>
      </c>
      <c r="B42" s="49"/>
      <c r="C42" s="36">
        <v>22375.68</v>
      </c>
      <c r="D42" s="33">
        <f t="shared" si="7"/>
        <v>17182862.660000004</v>
      </c>
    </row>
    <row r="43" spans="1:49" s="17" customFormat="1" ht="11.25" x14ac:dyDescent="0.3">
      <c r="A43" s="50" t="s">
        <v>103</v>
      </c>
      <c r="B43" s="51"/>
      <c r="C43" s="52">
        <v>557461</v>
      </c>
      <c r="D43" s="28">
        <f t="shared" si="7"/>
        <v>16625401.660000004</v>
      </c>
    </row>
    <row r="44" spans="1:49" s="17" customFormat="1" ht="11.25" x14ac:dyDescent="0.3">
      <c r="A44" s="30">
        <v>22.09</v>
      </c>
      <c r="B44" s="31"/>
      <c r="C44" s="32">
        <v>464043.95999999996</v>
      </c>
      <c r="D44" s="33">
        <f t="shared" si="7"/>
        <v>16161357.700000003</v>
      </c>
    </row>
    <row r="45" spans="1:49" s="17" customFormat="1" ht="11.25" x14ac:dyDescent="0.3">
      <c r="A45" s="38" t="s">
        <v>102</v>
      </c>
      <c r="B45" s="39"/>
      <c r="C45" s="28">
        <v>290215</v>
      </c>
      <c r="D45" s="28">
        <f>D44-C45</f>
        <v>15871142.700000003</v>
      </c>
    </row>
    <row r="46" spans="1:49" s="17" customFormat="1" ht="11.25" x14ac:dyDescent="0.3">
      <c r="A46" s="54">
        <v>22.1</v>
      </c>
      <c r="B46" s="53"/>
      <c r="C46" s="33">
        <f>BO8</f>
        <v>128069.7</v>
      </c>
      <c r="D46" s="33">
        <f>D45-C46</f>
        <v>15743073.000000004</v>
      </c>
    </row>
    <row r="47" spans="1:49" s="17" customFormat="1" ht="11.25" x14ac:dyDescent="0.3">
      <c r="A47" s="38" t="s">
        <v>104</v>
      </c>
      <c r="B47" s="39"/>
      <c r="C47" s="28">
        <v>117731</v>
      </c>
      <c r="D47" s="28">
        <f>D46-C47</f>
        <v>15625342.000000004</v>
      </c>
    </row>
    <row r="48" spans="1:49" s="17" customFormat="1" ht="11.25" x14ac:dyDescent="0.3">
      <c r="A48" s="19" t="s">
        <v>25</v>
      </c>
      <c r="B48" s="22">
        <f>SUM(B11:B39)</f>
        <v>30000000</v>
      </c>
      <c r="C48" s="22">
        <f>SUM(C11:C45)</f>
        <v>14128857.300000001</v>
      </c>
      <c r="D48" s="22"/>
    </row>
    <row r="49" spans="1:65" x14ac:dyDescent="0.3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1"/>
    </row>
    <row r="50" spans="1:65" x14ac:dyDescent="0.3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1"/>
    </row>
    <row r="51" spans="1:65" x14ac:dyDescent="0.3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8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3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8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3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8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3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8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8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3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8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3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8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8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3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8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3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3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8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8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3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3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8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3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8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3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8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8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3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8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3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8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8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3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8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3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3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3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8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3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3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3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8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3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8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3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8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3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8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3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8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3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8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3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8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3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8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8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3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8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3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8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3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8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8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3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8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8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3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8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3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3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3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3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3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8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8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8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8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8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8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8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8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8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8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8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8"/>
      <c r="AD115" s="7"/>
      <c r="AE115" s="7"/>
      <c r="AF115" s="8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8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8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8"/>
      <c r="AS124" s="8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8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8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8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8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8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8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1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1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1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1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1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1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1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1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1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1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8"/>
      <c r="L151" s="8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8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8"/>
      <c r="AR151" s="8"/>
      <c r="AS151" s="8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8"/>
      <c r="AS152" s="8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8"/>
      <c r="AD153" s="8"/>
      <c r="AE153" s="7"/>
      <c r="AF153" s="8"/>
      <c r="AG153" s="8"/>
      <c r="AH153" s="7"/>
      <c r="AI153" s="7"/>
      <c r="AJ153" s="7"/>
      <c r="AK153" s="7"/>
      <c r="AL153" s="7"/>
      <c r="AM153" s="7"/>
      <c r="AN153" s="7"/>
      <c r="AO153" s="8"/>
      <c r="AP153" s="7"/>
      <c r="AQ153" s="7"/>
      <c r="AR153" s="8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8"/>
      <c r="L154" s="8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8"/>
      <c r="AF154" s="8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8"/>
      <c r="K155" s="8"/>
      <c r="L155" s="8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8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8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8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8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8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8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8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8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8"/>
      <c r="AD159" s="7"/>
      <c r="AE159" s="7"/>
      <c r="AF159" s="8"/>
      <c r="AG159" s="8"/>
      <c r="AH159" s="7"/>
      <c r="AI159" s="7"/>
      <c r="AJ159" s="7"/>
      <c r="AK159" s="7"/>
      <c r="AL159" s="7"/>
      <c r="AM159" s="7"/>
      <c r="AN159" s="7"/>
      <c r="AO159" s="8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8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8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8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8"/>
      <c r="AF161" s="8"/>
      <c r="AG161" s="8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8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8"/>
      <c r="AF162" s="8"/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8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8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8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8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8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8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8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8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8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8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8"/>
      <c r="AP172" s="8"/>
      <c r="AQ172" s="7"/>
      <c r="AR172" s="8"/>
      <c r="AS172" s="8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8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8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8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8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8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8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8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8"/>
      <c r="AD180" s="8"/>
      <c r="AE180" s="7"/>
      <c r="AF180" s="7"/>
      <c r="AG180" s="8"/>
      <c r="AH180" s="7"/>
      <c r="AI180" s="7"/>
      <c r="AJ180" s="7"/>
      <c r="AK180" s="7"/>
      <c r="AL180" s="7"/>
      <c r="AM180" s="7"/>
      <c r="AN180" s="7"/>
      <c r="AO180" s="8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8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8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8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8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8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8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8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8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8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8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8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8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8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8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8"/>
      <c r="AD202" s="8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8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8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8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8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8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8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8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8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8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8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8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8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8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8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8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8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8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8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8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8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8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8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8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8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8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8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8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8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8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8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8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8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8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8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8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8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8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8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8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8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8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8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8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8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8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8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8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0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8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0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0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0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0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0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1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1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1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1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1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1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1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1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1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1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1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1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1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1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1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1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1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1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1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1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1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1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1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1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1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1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11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1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8"/>
      <c r="L322" s="8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8"/>
      <c r="AF322" s="8"/>
      <c r="AG322" s="8"/>
      <c r="AH322" s="7"/>
      <c r="AI322" s="7"/>
      <c r="AJ322" s="7"/>
      <c r="AK322" s="8"/>
      <c r="AL322" s="8"/>
      <c r="AM322" s="8"/>
      <c r="AN322" s="7"/>
      <c r="AO322" s="7"/>
      <c r="AP322" s="7"/>
      <c r="AQ322" s="8"/>
      <c r="AR322" s="8"/>
      <c r="AS322" s="8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8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8"/>
      <c r="AF323" s="8"/>
      <c r="AG323" s="8"/>
      <c r="AH323" s="7"/>
      <c r="AI323" s="7"/>
      <c r="AJ323" s="7"/>
      <c r="AK323" s="8"/>
      <c r="AL323" s="8"/>
      <c r="AM323" s="8"/>
      <c r="AN323" s="7"/>
      <c r="AO323" s="7"/>
      <c r="AP323" s="7"/>
      <c r="AQ323" s="7"/>
      <c r="AR323" s="8"/>
      <c r="AS323" s="8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8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8"/>
      <c r="AF324" s="8"/>
      <c r="AG324" s="8"/>
      <c r="AH324" s="7"/>
      <c r="AI324" s="7"/>
      <c r="AJ324" s="7"/>
      <c r="AK324" s="8"/>
      <c r="AL324" s="8"/>
      <c r="AM324" s="8"/>
      <c r="AN324" s="7"/>
      <c r="AO324" s="7"/>
      <c r="AP324" s="7"/>
      <c r="AQ324" s="8"/>
      <c r="AR324" s="8"/>
      <c r="AS324" s="8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8"/>
      <c r="AF325" s="8"/>
      <c r="AG325" s="8"/>
      <c r="AH325" s="7"/>
      <c r="AI325" s="7"/>
      <c r="AJ325" s="7"/>
      <c r="AK325" s="8"/>
      <c r="AL325" s="8"/>
      <c r="AM325" s="8"/>
      <c r="AN325" s="7"/>
      <c r="AO325" s="7"/>
      <c r="AP325" s="7"/>
      <c r="AQ325" s="8"/>
      <c r="AR325" s="8"/>
      <c r="AS325" s="8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8"/>
      <c r="AH326" s="7"/>
      <c r="AI326" s="7"/>
      <c r="AJ326" s="7"/>
      <c r="AK326" s="7"/>
      <c r="AL326" s="8"/>
      <c r="AM326" s="8"/>
      <c r="AN326" s="7"/>
      <c r="AO326" s="7"/>
      <c r="AP326" s="7"/>
      <c r="AQ326" s="7"/>
      <c r="AR326" s="8"/>
      <c r="AS326" s="8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8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8"/>
      <c r="AF327" s="8"/>
      <c r="AG327" s="8"/>
      <c r="AH327" s="7"/>
      <c r="AI327" s="7"/>
      <c r="AJ327" s="7"/>
      <c r="AK327" s="8"/>
      <c r="AL327" s="8"/>
      <c r="AM327" s="8"/>
      <c r="AN327" s="7"/>
      <c r="AO327" s="7"/>
      <c r="AP327" s="7"/>
      <c r="AQ327" s="7"/>
      <c r="AR327" s="8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8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8"/>
      <c r="AF328" s="8"/>
      <c r="AG328" s="8"/>
      <c r="AH328" s="7"/>
      <c r="AI328" s="7"/>
      <c r="AJ328" s="7"/>
      <c r="AK328" s="8"/>
      <c r="AL328" s="8"/>
      <c r="AM328" s="8"/>
      <c r="AN328" s="7"/>
      <c r="AO328" s="7"/>
      <c r="AP328" s="7"/>
      <c r="AQ328" s="7"/>
      <c r="AR328" s="8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8"/>
      <c r="AF329" s="8"/>
      <c r="AG329" s="8"/>
      <c r="AH329" s="7"/>
      <c r="AI329" s="7"/>
      <c r="AJ329" s="7"/>
      <c r="AK329" s="8"/>
      <c r="AL329" s="8"/>
      <c r="AM329" s="8"/>
      <c r="AN329" s="7"/>
      <c r="AO329" s="7"/>
      <c r="AP329" s="7"/>
      <c r="AQ329" s="7"/>
      <c r="AR329" s="8"/>
      <c r="AS329" s="8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8"/>
      <c r="L330" s="8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8"/>
      <c r="AF330" s="8"/>
      <c r="AG330" s="8"/>
      <c r="AH330" s="7"/>
      <c r="AI330" s="7"/>
      <c r="AJ330" s="7"/>
      <c r="AK330" s="8"/>
      <c r="AL330" s="8"/>
      <c r="AM330" s="8"/>
      <c r="AN330" s="7"/>
      <c r="AO330" s="7"/>
      <c r="AP330" s="7"/>
      <c r="AQ330" s="7"/>
      <c r="AR330" s="8"/>
      <c r="AS330" s="8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8"/>
      <c r="AF331" s="8"/>
      <c r="AG331" s="8"/>
      <c r="AH331" s="7"/>
      <c r="AI331" s="7"/>
      <c r="AJ331" s="7"/>
      <c r="AK331" s="8"/>
      <c r="AL331" s="8"/>
      <c r="AM331" s="8"/>
      <c r="AN331" s="7"/>
      <c r="AO331" s="7"/>
      <c r="AP331" s="7"/>
      <c r="AQ331" s="7"/>
      <c r="AR331" s="8"/>
      <c r="AS331" s="8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8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8"/>
      <c r="AF332" s="8"/>
      <c r="AG332" s="8"/>
      <c r="AH332" s="7"/>
      <c r="AI332" s="7"/>
      <c r="AJ332" s="7"/>
      <c r="AK332" s="8"/>
      <c r="AL332" s="8"/>
      <c r="AM332" s="8"/>
      <c r="AN332" s="7"/>
      <c r="AO332" s="7"/>
      <c r="AP332" s="7"/>
      <c r="AQ332" s="7"/>
      <c r="AR332" s="8"/>
      <c r="AS332" s="8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8"/>
      <c r="AH333" s="7"/>
      <c r="AI333" s="7"/>
      <c r="AJ333" s="7"/>
      <c r="AK333" s="8"/>
      <c r="AL333" s="8"/>
      <c r="AM333" s="8"/>
      <c r="AN333" s="7"/>
      <c r="AO333" s="7"/>
      <c r="AP333" s="7"/>
      <c r="AQ333" s="7"/>
      <c r="AR333" s="8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8"/>
      <c r="AH334" s="7"/>
      <c r="AI334" s="7"/>
      <c r="AJ334" s="7"/>
      <c r="AK334" s="7"/>
      <c r="AL334" s="8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8"/>
      <c r="K335" s="7"/>
      <c r="L335" s="8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8"/>
      <c r="AH335" s="7"/>
      <c r="AI335" s="7"/>
      <c r="AJ335" s="7"/>
      <c r="AK335" s="7"/>
      <c r="AL335" s="8"/>
      <c r="AM335" s="8"/>
      <c r="AN335" s="7"/>
      <c r="AO335" s="7"/>
      <c r="AP335" s="7"/>
      <c r="AQ335" s="7"/>
      <c r="AR335" s="8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8"/>
      <c r="AM336" s="8"/>
      <c r="AN336" s="7"/>
      <c r="AO336" s="7"/>
      <c r="AP336" s="7"/>
      <c r="AQ336" s="7"/>
      <c r="AR336" s="8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8"/>
      <c r="AM337" s="8"/>
      <c r="AN337" s="7"/>
      <c r="AO337" s="7"/>
      <c r="AP337" s="7"/>
      <c r="AQ337" s="7"/>
      <c r="AR337" s="8"/>
      <c r="AS337" s="8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8"/>
      <c r="AH338" s="7"/>
      <c r="AI338" s="7"/>
      <c r="AJ338" s="7"/>
      <c r="AK338" s="7"/>
      <c r="AL338" s="8"/>
      <c r="AM338" s="8"/>
      <c r="AN338" s="7"/>
      <c r="AO338" s="7"/>
      <c r="AP338" s="7"/>
      <c r="AQ338" s="7"/>
      <c r="AR338" s="8"/>
      <c r="AS338" s="8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8"/>
      <c r="AJ339" s="8"/>
      <c r="AK339" s="7"/>
      <c r="AL339" s="7"/>
      <c r="AM339" s="7"/>
      <c r="AN339" s="7"/>
      <c r="AO339" s="7"/>
      <c r="AP339" s="7"/>
      <c r="AQ339" s="7"/>
      <c r="AR339" s="8"/>
      <c r="AS339" s="8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8"/>
      <c r="AM340" s="8"/>
      <c r="AN340" s="7"/>
      <c r="AO340" s="7"/>
      <c r="AP340" s="7"/>
      <c r="AQ340" s="7"/>
      <c r="AR340" s="8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8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8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8"/>
      <c r="AS342" s="8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9"/>
      <c r="BM342" s="10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8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8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8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8"/>
      <c r="AM348" s="8"/>
      <c r="AN348" s="7"/>
      <c r="AO348" s="7"/>
      <c r="AP348" s="7"/>
      <c r="AQ348" s="7"/>
      <c r="AR348" s="8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8"/>
      <c r="AH349" s="7"/>
      <c r="AI349" s="7"/>
      <c r="AJ349" s="7"/>
      <c r="AK349" s="7"/>
      <c r="AL349" s="8"/>
      <c r="AM349" s="8"/>
      <c r="AN349" s="7"/>
      <c r="AO349" s="7"/>
      <c r="AP349" s="7"/>
      <c r="AQ349" s="7"/>
      <c r="AR349" s="8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8"/>
      <c r="AM350" s="7"/>
      <c r="AN350" s="7"/>
      <c r="AO350" s="7"/>
      <c r="AP350" s="7"/>
      <c r="AQ350" s="7"/>
      <c r="AR350" s="8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8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9"/>
      <c r="BM351" s="10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9"/>
      <c r="BM352" s="10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8"/>
      <c r="AH353" s="7"/>
      <c r="AI353" s="7"/>
      <c r="AJ353" s="7"/>
      <c r="AK353" s="7"/>
      <c r="AL353" s="8"/>
      <c r="AM353" s="8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8"/>
      <c r="AH354" s="7"/>
      <c r="AI354" s="7"/>
      <c r="AJ354" s="7"/>
      <c r="AK354" s="7"/>
      <c r="AL354" s="8"/>
      <c r="AM354" s="8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8"/>
      <c r="AM355" s="8"/>
      <c r="AN355" s="7"/>
      <c r="AO355" s="7"/>
      <c r="AP355" s="7"/>
      <c r="AQ355" s="7"/>
      <c r="AR355" s="8"/>
      <c r="AS355" s="8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/>
      <c r="BM355" s="10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8"/>
      <c r="AH356" s="7"/>
      <c r="AI356" s="7"/>
      <c r="AJ356" s="7"/>
      <c r="AK356" s="7"/>
      <c r="AL356" s="8"/>
      <c r="AM356" s="8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9"/>
      <c r="BM356" s="10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10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0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8"/>
      <c r="AM359" s="7"/>
      <c r="AN359" s="7"/>
      <c r="AO359" s="7"/>
      <c r="AP359" s="7"/>
      <c r="AQ359" s="7"/>
      <c r="AR359" s="8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9"/>
      <c r="BM359" s="10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8"/>
      <c r="AM360" s="8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9"/>
      <c r="BM360" s="10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8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9"/>
      <c r="BM361" s="10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8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8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8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9"/>
      <c r="BM364" s="10"/>
    </row>
    <row r="365" spans="1:65" x14ac:dyDescent="0.3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8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0"/>
    </row>
    <row r="366" spans="1:65" x14ac:dyDescent="0.3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7"/>
      <c r="AH366" s="7"/>
      <c r="AI366" s="7"/>
      <c r="AJ366" s="7"/>
      <c r="AK366" s="7"/>
      <c r="AL366" s="8"/>
      <c r="AM366" s="8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10"/>
    </row>
    <row r="367" spans="1:65" x14ac:dyDescent="0.3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8"/>
      <c r="AM367" s="8"/>
      <c r="AN367" s="7"/>
      <c r="AO367" s="7"/>
      <c r="AP367" s="7"/>
      <c r="AQ367" s="7"/>
      <c r="AR367" s="8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0"/>
    </row>
    <row r="368" spans="1:65" x14ac:dyDescent="0.3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8"/>
      <c r="AJ368" s="7"/>
      <c r="AK368" s="7"/>
      <c r="AL368" s="8"/>
      <c r="AM368" s="7"/>
      <c r="AN368" s="7"/>
      <c r="AO368" s="8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9"/>
      <c r="BM368" s="10"/>
    </row>
    <row r="369" spans="1:65" x14ac:dyDescent="0.3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8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9"/>
      <c r="BM369" s="10"/>
    </row>
    <row r="370" spans="1:65" x14ac:dyDescent="0.3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8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8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9"/>
      <c r="BM370" s="10"/>
    </row>
    <row r="371" spans="1:65" x14ac:dyDescent="0.3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8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9"/>
      <c r="BM371" s="10"/>
    </row>
    <row r="372" spans="1:65" x14ac:dyDescent="0.3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8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0"/>
    </row>
    <row r="373" spans="1:65" x14ac:dyDescent="0.3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8"/>
      <c r="AG373" s="7"/>
      <c r="AH373" s="7"/>
      <c r="AI373" s="7"/>
      <c r="AJ373" s="7"/>
      <c r="AK373" s="7"/>
      <c r="AL373" s="8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9"/>
      <c r="BM373" s="10"/>
    </row>
    <row r="374" spans="1:65" x14ac:dyDescent="0.3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8"/>
      <c r="AS374" s="8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0"/>
    </row>
    <row r="375" spans="1:65" x14ac:dyDescent="0.3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7"/>
      <c r="AH375" s="7"/>
      <c r="AI375" s="7"/>
      <c r="AJ375" s="7"/>
      <c r="AK375" s="7"/>
      <c r="AL375" s="8"/>
      <c r="AM375" s="8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9"/>
      <c r="BM375" s="10"/>
    </row>
    <row r="376" spans="1:65" x14ac:dyDescent="0.3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8"/>
      <c r="AM376" s="8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9"/>
      <c r="BM376" s="10"/>
    </row>
    <row r="377" spans="1:65" x14ac:dyDescent="0.3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8"/>
      <c r="AG377" s="7"/>
      <c r="AH377" s="7"/>
      <c r="AI377" s="7"/>
      <c r="AJ377" s="7"/>
      <c r="AK377" s="7"/>
      <c r="AL377" s="7"/>
      <c r="AM377" s="8"/>
      <c r="AN377" s="7"/>
      <c r="AO377" s="7"/>
      <c r="AP377" s="7"/>
      <c r="AQ377" s="7"/>
      <c r="AR377" s="8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0"/>
    </row>
    <row r="378" spans="1:65" x14ac:dyDescent="0.3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8"/>
      <c r="AG378" s="7"/>
      <c r="AH378" s="7"/>
      <c r="AI378" s="7"/>
      <c r="AJ378" s="7"/>
      <c r="AK378" s="7"/>
      <c r="AL378" s="8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9"/>
      <c r="BM378" s="10"/>
    </row>
    <row r="379" spans="1:65" x14ac:dyDescent="0.3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8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9"/>
      <c r="BM379" s="10"/>
    </row>
    <row r="380" spans="1:65" x14ac:dyDescent="0.3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8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9"/>
      <c r="BM380" s="10"/>
    </row>
    <row r="381" spans="1:65" x14ac:dyDescent="0.3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8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0"/>
    </row>
    <row r="382" spans="1:65" x14ac:dyDescent="0.3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8"/>
      <c r="AG382" s="7"/>
      <c r="AH382" s="7"/>
      <c r="AI382" s="7"/>
      <c r="AJ382" s="7"/>
      <c r="AK382" s="7"/>
      <c r="AL382" s="8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9"/>
      <c r="BM382" s="10"/>
    </row>
    <row r="383" spans="1:65" x14ac:dyDescent="0.3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8"/>
      <c r="AN383" s="7"/>
      <c r="AO383" s="7"/>
      <c r="AP383" s="7"/>
      <c r="AQ383" s="7"/>
      <c r="AR383" s="8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10"/>
    </row>
    <row r="384" spans="1:65" x14ac:dyDescent="0.3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8"/>
      <c r="AG384" s="7"/>
      <c r="AH384" s="7"/>
      <c r="AI384" s="7"/>
      <c r="AJ384" s="7"/>
      <c r="AK384" s="7"/>
      <c r="AL384" s="8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9"/>
      <c r="BM384" s="10"/>
    </row>
    <row r="385" spans="1:65" x14ac:dyDescent="0.3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8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9"/>
      <c r="BM385" s="10"/>
    </row>
    <row r="386" spans="1:65" x14ac:dyDescent="0.3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8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10"/>
    </row>
    <row r="387" spans="1:65" x14ac:dyDescent="0.3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8"/>
      <c r="AG387" s="8"/>
      <c r="AH387" s="7"/>
      <c r="AI387" s="7"/>
      <c r="AJ387" s="7"/>
      <c r="AK387" s="7"/>
      <c r="AL387" s="8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3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8"/>
      <c r="AM388" s="7"/>
      <c r="AN388" s="7"/>
      <c r="AO388" s="7"/>
      <c r="AP388" s="7"/>
      <c r="AQ388" s="7"/>
      <c r="AR388" s="8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9"/>
      <c r="BM388" s="10"/>
    </row>
    <row r="389" spans="1:65" x14ac:dyDescent="0.3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8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9"/>
      <c r="BM389" s="10"/>
    </row>
    <row r="390" spans="1:65" x14ac:dyDescent="0.3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8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9"/>
      <c r="BM390" s="10"/>
    </row>
    <row r="391" spans="1:65" x14ac:dyDescent="0.3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8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10"/>
    </row>
    <row r="392" spans="1:65" x14ac:dyDescent="0.3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8"/>
      <c r="AG392" s="7"/>
      <c r="AH392" s="7"/>
      <c r="AI392" s="7"/>
      <c r="AJ392" s="7"/>
      <c r="AK392" s="7"/>
      <c r="AL392" s="8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0"/>
    </row>
    <row r="393" spans="1:65" x14ac:dyDescent="0.3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8"/>
      <c r="AG393" s="7"/>
      <c r="AH393" s="7"/>
      <c r="AI393" s="7"/>
      <c r="AJ393" s="7"/>
      <c r="AK393" s="7"/>
      <c r="AL393" s="8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9"/>
      <c r="BM393" s="10"/>
    </row>
    <row r="394" spans="1:65" x14ac:dyDescent="0.3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8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9"/>
      <c r="BM394" s="10"/>
    </row>
    <row r="395" spans="1:65" x14ac:dyDescent="0.3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8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8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10"/>
    </row>
    <row r="396" spans="1:65" x14ac:dyDescent="0.3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8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9"/>
      <c r="BM396" s="10"/>
    </row>
    <row r="397" spans="1:65" x14ac:dyDescent="0.3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8"/>
      <c r="AG397" s="8"/>
      <c r="AH397" s="7"/>
      <c r="AI397" s="7"/>
      <c r="AJ397" s="7"/>
      <c r="AK397" s="7"/>
      <c r="AL397" s="7"/>
      <c r="AM397" s="8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0"/>
    </row>
    <row r="398" spans="1:65" x14ac:dyDescent="0.3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8"/>
      <c r="AH398" s="7"/>
      <c r="AI398" s="7"/>
      <c r="AJ398" s="7"/>
      <c r="AK398" s="7"/>
      <c r="AL398" s="7"/>
      <c r="AM398" s="8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0"/>
    </row>
    <row r="399" spans="1:65" x14ac:dyDescent="0.3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8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3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8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3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8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9"/>
      <c r="BM401" s="10"/>
    </row>
    <row r="402" spans="1:65" x14ac:dyDescent="0.3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8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0"/>
    </row>
    <row r="403" spans="1:65" x14ac:dyDescent="0.3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8"/>
      <c r="AM403" s="8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0"/>
    </row>
    <row r="404" spans="1:65" x14ac:dyDescent="0.3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8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0"/>
    </row>
    <row r="405" spans="1:65" x14ac:dyDescent="0.3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8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9"/>
      <c r="BM405" s="10"/>
    </row>
    <row r="406" spans="1:65" x14ac:dyDescent="0.3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8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0"/>
    </row>
    <row r="407" spans="1:65" x14ac:dyDescent="0.3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8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0"/>
    </row>
    <row r="408" spans="1:65" x14ac:dyDescent="0.3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8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3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8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0"/>
    </row>
    <row r="410" spans="1:65" x14ac:dyDescent="0.3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8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3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8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0"/>
    </row>
    <row r="412" spans="1:65" x14ac:dyDescent="0.3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8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3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8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3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8"/>
      <c r="AH414" s="7"/>
      <c r="AI414" s="7"/>
      <c r="AJ414" s="7"/>
      <c r="AK414" s="7"/>
      <c r="AL414" s="7"/>
      <c r="AM414" s="8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0"/>
    </row>
    <row r="415" spans="1:65" x14ac:dyDescent="0.3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8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0"/>
    </row>
    <row r="416" spans="1:65" x14ac:dyDescent="0.3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8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0"/>
    </row>
    <row r="417" spans="1:65" x14ac:dyDescent="0.3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8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0"/>
    </row>
    <row r="418" spans="1:65" x14ac:dyDescent="0.3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8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10"/>
    </row>
    <row r="419" spans="1:65" x14ac:dyDescent="0.3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8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0"/>
    </row>
    <row r="420" spans="1:65" x14ac:dyDescent="0.3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8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0"/>
    </row>
    <row r="421" spans="1:65" x14ac:dyDescent="0.3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8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0"/>
    </row>
    <row r="422" spans="1:65" x14ac:dyDescent="0.3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8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0"/>
    </row>
    <row r="423" spans="1:65" x14ac:dyDescent="0.3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8"/>
      <c r="AG423" s="7"/>
      <c r="AH423" s="7"/>
      <c r="AI423" s="7"/>
      <c r="AJ423" s="7"/>
      <c r="AK423" s="7"/>
      <c r="AL423" s="7"/>
      <c r="AM423" s="8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0"/>
    </row>
    <row r="424" spans="1:65" x14ac:dyDescent="0.3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8"/>
      <c r="AG424" s="7"/>
      <c r="AH424" s="7"/>
      <c r="AI424" s="7"/>
      <c r="AJ424" s="7"/>
      <c r="AK424" s="7"/>
      <c r="AL424" s="7"/>
      <c r="AM424" s="8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0"/>
    </row>
    <row r="425" spans="1:65" x14ac:dyDescent="0.3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8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0"/>
    </row>
    <row r="426" spans="1:65" x14ac:dyDescent="0.3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8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0"/>
    </row>
    <row r="427" spans="1:65" x14ac:dyDescent="0.3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8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0"/>
    </row>
    <row r="428" spans="1:65" x14ac:dyDescent="0.3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8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0"/>
    </row>
    <row r="429" spans="1:65" x14ac:dyDescent="0.3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8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0"/>
    </row>
    <row r="430" spans="1:65" x14ac:dyDescent="0.3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8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0"/>
    </row>
    <row r="431" spans="1:65" x14ac:dyDescent="0.3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8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0"/>
    </row>
    <row r="432" spans="1:65" x14ac:dyDescent="0.3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8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0"/>
    </row>
    <row r="433" spans="1:65" x14ac:dyDescent="0.3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0"/>
    </row>
    <row r="434" spans="1:65" x14ac:dyDescent="0.3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8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0"/>
    </row>
    <row r="435" spans="1:65" x14ac:dyDescent="0.3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8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0"/>
    </row>
    <row r="436" spans="1:65" x14ac:dyDescent="0.3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8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0"/>
    </row>
    <row r="437" spans="1:65" x14ac:dyDescent="0.3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1"/>
    </row>
    <row r="438" spans="1:65" x14ac:dyDescent="0.3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1"/>
    </row>
    <row r="439" spans="1:65" x14ac:dyDescent="0.3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1"/>
    </row>
    <row r="440" spans="1:65" x14ac:dyDescent="0.3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1"/>
    </row>
    <row r="441" spans="1:65" x14ac:dyDescent="0.3">
      <c r="A441" s="5"/>
      <c r="B441" s="5"/>
      <c r="C441" s="5"/>
      <c r="D441" s="6"/>
      <c r="E441" s="5"/>
      <c r="F441" s="5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11"/>
    </row>
    <row r="442" spans="1:65" x14ac:dyDescent="0.3">
      <c r="A442" s="5"/>
      <c r="B442" s="5"/>
      <c r="C442" s="5"/>
      <c r="D442" s="6"/>
      <c r="E442" s="5"/>
      <c r="F442" s="5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11"/>
    </row>
    <row r="443" spans="1:65" x14ac:dyDescent="0.3">
      <c r="A443" s="5"/>
      <c r="B443" s="5"/>
      <c r="C443" s="5"/>
      <c r="D443" s="6"/>
      <c r="E443" s="5"/>
      <c r="F443" s="5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11"/>
    </row>
    <row r="444" spans="1:65" x14ac:dyDescent="0.3">
      <c r="A444" s="5"/>
      <c r="B444" s="5"/>
      <c r="C444" s="5"/>
      <c r="D444" s="6"/>
      <c r="E444" s="5"/>
      <c r="F444" s="5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11"/>
    </row>
    <row r="445" spans="1:65" x14ac:dyDescent="0.3">
      <c r="A445" s="5"/>
      <c r="B445" s="5"/>
      <c r="C445" s="5"/>
      <c r="D445" s="6"/>
      <c r="E445" s="5"/>
      <c r="F445" s="5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11"/>
    </row>
    <row r="446" spans="1:65" x14ac:dyDescent="0.3">
      <c r="A446" s="5"/>
      <c r="B446" s="5"/>
      <c r="C446" s="5"/>
      <c r="D446" s="6"/>
      <c r="E446" s="5"/>
      <c r="F446" s="5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11"/>
    </row>
    <row r="447" spans="1:65" x14ac:dyDescent="0.3">
      <c r="A447" s="5"/>
      <c r="B447" s="5"/>
      <c r="C447" s="5"/>
      <c r="D447" s="6"/>
      <c r="E447" s="5"/>
      <c r="F447" s="5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11"/>
    </row>
    <row r="448" spans="1:65" x14ac:dyDescent="0.3">
      <c r="A448" s="5"/>
      <c r="B448" s="5"/>
      <c r="C448" s="5"/>
      <c r="D448" s="6"/>
      <c r="E448" s="5"/>
      <c r="F448" s="5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11"/>
    </row>
    <row r="449" spans="1:65" x14ac:dyDescent="0.3">
      <c r="A449" s="5"/>
      <c r="B449" s="5"/>
      <c r="C449" s="5"/>
      <c r="D449" s="6"/>
      <c r="E449" s="5"/>
      <c r="F449" s="5"/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11"/>
    </row>
    <row r="450" spans="1:65" x14ac:dyDescent="0.3">
      <c r="A450" s="5"/>
      <c r="B450" s="5"/>
      <c r="C450" s="5"/>
      <c r="D450" s="6"/>
      <c r="E450" s="5"/>
      <c r="F450" s="5"/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11"/>
    </row>
    <row r="451" spans="1:65" x14ac:dyDescent="0.3">
      <c r="A451" s="5"/>
      <c r="B451" s="5"/>
      <c r="C451" s="5"/>
      <c r="D451" s="6"/>
      <c r="E451" s="5"/>
      <c r="F451" s="5"/>
      <c r="G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2022-11-02T05:05:46Z</dcterms:modified>
</cp:coreProperties>
</file>