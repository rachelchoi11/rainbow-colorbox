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네이버\"/>
    </mc:Choice>
  </mc:AlternateContent>
  <bookViews>
    <workbookView xWindow="0" yWindow="0" windowWidth="23040" windowHeight="8955" tabRatio="766"/>
  </bookViews>
  <sheets>
    <sheet name="합계(10)" sheetId="412" r:id="rId1"/>
  </sheets>
  <definedNames>
    <definedName name="_xlnm._FilterDatabase" localSheetId="0" hidden="1">'합계(10)'!$A$1:$BQ$42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BO192" i="412" l="1"/>
  <c r="BO170" i="412"/>
  <c r="BO171" i="412"/>
  <c r="BO172" i="412"/>
  <c r="BO173" i="412"/>
  <c r="BO174" i="412"/>
  <c r="BO175" i="412"/>
  <c r="BO176" i="412"/>
  <c r="BO177" i="412"/>
  <c r="BO178" i="412"/>
  <c r="BO179" i="412"/>
  <c r="BO180" i="412"/>
  <c r="BO181" i="412"/>
  <c r="BO182" i="412"/>
  <c r="BO183" i="412"/>
  <c r="BO184" i="412"/>
  <c r="BO185" i="412"/>
  <c r="BO186" i="412"/>
  <c r="BO187" i="412"/>
  <c r="BO188" i="412"/>
  <c r="BO189" i="412"/>
  <c r="BO190" i="412"/>
  <c r="BO191" i="412"/>
  <c r="BN191" i="412"/>
  <c r="BN190" i="412"/>
  <c r="BN189" i="412"/>
  <c r="BN188" i="412"/>
  <c r="BN187" i="412"/>
  <c r="BN186" i="412"/>
  <c r="BN185" i="412"/>
  <c r="BN184" i="412"/>
  <c r="BN183" i="412"/>
  <c r="BN182" i="412"/>
  <c r="BN181" i="412"/>
  <c r="BN180" i="412"/>
  <c r="BN179" i="412"/>
  <c r="BN178" i="412"/>
  <c r="BN177" i="412"/>
  <c r="BN176" i="412"/>
  <c r="BN175" i="412"/>
  <c r="BN174" i="412"/>
  <c r="BN173" i="412"/>
  <c r="BN172" i="412"/>
  <c r="BN171" i="412"/>
  <c r="BN170" i="412"/>
  <c r="BN131" i="412" l="1"/>
  <c r="BO131" i="412" s="1"/>
  <c r="BN132" i="412"/>
  <c r="BO132" i="412" s="1"/>
  <c r="BN133" i="412"/>
  <c r="BO133" i="412" s="1"/>
  <c r="BN134" i="412"/>
  <c r="BO134" i="412"/>
  <c r="BN135" i="412"/>
  <c r="BO135" i="412" s="1"/>
  <c r="BN136" i="412"/>
  <c r="BO136" i="412"/>
  <c r="BN137" i="412"/>
  <c r="BO137" i="412" s="1"/>
  <c r="BN138" i="412"/>
  <c r="BO138" i="412"/>
  <c r="BN139" i="412"/>
  <c r="BO139" i="412" s="1"/>
  <c r="BN140" i="412"/>
  <c r="BO140" i="412" s="1"/>
  <c r="BN141" i="412"/>
  <c r="BO141" i="412" s="1"/>
  <c r="BN142" i="412"/>
  <c r="BO142" i="412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/>
  <c r="BN153" i="412"/>
  <c r="BO153" i="412" s="1"/>
  <c r="BN154" i="412"/>
  <c r="BO154" i="412"/>
  <c r="BN155" i="412"/>
  <c r="BO155" i="412" s="1"/>
  <c r="BN156" i="412"/>
  <c r="BO156" i="412"/>
  <c r="BN157" i="412"/>
  <c r="BO157" i="412" s="1"/>
  <c r="BN158" i="412"/>
  <c r="BO158" i="412" s="1"/>
  <c r="BN159" i="412"/>
  <c r="BO159" i="412" s="1"/>
  <c r="BN160" i="412"/>
  <c r="BO160" i="412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/>
  <c r="BN167" i="412"/>
  <c r="BO167" i="412" s="1"/>
  <c r="BN168" i="412"/>
  <c r="BO168" i="412"/>
  <c r="BN169" i="412"/>
  <c r="BO169" i="412" s="1"/>
  <c r="BN43" i="412" l="1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2" i="412"/>
  <c r="BO2" i="412" l="1"/>
</calcChain>
</file>

<file path=xl/sharedStrings.xml><?xml version="1.0" encoding="utf-8"?>
<sst xmlns="http://schemas.openxmlformats.org/spreadsheetml/2006/main" count="1402" uniqueCount="345">
  <si>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</si>
  <si>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</si>
  <si>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</si>
  <si>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</si>
  <si>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</si>
  <si>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</si>
  <si>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</si>
  <si>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</si>
  <si>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</si>
  <si>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</si>
  <si>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</si>
  <si>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</si>
  <si>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김광수</t>
  </si>
  <si>
    <t>합계</t>
  </si>
  <si>
    <t>앱마켓수수료</t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</si>
  <si>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</si>
  <si>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</si>
  <si>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</si>
  <si>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</si>
  <si>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</si>
  <si>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</si>
  <si>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</si>
  <si>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바나바다</t>
  </si>
  <si>
    <t>나 혼자 스킬융합 [독점]</t>
  </si>
  <si>
    <t>붕어빵</t>
  </si>
  <si>
    <t>2022.05.06</t>
  </si>
  <si>
    <t>회귀의 전설 [단행본]</t>
  </si>
  <si>
    <t>최종 보스 : 빛을 향해 달리는 그림자 [독점]</t>
  </si>
  <si>
    <t>무장</t>
  </si>
  <si>
    <t>2021.03.06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</si>
  <si>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</si>
  <si>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</si>
  <si>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</si>
  <si>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</si>
  <si>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</si>
  <si>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</si>
  <si>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</si>
  <si>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</si>
  <si>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</si>
  <si>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로드 오브 머니</t>
  </si>
  <si>
    <t>2018.08.02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</si>
  <si>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</si>
  <si>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</si>
  <si>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</si>
  <si>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</si>
  <si>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</si>
  <si>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밈스</t>
  </si>
  <si>
    <t>BJ소드마스터 [독점]</t>
  </si>
  <si>
    <t>이동열</t>
  </si>
  <si>
    <t>2020.07.24</t>
  </si>
  <si>
    <t>위험한 신혼부부 [독점]</t>
  </si>
  <si>
    <t>박수정(방울마마)</t>
  </si>
  <si>
    <t>2016.07.20</t>
  </si>
  <si>
    <t>구유</t>
  </si>
  <si>
    <t>형사의 게임 [단행본]</t>
  </si>
  <si>
    <t>2017.10.27</t>
  </si>
  <si>
    <t>야쿠자가 사랑을 한다면 [개정판][BL]</t>
  </si>
  <si>
    <t>모리미</t>
  </si>
  <si>
    <t>2019.12.05</t>
  </si>
  <si>
    <t>셔틀</t>
  </si>
  <si>
    <t>2020.01.31</t>
  </si>
  <si>
    <t>빵양이</t>
  </si>
  <si>
    <t>2022.01.27</t>
  </si>
  <si>
    <t>스내치</t>
  </si>
  <si>
    <t>19세 이상 이용가능</t>
  </si>
  <si>
    <t>N스토어(MW)</t>
    <phoneticPr fontId="20" type="noConversion"/>
  </si>
  <si>
    <t>이혼 후 로또 1등 감독님</t>
  </si>
  <si>
    <t>로드 오브 머니 [단행본]</t>
  </si>
  <si>
    <t>2019.08.05</t>
  </si>
  <si>
    <t>슈퍼스타의 비밀 어플</t>
  </si>
  <si>
    <t>2022.03.11</t>
  </si>
  <si>
    <t>N스토어(PC)</t>
    <phoneticPr fontId="20" type="noConversion"/>
  </si>
  <si>
    <t>2022.07.20</t>
  </si>
  <si>
    <t>최종 보스 : 빛을 향해 달리는 그림자 [단행본]</t>
  </si>
  <si>
    <t>2022.08.02</t>
  </si>
  <si>
    <t>도폐풍운록 [단행본]</t>
  </si>
  <si>
    <t>블레슈(Blesshuu)</t>
  </si>
  <si>
    <t>모르는 남자와 결혼했다</t>
  </si>
  <si>
    <t>정요화</t>
  </si>
  <si>
    <t>부도덕한 재회</t>
  </si>
  <si>
    <t>이리안</t>
  </si>
  <si>
    <t>2022.07.27</t>
  </si>
  <si>
    <t>2021.10.01</t>
  </si>
  <si>
    <t>PC 뷰어(PC)</t>
    <phoneticPr fontId="20" type="noConversion"/>
  </si>
  <si>
    <t>아래층에 전남편이 산다 [단행본]</t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</si>
  <si>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</si>
  <si>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</si>
  <si>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</si>
  <si>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</si>
  <si>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</si>
  <si>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</si>
  <si>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</si>
  <si>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</si>
  <si>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</si>
  <si>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</si>
  <si>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</si>
  <si>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</si>
  <si>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</si>
  <si>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</si>
  <si>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</si>
  <si>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</si>
  <si>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</si>
  <si>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</si>
  <si>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</si>
  <si>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</si>
  <si>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</si>
  <si>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</si>
  <si>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</si>
  <si>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</si>
  <si>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</si>
  <si>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</si>
  <si>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</si>
  <si>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</si>
  <si>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</si>
  <si>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</si>
  <si>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</si>
  <si>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</si>
  <si>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</si>
  <si>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</si>
  <si>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</si>
  <si>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</si>
  <si>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</si>
  <si>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</si>
  <si>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</si>
  <si>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</si>
  <si>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</si>
  <si>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</si>
  <si>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</si>
  <si>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</si>
  <si>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</si>
  <si>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</si>
  <si>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</si>
  <si>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</si>
  <si>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</si>
  <si>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</si>
  <si>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</si>
  <si>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</si>
  <si>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</si>
  <si>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</si>
  <si>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</si>
  <si>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</si>
  <si>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</si>
  <si>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갓 오브 블랙필드 [개정판][단행본]</t>
  </si>
  <si>
    <t>2020.06.24</t>
  </si>
  <si>
    <t>2022.08.22</t>
  </si>
  <si>
    <t>매혹적인 상사 [단행본]</t>
  </si>
  <si>
    <t>지금, 덮치러 갑니다</t>
  </si>
  <si>
    <t>먼나무</t>
  </si>
  <si>
    <t>2022.08.12</t>
  </si>
  <si>
    <t>함선으로 귀환해서 이세계 최강 [독점]</t>
  </si>
  <si>
    <t>밥앤라면</t>
  </si>
  <si>
    <t>mollen</t>
  </si>
  <si>
    <t>SSS급 마왕의 귀환</t>
  </si>
  <si>
    <t>2019.06.14</t>
  </si>
  <si>
    <t>던전 공략 LIVE</t>
  </si>
  <si>
    <t>2018.06.20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</si>
  <si>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</si>
  <si>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</si>
  <si>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위대한 가문의 망나니가 되다 [단행본]</t>
  </si>
  <si>
    <t>2022.09.05</t>
  </si>
  <si>
    <t>망나니 [단행본]</t>
  </si>
  <si>
    <t>마뇽</t>
  </si>
  <si>
    <t>2022.09.13</t>
  </si>
  <si>
    <t>결혼의 함정 [단행본]</t>
  </si>
  <si>
    <t>2022.09.22</t>
  </si>
  <si>
    <t>아내 구속 [독점]</t>
  </si>
  <si>
    <t>오빠, 더 깊이 [단행본]</t>
  </si>
  <si>
    <t>누네니가</t>
  </si>
  <si>
    <t>2022.09.09</t>
  </si>
  <si>
    <t>나쁜 이혼 [단행본]</t>
  </si>
  <si>
    <t>진숙</t>
  </si>
  <si>
    <t>2021.03.02</t>
  </si>
  <si>
    <t>야쿠자가 사랑을 한다면 [개정판][BL][단행본]</t>
  </si>
  <si>
    <t>2020.10.29</t>
  </si>
  <si>
    <t>강호유정 [단행본]</t>
  </si>
  <si>
    <t>131100761</t>
  </si>
  <si>
    <t>2013.11.15</t>
  </si>
  <si>
    <t>상태창빨로 천재 재벌</t>
  </si>
  <si>
    <t>리얼탄산</t>
  </si>
  <si>
    <t>2021.04.02</t>
  </si>
  <si>
    <t>이 비서 다리 좀 치워 [BL][단행본]</t>
  </si>
  <si>
    <t>2020.05.08</t>
  </si>
  <si>
    <t>서툴게 탐닉하다 [단행본]</t>
  </si>
  <si>
    <t>푸른새벽</t>
  </si>
  <si>
    <t>2022.09.27</t>
  </si>
  <si>
    <t>골 넣는 수비수</t>
  </si>
  <si>
    <t>muscleup</t>
  </si>
  <si>
    <t>2022.09.15</t>
  </si>
  <si>
    <t>막상막하 [BL]</t>
  </si>
  <si>
    <t>2022.09.23</t>
  </si>
  <si>
    <t>욕과 정이 깨어날 때</t>
  </si>
  <si>
    <t>김너울</t>
  </si>
  <si>
    <t>2019.12.27</t>
  </si>
  <si>
    <t>천하제일인은 딸바보 [독점]</t>
  </si>
  <si>
    <t>해비베어</t>
  </si>
  <si>
    <t>결혼의 함정 특별외전 [단행본]</t>
  </si>
  <si>
    <t>내 남자 길들이기</t>
  </si>
  <si>
    <t>2020.11.16</t>
  </si>
  <si>
    <t>2022.09.30</t>
  </si>
  <si>
    <t>원코인 게이머 아포칼립스</t>
  </si>
  <si>
    <t>이한애비</t>
  </si>
  <si>
    <t>2022.03.23</t>
  </si>
  <si>
    <t>말빨</t>
  </si>
  <si>
    <t>2020.02.12</t>
  </si>
  <si>
    <t>친구의 고백</t>
  </si>
  <si>
    <t>2019.02.01</t>
  </si>
  <si>
    <t>강호유정</t>
  </si>
  <si>
    <t>2020.08.25</t>
  </si>
  <si>
    <t>결혼의 함정 외전 [단행본]</t>
  </si>
  <si>
    <t>야쿠자가 사랑을 한다면 2 [개정판][BL][단행본]</t>
  </si>
  <si>
    <t>2022.01.28</t>
  </si>
  <si>
    <t>羽宸寰(Uchenhu), 林珮瑜(Lin Peiyu)</t>
  </si>
  <si>
    <t>2020.09.08</t>
  </si>
  <si>
    <t>영원한 1위 [BL][단행본]</t>
  </si>
  <si>
    <t>2022.05.02</t>
  </si>
  <si>
    <t>우리 [개정판][삽화본][단행본]</t>
  </si>
  <si>
    <t>매혹적인 상사 외전 [단행본]</t>
  </si>
  <si>
    <t>블 루 스 카 이</t>
  </si>
  <si>
    <t>2020.09.28</t>
  </si>
  <si>
    <t>골 때리는 사랑 외전 [BL][단행본]</t>
  </si>
  <si>
    <t>2021.03.10</t>
  </si>
  <si>
    <t>내 이름을 불러 [BL][단행본]</t>
  </si>
  <si>
    <t>2022.10.21</t>
  </si>
  <si>
    <t>2022.11.01</t>
  </si>
  <si>
    <t>친구의 고백 [단행본]</t>
  </si>
  <si>
    <t>뜨거운 항해 [단행본]</t>
  </si>
  <si>
    <t>너에게 닿는 순간 [외전증보판][단행본]</t>
  </si>
  <si>
    <t>에피</t>
  </si>
  <si>
    <t>상간녀에게 빙의되었습니다</t>
  </si>
  <si>
    <t>엘비디</t>
  </si>
  <si>
    <t>오빠는 말이야 [단행본]</t>
  </si>
  <si>
    <t>고은영</t>
  </si>
  <si>
    <t>2022.10.26</t>
  </si>
  <si>
    <t>찬란한 덫 [외전증보판][단행본]</t>
  </si>
  <si>
    <t>전여린</t>
  </si>
  <si>
    <t>동굴에 핀 꽃 [외전증보판][단행본]</t>
  </si>
  <si>
    <t>쏘삭쏘삭</t>
  </si>
  <si>
    <t>아빠는 마교대장</t>
  </si>
  <si>
    <t>구땡</t>
  </si>
  <si>
    <t>2022.10.07</t>
  </si>
  <si>
    <t>야한 남자 vs 야한 여자 [단행본]</t>
  </si>
  <si>
    <t>혼자서는 못 해요</t>
  </si>
  <si>
    <t>몸서리</t>
  </si>
  <si>
    <t>2022.09.28</t>
  </si>
  <si>
    <t>2022.11.02</t>
  </si>
  <si>
    <t>내 이름을 불러 외전 [BL][단행본]</t>
  </si>
  <si>
    <t>격렬하게, 다시 한번</t>
  </si>
  <si>
    <t>허니레몬</t>
  </si>
  <si>
    <t>2019.07.24</t>
  </si>
  <si>
    <t>그 알파 내 오메가 만들기 [BL]</t>
  </si>
  <si>
    <t>주이서</t>
  </si>
  <si>
    <t>2018.09.20</t>
  </si>
  <si>
    <t>나쁜 이혼 [선공개]</t>
  </si>
  <si>
    <t>베리타 (verità)</t>
  </si>
  <si>
    <t>시크릿 맨 [개정판][삽화본]</t>
  </si>
  <si>
    <t>2020.04.10</t>
  </si>
  <si>
    <t>올마스터가 된 비전서고 [독점]</t>
  </si>
  <si>
    <t>글면증</t>
  </si>
  <si>
    <t>2021.11.18</t>
  </si>
  <si>
    <t>구애</t>
  </si>
  <si>
    <t>2022.07.04</t>
  </si>
  <si>
    <t>중독</t>
  </si>
  <si>
    <t>문스톤</t>
  </si>
  <si>
    <t>2019.12.18</t>
  </si>
  <si>
    <t>2022.10.28</t>
  </si>
  <si>
    <t>형사의 게임</t>
  </si>
  <si>
    <t>2017.04.11</t>
  </si>
  <si>
    <t>유성하소월 [1~83화]</t>
  </si>
  <si>
    <t>se1392001</t>
  </si>
  <si>
    <t>2019.01.31</t>
  </si>
  <si>
    <t>화산검제 [은천검제 2부 연재]</t>
  </si>
  <si>
    <t>2020.03.24</t>
  </si>
  <si>
    <t>검사님 출세하신다!</t>
  </si>
  <si>
    <t>2019.11.20</t>
  </si>
  <si>
    <t>납치</t>
  </si>
  <si>
    <t>2021.01.04</t>
  </si>
  <si>
    <t>천재 배우의 다이어리 [단행본]</t>
  </si>
  <si>
    <t>2022.10.24</t>
  </si>
  <si>
    <t>말빨 [단행본]</t>
  </si>
  <si>
    <t>사랑도 없이 결혼</t>
  </si>
  <si>
    <t>퇴마사(巫者) [BL]</t>
  </si>
  <si>
    <t>시무(蒔舞)</t>
  </si>
  <si>
    <t>2021.12.03</t>
  </si>
  <si>
    <t>궁성</t>
  </si>
  <si>
    <t>2020.12.21</t>
  </si>
  <si>
    <t>천사의 아이</t>
  </si>
  <si>
    <t>틴타</t>
  </si>
  <si>
    <t>2022.10.12</t>
  </si>
  <si>
    <t>버그 걸린 드래곤 [독점]</t>
  </si>
  <si>
    <t>폴딩</t>
  </si>
  <si>
    <t>2021.10.15</t>
  </si>
  <si>
    <t>여왕 아델</t>
  </si>
  <si>
    <t>이린비</t>
  </si>
  <si>
    <t>2018.01.25</t>
  </si>
  <si>
    <t>트리거 [외전증보판][BL][단행본]</t>
  </si>
  <si>
    <t>중독 [단행본]</t>
  </si>
  <si>
    <t>2020.01.02</t>
  </si>
  <si>
    <t>환영합니다 마이클 본부장님 [BL][단행본]</t>
  </si>
  <si>
    <t>퍼리딩딩</t>
  </si>
  <si>
    <t>월급 주는 남편 [단행본]</t>
  </si>
  <si>
    <t>아프오 안 아프오 나는 [BL][단행본]</t>
  </si>
  <si>
    <t>궁성 [단행본]</t>
  </si>
  <si>
    <t>사랑한다 윤혜영 [개정판][삽화본][단행본]</t>
  </si>
  <si>
    <t>2021.01.18</t>
  </si>
  <si>
    <t>게이 하우스 [외전증보판][BL][단행본]</t>
  </si>
  <si>
    <t>빨강뽀뽀</t>
  </si>
  <si>
    <t>2021.02.16</t>
  </si>
  <si>
    <t>야한 남자 vs 야한 여자 외전 [단행본]</t>
  </si>
  <si>
    <t>스타의 연애 [개정판][BL][단행본]</t>
  </si>
  <si>
    <t>2019.05.01</t>
  </si>
  <si>
    <t>내 남자 길들이기 [단행본]</t>
  </si>
  <si>
    <t>어처구니없는 결혼 약속 [단행본]</t>
  </si>
  <si>
    <t>2021.03.17</t>
  </si>
  <si>
    <t>로맨틱 크러시 [BL][단행본]</t>
  </si>
  <si>
    <t>망나니개</t>
  </si>
  <si>
    <t>2022.10.27</t>
  </si>
  <si>
    <t>골 때리는 사랑 [BL][단행본]</t>
  </si>
  <si>
    <t>꽃잎, 흩날리는 [BL][단행본]</t>
  </si>
  <si>
    <t>마용출</t>
  </si>
  <si>
    <t>2022.06.27</t>
  </si>
  <si>
    <t>선택된 남자 [BL][단행본]</t>
  </si>
  <si>
    <t>2021.05.21</t>
  </si>
  <si>
    <t>위층 아이 아빠 [BL][단행본]</t>
  </si>
  <si>
    <t>환영합니다 마이클 본부장님 외전 [BL][단행본]</t>
  </si>
  <si>
    <t>뜨거운 항해 외전 [단행본]</t>
  </si>
  <si>
    <t>아래층에 전남편이 산다 외전 [단행본]</t>
  </si>
  <si>
    <t>이 비서 다리 좀 치워 외전 [BL][단행본]</t>
  </si>
  <si>
    <t>2020.05.10</t>
  </si>
  <si>
    <t>야쿠자가 사랑을 한다면 외전 [개정판][BL][단행본]</t>
  </si>
  <si>
    <t>SOTUS 특별 외전 [BL][단행본]</t>
  </si>
  <si>
    <t>BitterSweet</t>
  </si>
  <si>
    <t>위층 아이 아빠 외전 [BL][단행본]</t>
  </si>
  <si>
    <t>영원한 1위 &amp; 2위의 역습 [BL]</t>
  </si>
  <si>
    <t>2022.05.19</t>
  </si>
  <si>
    <t>로맨틱 크러시 외전 [BL][단행본]</t>
  </si>
  <si>
    <t>더 라스트 웨어울프</t>
  </si>
  <si>
    <t>2020.11.11</t>
  </si>
  <si>
    <t>꿈속의 보스</t>
  </si>
  <si>
    <t>온서</t>
  </si>
  <si>
    <t>2021.01.12</t>
  </si>
  <si>
    <t>트리거 [BL]</t>
  </si>
  <si>
    <t>2020.06.05</t>
  </si>
  <si>
    <t>N스토어(MW)</t>
    <phoneticPr fontId="20" type="noConversion"/>
  </si>
  <si>
    <t>N스토어(MW)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</si>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</sst>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41" fontId="23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192"/>
  <sheetViews>
    <sheetView tabSelected="1" zoomScaleNormal="100" workbookViewId="0"/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4" max="64" width="9.25" bestFit="1" customWidth="1"/>
    <col min="65" max="65" width="13.5" bestFit="1" customWidth="1"/>
    <col min="66" max="66" width="13.625" bestFit="1" customWidth="1"/>
    <col min="67" max="67" width="13.375" style="13" customWidth="1"/>
  </cols>
  <sheetData>
    <row r="1" spans="1:69" ht="27" customHeight="1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85</v>
      </c>
      <c r="I1" s="14" t="s">
        <v>6</v>
      </c>
      <c r="J1" s="12" t="s">
        <v>86</v>
      </c>
      <c r="K1" s="12" t="s">
        <v>87</v>
      </c>
      <c r="L1" s="12" t="s">
        <v>88</v>
      </c>
      <c r="M1" s="12" t="s">
        <v>89</v>
      </c>
      <c r="N1" s="12" t="s">
        <v>90</v>
      </c>
      <c r="O1" s="12" t="s">
        <v>91</v>
      </c>
      <c r="P1" s="12" t="s">
        <v>92</v>
      </c>
      <c r="Q1" s="12" t="s">
        <v>93</v>
      </c>
      <c r="R1" s="12" t="s">
        <v>94</v>
      </c>
      <c r="S1" s="12" t="s">
        <v>95</v>
      </c>
      <c r="T1" s="12" t="s">
        <v>96</v>
      </c>
      <c r="U1" s="12" t="s">
        <v>97</v>
      </c>
      <c r="V1" s="12" t="s">
        <v>98</v>
      </c>
      <c r="W1" s="12" t="s">
        <v>99</v>
      </c>
      <c r="X1" s="12" t="s">
        <v>100</v>
      </c>
      <c r="Y1" s="12" t="s">
        <v>101</v>
      </c>
      <c r="Z1" s="12" t="s">
        <v>102</v>
      </c>
      <c r="AA1" s="12" t="s">
        <v>103</v>
      </c>
      <c r="AB1" s="12" t="s">
        <v>104</v>
      </c>
      <c r="AC1" s="12" t="s">
        <v>105</v>
      </c>
      <c r="AD1" s="12" t="s">
        <v>106</v>
      </c>
      <c r="AE1" s="12" t="s">
        <v>107</v>
      </c>
      <c r="AF1" s="12" t="s">
        <v>108</v>
      </c>
      <c r="AG1" s="12" t="s">
        <v>109</v>
      </c>
      <c r="AH1" s="12" t="s">
        <v>110</v>
      </c>
      <c r="AI1" s="12" t="s">
        <v>111</v>
      </c>
      <c r="AJ1" s="12" t="s">
        <v>112</v>
      </c>
      <c r="AK1" s="12" t="s">
        <v>113</v>
      </c>
      <c r="AL1" s="12" t="s">
        <v>114</v>
      </c>
      <c r="AM1" s="12" t="s">
        <v>115</v>
      </c>
      <c r="AN1" s="12" t="s">
        <v>116</v>
      </c>
      <c r="AO1" s="12" t="s">
        <v>117</v>
      </c>
      <c r="AP1" s="12" t="s">
        <v>118</v>
      </c>
      <c r="AQ1" s="12" t="s">
        <v>119</v>
      </c>
      <c r="AR1" s="12" t="s">
        <v>120</v>
      </c>
      <c r="AS1" s="12" t="s">
        <v>121</v>
      </c>
      <c r="AT1" s="12" t="s">
        <v>122</v>
      </c>
      <c r="AU1" s="12" t="s">
        <v>123</v>
      </c>
      <c r="AV1" s="12" t="s">
        <v>124</v>
      </c>
      <c r="AW1" s="12" t="s">
        <v>125</v>
      </c>
      <c r="AX1" s="12" t="s">
        <v>126</v>
      </c>
      <c r="AY1" s="12" t="s">
        <v>127</v>
      </c>
      <c r="AZ1" s="12" t="s">
        <v>128</v>
      </c>
      <c r="BA1" s="12" t="s">
        <v>129</v>
      </c>
      <c r="BB1" s="12" t="s">
        <v>130</v>
      </c>
      <c r="BC1" s="12" t="s">
        <v>131</v>
      </c>
      <c r="BD1" s="12" t="s">
        <v>132</v>
      </c>
      <c r="BE1" s="12" t="s">
        <v>133</v>
      </c>
      <c r="BF1" s="12" t="s">
        <v>134</v>
      </c>
      <c r="BG1" s="12" t="s">
        <v>135</v>
      </c>
      <c r="BH1" s="12" t="s">
        <v>136</v>
      </c>
      <c r="BI1" s="12" t="s">
        <v>137</v>
      </c>
      <c r="BJ1" s="12" t="s">
        <v>138</v>
      </c>
      <c r="BK1" s="12" t="s">
        <v>139</v>
      </c>
      <c r="BL1" s="12" t="s">
        <v>14</v>
      </c>
      <c r="BM1" s="12" t="s">
        <v>13</v>
      </c>
      <c r="BN1" s="12" t="s">
        <v>140</v>
      </c>
      <c r="BO1" s="12" t="s">
        <v>141</v>
      </c>
      <c r="BP1" s="12" t="s">
        <v>156</v>
      </c>
      <c r="BQ1" s="12" t="s">
        <v>157</v>
      </c>
    </row>
    <row r="2" spans="1:69" x14ac:dyDescent="0.3">
      <c r="A2" s="15" t="s">
        <v>71</v>
      </c>
      <c r="B2" s="5" t="s">
        <v>67</v>
      </c>
      <c r="C2" s="5">
        <v>370935</v>
      </c>
      <c r="D2" s="6"/>
      <c r="E2" s="5" t="s">
        <v>16</v>
      </c>
      <c r="F2" s="5" t="s">
        <v>28</v>
      </c>
      <c r="G2" s="5" t="s">
        <v>11</v>
      </c>
      <c r="H2" s="7" t="s">
        <v>7</v>
      </c>
      <c r="I2" s="7" t="s">
        <v>68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7</v>
      </c>
      <c r="AF2" s="8">
        <v>22400</v>
      </c>
      <c r="AG2" s="8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8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8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22400</v>
      </c>
      <c r="BN2" s="16">
        <f>BM2-BL2</f>
        <v>22400</v>
      </c>
      <c r="BO2" s="16">
        <f>BN2*70%</f>
        <v>15679.999999999998</v>
      </c>
    </row>
    <row r="3" spans="1:69" x14ac:dyDescent="0.3">
      <c r="A3" s="15" t="s">
        <v>71</v>
      </c>
      <c r="B3" s="5" t="s">
        <v>221</v>
      </c>
      <c r="C3" s="5">
        <v>485660</v>
      </c>
      <c r="D3" s="6"/>
      <c r="E3" s="5" t="s">
        <v>16</v>
      </c>
      <c r="F3" s="5" t="s">
        <v>57</v>
      </c>
      <c r="G3" s="5" t="s">
        <v>31</v>
      </c>
      <c r="H3" s="7" t="s">
        <v>64</v>
      </c>
      <c r="I3" s="7" t="s">
        <v>222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3</v>
      </c>
      <c r="AF3" s="8">
        <v>8400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2</v>
      </c>
      <c r="AR3" s="7">
        <v>5600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1</v>
      </c>
      <c r="BD3" s="8">
        <v>3360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201.6</v>
      </c>
      <c r="BM3" s="10">
        <v>17360</v>
      </c>
      <c r="BN3" s="16">
        <f t="shared" ref="BN3:BN42" si="0">BM3-BL3</f>
        <v>17158.400000000001</v>
      </c>
      <c r="BO3" s="16">
        <f t="shared" ref="BO3:BO42" si="1">BN3*70%</f>
        <v>12010.880000000001</v>
      </c>
    </row>
    <row r="4" spans="1:69" x14ac:dyDescent="0.3">
      <c r="A4" s="15" t="s">
        <v>71</v>
      </c>
      <c r="B4" s="5" t="s">
        <v>66</v>
      </c>
      <c r="C4" s="5">
        <v>472512</v>
      </c>
      <c r="D4" s="6"/>
      <c r="E4" s="5" t="s">
        <v>16</v>
      </c>
      <c r="F4" s="5" t="s">
        <v>36</v>
      </c>
      <c r="G4" s="5" t="s">
        <v>11</v>
      </c>
      <c r="H4" s="7" t="s">
        <v>7</v>
      </c>
      <c r="I4" s="7" t="s">
        <v>223</v>
      </c>
      <c r="J4" s="7">
        <v>0</v>
      </c>
      <c r="K4" s="7">
        <v>259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120</v>
      </c>
      <c r="AF4" s="8">
        <v>8540</v>
      </c>
      <c r="AG4" s="7">
        <v>3500</v>
      </c>
      <c r="AH4" s="7">
        <v>0</v>
      </c>
      <c r="AI4" s="7">
        <v>0</v>
      </c>
      <c r="AJ4" s="7">
        <v>0</v>
      </c>
      <c r="AK4" s="7">
        <v>2</v>
      </c>
      <c r="AL4" s="7">
        <v>0</v>
      </c>
      <c r="AM4" s="7">
        <v>200</v>
      </c>
      <c r="AN4" s="7">
        <v>0</v>
      </c>
      <c r="AO4" s="7">
        <v>0</v>
      </c>
      <c r="AP4" s="7">
        <v>0</v>
      </c>
      <c r="AQ4" s="7">
        <v>40</v>
      </c>
      <c r="AR4" s="7">
        <v>3700</v>
      </c>
      <c r="AS4" s="7">
        <v>300</v>
      </c>
      <c r="AT4" s="7">
        <v>0</v>
      </c>
      <c r="AU4" s="7">
        <v>0</v>
      </c>
      <c r="AV4" s="7">
        <v>0</v>
      </c>
      <c r="AW4" s="7">
        <v>1</v>
      </c>
      <c r="AX4" s="7">
        <v>120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12</v>
      </c>
      <c r="BM4" s="10">
        <v>16360</v>
      </c>
      <c r="BN4" s="16">
        <f t="shared" si="0"/>
        <v>16348</v>
      </c>
      <c r="BO4" s="16">
        <f t="shared" si="1"/>
        <v>11443.599999999999</v>
      </c>
    </row>
    <row r="5" spans="1:69" x14ac:dyDescent="0.3">
      <c r="A5" s="15" t="s">
        <v>71</v>
      </c>
      <c r="B5" s="5" t="s">
        <v>174</v>
      </c>
      <c r="C5" s="5">
        <v>134596</v>
      </c>
      <c r="D5" s="6" t="s">
        <v>175</v>
      </c>
      <c r="E5" s="5" t="s">
        <v>16</v>
      </c>
      <c r="F5" s="5" t="s">
        <v>28</v>
      </c>
      <c r="G5" s="5" t="s">
        <v>11</v>
      </c>
      <c r="H5" s="7" t="s">
        <v>7</v>
      </c>
      <c r="I5" s="7" t="s">
        <v>176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5</v>
      </c>
      <c r="AF5" s="8">
        <v>16000</v>
      </c>
      <c r="AG5" s="8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8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16000</v>
      </c>
      <c r="BN5" s="16">
        <f t="shared" si="0"/>
        <v>16000</v>
      </c>
      <c r="BO5" s="16">
        <f t="shared" si="1"/>
        <v>11200</v>
      </c>
    </row>
    <row r="6" spans="1:69" x14ac:dyDescent="0.3">
      <c r="A6" s="15" t="s">
        <v>71</v>
      </c>
      <c r="B6" s="5" t="s">
        <v>142</v>
      </c>
      <c r="C6" s="5">
        <v>324335</v>
      </c>
      <c r="D6" s="6"/>
      <c r="E6" s="5" t="s">
        <v>16</v>
      </c>
      <c r="F6" s="5" t="s">
        <v>28</v>
      </c>
      <c r="G6" s="5" t="s">
        <v>11</v>
      </c>
      <c r="H6" s="7" t="s">
        <v>10</v>
      </c>
      <c r="I6" s="7" t="s">
        <v>143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5</v>
      </c>
      <c r="AF6" s="8">
        <v>16000</v>
      </c>
      <c r="AG6" s="8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8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16000</v>
      </c>
      <c r="BN6" s="16">
        <f t="shared" si="0"/>
        <v>16000</v>
      </c>
      <c r="BO6" s="16">
        <f t="shared" si="1"/>
        <v>11200</v>
      </c>
    </row>
    <row r="7" spans="1:69" x14ac:dyDescent="0.3">
      <c r="A7" s="15" t="s">
        <v>71</v>
      </c>
      <c r="B7" s="5" t="s">
        <v>224</v>
      </c>
      <c r="C7" s="5">
        <v>387975</v>
      </c>
      <c r="D7" s="6"/>
      <c r="E7" s="5" t="s">
        <v>16</v>
      </c>
      <c r="F7" s="5" t="s">
        <v>61</v>
      </c>
      <c r="G7" s="5" t="s">
        <v>31</v>
      </c>
      <c r="H7" s="7" t="s">
        <v>64</v>
      </c>
      <c r="I7" s="7" t="s">
        <v>60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3</v>
      </c>
      <c r="AF7" s="8">
        <v>11200</v>
      </c>
      <c r="AG7" s="8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8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11200</v>
      </c>
      <c r="BN7" s="16">
        <f t="shared" si="0"/>
        <v>11200</v>
      </c>
      <c r="BO7" s="16">
        <f t="shared" si="1"/>
        <v>7839.9999999999991</v>
      </c>
    </row>
    <row r="8" spans="1:69" x14ac:dyDescent="0.3">
      <c r="A8" s="15" t="s">
        <v>71</v>
      </c>
      <c r="B8" s="5" t="s">
        <v>160</v>
      </c>
      <c r="C8" s="5">
        <v>481170</v>
      </c>
      <c r="D8" s="6"/>
      <c r="E8" s="5" t="s">
        <v>16</v>
      </c>
      <c r="F8" s="5" t="s">
        <v>161</v>
      </c>
      <c r="G8" s="5" t="s">
        <v>31</v>
      </c>
      <c r="H8" s="7" t="s">
        <v>64</v>
      </c>
      <c r="I8" s="7" t="s">
        <v>162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7">
        <v>2600</v>
      </c>
      <c r="AG8" s="7">
        <v>0</v>
      </c>
      <c r="AH8" s="7">
        <v>0</v>
      </c>
      <c r="AI8" s="7">
        <v>0</v>
      </c>
      <c r="AJ8" s="7">
        <v>0</v>
      </c>
      <c r="AK8" s="7">
        <v>1</v>
      </c>
      <c r="AL8" s="7">
        <v>0</v>
      </c>
      <c r="AM8" s="7">
        <v>2600</v>
      </c>
      <c r="AN8" s="7">
        <v>0</v>
      </c>
      <c r="AO8" s="7">
        <v>0</v>
      </c>
      <c r="AP8" s="7">
        <v>0</v>
      </c>
      <c r="AQ8" s="7">
        <v>0</v>
      </c>
      <c r="AR8" s="8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1</v>
      </c>
      <c r="BD8" s="7">
        <v>3120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187.2</v>
      </c>
      <c r="BM8" s="10">
        <v>8320</v>
      </c>
      <c r="BN8" s="16">
        <f t="shared" si="0"/>
        <v>8132.8</v>
      </c>
      <c r="BO8" s="16">
        <f t="shared" si="1"/>
        <v>5692.96</v>
      </c>
    </row>
    <row r="9" spans="1:69" x14ac:dyDescent="0.3">
      <c r="A9" s="15" t="s">
        <v>71</v>
      </c>
      <c r="B9" s="5" t="s">
        <v>225</v>
      </c>
      <c r="C9" s="5">
        <v>441789</v>
      </c>
      <c r="D9" s="6"/>
      <c r="E9" s="5" t="s">
        <v>16</v>
      </c>
      <c r="F9" s="5" t="s">
        <v>46</v>
      </c>
      <c r="G9" s="5" t="s">
        <v>31</v>
      </c>
      <c r="H9" s="7" t="s">
        <v>64</v>
      </c>
      <c r="I9" s="7" t="s">
        <v>222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2</v>
      </c>
      <c r="AF9" s="8">
        <v>5000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1</v>
      </c>
      <c r="BD9" s="7">
        <v>3000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180</v>
      </c>
      <c r="BM9" s="10">
        <v>8000</v>
      </c>
      <c r="BN9" s="16">
        <f t="shared" si="0"/>
        <v>7820</v>
      </c>
      <c r="BO9" s="16">
        <f t="shared" si="1"/>
        <v>5474</v>
      </c>
    </row>
    <row r="10" spans="1:69" ht="19.5" x14ac:dyDescent="0.3">
      <c r="A10" s="15" t="s">
        <v>71</v>
      </c>
      <c r="B10" s="5" t="s">
        <v>226</v>
      </c>
      <c r="C10" s="5">
        <v>485655</v>
      </c>
      <c r="D10" s="6"/>
      <c r="E10" s="5" t="s">
        <v>16</v>
      </c>
      <c r="F10" s="5" t="s">
        <v>227</v>
      </c>
      <c r="G10" s="5" t="s">
        <v>31</v>
      </c>
      <c r="H10" s="7" t="s">
        <v>64</v>
      </c>
      <c r="I10" s="7" t="s">
        <v>222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</v>
      </c>
      <c r="AF10" s="8">
        <v>3700</v>
      </c>
      <c r="AG10" s="8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1</v>
      </c>
      <c r="AR10" s="7">
        <v>3700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7400</v>
      </c>
      <c r="BN10" s="16">
        <f t="shared" si="0"/>
        <v>7400</v>
      </c>
      <c r="BO10" s="16">
        <f t="shared" si="1"/>
        <v>5180</v>
      </c>
    </row>
    <row r="11" spans="1:69" x14ac:dyDescent="0.3">
      <c r="A11" s="15" t="s">
        <v>71</v>
      </c>
      <c r="B11" s="5" t="s">
        <v>26</v>
      </c>
      <c r="C11" s="5">
        <v>414278</v>
      </c>
      <c r="D11" s="6"/>
      <c r="E11" s="5" t="s">
        <v>16</v>
      </c>
      <c r="F11" s="5" t="s">
        <v>12</v>
      </c>
      <c r="G11" s="5" t="s">
        <v>11</v>
      </c>
      <c r="H11" s="7" t="s">
        <v>8</v>
      </c>
      <c r="I11" s="7" t="s">
        <v>72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</v>
      </c>
      <c r="AF11" s="8">
        <v>3200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1</v>
      </c>
      <c r="BD11" s="7">
        <v>3840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230.4</v>
      </c>
      <c r="BM11" s="10">
        <v>7040</v>
      </c>
      <c r="BN11" s="16">
        <f t="shared" si="0"/>
        <v>6809.6</v>
      </c>
      <c r="BO11" s="16">
        <f t="shared" si="1"/>
        <v>4766.72</v>
      </c>
    </row>
    <row r="12" spans="1:69" x14ac:dyDescent="0.3">
      <c r="A12" s="15" t="s">
        <v>71</v>
      </c>
      <c r="B12" s="5" t="s">
        <v>75</v>
      </c>
      <c r="C12" s="5">
        <v>458568</v>
      </c>
      <c r="D12" s="6"/>
      <c r="E12" s="5" t="s">
        <v>16</v>
      </c>
      <c r="F12" s="5" t="s">
        <v>28</v>
      </c>
      <c r="G12" s="5" t="s">
        <v>11</v>
      </c>
      <c r="H12" s="7" t="s">
        <v>7</v>
      </c>
      <c r="I12" s="7" t="s">
        <v>62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</v>
      </c>
      <c r="AF12" s="8">
        <v>6400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8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6400</v>
      </c>
      <c r="BN12" s="16">
        <f t="shared" si="0"/>
        <v>6400</v>
      </c>
      <c r="BO12" s="16">
        <f t="shared" si="1"/>
        <v>4480</v>
      </c>
    </row>
    <row r="13" spans="1:69" x14ac:dyDescent="0.3">
      <c r="A13" s="15" t="s">
        <v>71</v>
      </c>
      <c r="B13" s="5" t="s">
        <v>228</v>
      </c>
      <c r="C13" s="5">
        <v>484142</v>
      </c>
      <c r="D13" s="6"/>
      <c r="E13" s="5" t="s">
        <v>16</v>
      </c>
      <c r="F13" s="5" t="s">
        <v>229</v>
      </c>
      <c r="G13" s="5" t="s">
        <v>76</v>
      </c>
      <c r="H13" s="7" t="s">
        <v>8</v>
      </c>
      <c r="I13" s="7" t="s">
        <v>198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41</v>
      </c>
      <c r="AF13" s="8">
        <v>3500</v>
      </c>
      <c r="AG13" s="7">
        <v>600</v>
      </c>
      <c r="AH13" s="7">
        <v>0</v>
      </c>
      <c r="AI13" s="7">
        <v>0</v>
      </c>
      <c r="AJ13" s="7">
        <v>0</v>
      </c>
      <c r="AK13" s="7">
        <v>2</v>
      </c>
      <c r="AL13" s="7">
        <v>0</v>
      </c>
      <c r="AM13" s="7">
        <v>200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10</v>
      </c>
      <c r="AX13" s="7">
        <v>1200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120</v>
      </c>
      <c r="BM13" s="10">
        <v>5500</v>
      </c>
      <c r="BN13" s="16">
        <f t="shared" si="0"/>
        <v>5380</v>
      </c>
      <c r="BO13" s="16">
        <f t="shared" si="1"/>
        <v>3765.9999999999995</v>
      </c>
    </row>
    <row r="14" spans="1:69" x14ac:dyDescent="0.3">
      <c r="A14" s="15" t="s">
        <v>71</v>
      </c>
      <c r="B14" s="5" t="s">
        <v>230</v>
      </c>
      <c r="C14" s="5">
        <v>485792</v>
      </c>
      <c r="D14" s="6"/>
      <c r="E14" s="5" t="s">
        <v>16</v>
      </c>
      <c r="F14" s="5" t="s">
        <v>231</v>
      </c>
      <c r="G14" s="5" t="s">
        <v>76</v>
      </c>
      <c r="H14" s="7" t="s">
        <v>64</v>
      </c>
      <c r="I14" s="7" t="s">
        <v>232</v>
      </c>
      <c r="J14" s="7">
        <v>0</v>
      </c>
      <c r="K14" s="7">
        <v>0</v>
      </c>
      <c r="L14" s="8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3</v>
      </c>
      <c r="AF14" s="8">
        <v>3000</v>
      </c>
      <c r="AG14" s="7">
        <v>1500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4500</v>
      </c>
      <c r="BN14" s="16">
        <f t="shared" si="0"/>
        <v>4500</v>
      </c>
      <c r="BO14" s="16">
        <f t="shared" si="1"/>
        <v>3150</v>
      </c>
    </row>
    <row r="15" spans="1:69" x14ac:dyDescent="0.3">
      <c r="A15" s="15" t="s">
        <v>71</v>
      </c>
      <c r="B15" s="5" t="s">
        <v>233</v>
      </c>
      <c r="C15" s="5">
        <v>428121</v>
      </c>
      <c r="D15" s="6"/>
      <c r="E15" s="5" t="s">
        <v>16</v>
      </c>
      <c r="F15" s="5" t="s">
        <v>234</v>
      </c>
      <c r="G15" s="5" t="s">
        <v>31</v>
      </c>
      <c r="H15" s="7" t="s">
        <v>64</v>
      </c>
      <c r="I15" s="7" t="s">
        <v>222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8">
        <v>0</v>
      </c>
      <c r="AG15" s="8">
        <v>0</v>
      </c>
      <c r="AH15" s="7">
        <v>0</v>
      </c>
      <c r="AI15" s="7">
        <v>0</v>
      </c>
      <c r="AJ15" s="7">
        <v>0</v>
      </c>
      <c r="AK15" s="7">
        <v>0</v>
      </c>
      <c r="AL15" s="8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1</v>
      </c>
      <c r="BD15" s="7">
        <v>3960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237.6</v>
      </c>
      <c r="BM15" s="10">
        <v>3960</v>
      </c>
      <c r="BN15" s="16">
        <f t="shared" si="0"/>
        <v>3722.4</v>
      </c>
      <c r="BO15" s="16">
        <f t="shared" si="1"/>
        <v>2605.6799999999998</v>
      </c>
    </row>
    <row r="16" spans="1:69" x14ac:dyDescent="0.3">
      <c r="A16" s="15" t="s">
        <v>71</v>
      </c>
      <c r="B16" s="5" t="s">
        <v>235</v>
      </c>
      <c r="C16" s="5">
        <v>419071</v>
      </c>
      <c r="D16" s="6"/>
      <c r="E16" s="5" t="s">
        <v>16</v>
      </c>
      <c r="F16" s="5" t="s">
        <v>236</v>
      </c>
      <c r="G16" s="5" t="s">
        <v>31</v>
      </c>
      <c r="H16" s="7" t="s">
        <v>64</v>
      </c>
      <c r="I16" s="7" t="s">
        <v>222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</v>
      </c>
      <c r="AF16" s="8">
        <v>3700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3700</v>
      </c>
      <c r="BN16" s="16">
        <f t="shared" si="0"/>
        <v>3700</v>
      </c>
      <c r="BO16" s="16">
        <f t="shared" si="1"/>
        <v>2590</v>
      </c>
    </row>
    <row r="17" spans="1:67" x14ac:dyDescent="0.3">
      <c r="A17" s="15" t="s">
        <v>71</v>
      </c>
      <c r="B17" s="5" t="s">
        <v>237</v>
      </c>
      <c r="C17" s="5">
        <v>484300</v>
      </c>
      <c r="D17" s="6"/>
      <c r="E17" s="5" t="s">
        <v>16</v>
      </c>
      <c r="F17" s="5" t="s">
        <v>238</v>
      </c>
      <c r="G17" s="5" t="s">
        <v>11</v>
      </c>
      <c r="H17" s="7" t="s">
        <v>7</v>
      </c>
      <c r="I17" s="7" t="s">
        <v>239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25</v>
      </c>
      <c r="AF17" s="8">
        <v>2480</v>
      </c>
      <c r="AG17" s="7">
        <v>100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4</v>
      </c>
      <c r="AR17" s="7">
        <v>400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3</v>
      </c>
      <c r="BD17" s="7">
        <v>360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21.6</v>
      </c>
      <c r="BM17" s="10">
        <v>3340</v>
      </c>
      <c r="BN17" s="16">
        <f t="shared" si="0"/>
        <v>3318.4</v>
      </c>
      <c r="BO17" s="16">
        <f t="shared" si="1"/>
        <v>2322.88</v>
      </c>
    </row>
    <row r="18" spans="1:67" ht="19.5" x14ac:dyDescent="0.3">
      <c r="A18" s="15" t="s">
        <v>71</v>
      </c>
      <c r="B18" s="5" t="s">
        <v>73</v>
      </c>
      <c r="C18" s="5">
        <v>476003</v>
      </c>
      <c r="D18" s="6"/>
      <c r="E18" s="5" t="s">
        <v>16</v>
      </c>
      <c r="F18" s="5" t="s">
        <v>28</v>
      </c>
      <c r="G18" s="5" t="s">
        <v>11</v>
      </c>
      <c r="H18" s="7" t="s">
        <v>8</v>
      </c>
      <c r="I18" s="7" t="s">
        <v>72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7">
        <v>3100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8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1</v>
      </c>
      <c r="BD18" s="7">
        <v>120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7.2</v>
      </c>
      <c r="BM18" s="10">
        <v>3220</v>
      </c>
      <c r="BN18" s="16">
        <f t="shared" si="0"/>
        <v>3212.8</v>
      </c>
      <c r="BO18" s="16">
        <f t="shared" si="1"/>
        <v>2248.96</v>
      </c>
    </row>
    <row r="19" spans="1:67" x14ac:dyDescent="0.3">
      <c r="A19" s="15" t="s">
        <v>71</v>
      </c>
      <c r="B19" s="5" t="s">
        <v>165</v>
      </c>
      <c r="C19" s="5">
        <v>482098</v>
      </c>
      <c r="D19" s="6"/>
      <c r="E19" s="5" t="s">
        <v>16</v>
      </c>
      <c r="F19" s="5" t="s">
        <v>38</v>
      </c>
      <c r="G19" s="5" t="s">
        <v>76</v>
      </c>
      <c r="H19" s="7" t="s">
        <v>8</v>
      </c>
      <c r="I19" s="7" t="s">
        <v>222</v>
      </c>
      <c r="J19" s="7">
        <v>2</v>
      </c>
      <c r="K19" s="7">
        <v>184</v>
      </c>
      <c r="L19" s="7">
        <v>200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26</v>
      </c>
      <c r="AF19" s="8">
        <v>2400</v>
      </c>
      <c r="AG19" s="7">
        <v>200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1</v>
      </c>
      <c r="AR19" s="7">
        <v>100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1</v>
      </c>
      <c r="BD19" s="7">
        <v>120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7.2</v>
      </c>
      <c r="BM19" s="10">
        <v>3020</v>
      </c>
      <c r="BN19" s="16">
        <f t="shared" si="0"/>
        <v>3012.8</v>
      </c>
      <c r="BO19" s="16">
        <f t="shared" si="1"/>
        <v>2108.96</v>
      </c>
    </row>
    <row r="20" spans="1:67" ht="19.5" x14ac:dyDescent="0.3">
      <c r="A20" s="15" t="s">
        <v>71</v>
      </c>
      <c r="B20" s="5" t="s">
        <v>213</v>
      </c>
      <c r="C20" s="5">
        <v>467470</v>
      </c>
      <c r="D20" s="6"/>
      <c r="E20" s="5" t="s">
        <v>16</v>
      </c>
      <c r="F20" s="5" t="s">
        <v>211</v>
      </c>
      <c r="G20" s="5" t="s">
        <v>31</v>
      </c>
      <c r="H20" s="7" t="s">
        <v>8</v>
      </c>
      <c r="I20" s="7" t="s">
        <v>214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8">
        <v>1100</v>
      </c>
      <c r="AG20" s="7">
        <v>1900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3000</v>
      </c>
      <c r="BN20" s="16">
        <f t="shared" si="0"/>
        <v>3000</v>
      </c>
      <c r="BO20" s="16">
        <f t="shared" si="1"/>
        <v>2100</v>
      </c>
    </row>
    <row r="21" spans="1:67" x14ac:dyDescent="0.3">
      <c r="A21" s="15" t="s">
        <v>71</v>
      </c>
      <c r="B21" s="5" t="s">
        <v>163</v>
      </c>
      <c r="C21" s="5">
        <v>483176</v>
      </c>
      <c r="D21" s="6"/>
      <c r="E21" s="5" t="s">
        <v>16</v>
      </c>
      <c r="F21" s="5" t="s">
        <v>38</v>
      </c>
      <c r="G21" s="5" t="s">
        <v>31</v>
      </c>
      <c r="H21" s="7" t="s">
        <v>64</v>
      </c>
      <c r="I21" s="7" t="s">
        <v>164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8">
        <v>3000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3000</v>
      </c>
      <c r="BN21" s="16">
        <f t="shared" si="0"/>
        <v>3000</v>
      </c>
      <c r="BO21" s="16">
        <f t="shared" si="1"/>
        <v>2100</v>
      </c>
    </row>
    <row r="22" spans="1:67" ht="19.5" x14ac:dyDescent="0.3">
      <c r="A22" s="15" t="s">
        <v>71</v>
      </c>
      <c r="B22" s="5" t="s">
        <v>209</v>
      </c>
      <c r="C22" s="5">
        <v>458432</v>
      </c>
      <c r="D22" s="6"/>
      <c r="E22" s="5" t="s">
        <v>16</v>
      </c>
      <c r="F22" s="5" t="s">
        <v>57</v>
      </c>
      <c r="G22" s="5" t="s">
        <v>31</v>
      </c>
      <c r="H22" s="7" t="s">
        <v>64</v>
      </c>
      <c r="I22" s="7" t="s">
        <v>210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8">
        <v>3000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3000</v>
      </c>
      <c r="BN22" s="16">
        <f t="shared" si="0"/>
        <v>3000</v>
      </c>
      <c r="BO22" s="16">
        <f t="shared" si="1"/>
        <v>2100</v>
      </c>
    </row>
    <row r="23" spans="1:67" x14ac:dyDescent="0.3">
      <c r="A23" s="15" t="s">
        <v>71</v>
      </c>
      <c r="B23" s="5" t="s">
        <v>240</v>
      </c>
      <c r="C23" s="5">
        <v>444220</v>
      </c>
      <c r="D23" s="6"/>
      <c r="E23" s="5" t="s">
        <v>16</v>
      </c>
      <c r="F23" s="5" t="s">
        <v>217</v>
      </c>
      <c r="G23" s="5" t="s">
        <v>31</v>
      </c>
      <c r="H23" s="7" t="s">
        <v>64</v>
      </c>
      <c r="I23" s="7" t="s">
        <v>222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8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1</v>
      </c>
      <c r="AR23" s="8">
        <v>2800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2800</v>
      </c>
      <c r="BN23" s="16">
        <f t="shared" si="0"/>
        <v>2800</v>
      </c>
      <c r="BO23" s="16">
        <f t="shared" si="1"/>
        <v>1959.9999999999998</v>
      </c>
    </row>
    <row r="24" spans="1:67" x14ac:dyDescent="0.3">
      <c r="A24" s="15" t="s">
        <v>71</v>
      </c>
      <c r="B24" s="5" t="s">
        <v>19</v>
      </c>
      <c r="C24" s="5">
        <v>463799</v>
      </c>
      <c r="D24" s="6"/>
      <c r="E24" s="5" t="s">
        <v>16</v>
      </c>
      <c r="F24" s="5" t="s">
        <v>20</v>
      </c>
      <c r="G24" s="5" t="s">
        <v>11</v>
      </c>
      <c r="H24" s="7" t="s">
        <v>7</v>
      </c>
      <c r="I24" s="7" t="s">
        <v>21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25</v>
      </c>
      <c r="AF24" s="8">
        <v>2500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3</v>
      </c>
      <c r="AR24" s="7">
        <v>300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2800</v>
      </c>
      <c r="BN24" s="16">
        <f t="shared" si="0"/>
        <v>2800</v>
      </c>
      <c r="BO24" s="16">
        <f t="shared" si="1"/>
        <v>1959.9999999999998</v>
      </c>
    </row>
    <row r="25" spans="1:67" x14ac:dyDescent="0.3">
      <c r="A25" s="15" t="s">
        <v>71</v>
      </c>
      <c r="B25" s="5" t="s">
        <v>241</v>
      </c>
      <c r="C25" s="5">
        <v>483173</v>
      </c>
      <c r="D25" s="6"/>
      <c r="E25" s="5" t="s">
        <v>16</v>
      </c>
      <c r="F25" s="5" t="s">
        <v>242</v>
      </c>
      <c r="G25" s="5" t="s">
        <v>76</v>
      </c>
      <c r="H25" s="7" t="s">
        <v>8</v>
      </c>
      <c r="I25" s="7" t="s">
        <v>243</v>
      </c>
      <c r="J25" s="7">
        <v>0</v>
      </c>
      <c r="K25" s="7">
        <v>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24</v>
      </c>
      <c r="AF25" s="8">
        <v>2400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2400</v>
      </c>
      <c r="BN25" s="16">
        <f t="shared" si="0"/>
        <v>2400</v>
      </c>
      <c r="BO25" s="16">
        <f t="shared" si="1"/>
        <v>1680</v>
      </c>
    </row>
    <row r="26" spans="1:67" x14ac:dyDescent="0.3">
      <c r="A26" s="15" t="s">
        <v>71</v>
      </c>
      <c r="B26" s="5" t="s">
        <v>15</v>
      </c>
      <c r="C26" s="5">
        <v>465248</v>
      </c>
      <c r="D26" s="6"/>
      <c r="E26" s="5" t="s">
        <v>16</v>
      </c>
      <c r="F26" s="5" t="s">
        <v>17</v>
      </c>
      <c r="G26" s="5" t="s">
        <v>76</v>
      </c>
      <c r="H26" s="7" t="s">
        <v>10</v>
      </c>
      <c r="I26" s="7" t="s">
        <v>18</v>
      </c>
      <c r="J26" s="7">
        <v>6</v>
      </c>
      <c r="K26" s="7">
        <v>100</v>
      </c>
      <c r="L26" s="7">
        <v>600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5</v>
      </c>
      <c r="AF26" s="8">
        <v>200</v>
      </c>
      <c r="AG26" s="7">
        <v>300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6</v>
      </c>
      <c r="BD26" s="7">
        <v>720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43.2</v>
      </c>
      <c r="BM26" s="10">
        <v>1820</v>
      </c>
      <c r="BN26" s="16">
        <f t="shared" si="0"/>
        <v>1776.8</v>
      </c>
      <c r="BO26" s="16">
        <f t="shared" si="1"/>
        <v>1243.76</v>
      </c>
    </row>
    <row r="27" spans="1:67" x14ac:dyDescent="0.3">
      <c r="A27" s="15" t="s">
        <v>71</v>
      </c>
      <c r="B27" s="5" t="s">
        <v>149</v>
      </c>
      <c r="C27" s="5">
        <v>473533</v>
      </c>
      <c r="D27" s="6"/>
      <c r="E27" s="5" t="s">
        <v>16</v>
      </c>
      <c r="F27" s="5" t="s">
        <v>150</v>
      </c>
      <c r="G27" s="5" t="s">
        <v>11</v>
      </c>
      <c r="H27" s="7" t="s">
        <v>7</v>
      </c>
      <c r="I27" s="7" t="s">
        <v>244</v>
      </c>
      <c r="J27" s="7">
        <v>0</v>
      </c>
      <c r="K27" s="7">
        <v>28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16</v>
      </c>
      <c r="AF27" s="8">
        <v>1600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1</v>
      </c>
      <c r="AX27" s="7">
        <v>120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12</v>
      </c>
      <c r="BM27" s="10">
        <v>1720</v>
      </c>
      <c r="BN27" s="16">
        <f t="shared" si="0"/>
        <v>1708</v>
      </c>
      <c r="BO27" s="16">
        <f t="shared" si="1"/>
        <v>1195.5999999999999</v>
      </c>
    </row>
    <row r="28" spans="1:67" x14ac:dyDescent="0.3">
      <c r="A28" s="15" t="s">
        <v>71</v>
      </c>
      <c r="B28" s="5" t="s">
        <v>193</v>
      </c>
      <c r="C28" s="5">
        <v>478744</v>
      </c>
      <c r="D28" s="6"/>
      <c r="E28" s="5" t="s">
        <v>16</v>
      </c>
      <c r="F28" s="5" t="s">
        <v>194</v>
      </c>
      <c r="G28" s="5" t="s">
        <v>11</v>
      </c>
      <c r="H28" s="7" t="s">
        <v>7</v>
      </c>
      <c r="I28" s="7" t="s">
        <v>244</v>
      </c>
      <c r="J28" s="7">
        <v>5</v>
      </c>
      <c r="K28" s="7">
        <v>12</v>
      </c>
      <c r="L28" s="7">
        <v>500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10</v>
      </c>
      <c r="AF28" s="7">
        <v>800</v>
      </c>
      <c r="AG28" s="8">
        <v>200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2</v>
      </c>
      <c r="AR28" s="7">
        <v>200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1700</v>
      </c>
      <c r="BN28" s="16">
        <f t="shared" si="0"/>
        <v>1700</v>
      </c>
      <c r="BO28" s="16">
        <f t="shared" si="1"/>
        <v>1190</v>
      </c>
    </row>
    <row r="29" spans="1:67" x14ac:dyDescent="0.3">
      <c r="A29" s="15" t="s">
        <v>71</v>
      </c>
      <c r="B29" s="5" t="s">
        <v>245</v>
      </c>
      <c r="C29" s="5">
        <v>485662</v>
      </c>
      <c r="D29" s="6"/>
      <c r="E29" s="5" t="s">
        <v>16</v>
      </c>
      <c r="F29" s="5" t="s">
        <v>57</v>
      </c>
      <c r="G29" s="5" t="s">
        <v>31</v>
      </c>
      <c r="H29" s="7" t="s">
        <v>64</v>
      </c>
      <c r="I29" s="7" t="s">
        <v>222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3</v>
      </c>
      <c r="AF29" s="8">
        <v>1500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1500</v>
      </c>
      <c r="BN29" s="16">
        <f t="shared" si="0"/>
        <v>1500</v>
      </c>
      <c r="BO29" s="16">
        <f t="shared" si="1"/>
        <v>1050</v>
      </c>
    </row>
    <row r="30" spans="1:67" x14ac:dyDescent="0.3">
      <c r="A30" s="15" t="s">
        <v>71</v>
      </c>
      <c r="B30" s="5" t="s">
        <v>246</v>
      </c>
      <c r="C30" s="5">
        <v>359539</v>
      </c>
      <c r="D30" s="6"/>
      <c r="E30" s="5" t="s">
        <v>16</v>
      </c>
      <c r="F30" s="5" t="s">
        <v>247</v>
      </c>
      <c r="G30" s="5" t="s">
        <v>31</v>
      </c>
      <c r="H30" s="7" t="s">
        <v>8</v>
      </c>
      <c r="I30" s="7" t="s">
        <v>248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10</v>
      </c>
      <c r="AF30" s="7">
        <v>1000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8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1000</v>
      </c>
      <c r="BN30" s="16">
        <f t="shared" si="0"/>
        <v>1000</v>
      </c>
      <c r="BO30" s="16">
        <f t="shared" si="1"/>
        <v>700</v>
      </c>
    </row>
    <row r="31" spans="1:67" x14ac:dyDescent="0.3">
      <c r="A31" s="15" t="s">
        <v>71</v>
      </c>
      <c r="B31" s="5" t="s">
        <v>23</v>
      </c>
      <c r="C31" s="5">
        <v>449889</v>
      </c>
      <c r="D31" s="6"/>
      <c r="E31" s="5" t="s">
        <v>16</v>
      </c>
      <c r="F31" s="5" t="s">
        <v>24</v>
      </c>
      <c r="G31" s="5" t="s">
        <v>11</v>
      </c>
      <c r="H31" s="7" t="s">
        <v>7</v>
      </c>
      <c r="I31" s="7" t="s">
        <v>25</v>
      </c>
      <c r="J31" s="7">
        <v>0</v>
      </c>
      <c r="K31" s="7">
        <v>5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9</v>
      </c>
      <c r="AF31" s="8">
        <v>900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900</v>
      </c>
      <c r="BN31" s="16">
        <f t="shared" si="0"/>
        <v>900</v>
      </c>
      <c r="BO31" s="16">
        <f t="shared" si="1"/>
        <v>630</v>
      </c>
    </row>
    <row r="32" spans="1:67" x14ac:dyDescent="0.3">
      <c r="A32" s="15" t="s">
        <v>71</v>
      </c>
      <c r="B32" s="5" t="s">
        <v>33</v>
      </c>
      <c r="C32" s="5">
        <v>178856</v>
      </c>
      <c r="D32" s="6"/>
      <c r="E32" s="5" t="s">
        <v>16</v>
      </c>
      <c r="F32" s="5" t="s">
        <v>28</v>
      </c>
      <c r="G32" s="5" t="s">
        <v>11</v>
      </c>
      <c r="H32" s="7" t="s">
        <v>10</v>
      </c>
      <c r="I32" s="7" t="s">
        <v>34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3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5</v>
      </c>
      <c r="AF32" s="7">
        <v>300</v>
      </c>
      <c r="AG32" s="7">
        <v>200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3</v>
      </c>
      <c r="BD32" s="7">
        <v>360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21.6</v>
      </c>
      <c r="BM32" s="10">
        <v>860</v>
      </c>
      <c r="BN32" s="16">
        <f t="shared" si="0"/>
        <v>838.4</v>
      </c>
      <c r="BO32" s="16">
        <f t="shared" si="1"/>
        <v>586.88</v>
      </c>
    </row>
    <row r="33" spans="1:67" x14ac:dyDescent="0.3">
      <c r="A33" s="15" t="s">
        <v>71</v>
      </c>
      <c r="B33" s="5" t="s">
        <v>177</v>
      </c>
      <c r="C33" s="5">
        <v>481322</v>
      </c>
      <c r="D33" s="6"/>
      <c r="E33" s="5" t="s">
        <v>16</v>
      </c>
      <c r="F33" s="5" t="s">
        <v>178</v>
      </c>
      <c r="G33" s="5" t="s">
        <v>11</v>
      </c>
      <c r="H33" s="7" t="s">
        <v>7</v>
      </c>
      <c r="I33" s="7" t="s">
        <v>159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8</v>
      </c>
      <c r="AF33" s="8">
        <v>800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800</v>
      </c>
      <c r="BN33" s="16">
        <f t="shared" si="0"/>
        <v>800</v>
      </c>
      <c r="BO33" s="16">
        <f t="shared" si="1"/>
        <v>560</v>
      </c>
    </row>
    <row r="34" spans="1:67" x14ac:dyDescent="0.3">
      <c r="A34" s="15" t="s">
        <v>71</v>
      </c>
      <c r="B34" s="5" t="s">
        <v>50</v>
      </c>
      <c r="C34" s="5">
        <v>219203</v>
      </c>
      <c r="D34" s="6"/>
      <c r="E34" s="5" t="s">
        <v>16</v>
      </c>
      <c r="F34" s="5" t="s">
        <v>51</v>
      </c>
      <c r="G34" s="5" t="s">
        <v>11</v>
      </c>
      <c r="H34" s="7" t="s">
        <v>7</v>
      </c>
      <c r="I34" s="7" t="s">
        <v>52</v>
      </c>
      <c r="J34" s="7">
        <v>2</v>
      </c>
      <c r="K34" s="7">
        <v>0</v>
      </c>
      <c r="L34" s="7">
        <v>100</v>
      </c>
      <c r="M34" s="7">
        <v>100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4</v>
      </c>
      <c r="AC34" s="7">
        <v>400</v>
      </c>
      <c r="AD34" s="7">
        <v>0</v>
      </c>
      <c r="AE34" s="7">
        <v>0</v>
      </c>
      <c r="AF34" s="8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2</v>
      </c>
      <c r="AO34" s="7">
        <v>200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800</v>
      </c>
      <c r="BN34" s="16">
        <f t="shared" si="0"/>
        <v>800</v>
      </c>
      <c r="BO34" s="16">
        <f t="shared" si="1"/>
        <v>560</v>
      </c>
    </row>
    <row r="35" spans="1:67" x14ac:dyDescent="0.3">
      <c r="A35" s="15" t="s">
        <v>71</v>
      </c>
      <c r="B35" s="5" t="s">
        <v>185</v>
      </c>
      <c r="C35" s="5">
        <v>482273</v>
      </c>
      <c r="D35" s="6"/>
      <c r="E35" s="5" t="s">
        <v>16</v>
      </c>
      <c r="F35" s="5" t="s">
        <v>186</v>
      </c>
      <c r="G35" s="5" t="s">
        <v>11</v>
      </c>
      <c r="H35" s="7" t="s">
        <v>7</v>
      </c>
      <c r="I35" s="7" t="s">
        <v>187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7</v>
      </c>
      <c r="AF35" s="7">
        <v>700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1">
        <v>700</v>
      </c>
      <c r="BN35" s="16">
        <f t="shared" si="0"/>
        <v>700</v>
      </c>
      <c r="BO35" s="16">
        <f t="shared" si="1"/>
        <v>489.99999999999994</v>
      </c>
    </row>
    <row r="36" spans="1:67" ht="19.5" x14ac:dyDescent="0.3">
      <c r="A36" s="15" t="s">
        <v>71</v>
      </c>
      <c r="B36" s="5" t="s">
        <v>35</v>
      </c>
      <c r="C36" s="5">
        <v>454534</v>
      </c>
      <c r="D36" s="6"/>
      <c r="E36" s="5" t="s">
        <v>16</v>
      </c>
      <c r="F36" s="5" t="s">
        <v>36</v>
      </c>
      <c r="G36" s="5" t="s">
        <v>11</v>
      </c>
      <c r="H36" s="7" t="s">
        <v>7</v>
      </c>
      <c r="I36" s="7" t="s">
        <v>144</v>
      </c>
      <c r="J36" s="7">
        <v>0</v>
      </c>
      <c r="K36" s="7">
        <v>35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5</v>
      </c>
      <c r="AF36" s="7">
        <v>400</v>
      </c>
      <c r="AG36" s="7">
        <v>100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1</v>
      </c>
      <c r="BD36" s="7">
        <v>120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7.2</v>
      </c>
      <c r="BM36" s="11">
        <v>620</v>
      </c>
      <c r="BN36" s="16">
        <f t="shared" si="0"/>
        <v>612.79999999999995</v>
      </c>
      <c r="BO36" s="16">
        <f t="shared" si="1"/>
        <v>428.95999999999992</v>
      </c>
    </row>
    <row r="37" spans="1:67" x14ac:dyDescent="0.3">
      <c r="A37" s="15" t="s">
        <v>71</v>
      </c>
      <c r="B37" s="5" t="s">
        <v>190</v>
      </c>
      <c r="C37" s="5">
        <v>355320</v>
      </c>
      <c r="D37" s="6"/>
      <c r="E37" s="5" t="s">
        <v>16</v>
      </c>
      <c r="F37" s="5" t="s">
        <v>191</v>
      </c>
      <c r="G37" s="5" t="s">
        <v>31</v>
      </c>
      <c r="H37" s="7" t="s">
        <v>8</v>
      </c>
      <c r="I37" s="7" t="s">
        <v>192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</v>
      </c>
      <c r="AF37" s="7">
        <v>500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1">
        <v>500</v>
      </c>
      <c r="BN37" s="16">
        <f t="shared" si="0"/>
        <v>500</v>
      </c>
      <c r="BO37" s="16">
        <f t="shared" si="1"/>
        <v>350</v>
      </c>
    </row>
    <row r="38" spans="1:67" x14ac:dyDescent="0.3">
      <c r="A38" s="15" t="s">
        <v>71</v>
      </c>
      <c r="B38" s="5" t="s">
        <v>39</v>
      </c>
      <c r="C38" s="5">
        <v>321812</v>
      </c>
      <c r="D38" s="6"/>
      <c r="E38" s="5" t="s">
        <v>16</v>
      </c>
      <c r="F38" s="5" t="s">
        <v>28</v>
      </c>
      <c r="G38" s="5" t="s">
        <v>11</v>
      </c>
      <c r="H38" s="7" t="s">
        <v>7</v>
      </c>
      <c r="I38" s="7" t="s">
        <v>40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5</v>
      </c>
      <c r="AF38" s="7">
        <v>200</v>
      </c>
      <c r="AG38" s="7">
        <v>300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1">
        <v>500</v>
      </c>
      <c r="BN38" s="16">
        <f t="shared" si="0"/>
        <v>500</v>
      </c>
      <c r="BO38" s="16">
        <f t="shared" si="1"/>
        <v>350</v>
      </c>
    </row>
    <row r="39" spans="1:67" x14ac:dyDescent="0.3">
      <c r="A39" s="15" t="s">
        <v>71</v>
      </c>
      <c r="B39" s="5" t="s">
        <v>249</v>
      </c>
      <c r="C39" s="5">
        <v>328894</v>
      </c>
      <c r="D39" s="6"/>
      <c r="E39" s="5" t="s">
        <v>16</v>
      </c>
      <c r="F39" s="5" t="s">
        <v>250</v>
      </c>
      <c r="G39" s="5" t="s">
        <v>31</v>
      </c>
      <c r="H39" s="7" t="s">
        <v>8</v>
      </c>
      <c r="I39" s="7" t="s">
        <v>251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4</v>
      </c>
      <c r="AF39" s="7">
        <v>400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1">
        <v>400</v>
      </c>
      <c r="BN39" s="16">
        <f t="shared" si="0"/>
        <v>400</v>
      </c>
      <c r="BO39" s="16">
        <f t="shared" si="1"/>
        <v>280</v>
      </c>
    </row>
    <row r="40" spans="1:67" x14ac:dyDescent="0.3">
      <c r="A40" s="15" t="s">
        <v>71</v>
      </c>
      <c r="B40" s="5" t="s">
        <v>252</v>
      </c>
      <c r="C40" s="5">
        <v>399878</v>
      </c>
      <c r="D40" s="6"/>
      <c r="E40" s="5" t="s">
        <v>16</v>
      </c>
      <c r="F40" s="5" t="s">
        <v>170</v>
      </c>
      <c r="G40" s="5" t="s">
        <v>31</v>
      </c>
      <c r="H40" s="7" t="s">
        <v>8</v>
      </c>
      <c r="I40" s="7" t="s">
        <v>171</v>
      </c>
      <c r="J40" s="7">
        <v>0</v>
      </c>
      <c r="K40" s="7">
        <v>22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4</v>
      </c>
      <c r="AF40" s="7">
        <v>400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1">
        <v>400</v>
      </c>
      <c r="BN40" s="16">
        <f t="shared" si="0"/>
        <v>400</v>
      </c>
      <c r="BO40" s="16">
        <f t="shared" si="1"/>
        <v>280</v>
      </c>
    </row>
    <row r="41" spans="1:67" x14ac:dyDescent="0.3">
      <c r="A41" s="15" t="s">
        <v>71</v>
      </c>
      <c r="B41" s="5" t="s">
        <v>253</v>
      </c>
      <c r="C41" s="5">
        <v>415992</v>
      </c>
      <c r="D41" s="6"/>
      <c r="E41" s="5" t="s">
        <v>16</v>
      </c>
      <c r="F41" s="5" t="s">
        <v>38</v>
      </c>
      <c r="G41" s="5" t="s">
        <v>31</v>
      </c>
      <c r="H41" s="7" t="s">
        <v>8</v>
      </c>
      <c r="I41" s="7" t="s">
        <v>179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3</v>
      </c>
      <c r="AF41" s="7">
        <v>300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1">
        <v>300</v>
      </c>
      <c r="BN41" s="16">
        <f t="shared" si="0"/>
        <v>300</v>
      </c>
      <c r="BO41" s="16">
        <f t="shared" si="1"/>
        <v>210</v>
      </c>
    </row>
    <row r="42" spans="1:67" x14ac:dyDescent="0.3">
      <c r="A42" s="15" t="s">
        <v>71</v>
      </c>
      <c r="B42" s="5" t="s">
        <v>254</v>
      </c>
      <c r="C42" s="5">
        <v>394830</v>
      </c>
      <c r="D42" s="6"/>
      <c r="E42" s="5" t="s">
        <v>16</v>
      </c>
      <c r="F42" s="5" t="s">
        <v>38</v>
      </c>
      <c r="G42" s="5" t="s">
        <v>31</v>
      </c>
      <c r="H42" s="7" t="s">
        <v>8</v>
      </c>
      <c r="I42" s="7" t="s">
        <v>255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3</v>
      </c>
      <c r="AF42" s="7">
        <v>300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1">
        <v>300</v>
      </c>
      <c r="BN42" s="16">
        <f t="shared" si="0"/>
        <v>300</v>
      </c>
      <c r="BO42" s="16">
        <f t="shared" si="1"/>
        <v>210</v>
      </c>
    </row>
    <row r="43" spans="1:67" x14ac:dyDescent="0.3">
      <c r="A43" s="15" t="s">
        <v>71</v>
      </c>
      <c r="B43" s="5" t="s">
        <v>256</v>
      </c>
      <c r="C43" s="5">
        <v>434558</v>
      </c>
      <c r="D43" s="6"/>
      <c r="E43" s="5" t="s">
        <v>16</v>
      </c>
      <c r="F43" s="5" t="s">
        <v>257</v>
      </c>
      <c r="G43" s="5" t="s">
        <v>11</v>
      </c>
      <c r="H43" s="7" t="s">
        <v>7</v>
      </c>
      <c r="I43" s="7" t="s">
        <v>258</v>
      </c>
      <c r="J43" s="7">
        <v>3</v>
      </c>
      <c r="K43" s="7">
        <v>0</v>
      </c>
      <c r="L43" s="7">
        <v>300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1">
        <v>300</v>
      </c>
      <c r="BN43" s="16">
        <f t="shared" ref="BN43:BN105" si="2">BM43-BL43</f>
        <v>300</v>
      </c>
      <c r="BO43" s="16">
        <f t="shared" ref="BO43:BO105" si="3">BN43*70%</f>
        <v>210</v>
      </c>
    </row>
    <row r="44" spans="1:67" x14ac:dyDescent="0.3">
      <c r="A44" s="15" t="s">
        <v>71</v>
      </c>
      <c r="B44" s="5" t="s">
        <v>259</v>
      </c>
      <c r="C44" s="5">
        <v>359912</v>
      </c>
      <c r="D44" s="6"/>
      <c r="E44" s="5" t="s">
        <v>16</v>
      </c>
      <c r="F44" s="5" t="s">
        <v>59</v>
      </c>
      <c r="G44" s="5" t="s">
        <v>31</v>
      </c>
      <c r="H44" s="7" t="s">
        <v>8</v>
      </c>
      <c r="I44" s="7" t="s">
        <v>260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</v>
      </c>
      <c r="AF44" s="7">
        <v>0</v>
      </c>
      <c r="AG44" s="7">
        <v>300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1">
        <v>300</v>
      </c>
      <c r="BN44" s="16">
        <f t="shared" si="2"/>
        <v>300</v>
      </c>
      <c r="BO44" s="16">
        <f t="shared" si="3"/>
        <v>210</v>
      </c>
    </row>
    <row r="45" spans="1:67" x14ac:dyDescent="0.3">
      <c r="A45" s="15" t="s">
        <v>71</v>
      </c>
      <c r="B45" s="5" t="s">
        <v>261</v>
      </c>
      <c r="C45" s="5">
        <v>384107</v>
      </c>
      <c r="D45" s="6"/>
      <c r="E45" s="5" t="s">
        <v>16</v>
      </c>
      <c r="F45" s="5" t="s">
        <v>262</v>
      </c>
      <c r="G45" s="5" t="s">
        <v>31</v>
      </c>
      <c r="H45" s="7" t="s">
        <v>64</v>
      </c>
      <c r="I45" s="7" t="s">
        <v>263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2</v>
      </c>
      <c r="AF45" s="7">
        <v>100</v>
      </c>
      <c r="AG45" s="7">
        <v>100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1">
        <v>200</v>
      </c>
      <c r="BN45" s="16">
        <f t="shared" si="2"/>
        <v>200</v>
      </c>
      <c r="BO45" s="16">
        <f t="shared" si="3"/>
        <v>140</v>
      </c>
    </row>
    <row r="46" spans="1:67" x14ac:dyDescent="0.3">
      <c r="A46" s="15" t="s">
        <v>71</v>
      </c>
      <c r="B46" s="5" t="s">
        <v>204</v>
      </c>
      <c r="C46" s="5">
        <v>350894</v>
      </c>
      <c r="D46" s="6"/>
      <c r="E46" s="5" t="s">
        <v>16</v>
      </c>
      <c r="F46" s="5" t="s">
        <v>61</v>
      </c>
      <c r="G46" s="5" t="s">
        <v>31</v>
      </c>
      <c r="H46" s="7" t="s">
        <v>8</v>
      </c>
      <c r="I46" s="7" t="s">
        <v>205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2</v>
      </c>
      <c r="AF46" s="7">
        <v>200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1">
        <v>200</v>
      </c>
      <c r="BN46" s="16">
        <f t="shared" si="2"/>
        <v>200</v>
      </c>
      <c r="BO46" s="16">
        <f t="shared" si="3"/>
        <v>140</v>
      </c>
    </row>
    <row r="47" spans="1:67" x14ac:dyDescent="0.3">
      <c r="A47" s="15" t="s">
        <v>71</v>
      </c>
      <c r="B47" s="5" t="s">
        <v>146</v>
      </c>
      <c r="C47" s="5">
        <v>478890</v>
      </c>
      <c r="D47" s="6"/>
      <c r="E47" s="5" t="s">
        <v>16</v>
      </c>
      <c r="F47" s="5" t="s">
        <v>147</v>
      </c>
      <c r="G47" s="5" t="s">
        <v>76</v>
      </c>
      <c r="H47" s="7" t="s">
        <v>8</v>
      </c>
      <c r="I47" s="7" t="s">
        <v>148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2</v>
      </c>
      <c r="AF47" s="7">
        <v>200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1">
        <v>200</v>
      </c>
      <c r="BN47" s="16">
        <f t="shared" si="2"/>
        <v>200</v>
      </c>
      <c r="BO47" s="16">
        <f t="shared" si="3"/>
        <v>140</v>
      </c>
    </row>
    <row r="48" spans="1:67" x14ac:dyDescent="0.3">
      <c r="A48" s="15" t="s">
        <v>71</v>
      </c>
      <c r="B48" s="5" t="s">
        <v>188</v>
      </c>
      <c r="C48" s="5">
        <v>483179</v>
      </c>
      <c r="D48" s="6"/>
      <c r="E48" s="5" t="s">
        <v>16</v>
      </c>
      <c r="F48" s="5" t="s">
        <v>161</v>
      </c>
      <c r="G48" s="5" t="s">
        <v>31</v>
      </c>
      <c r="H48" s="7" t="s">
        <v>8</v>
      </c>
      <c r="I48" s="7" t="s">
        <v>189</v>
      </c>
      <c r="J48" s="7">
        <v>0</v>
      </c>
      <c r="K48" s="7">
        <v>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2</v>
      </c>
      <c r="AF48" s="7">
        <v>0</v>
      </c>
      <c r="AG48" s="7">
        <v>200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1">
        <v>200</v>
      </c>
      <c r="BN48" s="16">
        <f t="shared" si="2"/>
        <v>200</v>
      </c>
      <c r="BO48" s="16">
        <f t="shared" si="3"/>
        <v>140</v>
      </c>
    </row>
    <row r="49" spans="1:67" x14ac:dyDescent="0.3">
      <c r="A49" s="15" t="s">
        <v>71</v>
      </c>
      <c r="B49" s="5" t="s">
        <v>41</v>
      </c>
      <c r="C49" s="5">
        <v>412919</v>
      </c>
      <c r="D49" s="6"/>
      <c r="E49" s="5" t="s">
        <v>16</v>
      </c>
      <c r="F49" s="5" t="s">
        <v>42</v>
      </c>
      <c r="G49" s="5" t="s">
        <v>31</v>
      </c>
      <c r="H49" s="7" t="s">
        <v>8</v>
      </c>
      <c r="I49" s="7" t="s">
        <v>43</v>
      </c>
      <c r="J49" s="7">
        <v>0</v>
      </c>
      <c r="K49" s="7">
        <v>6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</v>
      </c>
      <c r="AF49" s="7">
        <v>200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1">
        <v>200</v>
      </c>
      <c r="BN49" s="16">
        <f t="shared" si="2"/>
        <v>200</v>
      </c>
      <c r="BO49" s="16">
        <f t="shared" si="3"/>
        <v>140</v>
      </c>
    </row>
    <row r="50" spans="1:67" x14ac:dyDescent="0.3">
      <c r="A50" s="15" t="s">
        <v>71</v>
      </c>
      <c r="B50" s="5" t="s">
        <v>69</v>
      </c>
      <c r="C50" s="5">
        <v>462353</v>
      </c>
      <c r="D50" s="6"/>
      <c r="E50" s="5" t="s">
        <v>16</v>
      </c>
      <c r="F50" s="5" t="s">
        <v>36</v>
      </c>
      <c r="G50" s="5" t="s">
        <v>11</v>
      </c>
      <c r="H50" s="7" t="s">
        <v>7</v>
      </c>
      <c r="I50" s="7" t="s">
        <v>70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1</v>
      </c>
      <c r="AF50" s="7">
        <v>100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1</v>
      </c>
      <c r="AR50" s="7">
        <v>100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1">
        <v>200</v>
      </c>
      <c r="BN50" s="16">
        <f t="shared" si="2"/>
        <v>200</v>
      </c>
      <c r="BO50" s="16">
        <f t="shared" si="3"/>
        <v>140</v>
      </c>
    </row>
    <row r="51" spans="1:67" ht="19.5" x14ac:dyDescent="0.3">
      <c r="A51" s="15" t="s">
        <v>71</v>
      </c>
      <c r="B51" s="5" t="s">
        <v>27</v>
      </c>
      <c r="C51" s="5">
        <v>369220</v>
      </c>
      <c r="D51" s="6"/>
      <c r="E51" s="5" t="s">
        <v>16</v>
      </c>
      <c r="F51" s="5" t="s">
        <v>28</v>
      </c>
      <c r="G51" s="5" t="s">
        <v>11</v>
      </c>
      <c r="H51" s="7" t="s">
        <v>7</v>
      </c>
      <c r="I51" s="7" t="s">
        <v>29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2</v>
      </c>
      <c r="AF51" s="7">
        <v>200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1">
        <v>200</v>
      </c>
      <c r="BN51" s="16">
        <f t="shared" si="2"/>
        <v>200</v>
      </c>
      <c r="BO51" s="16">
        <f t="shared" si="3"/>
        <v>140</v>
      </c>
    </row>
    <row r="52" spans="1:67" ht="19.5" x14ac:dyDescent="0.3">
      <c r="A52" s="15" t="s">
        <v>71</v>
      </c>
      <c r="B52" s="5" t="s">
        <v>44</v>
      </c>
      <c r="C52" s="5">
        <v>459997</v>
      </c>
      <c r="D52" s="6"/>
      <c r="E52" s="5" t="s">
        <v>16</v>
      </c>
      <c r="F52" s="5" t="s">
        <v>45</v>
      </c>
      <c r="G52" s="5" t="s">
        <v>11</v>
      </c>
      <c r="H52" s="7" t="s">
        <v>7</v>
      </c>
      <c r="I52" s="7" t="s">
        <v>264</v>
      </c>
      <c r="J52" s="7">
        <v>0</v>
      </c>
      <c r="K52" s="7">
        <v>33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</v>
      </c>
      <c r="AF52" s="7">
        <v>0</v>
      </c>
      <c r="AG52" s="7">
        <v>100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1</v>
      </c>
      <c r="AR52" s="7">
        <v>100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1">
        <v>200</v>
      </c>
      <c r="BN52" s="16">
        <f t="shared" si="2"/>
        <v>200</v>
      </c>
      <c r="BO52" s="16">
        <f t="shared" si="3"/>
        <v>140</v>
      </c>
    </row>
    <row r="53" spans="1:67" x14ac:dyDescent="0.3">
      <c r="A53" s="15" t="s">
        <v>71</v>
      </c>
      <c r="B53" s="5" t="s">
        <v>265</v>
      </c>
      <c r="C53" s="5">
        <v>245889</v>
      </c>
      <c r="D53" s="6"/>
      <c r="E53" s="5" t="s">
        <v>16</v>
      </c>
      <c r="F53" s="5" t="s">
        <v>28</v>
      </c>
      <c r="G53" s="5" t="s">
        <v>11</v>
      </c>
      <c r="H53" s="7" t="s">
        <v>7</v>
      </c>
      <c r="I53" s="7" t="s">
        <v>266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2</v>
      </c>
      <c r="AF53" s="7">
        <v>0</v>
      </c>
      <c r="AG53" s="7">
        <v>200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1">
        <v>200</v>
      </c>
      <c r="BN53" s="16">
        <f t="shared" si="2"/>
        <v>200</v>
      </c>
      <c r="BO53" s="16">
        <f t="shared" si="3"/>
        <v>140</v>
      </c>
    </row>
    <row r="54" spans="1:67" x14ac:dyDescent="0.3">
      <c r="A54" s="15" t="s">
        <v>71</v>
      </c>
      <c r="B54" s="5" t="s">
        <v>202</v>
      </c>
      <c r="C54" s="5">
        <v>388999</v>
      </c>
      <c r="D54" s="6"/>
      <c r="E54" s="5" t="s">
        <v>16</v>
      </c>
      <c r="F54" s="5" t="s">
        <v>48</v>
      </c>
      <c r="G54" s="5" t="s">
        <v>11</v>
      </c>
      <c r="H54" s="7" t="s">
        <v>7</v>
      </c>
      <c r="I54" s="7" t="s">
        <v>203</v>
      </c>
      <c r="J54" s="7">
        <v>0</v>
      </c>
      <c r="K54" s="7">
        <v>4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2</v>
      </c>
      <c r="AF54" s="7">
        <v>200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1">
        <v>200</v>
      </c>
      <c r="BN54" s="16">
        <f t="shared" si="2"/>
        <v>200</v>
      </c>
      <c r="BO54" s="16">
        <f t="shared" si="3"/>
        <v>140</v>
      </c>
    </row>
    <row r="55" spans="1:67" x14ac:dyDescent="0.3">
      <c r="A55" s="15" t="s">
        <v>71</v>
      </c>
      <c r="B55" s="5" t="s">
        <v>37</v>
      </c>
      <c r="C55" s="5">
        <v>457807</v>
      </c>
      <c r="D55" s="6"/>
      <c r="E55" s="5" t="s">
        <v>16</v>
      </c>
      <c r="F55" s="5" t="s">
        <v>38</v>
      </c>
      <c r="G55" s="5" t="s">
        <v>31</v>
      </c>
      <c r="H55" s="7" t="s">
        <v>8</v>
      </c>
      <c r="I55" s="7" t="s">
        <v>74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7">
        <v>100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1">
        <v>100</v>
      </c>
      <c r="BN55" s="16">
        <f t="shared" si="2"/>
        <v>100</v>
      </c>
      <c r="BO55" s="16">
        <f t="shared" si="3"/>
        <v>70</v>
      </c>
    </row>
    <row r="56" spans="1:67" x14ac:dyDescent="0.3">
      <c r="A56" s="15" t="s">
        <v>71</v>
      </c>
      <c r="B56" s="5" t="s">
        <v>267</v>
      </c>
      <c r="C56" s="5">
        <v>351033</v>
      </c>
      <c r="D56" s="6" t="s">
        <v>268</v>
      </c>
      <c r="E56" s="5" t="s">
        <v>16</v>
      </c>
      <c r="F56" s="5" t="s">
        <v>28</v>
      </c>
      <c r="G56" s="5" t="s">
        <v>11</v>
      </c>
      <c r="H56" s="7" t="s">
        <v>7</v>
      </c>
      <c r="I56" s="7" t="s">
        <v>269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1</v>
      </c>
      <c r="AR56" s="7">
        <v>100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1">
        <v>100</v>
      </c>
      <c r="BN56" s="16">
        <f t="shared" si="2"/>
        <v>100</v>
      </c>
      <c r="BO56" s="16">
        <f t="shared" si="3"/>
        <v>70</v>
      </c>
    </row>
    <row r="57" spans="1:67" x14ac:dyDescent="0.3">
      <c r="A57" s="15" t="s">
        <v>71</v>
      </c>
      <c r="B57" s="5" t="s">
        <v>270</v>
      </c>
      <c r="C57" s="5">
        <v>379813</v>
      </c>
      <c r="D57" s="6"/>
      <c r="E57" s="5" t="s">
        <v>16</v>
      </c>
      <c r="F57" s="5" t="s">
        <v>28</v>
      </c>
      <c r="G57" s="5" t="s">
        <v>11</v>
      </c>
      <c r="H57" s="7" t="s">
        <v>7</v>
      </c>
      <c r="I57" s="7" t="s">
        <v>271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1</v>
      </c>
      <c r="AR57" s="7">
        <v>100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1">
        <v>100</v>
      </c>
      <c r="BN57" s="16">
        <f t="shared" si="2"/>
        <v>100</v>
      </c>
      <c r="BO57" s="16">
        <f t="shared" si="3"/>
        <v>70</v>
      </c>
    </row>
    <row r="58" spans="1:67" x14ac:dyDescent="0.3">
      <c r="A58" s="15" t="s">
        <v>71</v>
      </c>
      <c r="B58" s="5" t="s">
        <v>79</v>
      </c>
      <c r="C58" s="5">
        <v>476783</v>
      </c>
      <c r="D58" s="6"/>
      <c r="E58" s="5" t="s">
        <v>16</v>
      </c>
      <c r="F58" s="5" t="s">
        <v>80</v>
      </c>
      <c r="G58" s="5" t="s">
        <v>31</v>
      </c>
      <c r="H58" s="7" t="s">
        <v>8</v>
      </c>
      <c r="I58" s="7" t="s">
        <v>81</v>
      </c>
      <c r="J58" s="7">
        <v>0</v>
      </c>
      <c r="K58" s="7">
        <v>14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1</v>
      </c>
      <c r="AR58" s="7">
        <v>100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1">
        <v>100</v>
      </c>
      <c r="BN58" s="16">
        <f t="shared" si="2"/>
        <v>100</v>
      </c>
      <c r="BO58" s="16">
        <f t="shared" si="3"/>
        <v>70</v>
      </c>
    </row>
    <row r="59" spans="1:67" x14ac:dyDescent="0.3">
      <c r="A59" s="15" t="s">
        <v>71</v>
      </c>
      <c r="B59" s="5" t="s">
        <v>47</v>
      </c>
      <c r="C59" s="5">
        <v>387417</v>
      </c>
      <c r="D59" s="6"/>
      <c r="E59" s="5" t="s">
        <v>16</v>
      </c>
      <c r="F59" s="5" t="s">
        <v>48</v>
      </c>
      <c r="G59" s="5" t="s">
        <v>11</v>
      </c>
      <c r="H59" s="7" t="s">
        <v>7</v>
      </c>
      <c r="I59" s="7" t="s">
        <v>49</v>
      </c>
      <c r="J59" s="7">
        <v>0</v>
      </c>
      <c r="K59" s="7">
        <v>31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1">
        <v>0</v>
      </c>
      <c r="BN59" s="16">
        <f t="shared" si="2"/>
        <v>0</v>
      </c>
      <c r="BO59" s="16">
        <f t="shared" si="3"/>
        <v>0</v>
      </c>
    </row>
    <row r="60" spans="1:67" x14ac:dyDescent="0.3">
      <c r="A60" s="15" t="s">
        <v>71</v>
      </c>
      <c r="B60" s="5" t="s">
        <v>272</v>
      </c>
      <c r="C60" s="5">
        <v>381176</v>
      </c>
      <c r="D60" s="6"/>
      <c r="E60" s="5" t="s">
        <v>16</v>
      </c>
      <c r="F60" s="5" t="s">
        <v>36</v>
      </c>
      <c r="G60" s="5" t="s">
        <v>11</v>
      </c>
      <c r="H60" s="7" t="s">
        <v>7</v>
      </c>
      <c r="I60" s="7" t="s">
        <v>273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5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1">
        <v>0</v>
      </c>
      <c r="BN60" s="16">
        <f t="shared" si="2"/>
        <v>0</v>
      </c>
      <c r="BO60" s="16">
        <f t="shared" si="3"/>
        <v>0</v>
      </c>
    </row>
    <row r="61" spans="1:67" x14ac:dyDescent="0.3">
      <c r="A61" s="15" t="s">
        <v>71</v>
      </c>
      <c r="B61" s="5" t="s">
        <v>77</v>
      </c>
      <c r="C61" s="5">
        <v>476035</v>
      </c>
      <c r="D61" s="6"/>
      <c r="E61" s="5" t="s">
        <v>16</v>
      </c>
      <c r="F61" s="5" t="s">
        <v>78</v>
      </c>
      <c r="G61" s="5" t="s">
        <v>76</v>
      </c>
      <c r="H61" s="7" t="s">
        <v>10</v>
      </c>
      <c r="I61" s="7" t="s">
        <v>72</v>
      </c>
      <c r="J61" s="7">
        <v>0</v>
      </c>
      <c r="K61" s="7">
        <v>4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1">
        <v>0</v>
      </c>
      <c r="BN61" s="16">
        <f t="shared" si="2"/>
        <v>0</v>
      </c>
      <c r="BO61" s="16">
        <f t="shared" si="3"/>
        <v>0</v>
      </c>
    </row>
    <row r="62" spans="1:67" x14ac:dyDescent="0.3">
      <c r="A62" s="15" t="s">
        <v>71</v>
      </c>
      <c r="B62" s="5" t="s">
        <v>274</v>
      </c>
      <c r="C62" s="5">
        <v>420277</v>
      </c>
      <c r="D62" s="6"/>
      <c r="E62" s="5" t="s">
        <v>16</v>
      </c>
      <c r="F62" s="5" t="s">
        <v>63</v>
      </c>
      <c r="G62" s="5" t="s">
        <v>31</v>
      </c>
      <c r="H62" s="7" t="s">
        <v>8</v>
      </c>
      <c r="I62" s="7" t="s">
        <v>275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8">
        <v>0</v>
      </c>
      <c r="AF62" s="8">
        <v>0</v>
      </c>
      <c r="AG62" s="8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8">
        <v>0</v>
      </c>
      <c r="AS62" s="8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8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9">
        <v>0</v>
      </c>
      <c r="BM62" s="10">
        <v>0</v>
      </c>
      <c r="BN62" s="16">
        <f t="shared" si="2"/>
        <v>0</v>
      </c>
      <c r="BO62" s="16">
        <f t="shared" si="3"/>
        <v>0</v>
      </c>
    </row>
    <row r="63" spans="1:67" x14ac:dyDescent="0.3">
      <c r="A63" s="15" t="s">
        <v>83</v>
      </c>
      <c r="B63" s="5" t="s">
        <v>66</v>
      </c>
      <c r="C63" s="5">
        <v>472512</v>
      </c>
      <c r="D63" s="6"/>
      <c r="E63" s="5" t="s">
        <v>16</v>
      </c>
      <c r="F63" s="5" t="s">
        <v>36</v>
      </c>
      <c r="G63" s="5" t="s">
        <v>11</v>
      </c>
      <c r="H63" s="7" t="s">
        <v>7</v>
      </c>
      <c r="I63" s="7" t="s">
        <v>223</v>
      </c>
      <c r="J63" s="7">
        <v>0</v>
      </c>
      <c r="K63" s="7">
        <v>104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8">
        <v>1119</v>
      </c>
      <c r="AF63" s="8">
        <v>98100</v>
      </c>
      <c r="AG63" s="8">
        <v>14000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336</v>
      </c>
      <c r="AR63" s="8">
        <v>31200</v>
      </c>
      <c r="AS63" s="7">
        <v>2400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8">
        <v>0</v>
      </c>
      <c r="BE63" s="7">
        <v>0</v>
      </c>
      <c r="BF63" s="7">
        <v>0</v>
      </c>
      <c r="BG63" s="7">
        <v>0</v>
      </c>
      <c r="BH63" s="7">
        <v>0</v>
      </c>
      <c r="BI63" s="7">
        <v>1</v>
      </c>
      <c r="BJ63" s="7">
        <v>120</v>
      </c>
      <c r="BK63" s="7">
        <v>0</v>
      </c>
      <c r="BL63" s="7">
        <v>6</v>
      </c>
      <c r="BM63" s="10">
        <v>145820</v>
      </c>
      <c r="BN63" s="16">
        <f t="shared" si="2"/>
        <v>145814</v>
      </c>
      <c r="BO63" s="16">
        <f t="shared" si="3"/>
        <v>102069.79999999999</v>
      </c>
    </row>
    <row r="64" spans="1:67" x14ac:dyDescent="0.3">
      <c r="A64" s="15" t="s">
        <v>83</v>
      </c>
      <c r="B64" s="5" t="s">
        <v>237</v>
      </c>
      <c r="C64" s="5">
        <v>484300</v>
      </c>
      <c r="D64" s="6"/>
      <c r="E64" s="5" t="s">
        <v>16</v>
      </c>
      <c r="F64" s="5" t="s">
        <v>238</v>
      </c>
      <c r="G64" s="5" t="s">
        <v>11</v>
      </c>
      <c r="H64" s="7" t="s">
        <v>7</v>
      </c>
      <c r="I64" s="7" t="s">
        <v>239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801</v>
      </c>
      <c r="AF64" s="8">
        <v>79320</v>
      </c>
      <c r="AG64" s="7">
        <v>900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495</v>
      </c>
      <c r="AR64" s="8">
        <v>47100</v>
      </c>
      <c r="AS64" s="7">
        <v>2400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49</v>
      </c>
      <c r="BD64" s="8">
        <v>5880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9">
        <v>352.8</v>
      </c>
      <c r="BM64" s="10">
        <v>135600</v>
      </c>
      <c r="BN64" s="16">
        <f t="shared" si="2"/>
        <v>135247.20000000001</v>
      </c>
      <c r="BO64" s="16">
        <f t="shared" si="3"/>
        <v>94673.040000000008</v>
      </c>
    </row>
    <row r="65" spans="1:67" x14ac:dyDescent="0.3">
      <c r="A65" s="15" t="s">
        <v>83</v>
      </c>
      <c r="B65" s="5" t="s">
        <v>19</v>
      </c>
      <c r="C65" s="5">
        <v>463799</v>
      </c>
      <c r="D65" s="6"/>
      <c r="E65" s="5" t="s">
        <v>16</v>
      </c>
      <c r="F65" s="5" t="s">
        <v>20</v>
      </c>
      <c r="G65" s="5" t="s">
        <v>11</v>
      </c>
      <c r="H65" s="7" t="s">
        <v>7</v>
      </c>
      <c r="I65" s="7" t="s">
        <v>21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1095</v>
      </c>
      <c r="AF65" s="8">
        <v>109500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162</v>
      </c>
      <c r="AR65" s="8">
        <v>15800</v>
      </c>
      <c r="AS65" s="7">
        <v>400</v>
      </c>
      <c r="AT65" s="7">
        <v>0</v>
      </c>
      <c r="AU65" s="7">
        <v>0</v>
      </c>
      <c r="AV65" s="7">
        <v>0</v>
      </c>
      <c r="AW65" s="7">
        <v>1</v>
      </c>
      <c r="AX65" s="7">
        <v>120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8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9">
        <v>12</v>
      </c>
      <c r="BM65" s="10">
        <v>125820</v>
      </c>
      <c r="BN65" s="16">
        <f t="shared" si="2"/>
        <v>125808</v>
      </c>
      <c r="BO65" s="16">
        <f t="shared" si="3"/>
        <v>88065.599999999991</v>
      </c>
    </row>
    <row r="66" spans="1:67" x14ac:dyDescent="0.3">
      <c r="A66" s="15" t="s">
        <v>83</v>
      </c>
      <c r="B66" s="5" t="s">
        <v>26</v>
      </c>
      <c r="C66" s="5">
        <v>414278</v>
      </c>
      <c r="D66" s="6"/>
      <c r="E66" s="5" t="s">
        <v>16</v>
      </c>
      <c r="F66" s="5" t="s">
        <v>12</v>
      </c>
      <c r="G66" s="5" t="s">
        <v>11</v>
      </c>
      <c r="H66" s="7" t="s">
        <v>8</v>
      </c>
      <c r="I66" s="7" t="s">
        <v>72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26</v>
      </c>
      <c r="AF66" s="8">
        <v>81800</v>
      </c>
      <c r="AG66" s="8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6</v>
      </c>
      <c r="BD66" s="8">
        <v>20880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1252.8</v>
      </c>
      <c r="BM66" s="10">
        <v>102680</v>
      </c>
      <c r="BN66" s="16">
        <f t="shared" si="2"/>
        <v>101427.2</v>
      </c>
      <c r="BO66" s="16">
        <f t="shared" si="3"/>
        <v>70999.039999999994</v>
      </c>
    </row>
    <row r="67" spans="1:67" x14ac:dyDescent="0.3">
      <c r="A67" s="15" t="s">
        <v>83</v>
      </c>
      <c r="B67" s="5" t="s">
        <v>33</v>
      </c>
      <c r="C67" s="5">
        <v>178856</v>
      </c>
      <c r="D67" s="6"/>
      <c r="E67" s="5" t="s">
        <v>16</v>
      </c>
      <c r="F67" s="5" t="s">
        <v>28</v>
      </c>
      <c r="G67" s="5" t="s">
        <v>11</v>
      </c>
      <c r="H67" s="7" t="s">
        <v>10</v>
      </c>
      <c r="I67" s="7" t="s">
        <v>34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56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277</v>
      </c>
      <c r="AF67" s="8">
        <v>25400</v>
      </c>
      <c r="AG67" s="8">
        <v>2300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237</v>
      </c>
      <c r="AR67" s="8">
        <v>23500</v>
      </c>
      <c r="AS67" s="7">
        <v>200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202</v>
      </c>
      <c r="BD67" s="7">
        <v>24240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1454.4</v>
      </c>
      <c r="BM67" s="10">
        <v>75640</v>
      </c>
      <c r="BN67" s="16">
        <f t="shared" si="2"/>
        <v>74185.600000000006</v>
      </c>
      <c r="BO67" s="16">
        <f t="shared" si="3"/>
        <v>51929.919999999998</v>
      </c>
    </row>
    <row r="68" spans="1:67" x14ac:dyDescent="0.3">
      <c r="A68" s="15" t="s">
        <v>83</v>
      </c>
      <c r="B68" s="5" t="s">
        <v>228</v>
      </c>
      <c r="C68" s="5">
        <v>484142</v>
      </c>
      <c r="D68" s="6"/>
      <c r="E68" s="5" t="s">
        <v>16</v>
      </c>
      <c r="F68" s="5" t="s">
        <v>229</v>
      </c>
      <c r="G68" s="5" t="s">
        <v>76</v>
      </c>
      <c r="H68" s="7" t="s">
        <v>8</v>
      </c>
      <c r="I68" s="7" t="s">
        <v>198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332</v>
      </c>
      <c r="AF68" s="8">
        <v>29700</v>
      </c>
      <c r="AG68" s="8">
        <v>3500</v>
      </c>
      <c r="AH68" s="7">
        <v>0</v>
      </c>
      <c r="AI68" s="7">
        <v>0</v>
      </c>
      <c r="AJ68" s="7">
        <v>0</v>
      </c>
      <c r="AK68" s="7">
        <v>48</v>
      </c>
      <c r="AL68" s="7">
        <v>5040</v>
      </c>
      <c r="AM68" s="7">
        <v>600</v>
      </c>
      <c r="AN68" s="7">
        <v>0</v>
      </c>
      <c r="AO68" s="7">
        <v>0</v>
      </c>
      <c r="AP68" s="7">
        <v>0</v>
      </c>
      <c r="AQ68" s="7">
        <v>1</v>
      </c>
      <c r="AR68" s="8">
        <v>0</v>
      </c>
      <c r="AS68" s="7">
        <v>100</v>
      </c>
      <c r="AT68" s="7">
        <v>0</v>
      </c>
      <c r="AU68" s="7">
        <v>0</v>
      </c>
      <c r="AV68" s="7">
        <v>0</v>
      </c>
      <c r="AW68" s="7">
        <v>20</v>
      </c>
      <c r="AX68" s="8">
        <v>2400</v>
      </c>
      <c r="AY68" s="7">
        <v>0</v>
      </c>
      <c r="AZ68" s="7">
        <v>0</v>
      </c>
      <c r="BA68" s="7">
        <v>0</v>
      </c>
      <c r="BB68" s="7">
        <v>0</v>
      </c>
      <c r="BC68" s="7">
        <v>29</v>
      </c>
      <c r="BD68" s="8">
        <v>3480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1960.8</v>
      </c>
      <c r="BM68" s="10">
        <v>44820</v>
      </c>
      <c r="BN68" s="16">
        <f t="shared" si="2"/>
        <v>42859.199999999997</v>
      </c>
      <c r="BO68" s="16">
        <f t="shared" si="3"/>
        <v>30001.439999999995</v>
      </c>
    </row>
    <row r="69" spans="1:67" ht="19.5" x14ac:dyDescent="0.3">
      <c r="A69" s="15" t="s">
        <v>83</v>
      </c>
      <c r="B69" s="5" t="s">
        <v>35</v>
      </c>
      <c r="C69" s="5">
        <v>454534</v>
      </c>
      <c r="D69" s="6"/>
      <c r="E69" s="5" t="s">
        <v>16</v>
      </c>
      <c r="F69" s="5" t="s">
        <v>36</v>
      </c>
      <c r="G69" s="5" t="s">
        <v>11</v>
      </c>
      <c r="H69" s="7" t="s">
        <v>7</v>
      </c>
      <c r="I69" s="7" t="s">
        <v>144</v>
      </c>
      <c r="J69" s="7">
        <v>0</v>
      </c>
      <c r="K69" s="7">
        <v>4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239</v>
      </c>
      <c r="AF69" s="8">
        <v>23200</v>
      </c>
      <c r="AG69" s="7">
        <v>700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78</v>
      </c>
      <c r="AR69" s="7">
        <v>7800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48</v>
      </c>
      <c r="BD69" s="7">
        <v>5760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345.6</v>
      </c>
      <c r="BM69" s="10">
        <v>37460</v>
      </c>
      <c r="BN69" s="16">
        <f t="shared" si="2"/>
        <v>37114.400000000001</v>
      </c>
      <c r="BO69" s="16">
        <f t="shared" si="3"/>
        <v>25980.079999999998</v>
      </c>
    </row>
    <row r="70" spans="1:67" x14ac:dyDescent="0.3">
      <c r="A70" s="15" t="s">
        <v>83</v>
      </c>
      <c r="B70" s="5" t="s">
        <v>270</v>
      </c>
      <c r="C70" s="5">
        <v>379813</v>
      </c>
      <c r="D70" s="6"/>
      <c r="E70" s="5" t="s">
        <v>16</v>
      </c>
      <c r="F70" s="5" t="s">
        <v>28</v>
      </c>
      <c r="G70" s="5" t="s">
        <v>11</v>
      </c>
      <c r="H70" s="7" t="s">
        <v>7</v>
      </c>
      <c r="I70" s="7" t="s">
        <v>271</v>
      </c>
      <c r="J70" s="7">
        <v>0</v>
      </c>
      <c r="K70" s="7">
        <v>0</v>
      </c>
      <c r="L70" s="8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8">
        <v>0</v>
      </c>
      <c r="AG70" s="8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298</v>
      </c>
      <c r="AR70" s="8">
        <v>29800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8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8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29800</v>
      </c>
      <c r="BN70" s="16">
        <f t="shared" si="2"/>
        <v>29800</v>
      </c>
      <c r="BO70" s="16">
        <f t="shared" si="3"/>
        <v>20860</v>
      </c>
    </row>
    <row r="71" spans="1:67" x14ac:dyDescent="0.3">
      <c r="A71" s="15" t="s">
        <v>83</v>
      </c>
      <c r="B71" s="5" t="s">
        <v>15</v>
      </c>
      <c r="C71" s="5">
        <v>465248</v>
      </c>
      <c r="D71" s="6"/>
      <c r="E71" s="5" t="s">
        <v>16</v>
      </c>
      <c r="F71" s="5" t="s">
        <v>17</v>
      </c>
      <c r="G71" s="5" t="s">
        <v>76</v>
      </c>
      <c r="H71" s="7" t="s">
        <v>10</v>
      </c>
      <c r="I71" s="7" t="s">
        <v>18</v>
      </c>
      <c r="J71" s="7">
        <v>16</v>
      </c>
      <c r="K71" s="7">
        <v>40</v>
      </c>
      <c r="L71" s="7">
        <v>1600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122</v>
      </c>
      <c r="AF71" s="8">
        <v>10600</v>
      </c>
      <c r="AG71" s="7">
        <v>1600</v>
      </c>
      <c r="AH71" s="7">
        <v>0</v>
      </c>
      <c r="AI71" s="7">
        <v>0</v>
      </c>
      <c r="AJ71" s="7">
        <v>0</v>
      </c>
      <c r="AK71" s="7">
        <v>4</v>
      </c>
      <c r="AL71" s="7">
        <v>0</v>
      </c>
      <c r="AM71" s="7">
        <v>400</v>
      </c>
      <c r="AN71" s="7">
        <v>0</v>
      </c>
      <c r="AO71" s="7">
        <v>0</v>
      </c>
      <c r="AP71" s="7">
        <v>0</v>
      </c>
      <c r="AQ71" s="7">
        <v>0</v>
      </c>
      <c r="AR71" s="8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8">
        <v>0</v>
      </c>
      <c r="AY71" s="7">
        <v>0</v>
      </c>
      <c r="AZ71" s="7">
        <v>0</v>
      </c>
      <c r="BA71" s="7">
        <v>0</v>
      </c>
      <c r="BB71" s="7">
        <v>0</v>
      </c>
      <c r="BC71" s="7">
        <v>126</v>
      </c>
      <c r="BD71" s="7">
        <v>15120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907.2</v>
      </c>
      <c r="BM71" s="10">
        <v>29320</v>
      </c>
      <c r="BN71" s="16">
        <f t="shared" si="2"/>
        <v>28412.799999999999</v>
      </c>
      <c r="BO71" s="16">
        <f t="shared" si="3"/>
        <v>19888.96</v>
      </c>
    </row>
    <row r="72" spans="1:67" x14ac:dyDescent="0.3">
      <c r="A72" s="15" t="s">
        <v>83</v>
      </c>
      <c r="B72" s="5" t="s">
        <v>165</v>
      </c>
      <c r="C72" s="5">
        <v>482098</v>
      </c>
      <c r="D72" s="6"/>
      <c r="E72" s="5" t="s">
        <v>16</v>
      </c>
      <c r="F72" s="5" t="s">
        <v>38</v>
      </c>
      <c r="G72" s="5" t="s">
        <v>76</v>
      </c>
      <c r="H72" s="7" t="s">
        <v>8</v>
      </c>
      <c r="I72" s="7" t="s">
        <v>222</v>
      </c>
      <c r="J72" s="7">
        <v>2</v>
      </c>
      <c r="K72" s="7">
        <v>117</v>
      </c>
      <c r="L72" s="7">
        <v>200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212</v>
      </c>
      <c r="AF72" s="8">
        <v>18740</v>
      </c>
      <c r="AG72" s="7">
        <v>2500</v>
      </c>
      <c r="AH72" s="7">
        <v>0</v>
      </c>
      <c r="AI72" s="7">
        <v>0</v>
      </c>
      <c r="AJ72" s="7">
        <v>0</v>
      </c>
      <c r="AK72" s="7">
        <v>1</v>
      </c>
      <c r="AL72" s="7">
        <v>145</v>
      </c>
      <c r="AM72" s="7">
        <v>0</v>
      </c>
      <c r="AN72" s="7">
        <v>0</v>
      </c>
      <c r="AO72" s="7">
        <v>0</v>
      </c>
      <c r="AP72" s="7">
        <v>0</v>
      </c>
      <c r="AQ72" s="7">
        <v>36</v>
      </c>
      <c r="AR72" s="8">
        <v>3600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27</v>
      </c>
      <c r="BD72" s="8">
        <v>3240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8">
        <v>0</v>
      </c>
      <c r="BK72" s="7">
        <v>0</v>
      </c>
      <c r="BL72" s="7">
        <v>237.9</v>
      </c>
      <c r="BM72" s="10">
        <v>28425</v>
      </c>
      <c r="BN72" s="16">
        <f t="shared" si="2"/>
        <v>28187.1</v>
      </c>
      <c r="BO72" s="16">
        <f t="shared" si="3"/>
        <v>19730.969999999998</v>
      </c>
    </row>
    <row r="73" spans="1:67" ht="19.5" x14ac:dyDescent="0.3">
      <c r="A73" s="15" t="s">
        <v>83</v>
      </c>
      <c r="B73" s="5" t="s">
        <v>73</v>
      </c>
      <c r="C73" s="5">
        <v>476003</v>
      </c>
      <c r="D73" s="6"/>
      <c r="E73" s="5" t="s">
        <v>16</v>
      </c>
      <c r="F73" s="5" t="s">
        <v>28</v>
      </c>
      <c r="G73" s="5" t="s">
        <v>11</v>
      </c>
      <c r="H73" s="7" t="s">
        <v>8</v>
      </c>
      <c r="I73" s="7" t="s">
        <v>72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7</v>
      </c>
      <c r="AF73" s="8">
        <v>20500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2</v>
      </c>
      <c r="BD73" s="7">
        <v>6120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367.2</v>
      </c>
      <c r="BM73" s="10">
        <v>26620</v>
      </c>
      <c r="BN73" s="16">
        <f t="shared" si="2"/>
        <v>26252.799999999999</v>
      </c>
      <c r="BO73" s="16">
        <f t="shared" si="3"/>
        <v>18376.96</v>
      </c>
    </row>
    <row r="74" spans="1:67" x14ac:dyDescent="0.3">
      <c r="A74" s="15" t="s">
        <v>83</v>
      </c>
      <c r="B74" s="5" t="s">
        <v>265</v>
      </c>
      <c r="C74" s="5">
        <v>245889</v>
      </c>
      <c r="D74" s="6"/>
      <c r="E74" s="5" t="s">
        <v>16</v>
      </c>
      <c r="F74" s="5" t="s">
        <v>28</v>
      </c>
      <c r="G74" s="5" t="s">
        <v>11</v>
      </c>
      <c r="H74" s="7" t="s">
        <v>7</v>
      </c>
      <c r="I74" s="7" t="s">
        <v>266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222</v>
      </c>
      <c r="AF74" s="8">
        <v>22200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8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8">
        <v>0</v>
      </c>
      <c r="AY74" s="7">
        <v>0</v>
      </c>
      <c r="AZ74" s="7">
        <v>0</v>
      </c>
      <c r="BA74" s="7">
        <v>0</v>
      </c>
      <c r="BB74" s="7">
        <v>0</v>
      </c>
      <c r="BC74" s="7">
        <v>23</v>
      </c>
      <c r="BD74" s="7">
        <v>2760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9">
        <v>165.6</v>
      </c>
      <c r="BM74" s="10">
        <v>24960</v>
      </c>
      <c r="BN74" s="16">
        <f t="shared" si="2"/>
        <v>24794.400000000001</v>
      </c>
      <c r="BO74" s="16">
        <f t="shared" si="3"/>
        <v>17356.079999999998</v>
      </c>
    </row>
    <row r="75" spans="1:67" x14ac:dyDescent="0.3">
      <c r="A75" s="15" t="s">
        <v>83</v>
      </c>
      <c r="B75" s="5" t="s">
        <v>177</v>
      </c>
      <c r="C75" s="5">
        <v>481322</v>
      </c>
      <c r="D75" s="6"/>
      <c r="E75" s="5" t="s">
        <v>16</v>
      </c>
      <c r="F75" s="5" t="s">
        <v>178</v>
      </c>
      <c r="G75" s="5" t="s">
        <v>11</v>
      </c>
      <c r="H75" s="7" t="s">
        <v>7</v>
      </c>
      <c r="I75" s="7" t="s">
        <v>159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196</v>
      </c>
      <c r="AF75" s="8">
        <v>19600</v>
      </c>
      <c r="AG75" s="8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26</v>
      </c>
      <c r="AR75" s="8">
        <v>2600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22</v>
      </c>
      <c r="BD75" s="7">
        <v>2640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158.4</v>
      </c>
      <c r="BM75" s="10">
        <v>24840</v>
      </c>
      <c r="BN75" s="16">
        <f t="shared" si="2"/>
        <v>24681.599999999999</v>
      </c>
      <c r="BO75" s="16">
        <f t="shared" si="3"/>
        <v>17277.12</v>
      </c>
    </row>
    <row r="76" spans="1:67" x14ac:dyDescent="0.3">
      <c r="A76" s="15" t="s">
        <v>83</v>
      </c>
      <c r="B76" s="5" t="s">
        <v>142</v>
      </c>
      <c r="C76" s="5">
        <v>324335</v>
      </c>
      <c r="D76" s="6"/>
      <c r="E76" s="5" t="s">
        <v>16</v>
      </c>
      <c r="F76" s="5" t="s">
        <v>28</v>
      </c>
      <c r="G76" s="5" t="s">
        <v>11</v>
      </c>
      <c r="H76" s="7" t="s">
        <v>10</v>
      </c>
      <c r="I76" s="7" t="s">
        <v>143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7</v>
      </c>
      <c r="AF76" s="8">
        <v>21800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8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1</v>
      </c>
      <c r="BD76" s="7">
        <v>720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9">
        <v>43.2</v>
      </c>
      <c r="BM76" s="10">
        <v>22520</v>
      </c>
      <c r="BN76" s="16">
        <f t="shared" si="2"/>
        <v>22476.799999999999</v>
      </c>
      <c r="BO76" s="16">
        <f t="shared" si="3"/>
        <v>15733.759999999998</v>
      </c>
    </row>
    <row r="77" spans="1:67" x14ac:dyDescent="0.3">
      <c r="A77" s="15" t="s">
        <v>83</v>
      </c>
      <c r="B77" s="5" t="s">
        <v>54</v>
      </c>
      <c r="C77" s="5">
        <v>290890</v>
      </c>
      <c r="D77" s="6"/>
      <c r="E77" s="5" t="s">
        <v>16</v>
      </c>
      <c r="F77" s="5" t="s">
        <v>28</v>
      </c>
      <c r="G77" s="5" t="s">
        <v>11</v>
      </c>
      <c r="H77" s="7" t="s">
        <v>7</v>
      </c>
      <c r="I77" s="7" t="s">
        <v>55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2</v>
      </c>
      <c r="AC77" s="7">
        <v>1800</v>
      </c>
      <c r="AD77" s="7">
        <v>0</v>
      </c>
      <c r="AE77" s="7">
        <v>1</v>
      </c>
      <c r="AF77" s="8">
        <v>200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5</v>
      </c>
      <c r="AR77" s="8">
        <v>15600</v>
      </c>
      <c r="AS77" s="7">
        <v>200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17800</v>
      </c>
      <c r="BN77" s="16">
        <f t="shared" si="2"/>
        <v>17800</v>
      </c>
      <c r="BO77" s="16">
        <f t="shared" si="3"/>
        <v>12460</v>
      </c>
    </row>
    <row r="78" spans="1:67" ht="19.5" x14ac:dyDescent="0.3">
      <c r="A78" s="15" t="s">
        <v>83</v>
      </c>
      <c r="B78" s="5" t="s">
        <v>27</v>
      </c>
      <c r="C78" s="5">
        <v>369220</v>
      </c>
      <c r="D78" s="6"/>
      <c r="E78" s="5" t="s">
        <v>16</v>
      </c>
      <c r="F78" s="5" t="s">
        <v>28</v>
      </c>
      <c r="G78" s="5" t="s">
        <v>11</v>
      </c>
      <c r="H78" s="7" t="s">
        <v>7</v>
      </c>
      <c r="I78" s="7" t="s">
        <v>29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171</v>
      </c>
      <c r="AF78" s="8">
        <v>13100</v>
      </c>
      <c r="AG78" s="7">
        <v>4000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8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17100</v>
      </c>
      <c r="BN78" s="16">
        <f t="shared" si="2"/>
        <v>17100</v>
      </c>
      <c r="BO78" s="16">
        <f t="shared" si="3"/>
        <v>11970</v>
      </c>
    </row>
    <row r="79" spans="1:67" x14ac:dyDescent="0.3">
      <c r="A79" s="15" t="s">
        <v>83</v>
      </c>
      <c r="B79" s="5" t="s">
        <v>39</v>
      </c>
      <c r="C79" s="5">
        <v>321812</v>
      </c>
      <c r="D79" s="6"/>
      <c r="E79" s="5" t="s">
        <v>16</v>
      </c>
      <c r="F79" s="5" t="s">
        <v>28</v>
      </c>
      <c r="G79" s="5" t="s">
        <v>11</v>
      </c>
      <c r="H79" s="7" t="s">
        <v>7</v>
      </c>
      <c r="I79" s="7" t="s">
        <v>40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8">
        <v>0</v>
      </c>
      <c r="AD79" s="8">
        <v>0</v>
      </c>
      <c r="AE79" s="7">
        <v>154</v>
      </c>
      <c r="AF79" s="7">
        <v>8000</v>
      </c>
      <c r="AG79" s="7">
        <v>7400</v>
      </c>
      <c r="AH79" s="7">
        <v>0</v>
      </c>
      <c r="AI79" s="7">
        <v>0</v>
      </c>
      <c r="AJ79" s="7">
        <v>0</v>
      </c>
      <c r="AK79" s="7">
        <v>12</v>
      </c>
      <c r="AL79" s="7">
        <v>0</v>
      </c>
      <c r="AM79" s="7">
        <v>1200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2</v>
      </c>
      <c r="BD79" s="7">
        <v>240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14.4</v>
      </c>
      <c r="BM79" s="10">
        <v>16840</v>
      </c>
      <c r="BN79" s="16">
        <f t="shared" si="2"/>
        <v>16825.599999999999</v>
      </c>
      <c r="BO79" s="16">
        <f t="shared" si="3"/>
        <v>11777.919999999998</v>
      </c>
    </row>
    <row r="80" spans="1:67" x14ac:dyDescent="0.3">
      <c r="A80" s="15" t="s">
        <v>83</v>
      </c>
      <c r="B80" s="5" t="s">
        <v>174</v>
      </c>
      <c r="C80" s="5">
        <v>134596</v>
      </c>
      <c r="D80" s="6" t="s">
        <v>175</v>
      </c>
      <c r="E80" s="5" t="s">
        <v>16</v>
      </c>
      <c r="F80" s="5" t="s">
        <v>28</v>
      </c>
      <c r="G80" s="5" t="s">
        <v>11</v>
      </c>
      <c r="H80" s="7" t="s">
        <v>7</v>
      </c>
      <c r="I80" s="7" t="s">
        <v>176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4</v>
      </c>
      <c r="AF80" s="8">
        <v>12800</v>
      </c>
      <c r="AG80" s="8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8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12800</v>
      </c>
      <c r="BN80" s="16">
        <f t="shared" si="2"/>
        <v>12800</v>
      </c>
      <c r="BO80" s="16">
        <f t="shared" si="3"/>
        <v>8960</v>
      </c>
    </row>
    <row r="81" spans="1:67" x14ac:dyDescent="0.3">
      <c r="A81" s="15" t="s">
        <v>83</v>
      </c>
      <c r="B81" s="5" t="s">
        <v>67</v>
      </c>
      <c r="C81" s="5">
        <v>370935</v>
      </c>
      <c r="D81" s="6"/>
      <c r="E81" s="5" t="s">
        <v>16</v>
      </c>
      <c r="F81" s="5" t="s">
        <v>28</v>
      </c>
      <c r="G81" s="5" t="s">
        <v>11</v>
      </c>
      <c r="H81" s="7" t="s">
        <v>7</v>
      </c>
      <c r="I81" s="7" t="s">
        <v>68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4</v>
      </c>
      <c r="AF81" s="8">
        <v>12800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12800</v>
      </c>
      <c r="BN81" s="16">
        <f t="shared" si="2"/>
        <v>12800</v>
      </c>
      <c r="BO81" s="16">
        <f t="shared" si="3"/>
        <v>8960</v>
      </c>
    </row>
    <row r="82" spans="1:67" x14ac:dyDescent="0.3">
      <c r="A82" s="15" t="s">
        <v>83</v>
      </c>
      <c r="B82" s="5" t="s">
        <v>152</v>
      </c>
      <c r="C82" s="5">
        <v>364724</v>
      </c>
      <c r="D82" s="6"/>
      <c r="E82" s="5" t="s">
        <v>16</v>
      </c>
      <c r="F82" s="5" t="s">
        <v>53</v>
      </c>
      <c r="G82" s="5" t="s">
        <v>11</v>
      </c>
      <c r="H82" s="7" t="s">
        <v>7</v>
      </c>
      <c r="I82" s="7" t="s">
        <v>153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67</v>
      </c>
      <c r="AF82" s="8">
        <v>6700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56</v>
      </c>
      <c r="AR82" s="8">
        <v>5500</v>
      </c>
      <c r="AS82" s="7">
        <v>100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12300</v>
      </c>
      <c r="BN82" s="16">
        <f t="shared" si="2"/>
        <v>12300</v>
      </c>
      <c r="BO82" s="16">
        <f t="shared" si="3"/>
        <v>8610</v>
      </c>
    </row>
    <row r="83" spans="1:67" x14ac:dyDescent="0.3">
      <c r="A83" s="15" t="s">
        <v>83</v>
      </c>
      <c r="B83" s="5" t="s">
        <v>276</v>
      </c>
      <c r="C83" s="5">
        <v>485788</v>
      </c>
      <c r="D83" s="6"/>
      <c r="E83" s="5" t="s">
        <v>16</v>
      </c>
      <c r="F83" s="5" t="s">
        <v>151</v>
      </c>
      <c r="G83" s="5" t="s">
        <v>11</v>
      </c>
      <c r="H83" s="7" t="s">
        <v>7</v>
      </c>
      <c r="I83" s="7" t="s">
        <v>277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8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3</v>
      </c>
      <c r="AR83" s="8">
        <v>9600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9600</v>
      </c>
      <c r="BN83" s="16">
        <f t="shared" si="2"/>
        <v>9600</v>
      </c>
      <c r="BO83" s="16">
        <f t="shared" si="3"/>
        <v>6720</v>
      </c>
    </row>
    <row r="84" spans="1:67" x14ac:dyDescent="0.3">
      <c r="A84" s="15" t="s">
        <v>83</v>
      </c>
      <c r="B84" s="5" t="s">
        <v>241</v>
      </c>
      <c r="C84" s="5">
        <v>483173</v>
      </c>
      <c r="D84" s="6"/>
      <c r="E84" s="5" t="s">
        <v>16</v>
      </c>
      <c r="F84" s="5" t="s">
        <v>242</v>
      </c>
      <c r="G84" s="5" t="s">
        <v>76</v>
      </c>
      <c r="H84" s="7" t="s">
        <v>8</v>
      </c>
      <c r="I84" s="7" t="s">
        <v>243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91</v>
      </c>
      <c r="AF84" s="7">
        <v>9100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2</v>
      </c>
      <c r="AR84" s="8">
        <v>200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9300</v>
      </c>
      <c r="BN84" s="16">
        <f t="shared" si="2"/>
        <v>9300</v>
      </c>
      <c r="BO84" s="16">
        <f t="shared" si="3"/>
        <v>6510</v>
      </c>
    </row>
    <row r="85" spans="1:67" x14ac:dyDescent="0.3">
      <c r="A85" s="15" t="s">
        <v>83</v>
      </c>
      <c r="B85" s="5" t="s">
        <v>199</v>
      </c>
      <c r="C85" s="5">
        <v>463946</v>
      </c>
      <c r="D85" s="6"/>
      <c r="E85" s="5" t="s">
        <v>16</v>
      </c>
      <c r="F85" s="5" t="s">
        <v>200</v>
      </c>
      <c r="G85" s="5" t="s">
        <v>11</v>
      </c>
      <c r="H85" s="7" t="s">
        <v>7</v>
      </c>
      <c r="I85" s="7" t="s">
        <v>201</v>
      </c>
      <c r="J85" s="7">
        <v>0</v>
      </c>
      <c r="K85" s="7">
        <v>0</v>
      </c>
      <c r="L85" s="8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23</v>
      </c>
      <c r="AF85" s="8">
        <v>0</v>
      </c>
      <c r="AG85" s="7">
        <v>2300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61</v>
      </c>
      <c r="AR85" s="8">
        <v>6100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8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8400</v>
      </c>
      <c r="BN85" s="16">
        <f t="shared" si="2"/>
        <v>8400</v>
      </c>
      <c r="BO85" s="16">
        <f t="shared" si="3"/>
        <v>5880</v>
      </c>
    </row>
    <row r="86" spans="1:67" x14ac:dyDescent="0.3">
      <c r="A86" s="15" t="s">
        <v>83</v>
      </c>
      <c r="B86" s="5" t="s">
        <v>193</v>
      </c>
      <c r="C86" s="5">
        <v>478744</v>
      </c>
      <c r="D86" s="6"/>
      <c r="E86" s="5" t="s">
        <v>16</v>
      </c>
      <c r="F86" s="5" t="s">
        <v>194</v>
      </c>
      <c r="G86" s="5" t="s">
        <v>11</v>
      </c>
      <c r="H86" s="7" t="s">
        <v>7</v>
      </c>
      <c r="I86" s="7" t="s">
        <v>244</v>
      </c>
      <c r="J86" s="7">
        <v>24</v>
      </c>
      <c r="K86" s="7">
        <v>3</v>
      </c>
      <c r="L86" s="7">
        <v>2400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53</v>
      </c>
      <c r="AF86" s="8">
        <v>5100</v>
      </c>
      <c r="AG86" s="7">
        <v>200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6</v>
      </c>
      <c r="AR86" s="7">
        <v>600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8300</v>
      </c>
      <c r="BN86" s="16">
        <f t="shared" si="2"/>
        <v>8300</v>
      </c>
      <c r="BO86" s="16">
        <f t="shared" si="3"/>
        <v>5810</v>
      </c>
    </row>
    <row r="87" spans="1:67" x14ac:dyDescent="0.3">
      <c r="A87" s="15" t="s">
        <v>83</v>
      </c>
      <c r="B87" s="5" t="s">
        <v>41</v>
      </c>
      <c r="C87" s="5">
        <v>412919</v>
      </c>
      <c r="D87" s="6"/>
      <c r="E87" s="5" t="s">
        <v>16</v>
      </c>
      <c r="F87" s="5" t="s">
        <v>42</v>
      </c>
      <c r="G87" s="5" t="s">
        <v>31</v>
      </c>
      <c r="H87" s="7" t="s">
        <v>8</v>
      </c>
      <c r="I87" s="7" t="s">
        <v>43</v>
      </c>
      <c r="J87" s="7">
        <v>0</v>
      </c>
      <c r="K87" s="7">
        <v>16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36</v>
      </c>
      <c r="AF87" s="8">
        <v>3600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45</v>
      </c>
      <c r="AR87" s="7">
        <v>4500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0">
        <v>8100</v>
      </c>
      <c r="BN87" s="16">
        <f t="shared" si="2"/>
        <v>8100</v>
      </c>
      <c r="BO87" s="16">
        <f t="shared" si="3"/>
        <v>5670</v>
      </c>
    </row>
    <row r="88" spans="1:67" x14ac:dyDescent="0.3">
      <c r="A88" s="15" t="s">
        <v>83</v>
      </c>
      <c r="B88" s="5" t="s">
        <v>272</v>
      </c>
      <c r="C88" s="5">
        <v>381176</v>
      </c>
      <c r="D88" s="6"/>
      <c r="E88" s="5" t="s">
        <v>16</v>
      </c>
      <c r="F88" s="5" t="s">
        <v>36</v>
      </c>
      <c r="G88" s="5" t="s">
        <v>11</v>
      </c>
      <c r="H88" s="7" t="s">
        <v>7</v>
      </c>
      <c r="I88" s="7" t="s">
        <v>273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78</v>
      </c>
      <c r="AR88" s="8">
        <v>7800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0">
        <v>7800</v>
      </c>
      <c r="BN88" s="16">
        <f t="shared" si="2"/>
        <v>7800</v>
      </c>
      <c r="BO88" s="16">
        <f t="shared" si="3"/>
        <v>5460</v>
      </c>
    </row>
    <row r="89" spans="1:67" x14ac:dyDescent="0.3">
      <c r="A89" s="15" t="s">
        <v>83</v>
      </c>
      <c r="B89" s="5" t="s">
        <v>50</v>
      </c>
      <c r="C89" s="5">
        <v>219203</v>
      </c>
      <c r="D89" s="6"/>
      <c r="E89" s="5" t="s">
        <v>16</v>
      </c>
      <c r="F89" s="5" t="s">
        <v>51</v>
      </c>
      <c r="G89" s="5" t="s">
        <v>11</v>
      </c>
      <c r="H89" s="7" t="s">
        <v>7</v>
      </c>
      <c r="I89" s="7" t="s">
        <v>52</v>
      </c>
      <c r="J89" s="7">
        <v>2</v>
      </c>
      <c r="K89" s="7">
        <v>0</v>
      </c>
      <c r="L89" s="7">
        <v>200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48</v>
      </c>
      <c r="AC89" s="7">
        <v>4800</v>
      </c>
      <c r="AD89" s="7">
        <v>0</v>
      </c>
      <c r="AE89" s="7">
        <v>0</v>
      </c>
      <c r="AF89" s="8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28</v>
      </c>
      <c r="AO89" s="7">
        <v>2800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0">
        <v>7800</v>
      </c>
      <c r="BN89" s="16">
        <f t="shared" si="2"/>
        <v>7800</v>
      </c>
      <c r="BO89" s="16">
        <f t="shared" si="3"/>
        <v>5460</v>
      </c>
    </row>
    <row r="90" spans="1:67" x14ac:dyDescent="0.3">
      <c r="A90" s="15" t="s">
        <v>83</v>
      </c>
      <c r="B90" s="5" t="s">
        <v>202</v>
      </c>
      <c r="C90" s="5">
        <v>388999</v>
      </c>
      <c r="D90" s="6"/>
      <c r="E90" s="5" t="s">
        <v>16</v>
      </c>
      <c r="F90" s="5" t="s">
        <v>48</v>
      </c>
      <c r="G90" s="5" t="s">
        <v>11</v>
      </c>
      <c r="H90" s="7" t="s">
        <v>7</v>
      </c>
      <c r="I90" s="7" t="s">
        <v>203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8">
        <v>0</v>
      </c>
      <c r="AE90" s="7">
        <v>60</v>
      </c>
      <c r="AF90" s="7">
        <v>6000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8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8</v>
      </c>
      <c r="AX90" s="7">
        <v>960</v>
      </c>
      <c r="AY90" s="7">
        <v>0</v>
      </c>
      <c r="AZ90" s="7">
        <v>0</v>
      </c>
      <c r="BA90" s="7">
        <v>0</v>
      </c>
      <c r="BB90" s="7">
        <v>0</v>
      </c>
      <c r="BC90" s="7">
        <v>1</v>
      </c>
      <c r="BD90" s="7">
        <v>120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103.2</v>
      </c>
      <c r="BM90" s="10">
        <v>7080</v>
      </c>
      <c r="BN90" s="16">
        <f t="shared" si="2"/>
        <v>6976.8</v>
      </c>
      <c r="BO90" s="16">
        <f t="shared" si="3"/>
        <v>4883.76</v>
      </c>
    </row>
    <row r="91" spans="1:67" x14ac:dyDescent="0.3">
      <c r="A91" s="15" t="s">
        <v>83</v>
      </c>
      <c r="B91" s="5" t="s">
        <v>278</v>
      </c>
      <c r="C91" s="5">
        <v>410076</v>
      </c>
      <c r="D91" s="6"/>
      <c r="E91" s="5" t="s">
        <v>16</v>
      </c>
      <c r="F91" s="5" t="s">
        <v>48</v>
      </c>
      <c r="G91" s="5" t="s">
        <v>11</v>
      </c>
      <c r="H91" s="7" t="s">
        <v>7</v>
      </c>
      <c r="I91" s="7" t="s">
        <v>212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8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2</v>
      </c>
      <c r="AR91" s="8">
        <v>4200</v>
      </c>
      <c r="AS91" s="7">
        <v>200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1</v>
      </c>
      <c r="BD91" s="7">
        <v>2400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144</v>
      </c>
      <c r="BM91" s="10">
        <v>6800</v>
      </c>
      <c r="BN91" s="16">
        <f t="shared" si="2"/>
        <v>6656</v>
      </c>
      <c r="BO91" s="16">
        <f t="shared" si="3"/>
        <v>4659.2</v>
      </c>
    </row>
    <row r="92" spans="1:67" x14ac:dyDescent="0.3">
      <c r="A92" s="15" t="s">
        <v>83</v>
      </c>
      <c r="B92" s="5" t="s">
        <v>221</v>
      </c>
      <c r="C92" s="5">
        <v>485660</v>
      </c>
      <c r="D92" s="6"/>
      <c r="E92" s="5" t="s">
        <v>16</v>
      </c>
      <c r="F92" s="5" t="s">
        <v>57</v>
      </c>
      <c r="G92" s="5" t="s">
        <v>31</v>
      </c>
      <c r="H92" s="7" t="s">
        <v>64</v>
      </c>
      <c r="I92" s="7" t="s">
        <v>222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</v>
      </c>
      <c r="AF92" s="8">
        <v>2800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1</v>
      </c>
      <c r="BD92" s="7">
        <v>3360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201.6</v>
      </c>
      <c r="BM92" s="10">
        <v>6160</v>
      </c>
      <c r="BN92" s="16">
        <f t="shared" si="2"/>
        <v>5958.4</v>
      </c>
      <c r="BO92" s="16">
        <f t="shared" si="3"/>
        <v>4170.8799999999992</v>
      </c>
    </row>
    <row r="93" spans="1:67" x14ac:dyDescent="0.3">
      <c r="A93" s="15" t="s">
        <v>83</v>
      </c>
      <c r="B93" s="5" t="s">
        <v>69</v>
      </c>
      <c r="C93" s="5">
        <v>462353</v>
      </c>
      <c r="D93" s="6"/>
      <c r="E93" s="5" t="s">
        <v>16</v>
      </c>
      <c r="F93" s="5" t="s">
        <v>36</v>
      </c>
      <c r="G93" s="5" t="s">
        <v>11</v>
      </c>
      <c r="H93" s="7" t="s">
        <v>7</v>
      </c>
      <c r="I93" s="7" t="s">
        <v>70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57</v>
      </c>
      <c r="AF93" s="8">
        <v>5700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10">
        <v>5700</v>
      </c>
      <c r="BN93" s="16">
        <f t="shared" si="2"/>
        <v>5700</v>
      </c>
      <c r="BO93" s="16">
        <f t="shared" si="3"/>
        <v>3989.9999999999995</v>
      </c>
    </row>
    <row r="94" spans="1:67" x14ac:dyDescent="0.3">
      <c r="A94" s="15" t="s">
        <v>83</v>
      </c>
      <c r="B94" s="5" t="s">
        <v>261</v>
      </c>
      <c r="C94" s="5">
        <v>384107</v>
      </c>
      <c r="D94" s="6"/>
      <c r="E94" s="5" t="s">
        <v>16</v>
      </c>
      <c r="F94" s="5" t="s">
        <v>262</v>
      </c>
      <c r="G94" s="5" t="s">
        <v>31</v>
      </c>
      <c r="H94" s="7" t="s">
        <v>64</v>
      </c>
      <c r="I94" s="7" t="s">
        <v>263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51</v>
      </c>
      <c r="AF94" s="8">
        <v>5000</v>
      </c>
      <c r="AG94" s="7">
        <v>100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10">
        <v>5100</v>
      </c>
      <c r="BN94" s="16">
        <f t="shared" si="2"/>
        <v>5100</v>
      </c>
      <c r="BO94" s="16">
        <f t="shared" si="3"/>
        <v>3570</v>
      </c>
    </row>
    <row r="95" spans="1:67" x14ac:dyDescent="0.3">
      <c r="A95" s="15" t="s">
        <v>83</v>
      </c>
      <c r="B95" s="5" t="s">
        <v>154</v>
      </c>
      <c r="C95" s="5">
        <v>251205</v>
      </c>
      <c r="D95" s="6"/>
      <c r="E95" s="5" t="s">
        <v>16</v>
      </c>
      <c r="F95" s="5" t="s">
        <v>48</v>
      </c>
      <c r="G95" s="5" t="s">
        <v>11</v>
      </c>
      <c r="H95" s="7" t="s">
        <v>7</v>
      </c>
      <c r="I95" s="7" t="s">
        <v>155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8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38</v>
      </c>
      <c r="AR95" s="7">
        <v>3800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0">
        <v>3800</v>
      </c>
      <c r="BN95" s="16">
        <f t="shared" si="2"/>
        <v>3800</v>
      </c>
      <c r="BO95" s="16">
        <f t="shared" si="3"/>
        <v>2660</v>
      </c>
    </row>
    <row r="96" spans="1:67" x14ac:dyDescent="0.3">
      <c r="A96" s="15" t="s">
        <v>83</v>
      </c>
      <c r="B96" s="5" t="s">
        <v>206</v>
      </c>
      <c r="C96" s="5">
        <v>407733</v>
      </c>
      <c r="D96" s="6"/>
      <c r="E96" s="5" t="s">
        <v>16</v>
      </c>
      <c r="F96" s="5" t="s">
        <v>28</v>
      </c>
      <c r="G96" s="5" t="s">
        <v>11</v>
      </c>
      <c r="H96" s="7" t="s">
        <v>7</v>
      </c>
      <c r="I96" s="7" t="s">
        <v>207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36</v>
      </c>
      <c r="AF96" s="8">
        <v>3600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10">
        <v>3600</v>
      </c>
      <c r="BN96" s="16">
        <f t="shared" si="2"/>
        <v>3600</v>
      </c>
      <c r="BO96" s="16">
        <f t="shared" si="3"/>
        <v>2520</v>
      </c>
    </row>
    <row r="97" spans="1:67" x14ac:dyDescent="0.3">
      <c r="A97" s="15" t="s">
        <v>83</v>
      </c>
      <c r="B97" s="5" t="s">
        <v>259</v>
      </c>
      <c r="C97" s="5">
        <v>359912</v>
      </c>
      <c r="D97" s="6"/>
      <c r="E97" s="5" t="s">
        <v>16</v>
      </c>
      <c r="F97" s="5" t="s">
        <v>59</v>
      </c>
      <c r="G97" s="5" t="s">
        <v>31</v>
      </c>
      <c r="H97" s="7" t="s">
        <v>8</v>
      </c>
      <c r="I97" s="7" t="s">
        <v>260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30</v>
      </c>
      <c r="AF97" s="8">
        <v>0</v>
      </c>
      <c r="AG97" s="7">
        <v>3000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4</v>
      </c>
      <c r="AX97" s="7">
        <v>480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48</v>
      </c>
      <c r="BM97" s="10">
        <v>3480</v>
      </c>
      <c r="BN97" s="16">
        <f t="shared" si="2"/>
        <v>3432</v>
      </c>
      <c r="BO97" s="16">
        <f t="shared" si="3"/>
        <v>2402.3999999999996</v>
      </c>
    </row>
    <row r="98" spans="1:67" x14ac:dyDescent="0.3">
      <c r="A98" s="15" t="s">
        <v>83</v>
      </c>
      <c r="B98" s="5" t="s">
        <v>158</v>
      </c>
      <c r="C98" s="5">
        <v>481369</v>
      </c>
      <c r="D98" s="6"/>
      <c r="E98" s="5" t="s">
        <v>16</v>
      </c>
      <c r="F98" s="5" t="s">
        <v>22</v>
      </c>
      <c r="G98" s="5" t="s">
        <v>11</v>
      </c>
      <c r="H98" s="7" t="s">
        <v>7</v>
      </c>
      <c r="I98" s="7" t="s">
        <v>159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</v>
      </c>
      <c r="AF98" s="7">
        <v>3200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8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10">
        <v>3200</v>
      </c>
      <c r="BN98" s="16">
        <f t="shared" si="2"/>
        <v>3200</v>
      </c>
      <c r="BO98" s="16">
        <f t="shared" si="3"/>
        <v>2240</v>
      </c>
    </row>
    <row r="99" spans="1:67" x14ac:dyDescent="0.3">
      <c r="A99" s="15" t="s">
        <v>83</v>
      </c>
      <c r="B99" s="5" t="s">
        <v>149</v>
      </c>
      <c r="C99" s="5">
        <v>473533</v>
      </c>
      <c r="D99" s="6"/>
      <c r="E99" s="5" t="s">
        <v>16</v>
      </c>
      <c r="F99" s="5" t="s">
        <v>150</v>
      </c>
      <c r="G99" s="5" t="s">
        <v>11</v>
      </c>
      <c r="H99" s="7" t="s">
        <v>7</v>
      </c>
      <c r="I99" s="7" t="s">
        <v>244</v>
      </c>
      <c r="J99" s="7">
        <v>0</v>
      </c>
      <c r="K99" s="7">
        <v>7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31</v>
      </c>
      <c r="AF99" s="7">
        <v>3100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8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0">
        <v>3100</v>
      </c>
      <c r="BN99" s="16">
        <f t="shared" si="2"/>
        <v>3100</v>
      </c>
      <c r="BO99" s="16">
        <f t="shared" si="3"/>
        <v>2170</v>
      </c>
    </row>
    <row r="100" spans="1:67" x14ac:dyDescent="0.3">
      <c r="A100" s="15" t="s">
        <v>83</v>
      </c>
      <c r="B100" s="5" t="s">
        <v>163</v>
      </c>
      <c r="C100" s="5">
        <v>483176</v>
      </c>
      <c r="D100" s="6"/>
      <c r="E100" s="5" t="s">
        <v>16</v>
      </c>
      <c r="F100" s="5" t="s">
        <v>38</v>
      </c>
      <c r="G100" s="5" t="s">
        <v>31</v>
      </c>
      <c r="H100" s="7" t="s">
        <v>64</v>
      </c>
      <c r="I100" s="7" t="s">
        <v>164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</v>
      </c>
      <c r="AF100" s="8">
        <v>3000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3000</v>
      </c>
      <c r="BN100" s="16">
        <f t="shared" si="2"/>
        <v>3000</v>
      </c>
      <c r="BO100" s="16">
        <f t="shared" si="3"/>
        <v>2100</v>
      </c>
    </row>
    <row r="101" spans="1:67" x14ac:dyDescent="0.3">
      <c r="A101" s="15" t="s">
        <v>83</v>
      </c>
      <c r="B101" s="5" t="s">
        <v>146</v>
      </c>
      <c r="C101" s="5">
        <v>478890</v>
      </c>
      <c r="D101" s="6"/>
      <c r="E101" s="5" t="s">
        <v>16</v>
      </c>
      <c r="F101" s="5" t="s">
        <v>147</v>
      </c>
      <c r="G101" s="5" t="s">
        <v>76</v>
      </c>
      <c r="H101" s="7" t="s">
        <v>8</v>
      </c>
      <c r="I101" s="7" t="s">
        <v>148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28</v>
      </c>
      <c r="AF101" s="7">
        <v>2800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8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10">
        <v>2800</v>
      </c>
      <c r="BN101" s="16">
        <f t="shared" si="2"/>
        <v>2800</v>
      </c>
      <c r="BO101" s="16">
        <f t="shared" si="3"/>
        <v>1959.9999999999998</v>
      </c>
    </row>
    <row r="102" spans="1:67" x14ac:dyDescent="0.3">
      <c r="A102" s="15" t="s">
        <v>83</v>
      </c>
      <c r="B102" s="5" t="s">
        <v>185</v>
      </c>
      <c r="C102" s="5">
        <v>482273</v>
      </c>
      <c r="D102" s="6"/>
      <c r="E102" s="5" t="s">
        <v>16</v>
      </c>
      <c r="F102" s="5" t="s">
        <v>186</v>
      </c>
      <c r="G102" s="5" t="s">
        <v>11</v>
      </c>
      <c r="H102" s="7" t="s">
        <v>7</v>
      </c>
      <c r="I102" s="7" t="s">
        <v>187</v>
      </c>
      <c r="J102" s="7">
        <v>0</v>
      </c>
      <c r="K102" s="7">
        <v>5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27</v>
      </c>
      <c r="AF102" s="7">
        <v>2700</v>
      </c>
      <c r="AG102" s="8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2700</v>
      </c>
      <c r="BN102" s="16">
        <f t="shared" si="2"/>
        <v>2700</v>
      </c>
      <c r="BO102" s="16">
        <f t="shared" si="3"/>
        <v>1889.9999999999998</v>
      </c>
    </row>
    <row r="103" spans="1:67" ht="19.5" x14ac:dyDescent="0.3">
      <c r="A103" s="15" t="s">
        <v>83</v>
      </c>
      <c r="B103" s="5" t="s">
        <v>44</v>
      </c>
      <c r="C103" s="5">
        <v>459997</v>
      </c>
      <c r="D103" s="6"/>
      <c r="E103" s="5" t="s">
        <v>16</v>
      </c>
      <c r="F103" s="5" t="s">
        <v>45</v>
      </c>
      <c r="G103" s="5" t="s">
        <v>11</v>
      </c>
      <c r="H103" s="7" t="s">
        <v>7</v>
      </c>
      <c r="I103" s="7" t="s">
        <v>264</v>
      </c>
      <c r="J103" s="7">
        <v>0</v>
      </c>
      <c r="K103" s="7">
        <v>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23</v>
      </c>
      <c r="AF103" s="7">
        <v>2300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3</v>
      </c>
      <c r="AR103" s="7">
        <v>300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8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0">
        <v>2600</v>
      </c>
      <c r="BN103" s="16">
        <f t="shared" si="2"/>
        <v>2600</v>
      </c>
      <c r="BO103" s="16">
        <f t="shared" si="3"/>
        <v>1819.9999999999998</v>
      </c>
    </row>
    <row r="104" spans="1:67" x14ac:dyDescent="0.3">
      <c r="A104" s="15" t="s">
        <v>83</v>
      </c>
      <c r="B104" s="5" t="s">
        <v>79</v>
      </c>
      <c r="C104" s="5">
        <v>476783</v>
      </c>
      <c r="D104" s="6"/>
      <c r="E104" s="5" t="s">
        <v>16</v>
      </c>
      <c r="F104" s="5" t="s">
        <v>80</v>
      </c>
      <c r="G104" s="5" t="s">
        <v>31</v>
      </c>
      <c r="H104" s="7" t="s">
        <v>8</v>
      </c>
      <c r="I104" s="7" t="s">
        <v>81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11</v>
      </c>
      <c r="AL104" s="7">
        <v>1320</v>
      </c>
      <c r="AM104" s="7">
        <v>0</v>
      </c>
      <c r="AN104" s="7">
        <v>0</v>
      </c>
      <c r="AO104" s="7">
        <v>0</v>
      </c>
      <c r="AP104" s="7">
        <v>0</v>
      </c>
      <c r="AQ104" s="7">
        <v>12</v>
      </c>
      <c r="AR104" s="8">
        <v>1000</v>
      </c>
      <c r="AS104" s="7">
        <v>200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396</v>
      </c>
      <c r="BM104" s="10">
        <v>2520</v>
      </c>
      <c r="BN104" s="16">
        <f t="shared" si="2"/>
        <v>2124</v>
      </c>
      <c r="BO104" s="16">
        <f t="shared" si="3"/>
        <v>1486.8</v>
      </c>
    </row>
    <row r="105" spans="1:67" x14ac:dyDescent="0.3">
      <c r="A105" s="15" t="s">
        <v>83</v>
      </c>
      <c r="B105" s="5" t="s">
        <v>37</v>
      </c>
      <c r="C105" s="5">
        <v>457807</v>
      </c>
      <c r="D105" s="6"/>
      <c r="E105" s="5" t="s">
        <v>16</v>
      </c>
      <c r="F105" s="5" t="s">
        <v>38</v>
      </c>
      <c r="G105" s="5" t="s">
        <v>31</v>
      </c>
      <c r="H105" s="7" t="s">
        <v>8</v>
      </c>
      <c r="I105" s="7" t="s">
        <v>74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11</v>
      </c>
      <c r="AF105" s="8">
        <v>1100</v>
      </c>
      <c r="AG105" s="7">
        <v>0</v>
      </c>
      <c r="AH105" s="7">
        <v>0</v>
      </c>
      <c r="AI105" s="7">
        <v>0</v>
      </c>
      <c r="AJ105" s="7">
        <v>0</v>
      </c>
      <c r="AK105" s="7">
        <v>2</v>
      </c>
      <c r="AL105" s="7">
        <v>240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4</v>
      </c>
      <c r="BD105" s="7">
        <v>480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100.8</v>
      </c>
      <c r="BM105" s="10">
        <v>1820</v>
      </c>
      <c r="BN105" s="16">
        <f t="shared" si="2"/>
        <v>1719.2</v>
      </c>
      <c r="BO105" s="16">
        <f t="shared" si="3"/>
        <v>1203.44</v>
      </c>
    </row>
    <row r="106" spans="1:67" x14ac:dyDescent="0.3">
      <c r="A106" s="15" t="s">
        <v>83</v>
      </c>
      <c r="B106" s="5" t="s">
        <v>190</v>
      </c>
      <c r="C106" s="5">
        <v>355320</v>
      </c>
      <c r="D106" s="6"/>
      <c r="E106" s="5" t="s">
        <v>16</v>
      </c>
      <c r="F106" s="5" t="s">
        <v>191</v>
      </c>
      <c r="G106" s="5" t="s">
        <v>31</v>
      </c>
      <c r="H106" s="7" t="s">
        <v>8</v>
      </c>
      <c r="I106" s="7" t="s">
        <v>192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16</v>
      </c>
      <c r="AF106" s="8">
        <v>1600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1600</v>
      </c>
      <c r="BN106" s="16">
        <f t="shared" ref="BN106:BN130" si="4">BM106-BL106</f>
        <v>1600</v>
      </c>
      <c r="BO106" s="16">
        <f t="shared" ref="BO106:BO130" si="5">BN106*70%</f>
        <v>1120</v>
      </c>
    </row>
    <row r="107" spans="1:67" x14ac:dyDescent="0.3">
      <c r="A107" s="15" t="s">
        <v>83</v>
      </c>
      <c r="B107" s="5" t="s">
        <v>23</v>
      </c>
      <c r="C107" s="5">
        <v>449889</v>
      </c>
      <c r="D107" s="6"/>
      <c r="E107" s="5" t="s">
        <v>16</v>
      </c>
      <c r="F107" s="5" t="s">
        <v>24</v>
      </c>
      <c r="G107" s="5" t="s">
        <v>11</v>
      </c>
      <c r="H107" s="7" t="s">
        <v>7</v>
      </c>
      <c r="I107" s="7" t="s">
        <v>25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14</v>
      </c>
      <c r="AF107" s="8">
        <v>1400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1400</v>
      </c>
      <c r="BN107" s="16">
        <f t="shared" si="4"/>
        <v>1400</v>
      </c>
      <c r="BO107" s="16">
        <f t="shared" si="5"/>
        <v>979.99999999999989</v>
      </c>
    </row>
    <row r="108" spans="1:67" x14ac:dyDescent="0.3">
      <c r="A108" s="15" t="s">
        <v>83</v>
      </c>
      <c r="B108" s="5" t="s">
        <v>279</v>
      </c>
      <c r="C108" s="5">
        <v>395270</v>
      </c>
      <c r="D108" s="6"/>
      <c r="E108" s="5" t="s">
        <v>16</v>
      </c>
      <c r="F108" s="5" t="s">
        <v>30</v>
      </c>
      <c r="G108" s="5" t="s">
        <v>31</v>
      </c>
      <c r="H108" s="7" t="s">
        <v>8</v>
      </c>
      <c r="I108" s="7" t="s">
        <v>32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14</v>
      </c>
      <c r="AF108" s="8">
        <v>1200</v>
      </c>
      <c r="AG108" s="7">
        <v>200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10">
        <v>1400</v>
      </c>
      <c r="BN108" s="16">
        <f t="shared" si="4"/>
        <v>1400</v>
      </c>
      <c r="BO108" s="16">
        <f t="shared" si="5"/>
        <v>979.99999999999989</v>
      </c>
    </row>
    <row r="109" spans="1:67" x14ac:dyDescent="0.3">
      <c r="A109" s="15" t="s">
        <v>83</v>
      </c>
      <c r="B109" s="5" t="s">
        <v>280</v>
      </c>
      <c r="C109" s="5">
        <v>452403</v>
      </c>
      <c r="D109" s="6"/>
      <c r="E109" s="5" t="s">
        <v>16</v>
      </c>
      <c r="F109" s="5" t="s">
        <v>281</v>
      </c>
      <c r="G109" s="5" t="s">
        <v>31</v>
      </c>
      <c r="H109" s="7" t="s">
        <v>8</v>
      </c>
      <c r="I109" s="7" t="s">
        <v>282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13</v>
      </c>
      <c r="AF109" s="8">
        <v>1300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1300</v>
      </c>
      <c r="BN109" s="16">
        <f t="shared" si="4"/>
        <v>1300</v>
      </c>
      <c r="BO109" s="16">
        <f t="shared" si="5"/>
        <v>909.99999999999989</v>
      </c>
    </row>
    <row r="110" spans="1:67" x14ac:dyDescent="0.3">
      <c r="A110" s="15" t="s">
        <v>83</v>
      </c>
      <c r="B110" s="5" t="s">
        <v>283</v>
      </c>
      <c r="C110" s="5">
        <v>407159</v>
      </c>
      <c r="D110" s="6"/>
      <c r="E110" s="5" t="s">
        <v>16</v>
      </c>
      <c r="F110" s="5" t="s">
        <v>63</v>
      </c>
      <c r="G110" s="5" t="s">
        <v>31</v>
      </c>
      <c r="H110" s="7" t="s">
        <v>8</v>
      </c>
      <c r="I110" s="7" t="s">
        <v>284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12</v>
      </c>
      <c r="AF110" s="7">
        <v>1200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8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1200</v>
      </c>
      <c r="BN110" s="16">
        <f t="shared" si="4"/>
        <v>1200</v>
      </c>
      <c r="BO110" s="16">
        <f t="shared" si="5"/>
        <v>840</v>
      </c>
    </row>
    <row r="111" spans="1:67" x14ac:dyDescent="0.3">
      <c r="A111" s="15" t="s">
        <v>83</v>
      </c>
      <c r="B111" s="5" t="s">
        <v>285</v>
      </c>
      <c r="C111" s="5">
        <v>484916</v>
      </c>
      <c r="D111" s="6"/>
      <c r="E111" s="5" t="s">
        <v>16</v>
      </c>
      <c r="F111" s="5" t="s">
        <v>286</v>
      </c>
      <c r="G111" s="5" t="s">
        <v>31</v>
      </c>
      <c r="H111" s="7" t="s">
        <v>7</v>
      </c>
      <c r="I111" s="7" t="s">
        <v>287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11</v>
      </c>
      <c r="AF111" s="8">
        <v>1100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10">
        <v>1100</v>
      </c>
      <c r="BN111" s="16">
        <f t="shared" si="4"/>
        <v>1100</v>
      </c>
      <c r="BO111" s="16">
        <f t="shared" si="5"/>
        <v>770</v>
      </c>
    </row>
    <row r="112" spans="1:67" x14ac:dyDescent="0.3">
      <c r="A112" s="15" t="s">
        <v>83</v>
      </c>
      <c r="B112" s="5" t="s">
        <v>246</v>
      </c>
      <c r="C112" s="5">
        <v>359539</v>
      </c>
      <c r="D112" s="6"/>
      <c r="E112" s="5" t="s">
        <v>16</v>
      </c>
      <c r="F112" s="5" t="s">
        <v>247</v>
      </c>
      <c r="G112" s="5" t="s">
        <v>31</v>
      </c>
      <c r="H112" s="7" t="s">
        <v>8</v>
      </c>
      <c r="I112" s="7" t="s">
        <v>248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9</v>
      </c>
      <c r="AF112" s="7">
        <v>900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900</v>
      </c>
      <c r="BN112" s="16">
        <f t="shared" si="4"/>
        <v>900</v>
      </c>
      <c r="BO112" s="16">
        <f t="shared" si="5"/>
        <v>630</v>
      </c>
    </row>
    <row r="113" spans="1:67" x14ac:dyDescent="0.3">
      <c r="A113" s="15" t="s">
        <v>83</v>
      </c>
      <c r="B113" s="5" t="s">
        <v>288</v>
      </c>
      <c r="C113" s="5">
        <v>434877</v>
      </c>
      <c r="D113" s="6"/>
      <c r="E113" s="5" t="s">
        <v>16</v>
      </c>
      <c r="F113" s="5" t="s">
        <v>289</v>
      </c>
      <c r="G113" s="5" t="s">
        <v>11</v>
      </c>
      <c r="H113" s="7" t="s">
        <v>7</v>
      </c>
      <c r="I113" s="7" t="s">
        <v>290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7</v>
      </c>
      <c r="AF113" s="8">
        <v>700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700</v>
      </c>
      <c r="BN113" s="16">
        <f t="shared" si="4"/>
        <v>700</v>
      </c>
      <c r="BO113" s="16">
        <f t="shared" si="5"/>
        <v>489.99999999999994</v>
      </c>
    </row>
    <row r="114" spans="1:67" x14ac:dyDescent="0.3">
      <c r="A114" s="15" t="s">
        <v>83</v>
      </c>
      <c r="B114" s="5" t="s">
        <v>291</v>
      </c>
      <c r="C114" s="5">
        <v>297776</v>
      </c>
      <c r="D114" s="6"/>
      <c r="E114" s="5" t="s">
        <v>16</v>
      </c>
      <c r="F114" s="5" t="s">
        <v>292</v>
      </c>
      <c r="G114" s="5" t="s">
        <v>76</v>
      </c>
      <c r="H114" s="7" t="s">
        <v>10</v>
      </c>
      <c r="I114" s="7" t="s">
        <v>293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2</v>
      </c>
      <c r="AF114" s="7">
        <v>0</v>
      </c>
      <c r="AG114" s="7">
        <v>200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4</v>
      </c>
      <c r="AR114" s="8">
        <v>300</v>
      </c>
      <c r="AS114" s="7">
        <v>100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600</v>
      </c>
      <c r="BN114" s="16">
        <f t="shared" si="4"/>
        <v>600</v>
      </c>
      <c r="BO114" s="16">
        <f t="shared" si="5"/>
        <v>420</v>
      </c>
    </row>
    <row r="115" spans="1:67" x14ac:dyDescent="0.3">
      <c r="A115" s="15" t="s">
        <v>83</v>
      </c>
      <c r="B115" s="5" t="s">
        <v>188</v>
      </c>
      <c r="C115" s="5">
        <v>483179</v>
      </c>
      <c r="D115" s="6"/>
      <c r="E115" s="5" t="s">
        <v>16</v>
      </c>
      <c r="F115" s="5" t="s">
        <v>161</v>
      </c>
      <c r="G115" s="5" t="s">
        <v>31</v>
      </c>
      <c r="H115" s="7" t="s">
        <v>8</v>
      </c>
      <c r="I115" s="7" t="s">
        <v>189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6</v>
      </c>
      <c r="AF115" s="7">
        <v>0</v>
      </c>
      <c r="AG115" s="7">
        <v>600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8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600</v>
      </c>
      <c r="BN115" s="16">
        <f t="shared" si="4"/>
        <v>600</v>
      </c>
      <c r="BO115" s="16">
        <f t="shared" si="5"/>
        <v>420</v>
      </c>
    </row>
    <row r="116" spans="1:67" x14ac:dyDescent="0.3">
      <c r="A116" s="15" t="s">
        <v>83</v>
      </c>
      <c r="B116" s="5" t="s">
        <v>47</v>
      </c>
      <c r="C116" s="5">
        <v>387417</v>
      </c>
      <c r="D116" s="6"/>
      <c r="E116" s="5" t="s">
        <v>16</v>
      </c>
      <c r="F116" s="5" t="s">
        <v>48</v>
      </c>
      <c r="G116" s="5" t="s">
        <v>11</v>
      </c>
      <c r="H116" s="7" t="s">
        <v>7</v>
      </c>
      <c r="I116" s="7" t="s">
        <v>49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3</v>
      </c>
      <c r="AR116" s="7">
        <v>300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1">
        <v>300</v>
      </c>
      <c r="BN116" s="16">
        <f t="shared" si="4"/>
        <v>300</v>
      </c>
      <c r="BO116" s="16">
        <f t="shared" si="5"/>
        <v>210</v>
      </c>
    </row>
    <row r="117" spans="1:67" x14ac:dyDescent="0.3">
      <c r="A117" s="15" t="s">
        <v>83</v>
      </c>
      <c r="B117" s="5" t="s">
        <v>196</v>
      </c>
      <c r="C117" s="5">
        <v>394079</v>
      </c>
      <c r="D117" s="6"/>
      <c r="E117" s="5" t="s">
        <v>16</v>
      </c>
      <c r="F117" s="5" t="s">
        <v>46</v>
      </c>
      <c r="G117" s="5" t="s">
        <v>31</v>
      </c>
      <c r="H117" s="7" t="s">
        <v>8</v>
      </c>
      <c r="I117" s="7" t="s">
        <v>197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2</v>
      </c>
      <c r="AR117" s="7">
        <v>200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1">
        <v>200</v>
      </c>
      <c r="BN117" s="16">
        <f t="shared" si="4"/>
        <v>200</v>
      </c>
      <c r="BO117" s="16">
        <f t="shared" si="5"/>
        <v>140</v>
      </c>
    </row>
    <row r="118" spans="1:67" x14ac:dyDescent="0.3">
      <c r="A118" s="15" t="s">
        <v>83</v>
      </c>
      <c r="B118" s="5" t="s">
        <v>254</v>
      </c>
      <c r="C118" s="5">
        <v>394830</v>
      </c>
      <c r="D118" s="6"/>
      <c r="E118" s="5" t="s">
        <v>16</v>
      </c>
      <c r="F118" s="5" t="s">
        <v>38</v>
      </c>
      <c r="G118" s="5" t="s">
        <v>31</v>
      </c>
      <c r="H118" s="7" t="s">
        <v>8</v>
      </c>
      <c r="I118" s="7" t="s">
        <v>255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</v>
      </c>
      <c r="AF118" s="7">
        <v>100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1">
        <v>100</v>
      </c>
      <c r="BN118" s="16">
        <f t="shared" si="4"/>
        <v>100</v>
      </c>
      <c r="BO118" s="16">
        <f t="shared" si="5"/>
        <v>70</v>
      </c>
    </row>
    <row r="119" spans="1:67" x14ac:dyDescent="0.3">
      <c r="A119" s="15" t="s">
        <v>83</v>
      </c>
      <c r="B119" s="5" t="s">
        <v>253</v>
      </c>
      <c r="C119" s="5">
        <v>415992</v>
      </c>
      <c r="D119" s="6"/>
      <c r="E119" s="5" t="s">
        <v>16</v>
      </c>
      <c r="F119" s="5" t="s">
        <v>38</v>
      </c>
      <c r="G119" s="5" t="s">
        <v>31</v>
      </c>
      <c r="H119" s="7" t="s">
        <v>8</v>
      </c>
      <c r="I119" s="7" t="s">
        <v>179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</v>
      </c>
      <c r="AF119" s="7">
        <v>100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1">
        <v>100</v>
      </c>
      <c r="BN119" s="16">
        <f t="shared" si="4"/>
        <v>100</v>
      </c>
      <c r="BO119" s="16">
        <f t="shared" si="5"/>
        <v>70</v>
      </c>
    </row>
    <row r="120" spans="1:67" x14ac:dyDescent="0.3">
      <c r="A120" s="15" t="s">
        <v>83</v>
      </c>
      <c r="B120" s="5" t="s">
        <v>252</v>
      </c>
      <c r="C120" s="5">
        <v>399878</v>
      </c>
      <c r="D120" s="6"/>
      <c r="E120" s="5" t="s">
        <v>16</v>
      </c>
      <c r="F120" s="5" t="s">
        <v>170</v>
      </c>
      <c r="G120" s="5" t="s">
        <v>31</v>
      </c>
      <c r="H120" s="7" t="s">
        <v>8</v>
      </c>
      <c r="I120" s="7" t="s">
        <v>171</v>
      </c>
      <c r="J120" s="7">
        <v>0</v>
      </c>
      <c r="K120" s="7">
        <v>10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1">
        <v>0</v>
      </c>
      <c r="BN120" s="16">
        <f t="shared" si="4"/>
        <v>0</v>
      </c>
      <c r="BO120" s="16">
        <f t="shared" si="5"/>
        <v>0</v>
      </c>
    </row>
    <row r="121" spans="1:67" x14ac:dyDescent="0.3">
      <c r="A121" s="15" t="s">
        <v>83</v>
      </c>
      <c r="B121" s="5" t="s">
        <v>77</v>
      </c>
      <c r="C121" s="5">
        <v>476035</v>
      </c>
      <c r="D121" s="6"/>
      <c r="E121" s="5" t="s">
        <v>16</v>
      </c>
      <c r="F121" s="5" t="s">
        <v>78</v>
      </c>
      <c r="G121" s="5" t="s">
        <v>76</v>
      </c>
      <c r="H121" s="7" t="s">
        <v>10</v>
      </c>
      <c r="I121" s="7" t="s">
        <v>72</v>
      </c>
      <c r="J121" s="7">
        <v>0</v>
      </c>
      <c r="K121" s="7">
        <v>1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1">
        <v>0</v>
      </c>
      <c r="BN121" s="16">
        <f t="shared" si="4"/>
        <v>0</v>
      </c>
      <c r="BO121" s="16">
        <f t="shared" si="5"/>
        <v>0</v>
      </c>
    </row>
    <row r="122" spans="1:67" x14ac:dyDescent="0.3">
      <c r="A122" s="15" t="s">
        <v>65</v>
      </c>
      <c r="B122" s="5" t="s">
        <v>221</v>
      </c>
      <c r="C122" s="5">
        <v>485660</v>
      </c>
      <c r="D122" s="6"/>
      <c r="E122" s="5" t="s">
        <v>16</v>
      </c>
      <c r="F122" s="5" t="s">
        <v>57</v>
      </c>
      <c r="G122" s="5" t="s">
        <v>31</v>
      </c>
      <c r="H122" s="7" t="s">
        <v>64</v>
      </c>
      <c r="I122" s="7" t="s">
        <v>222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9</v>
      </c>
      <c r="AF122" s="8">
        <v>22300</v>
      </c>
      <c r="AG122" s="8">
        <v>2500</v>
      </c>
      <c r="AH122" s="7">
        <v>0</v>
      </c>
      <c r="AI122" s="7">
        <v>0</v>
      </c>
      <c r="AJ122" s="7">
        <v>0</v>
      </c>
      <c r="AK122" s="7">
        <v>1</v>
      </c>
      <c r="AL122" s="7">
        <v>3360</v>
      </c>
      <c r="AM122" s="8">
        <v>0</v>
      </c>
      <c r="AN122" s="7">
        <v>0</v>
      </c>
      <c r="AO122" s="7">
        <v>0</v>
      </c>
      <c r="AP122" s="7">
        <v>0</v>
      </c>
      <c r="AQ122" s="7">
        <v>4</v>
      </c>
      <c r="AR122" s="8">
        <v>11200</v>
      </c>
      <c r="AS122" s="7">
        <v>0</v>
      </c>
      <c r="AT122" s="7">
        <v>0</v>
      </c>
      <c r="AU122" s="7">
        <v>0</v>
      </c>
      <c r="AV122" s="7">
        <v>0</v>
      </c>
      <c r="AW122" s="7">
        <v>1</v>
      </c>
      <c r="AX122" s="7">
        <v>3360</v>
      </c>
      <c r="AY122" s="7">
        <v>0</v>
      </c>
      <c r="AZ122" s="7">
        <v>0</v>
      </c>
      <c r="BA122" s="7">
        <v>0</v>
      </c>
      <c r="BB122" s="7">
        <v>0</v>
      </c>
      <c r="BC122" s="7">
        <v>1</v>
      </c>
      <c r="BD122" s="8">
        <v>480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1372.8</v>
      </c>
      <c r="BM122" s="10">
        <v>43200</v>
      </c>
      <c r="BN122" s="16">
        <f t="shared" si="4"/>
        <v>41827.199999999997</v>
      </c>
      <c r="BO122" s="16">
        <f t="shared" si="5"/>
        <v>29279.039999999997</v>
      </c>
    </row>
    <row r="123" spans="1:67" x14ac:dyDescent="0.3">
      <c r="A123" s="15" t="s">
        <v>65</v>
      </c>
      <c r="B123" s="5" t="s">
        <v>224</v>
      </c>
      <c r="C123" s="5">
        <v>387975</v>
      </c>
      <c r="D123" s="6"/>
      <c r="E123" s="5" t="s">
        <v>16</v>
      </c>
      <c r="F123" s="5" t="s">
        <v>61</v>
      </c>
      <c r="G123" s="5" t="s">
        <v>31</v>
      </c>
      <c r="H123" s="7" t="s">
        <v>64</v>
      </c>
      <c r="I123" s="7" t="s">
        <v>60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6</v>
      </c>
      <c r="AF123" s="8">
        <v>26040</v>
      </c>
      <c r="AG123" s="8">
        <v>0</v>
      </c>
      <c r="AH123" s="7">
        <v>0</v>
      </c>
      <c r="AI123" s="7">
        <v>0</v>
      </c>
      <c r="AJ123" s="7">
        <v>0</v>
      </c>
      <c r="AK123" s="7">
        <v>0</v>
      </c>
      <c r="AL123" s="8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1</v>
      </c>
      <c r="AR123" s="8">
        <v>4200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8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9">
        <v>0</v>
      </c>
      <c r="BM123" s="10">
        <v>30240</v>
      </c>
      <c r="BN123" s="16">
        <f t="shared" si="4"/>
        <v>30240</v>
      </c>
      <c r="BO123" s="16">
        <f t="shared" si="5"/>
        <v>21168</v>
      </c>
    </row>
    <row r="124" spans="1:67" x14ac:dyDescent="0.3">
      <c r="A124" s="15" t="s">
        <v>65</v>
      </c>
      <c r="B124" s="5" t="s">
        <v>160</v>
      </c>
      <c r="C124" s="5">
        <v>481170</v>
      </c>
      <c r="D124" s="6"/>
      <c r="E124" s="5" t="s">
        <v>16</v>
      </c>
      <c r="F124" s="5" t="s">
        <v>161</v>
      </c>
      <c r="G124" s="5" t="s">
        <v>31</v>
      </c>
      <c r="H124" s="7" t="s">
        <v>64</v>
      </c>
      <c r="I124" s="7" t="s">
        <v>162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8</v>
      </c>
      <c r="AF124" s="8">
        <v>20000</v>
      </c>
      <c r="AG124" s="8">
        <v>800</v>
      </c>
      <c r="AH124" s="7">
        <v>0</v>
      </c>
      <c r="AI124" s="7">
        <v>0</v>
      </c>
      <c r="AJ124" s="7">
        <v>0</v>
      </c>
      <c r="AK124" s="7">
        <v>1</v>
      </c>
      <c r="AL124" s="8">
        <v>0</v>
      </c>
      <c r="AM124" s="7">
        <v>2600</v>
      </c>
      <c r="AN124" s="7">
        <v>0</v>
      </c>
      <c r="AO124" s="7">
        <v>0</v>
      </c>
      <c r="AP124" s="7">
        <v>0</v>
      </c>
      <c r="AQ124" s="7">
        <v>1</v>
      </c>
      <c r="AR124" s="8">
        <v>2600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8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1</v>
      </c>
      <c r="BD124" s="7">
        <v>3120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8">
        <v>0</v>
      </c>
      <c r="BK124" s="7">
        <v>0</v>
      </c>
      <c r="BL124" s="7">
        <v>187.2</v>
      </c>
      <c r="BM124" s="10">
        <v>29120</v>
      </c>
      <c r="BN124" s="16">
        <f t="shared" si="4"/>
        <v>28932.799999999999</v>
      </c>
      <c r="BO124" s="16">
        <f t="shared" si="5"/>
        <v>20252.96</v>
      </c>
    </row>
    <row r="125" spans="1:67" x14ac:dyDescent="0.3">
      <c r="A125" s="15" t="s">
        <v>65</v>
      </c>
      <c r="B125" s="5" t="s">
        <v>230</v>
      </c>
      <c r="C125" s="5">
        <v>485792</v>
      </c>
      <c r="D125" s="6"/>
      <c r="E125" s="5" t="s">
        <v>16</v>
      </c>
      <c r="F125" s="5" t="s">
        <v>231</v>
      </c>
      <c r="G125" s="5" t="s">
        <v>76</v>
      </c>
      <c r="H125" s="7" t="s">
        <v>64</v>
      </c>
      <c r="I125" s="7" t="s">
        <v>232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12</v>
      </c>
      <c r="AF125" s="8">
        <v>17400</v>
      </c>
      <c r="AG125" s="7">
        <v>0</v>
      </c>
      <c r="AH125" s="7">
        <v>0</v>
      </c>
      <c r="AI125" s="7">
        <v>0</v>
      </c>
      <c r="AJ125" s="7">
        <v>0</v>
      </c>
      <c r="AK125" s="7">
        <v>2</v>
      </c>
      <c r="AL125" s="7">
        <v>0</v>
      </c>
      <c r="AM125" s="7">
        <v>1700</v>
      </c>
      <c r="AN125" s="7">
        <v>0</v>
      </c>
      <c r="AO125" s="7">
        <v>0</v>
      </c>
      <c r="AP125" s="7">
        <v>0</v>
      </c>
      <c r="AQ125" s="7">
        <v>1</v>
      </c>
      <c r="AR125" s="8">
        <v>1500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8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2</v>
      </c>
      <c r="BD125" s="7">
        <v>2280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136.80000000000001</v>
      </c>
      <c r="BM125" s="10">
        <v>22880</v>
      </c>
      <c r="BN125" s="16">
        <f t="shared" si="4"/>
        <v>22743.200000000001</v>
      </c>
      <c r="BO125" s="16">
        <f t="shared" si="5"/>
        <v>15920.24</v>
      </c>
    </row>
    <row r="126" spans="1:67" ht="19.5" x14ac:dyDescent="0.3">
      <c r="A126" s="15" t="s">
        <v>65</v>
      </c>
      <c r="B126" s="5" t="s">
        <v>226</v>
      </c>
      <c r="C126" s="5">
        <v>485655</v>
      </c>
      <c r="D126" s="6"/>
      <c r="E126" s="5" t="s">
        <v>16</v>
      </c>
      <c r="F126" s="5" t="s">
        <v>227</v>
      </c>
      <c r="G126" s="5" t="s">
        <v>31</v>
      </c>
      <c r="H126" s="7" t="s">
        <v>64</v>
      </c>
      <c r="I126" s="7" t="s">
        <v>222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6</v>
      </c>
      <c r="AF126" s="8">
        <v>21700</v>
      </c>
      <c r="AG126" s="7">
        <v>0</v>
      </c>
      <c r="AH126" s="7">
        <v>0</v>
      </c>
      <c r="AI126" s="7">
        <v>0</v>
      </c>
      <c r="AJ126" s="7">
        <v>0</v>
      </c>
      <c r="AK126" s="7">
        <v>1</v>
      </c>
      <c r="AL126" s="7">
        <v>0</v>
      </c>
      <c r="AM126" s="7">
        <v>500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0">
        <v>22200</v>
      </c>
      <c r="BN126" s="16">
        <f t="shared" si="4"/>
        <v>22200</v>
      </c>
      <c r="BO126" s="16">
        <f t="shared" si="5"/>
        <v>15539.999999999998</v>
      </c>
    </row>
    <row r="127" spans="1:67" x14ac:dyDescent="0.3">
      <c r="A127" s="15" t="s">
        <v>65</v>
      </c>
      <c r="B127" s="5" t="s">
        <v>182</v>
      </c>
      <c r="C127" s="5">
        <v>481179</v>
      </c>
      <c r="D127" s="6"/>
      <c r="E127" s="5" t="s">
        <v>16</v>
      </c>
      <c r="F127" s="5" t="s">
        <v>183</v>
      </c>
      <c r="G127" s="5" t="s">
        <v>76</v>
      </c>
      <c r="H127" s="7" t="s">
        <v>64</v>
      </c>
      <c r="I127" s="7" t="s">
        <v>184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9</v>
      </c>
      <c r="AF127" s="8">
        <v>16000</v>
      </c>
      <c r="AG127" s="7">
        <v>2000</v>
      </c>
      <c r="AH127" s="7">
        <v>0</v>
      </c>
      <c r="AI127" s="7">
        <v>0</v>
      </c>
      <c r="AJ127" s="7">
        <v>0</v>
      </c>
      <c r="AK127" s="7">
        <v>1</v>
      </c>
      <c r="AL127" s="7">
        <v>0</v>
      </c>
      <c r="AM127" s="7">
        <v>2000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0">
        <v>20000</v>
      </c>
      <c r="BN127" s="16">
        <f t="shared" si="4"/>
        <v>20000</v>
      </c>
      <c r="BO127" s="16">
        <f t="shared" si="5"/>
        <v>14000</v>
      </c>
    </row>
    <row r="128" spans="1:67" x14ac:dyDescent="0.3">
      <c r="A128" s="15" t="s">
        <v>65</v>
      </c>
      <c r="B128" s="5" t="s">
        <v>240</v>
      </c>
      <c r="C128" s="5">
        <v>444220</v>
      </c>
      <c r="D128" s="6"/>
      <c r="E128" s="5" t="s">
        <v>16</v>
      </c>
      <c r="F128" s="5" t="s">
        <v>217</v>
      </c>
      <c r="G128" s="5" t="s">
        <v>31</v>
      </c>
      <c r="H128" s="7" t="s">
        <v>64</v>
      </c>
      <c r="I128" s="7" t="s">
        <v>222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6</v>
      </c>
      <c r="AF128" s="8">
        <v>16800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1</v>
      </c>
      <c r="AR128" s="8">
        <v>2800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0">
        <v>19600</v>
      </c>
      <c r="BN128" s="16">
        <f t="shared" si="4"/>
        <v>19600</v>
      </c>
      <c r="BO128" s="16">
        <f t="shared" si="5"/>
        <v>13720</v>
      </c>
    </row>
    <row r="129" spans="1:67" x14ac:dyDescent="0.3">
      <c r="A129" s="15" t="s">
        <v>65</v>
      </c>
      <c r="B129" s="5" t="s">
        <v>294</v>
      </c>
      <c r="C129" s="5">
        <v>431783</v>
      </c>
      <c r="D129" s="6"/>
      <c r="E129" s="5" t="s">
        <v>16</v>
      </c>
      <c r="F129" s="5" t="s">
        <v>38</v>
      </c>
      <c r="G129" s="5" t="s">
        <v>31</v>
      </c>
      <c r="H129" s="7" t="s">
        <v>64</v>
      </c>
      <c r="I129" s="7" t="s">
        <v>222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2</v>
      </c>
      <c r="AF129" s="8">
        <v>9200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2</v>
      </c>
      <c r="AR129" s="7">
        <v>9000</v>
      </c>
      <c r="AS129" s="7">
        <v>200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8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10">
        <v>18400</v>
      </c>
      <c r="BN129" s="16">
        <f t="shared" si="4"/>
        <v>18400</v>
      </c>
      <c r="BO129" s="16">
        <f t="shared" si="5"/>
        <v>12880</v>
      </c>
    </row>
    <row r="130" spans="1:67" x14ac:dyDescent="0.3">
      <c r="A130" s="15" t="s">
        <v>65</v>
      </c>
      <c r="B130" s="5" t="s">
        <v>295</v>
      </c>
      <c r="C130" s="5">
        <v>384110</v>
      </c>
      <c r="D130" s="6"/>
      <c r="E130" s="5" t="s">
        <v>16</v>
      </c>
      <c r="F130" s="5" t="s">
        <v>262</v>
      </c>
      <c r="G130" s="5" t="s">
        <v>31</v>
      </c>
      <c r="H130" s="7" t="s">
        <v>64</v>
      </c>
      <c r="I130" s="7" t="s">
        <v>296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4</v>
      </c>
      <c r="AF130" s="8">
        <v>16000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0">
        <v>16000</v>
      </c>
      <c r="BN130" s="16">
        <f t="shared" si="4"/>
        <v>16000</v>
      </c>
      <c r="BO130" s="16">
        <f t="shared" si="5"/>
        <v>11200</v>
      </c>
    </row>
    <row r="131" spans="1:67" x14ac:dyDescent="0.3">
      <c r="A131" s="15" t="s">
        <v>65</v>
      </c>
      <c r="B131" s="5" t="s">
        <v>235</v>
      </c>
      <c r="C131" s="5">
        <v>419071</v>
      </c>
      <c r="D131" s="6"/>
      <c r="E131" s="5" t="s">
        <v>16</v>
      </c>
      <c r="F131" s="5" t="s">
        <v>236</v>
      </c>
      <c r="G131" s="5" t="s">
        <v>31</v>
      </c>
      <c r="H131" s="7" t="s">
        <v>64</v>
      </c>
      <c r="I131" s="7" t="s">
        <v>222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</v>
      </c>
      <c r="AF131" s="8">
        <v>3700</v>
      </c>
      <c r="AG131" s="7">
        <v>0</v>
      </c>
      <c r="AH131" s="7">
        <v>0</v>
      </c>
      <c r="AI131" s="7">
        <v>0</v>
      </c>
      <c r="AJ131" s="7">
        <v>0</v>
      </c>
      <c r="AK131" s="7">
        <v>2</v>
      </c>
      <c r="AL131" s="7">
        <v>4440</v>
      </c>
      <c r="AM131" s="7">
        <v>3700</v>
      </c>
      <c r="AN131" s="7">
        <v>0</v>
      </c>
      <c r="AO131" s="7">
        <v>0</v>
      </c>
      <c r="AP131" s="7">
        <v>0</v>
      </c>
      <c r="AQ131" s="7">
        <v>1</v>
      </c>
      <c r="AR131" s="7">
        <v>3700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1332</v>
      </c>
      <c r="BM131" s="10">
        <v>15540</v>
      </c>
      <c r="BN131" s="16">
        <f t="shared" ref="BN131:BN191" si="6">BM131-BL131</f>
        <v>14208</v>
      </c>
      <c r="BO131" s="16">
        <f t="shared" ref="BO131:BO191" si="7">BN131*70%</f>
        <v>9945.5999999999985</v>
      </c>
    </row>
    <row r="132" spans="1:67" x14ac:dyDescent="0.3">
      <c r="A132" s="15" t="s">
        <v>65</v>
      </c>
      <c r="B132" s="5" t="s">
        <v>225</v>
      </c>
      <c r="C132" s="5">
        <v>441789</v>
      </c>
      <c r="D132" s="6"/>
      <c r="E132" s="5" t="s">
        <v>16</v>
      </c>
      <c r="F132" s="5" t="s">
        <v>46</v>
      </c>
      <c r="G132" s="5" t="s">
        <v>31</v>
      </c>
      <c r="H132" s="7" t="s">
        <v>64</v>
      </c>
      <c r="I132" s="7" t="s">
        <v>222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4</v>
      </c>
      <c r="AF132" s="7">
        <v>10000</v>
      </c>
      <c r="AG132" s="7">
        <v>0</v>
      </c>
      <c r="AH132" s="7">
        <v>0</v>
      </c>
      <c r="AI132" s="7">
        <v>0</v>
      </c>
      <c r="AJ132" s="7">
        <v>0</v>
      </c>
      <c r="AK132" s="7">
        <v>1</v>
      </c>
      <c r="AL132" s="7">
        <v>3000</v>
      </c>
      <c r="AM132" s="7">
        <v>0</v>
      </c>
      <c r="AN132" s="7">
        <v>0</v>
      </c>
      <c r="AO132" s="7">
        <v>0</v>
      </c>
      <c r="AP132" s="7">
        <v>0</v>
      </c>
      <c r="AQ132" s="7">
        <v>1</v>
      </c>
      <c r="AR132" s="7">
        <v>2500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8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900</v>
      </c>
      <c r="BM132" s="10">
        <v>15500</v>
      </c>
      <c r="BN132" s="16">
        <f t="shared" si="6"/>
        <v>14600</v>
      </c>
      <c r="BO132" s="16">
        <f t="shared" si="7"/>
        <v>10220</v>
      </c>
    </row>
    <row r="133" spans="1:67" x14ac:dyDescent="0.3">
      <c r="A133" s="15" t="s">
        <v>65</v>
      </c>
      <c r="B133" s="5" t="s">
        <v>84</v>
      </c>
      <c r="C133" s="5">
        <v>446880</v>
      </c>
      <c r="D133" s="6"/>
      <c r="E133" s="5" t="s">
        <v>16</v>
      </c>
      <c r="F133" s="5" t="s">
        <v>63</v>
      </c>
      <c r="G133" s="5" t="s">
        <v>31</v>
      </c>
      <c r="H133" s="7" t="s">
        <v>64</v>
      </c>
      <c r="I133" s="7" t="s">
        <v>82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4</v>
      </c>
      <c r="AF133" s="8">
        <v>13200</v>
      </c>
      <c r="AG133" s="7">
        <v>800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0">
        <v>14000</v>
      </c>
      <c r="BN133" s="16">
        <f t="shared" si="6"/>
        <v>14000</v>
      </c>
      <c r="BO133" s="16">
        <f t="shared" si="7"/>
        <v>9800</v>
      </c>
    </row>
    <row r="134" spans="1:67" ht="19.5" x14ac:dyDescent="0.3">
      <c r="A134" s="15" t="s">
        <v>65</v>
      </c>
      <c r="B134" s="5" t="s">
        <v>297</v>
      </c>
      <c r="C134" s="5">
        <v>397371</v>
      </c>
      <c r="D134" s="6"/>
      <c r="E134" s="5" t="s">
        <v>16</v>
      </c>
      <c r="F134" s="5" t="s">
        <v>298</v>
      </c>
      <c r="G134" s="5" t="s">
        <v>31</v>
      </c>
      <c r="H134" s="7" t="s">
        <v>64</v>
      </c>
      <c r="I134" s="7" t="s">
        <v>232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3</v>
      </c>
      <c r="AF134" s="8">
        <v>7800</v>
      </c>
      <c r="AG134" s="7">
        <v>0</v>
      </c>
      <c r="AH134" s="7">
        <v>0</v>
      </c>
      <c r="AI134" s="7">
        <v>0</v>
      </c>
      <c r="AJ134" s="7">
        <v>0</v>
      </c>
      <c r="AK134" s="7">
        <v>1</v>
      </c>
      <c r="AL134" s="7">
        <v>2921</v>
      </c>
      <c r="AM134" s="7">
        <v>0</v>
      </c>
      <c r="AN134" s="7">
        <v>0</v>
      </c>
      <c r="AO134" s="7">
        <v>0</v>
      </c>
      <c r="AP134" s="7">
        <v>0</v>
      </c>
      <c r="AQ134" s="7">
        <v>1</v>
      </c>
      <c r="AR134" s="7">
        <v>2600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876.3</v>
      </c>
      <c r="BM134" s="10">
        <v>13321</v>
      </c>
      <c r="BN134" s="16">
        <f t="shared" si="6"/>
        <v>12444.7</v>
      </c>
      <c r="BO134" s="16">
        <f t="shared" si="7"/>
        <v>8711.2899999999991</v>
      </c>
    </row>
    <row r="135" spans="1:67" x14ac:dyDescent="0.3">
      <c r="A135" s="15" t="s">
        <v>65</v>
      </c>
      <c r="B135" s="5" t="s">
        <v>233</v>
      </c>
      <c r="C135" s="5">
        <v>428121</v>
      </c>
      <c r="D135" s="6"/>
      <c r="E135" s="5" t="s">
        <v>16</v>
      </c>
      <c r="F135" s="5" t="s">
        <v>234</v>
      </c>
      <c r="G135" s="5" t="s">
        <v>31</v>
      </c>
      <c r="H135" s="7" t="s">
        <v>64</v>
      </c>
      <c r="I135" s="7" t="s">
        <v>222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4</v>
      </c>
      <c r="AF135" s="8">
        <v>13200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0">
        <v>13200</v>
      </c>
      <c r="BN135" s="16">
        <f t="shared" si="6"/>
        <v>13200</v>
      </c>
      <c r="BO135" s="16">
        <f t="shared" si="7"/>
        <v>9240</v>
      </c>
    </row>
    <row r="136" spans="1:67" ht="19.5" x14ac:dyDescent="0.3">
      <c r="A136" s="15" t="s">
        <v>65</v>
      </c>
      <c r="B136" s="5" t="s">
        <v>209</v>
      </c>
      <c r="C136" s="5">
        <v>458432</v>
      </c>
      <c r="D136" s="6"/>
      <c r="E136" s="5" t="s">
        <v>16</v>
      </c>
      <c r="F136" s="5" t="s">
        <v>57</v>
      </c>
      <c r="G136" s="5" t="s">
        <v>31</v>
      </c>
      <c r="H136" s="7" t="s">
        <v>64</v>
      </c>
      <c r="I136" s="7" t="s">
        <v>210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2</v>
      </c>
      <c r="AF136" s="8">
        <v>3000</v>
      </c>
      <c r="AG136" s="7">
        <v>3000</v>
      </c>
      <c r="AH136" s="7">
        <v>0</v>
      </c>
      <c r="AI136" s="7">
        <v>0</v>
      </c>
      <c r="AJ136" s="7">
        <v>0</v>
      </c>
      <c r="AK136" s="7">
        <v>1</v>
      </c>
      <c r="AL136" s="7">
        <v>3360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1008</v>
      </c>
      <c r="BM136" s="10">
        <v>9360</v>
      </c>
      <c r="BN136" s="16">
        <f t="shared" si="6"/>
        <v>8352</v>
      </c>
      <c r="BO136" s="16">
        <f t="shared" si="7"/>
        <v>5846.4</v>
      </c>
    </row>
    <row r="137" spans="1:67" x14ac:dyDescent="0.3">
      <c r="A137" s="15" t="s">
        <v>65</v>
      </c>
      <c r="B137" s="5" t="s">
        <v>163</v>
      </c>
      <c r="C137" s="5">
        <v>483176</v>
      </c>
      <c r="D137" s="6"/>
      <c r="E137" s="5" t="s">
        <v>16</v>
      </c>
      <c r="F137" s="5" t="s">
        <v>38</v>
      </c>
      <c r="G137" s="5" t="s">
        <v>31</v>
      </c>
      <c r="H137" s="7" t="s">
        <v>64</v>
      </c>
      <c r="I137" s="7" t="s">
        <v>164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3</v>
      </c>
      <c r="AF137" s="8">
        <v>9000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0">
        <v>9000</v>
      </c>
      <c r="BN137" s="16">
        <f t="shared" si="6"/>
        <v>9000</v>
      </c>
      <c r="BO137" s="16">
        <f t="shared" si="7"/>
        <v>6300</v>
      </c>
    </row>
    <row r="138" spans="1:67" x14ac:dyDescent="0.3">
      <c r="A138" s="15" t="s">
        <v>65</v>
      </c>
      <c r="B138" s="5" t="s">
        <v>299</v>
      </c>
      <c r="C138" s="5">
        <v>411933</v>
      </c>
      <c r="D138" s="6"/>
      <c r="E138" s="5" t="s">
        <v>16</v>
      </c>
      <c r="F138" s="5" t="s">
        <v>217</v>
      </c>
      <c r="G138" s="5" t="s">
        <v>31</v>
      </c>
      <c r="H138" s="7" t="s">
        <v>64</v>
      </c>
      <c r="I138" s="7" t="s">
        <v>218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3</v>
      </c>
      <c r="AF138" s="8">
        <v>9000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10">
        <v>9000</v>
      </c>
      <c r="BN138" s="16">
        <f t="shared" si="6"/>
        <v>9000</v>
      </c>
      <c r="BO138" s="16">
        <f t="shared" si="7"/>
        <v>6300</v>
      </c>
    </row>
    <row r="139" spans="1:67" x14ac:dyDescent="0.3">
      <c r="A139" s="15" t="s">
        <v>65</v>
      </c>
      <c r="B139" s="5" t="s">
        <v>300</v>
      </c>
      <c r="C139" s="5">
        <v>385172</v>
      </c>
      <c r="D139" s="6"/>
      <c r="E139" s="5" t="s">
        <v>16</v>
      </c>
      <c r="F139" s="5" t="s">
        <v>250</v>
      </c>
      <c r="G139" s="5" t="s">
        <v>31</v>
      </c>
      <c r="H139" s="7" t="s">
        <v>64</v>
      </c>
      <c r="I139" s="7" t="s">
        <v>192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8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2</v>
      </c>
      <c r="BD139" s="7">
        <v>8640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518.4</v>
      </c>
      <c r="BM139" s="10">
        <v>8640</v>
      </c>
      <c r="BN139" s="16">
        <f t="shared" si="6"/>
        <v>8121.6</v>
      </c>
      <c r="BO139" s="16">
        <f t="shared" si="7"/>
        <v>5685.12</v>
      </c>
    </row>
    <row r="140" spans="1:67" x14ac:dyDescent="0.3">
      <c r="A140" s="15" t="s">
        <v>65</v>
      </c>
      <c r="B140" s="5" t="s">
        <v>301</v>
      </c>
      <c r="C140" s="5">
        <v>419222</v>
      </c>
      <c r="D140" s="6"/>
      <c r="E140" s="5" t="s">
        <v>16</v>
      </c>
      <c r="F140" s="5" t="s">
        <v>63</v>
      </c>
      <c r="G140" s="5" t="s">
        <v>31</v>
      </c>
      <c r="H140" s="7" t="s">
        <v>64</v>
      </c>
      <c r="I140" s="7" t="s">
        <v>284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8">
        <v>3800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1</v>
      </c>
      <c r="AR140" s="7">
        <v>3800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0">
        <v>7600</v>
      </c>
      <c r="BN140" s="16">
        <f t="shared" si="6"/>
        <v>7600</v>
      </c>
      <c r="BO140" s="16">
        <f t="shared" si="7"/>
        <v>5320</v>
      </c>
    </row>
    <row r="141" spans="1:67" x14ac:dyDescent="0.3">
      <c r="A141" s="15" t="s">
        <v>65</v>
      </c>
      <c r="B141" s="5" t="s">
        <v>166</v>
      </c>
      <c r="C141" s="5">
        <v>481159</v>
      </c>
      <c r="D141" s="6"/>
      <c r="E141" s="5" t="s">
        <v>16</v>
      </c>
      <c r="F141" s="5" t="s">
        <v>167</v>
      </c>
      <c r="G141" s="5" t="s">
        <v>76</v>
      </c>
      <c r="H141" s="7" t="s">
        <v>64</v>
      </c>
      <c r="I141" s="7" t="s">
        <v>168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4</v>
      </c>
      <c r="AF141" s="7">
        <v>4300</v>
      </c>
      <c r="AG141" s="7">
        <v>300</v>
      </c>
      <c r="AH141" s="7">
        <v>0</v>
      </c>
      <c r="AI141" s="7">
        <v>0</v>
      </c>
      <c r="AJ141" s="7">
        <v>0</v>
      </c>
      <c r="AK141" s="7">
        <v>1</v>
      </c>
      <c r="AL141" s="7">
        <v>0</v>
      </c>
      <c r="AM141" s="7">
        <v>1400</v>
      </c>
      <c r="AN141" s="7">
        <v>0</v>
      </c>
      <c r="AO141" s="7">
        <v>0</v>
      </c>
      <c r="AP141" s="7">
        <v>0</v>
      </c>
      <c r="AQ141" s="7">
        <v>1</v>
      </c>
      <c r="AR141" s="7">
        <v>1500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8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10">
        <v>7500</v>
      </c>
      <c r="BN141" s="16">
        <f t="shared" si="6"/>
        <v>7500</v>
      </c>
      <c r="BO141" s="16">
        <f t="shared" si="7"/>
        <v>5250</v>
      </c>
    </row>
    <row r="142" spans="1:67" ht="19.5" x14ac:dyDescent="0.3">
      <c r="A142" s="15" t="s">
        <v>65</v>
      </c>
      <c r="B142" s="5" t="s">
        <v>172</v>
      </c>
      <c r="C142" s="5">
        <v>383234</v>
      </c>
      <c r="D142" s="6"/>
      <c r="E142" s="5" t="s">
        <v>16</v>
      </c>
      <c r="F142" s="5" t="s">
        <v>57</v>
      </c>
      <c r="G142" s="5" t="s">
        <v>31</v>
      </c>
      <c r="H142" s="7" t="s">
        <v>64</v>
      </c>
      <c r="I142" s="7" t="s">
        <v>58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8">
        <v>3200</v>
      </c>
      <c r="AG142" s="7">
        <v>0</v>
      </c>
      <c r="AH142" s="7">
        <v>0</v>
      </c>
      <c r="AI142" s="7">
        <v>0</v>
      </c>
      <c r="AJ142" s="7">
        <v>0</v>
      </c>
      <c r="AK142" s="7">
        <v>1</v>
      </c>
      <c r="AL142" s="7">
        <v>3584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1075.2</v>
      </c>
      <c r="BM142" s="10">
        <v>6784</v>
      </c>
      <c r="BN142" s="16">
        <f t="shared" si="6"/>
        <v>5708.8</v>
      </c>
      <c r="BO142" s="16">
        <f t="shared" si="7"/>
        <v>3996.16</v>
      </c>
    </row>
    <row r="143" spans="1:67" x14ac:dyDescent="0.3">
      <c r="A143" s="15" t="s">
        <v>65</v>
      </c>
      <c r="B143" s="5" t="s">
        <v>142</v>
      </c>
      <c r="C143" s="5">
        <v>324335</v>
      </c>
      <c r="D143" s="6"/>
      <c r="E143" s="5" t="s">
        <v>16</v>
      </c>
      <c r="F143" s="5" t="s">
        <v>28</v>
      </c>
      <c r="G143" s="5" t="s">
        <v>11</v>
      </c>
      <c r="H143" s="7" t="s">
        <v>10</v>
      </c>
      <c r="I143" s="7" t="s">
        <v>143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1</v>
      </c>
      <c r="T143" s="7">
        <v>0</v>
      </c>
      <c r="U143" s="7">
        <v>0</v>
      </c>
      <c r="V143" s="7">
        <v>3200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1</v>
      </c>
      <c r="AF143" s="8">
        <v>3200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0">
        <v>6400</v>
      </c>
      <c r="BN143" s="16">
        <f t="shared" si="6"/>
        <v>6400</v>
      </c>
      <c r="BO143" s="16">
        <f t="shared" si="7"/>
        <v>4480</v>
      </c>
    </row>
    <row r="144" spans="1:67" x14ac:dyDescent="0.3">
      <c r="A144" s="15" t="s">
        <v>65</v>
      </c>
      <c r="B144" s="5" t="s">
        <v>208</v>
      </c>
      <c r="C144" s="5">
        <v>483177</v>
      </c>
      <c r="D144" s="6"/>
      <c r="E144" s="5" t="s">
        <v>16</v>
      </c>
      <c r="F144" s="5" t="s">
        <v>38</v>
      </c>
      <c r="G144" s="5" t="s">
        <v>31</v>
      </c>
      <c r="H144" s="7" t="s">
        <v>64</v>
      </c>
      <c r="I144" s="7" t="s">
        <v>164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5</v>
      </c>
      <c r="AF144" s="7">
        <v>5000</v>
      </c>
      <c r="AG144" s="8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1</v>
      </c>
      <c r="AX144" s="7">
        <v>1200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120</v>
      </c>
      <c r="BM144" s="10">
        <v>6200</v>
      </c>
      <c r="BN144" s="16">
        <f t="shared" si="6"/>
        <v>6080</v>
      </c>
      <c r="BO144" s="16">
        <f t="shared" si="7"/>
        <v>4256</v>
      </c>
    </row>
    <row r="145" spans="1:67" ht="19.5" x14ac:dyDescent="0.3">
      <c r="A145" s="15" t="s">
        <v>65</v>
      </c>
      <c r="B145" s="5" t="s">
        <v>302</v>
      </c>
      <c r="C145" s="5">
        <v>421814</v>
      </c>
      <c r="D145" s="6"/>
      <c r="E145" s="5" t="s">
        <v>16</v>
      </c>
      <c r="F145" s="5" t="s">
        <v>38</v>
      </c>
      <c r="G145" s="5" t="s">
        <v>31</v>
      </c>
      <c r="H145" s="7" t="s">
        <v>64</v>
      </c>
      <c r="I145" s="7" t="s">
        <v>303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2</v>
      </c>
      <c r="AF145" s="8">
        <v>2900</v>
      </c>
      <c r="AG145" s="7">
        <v>700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1</v>
      </c>
      <c r="AR145" s="7">
        <v>1400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1</v>
      </c>
      <c r="BD145" s="7">
        <v>0</v>
      </c>
      <c r="BE145" s="7">
        <v>800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10">
        <v>5800</v>
      </c>
      <c r="BN145" s="16">
        <f t="shared" si="6"/>
        <v>5800</v>
      </c>
      <c r="BO145" s="16">
        <f t="shared" si="7"/>
        <v>4059.9999999999995</v>
      </c>
    </row>
    <row r="146" spans="1:67" x14ac:dyDescent="0.3">
      <c r="A146" s="15" t="s">
        <v>65</v>
      </c>
      <c r="B146" s="5" t="s">
        <v>304</v>
      </c>
      <c r="C146" s="5">
        <v>424573</v>
      </c>
      <c r="D146" s="6"/>
      <c r="E146" s="5" t="s">
        <v>16</v>
      </c>
      <c r="F146" s="5" t="s">
        <v>305</v>
      </c>
      <c r="G146" s="5" t="s">
        <v>31</v>
      </c>
      <c r="H146" s="7" t="s">
        <v>64</v>
      </c>
      <c r="I146" s="7" t="s">
        <v>306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8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1</v>
      </c>
      <c r="BD146" s="7">
        <v>5160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309.60000000000002</v>
      </c>
      <c r="BM146" s="10">
        <v>5160</v>
      </c>
      <c r="BN146" s="16">
        <f t="shared" si="6"/>
        <v>4850.3999999999996</v>
      </c>
      <c r="BO146" s="16">
        <f t="shared" si="7"/>
        <v>3395.2799999999997</v>
      </c>
    </row>
    <row r="147" spans="1:67" x14ac:dyDescent="0.3">
      <c r="A147" s="15" t="s">
        <v>65</v>
      </c>
      <c r="B147" s="5" t="s">
        <v>180</v>
      </c>
      <c r="C147" s="5">
        <v>397392</v>
      </c>
      <c r="D147" s="6"/>
      <c r="E147" s="5" t="s">
        <v>16</v>
      </c>
      <c r="F147" s="5" t="s">
        <v>57</v>
      </c>
      <c r="G147" s="5" t="s">
        <v>31</v>
      </c>
      <c r="H147" s="7" t="s">
        <v>64</v>
      </c>
      <c r="I147" s="7" t="s">
        <v>181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8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1</v>
      </c>
      <c r="AL147" s="7">
        <v>2464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1</v>
      </c>
      <c r="BD147" s="7">
        <v>2640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897.6</v>
      </c>
      <c r="BM147" s="10">
        <v>5104</v>
      </c>
      <c r="BN147" s="16">
        <f t="shared" si="6"/>
        <v>4206.3999999999996</v>
      </c>
      <c r="BO147" s="16">
        <f t="shared" si="7"/>
        <v>2944.4799999999996</v>
      </c>
    </row>
    <row r="148" spans="1:67" x14ac:dyDescent="0.3">
      <c r="A148" s="15" t="s">
        <v>65</v>
      </c>
      <c r="B148" s="5" t="s">
        <v>307</v>
      </c>
      <c r="C148" s="5">
        <v>444223</v>
      </c>
      <c r="D148" s="6"/>
      <c r="E148" s="5" t="s">
        <v>16</v>
      </c>
      <c r="F148" s="5" t="s">
        <v>217</v>
      </c>
      <c r="G148" s="5" t="s">
        <v>31</v>
      </c>
      <c r="H148" s="7" t="s">
        <v>64</v>
      </c>
      <c r="I148" s="7" t="s">
        <v>222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8</v>
      </c>
      <c r="AF148" s="8">
        <v>3300</v>
      </c>
      <c r="AG148" s="7">
        <v>700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10">
        <v>4000</v>
      </c>
      <c r="BN148" s="16">
        <f t="shared" si="6"/>
        <v>4000</v>
      </c>
      <c r="BO148" s="16">
        <f t="shared" si="7"/>
        <v>2800</v>
      </c>
    </row>
    <row r="149" spans="1:67" x14ac:dyDescent="0.3">
      <c r="A149" s="15" t="s">
        <v>65</v>
      </c>
      <c r="B149" s="5" t="s">
        <v>308</v>
      </c>
      <c r="C149" s="5">
        <v>360524</v>
      </c>
      <c r="D149" s="6"/>
      <c r="E149" s="5" t="s">
        <v>16</v>
      </c>
      <c r="F149" s="5" t="s">
        <v>38</v>
      </c>
      <c r="G149" s="5" t="s">
        <v>31</v>
      </c>
      <c r="H149" s="7" t="s">
        <v>64</v>
      </c>
      <c r="I149" s="7" t="s">
        <v>309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1</v>
      </c>
      <c r="AR149" s="7">
        <v>4000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11">
        <v>4000</v>
      </c>
      <c r="BN149" s="16">
        <f t="shared" si="6"/>
        <v>4000</v>
      </c>
      <c r="BO149" s="16">
        <f t="shared" si="7"/>
        <v>2800</v>
      </c>
    </row>
    <row r="150" spans="1:67" x14ac:dyDescent="0.3">
      <c r="A150" s="15" t="s">
        <v>65</v>
      </c>
      <c r="B150" s="5" t="s">
        <v>310</v>
      </c>
      <c r="C150" s="5">
        <v>416195</v>
      </c>
      <c r="D150" s="6"/>
      <c r="E150" s="5" t="s">
        <v>16</v>
      </c>
      <c r="F150" s="5" t="s">
        <v>46</v>
      </c>
      <c r="G150" s="5" t="s">
        <v>31</v>
      </c>
      <c r="H150" s="7" t="s">
        <v>64</v>
      </c>
      <c r="I150" s="7" t="s">
        <v>197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1</v>
      </c>
      <c r="AF150" s="7">
        <v>0</v>
      </c>
      <c r="AG150" s="7">
        <v>3700</v>
      </c>
      <c r="AH150" s="7">
        <v>0</v>
      </c>
      <c r="AI150" s="7">
        <v>0</v>
      </c>
      <c r="AJ150" s="7">
        <v>0</v>
      </c>
      <c r="AK150" s="7">
        <v>1</v>
      </c>
      <c r="AL150" s="7">
        <v>0</v>
      </c>
      <c r="AM150" s="7">
        <v>100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11">
        <v>3800</v>
      </c>
      <c r="BN150" s="16">
        <f t="shared" si="6"/>
        <v>3800</v>
      </c>
      <c r="BO150" s="16">
        <f t="shared" si="7"/>
        <v>2660</v>
      </c>
    </row>
    <row r="151" spans="1:67" x14ac:dyDescent="0.3">
      <c r="A151" s="15" t="s">
        <v>65</v>
      </c>
      <c r="B151" s="5" t="s">
        <v>145</v>
      </c>
      <c r="C151" s="5">
        <v>462656</v>
      </c>
      <c r="D151" s="6"/>
      <c r="E151" s="5" t="s">
        <v>16</v>
      </c>
      <c r="F151" s="5" t="s">
        <v>63</v>
      </c>
      <c r="G151" s="5" t="s">
        <v>31</v>
      </c>
      <c r="H151" s="7" t="s">
        <v>64</v>
      </c>
      <c r="I151" s="7" t="s">
        <v>70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1</v>
      </c>
      <c r="AF151" s="7">
        <v>3800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11">
        <v>3800</v>
      </c>
      <c r="BN151" s="16">
        <f t="shared" si="6"/>
        <v>3800</v>
      </c>
      <c r="BO151" s="16">
        <f t="shared" si="7"/>
        <v>2660</v>
      </c>
    </row>
    <row r="152" spans="1:67" x14ac:dyDescent="0.3">
      <c r="A152" s="15" t="s">
        <v>65</v>
      </c>
      <c r="B152" s="5" t="s">
        <v>245</v>
      </c>
      <c r="C152" s="5">
        <v>485662</v>
      </c>
      <c r="D152" s="6"/>
      <c r="E152" s="5" t="s">
        <v>16</v>
      </c>
      <c r="F152" s="5" t="s">
        <v>57</v>
      </c>
      <c r="G152" s="5" t="s">
        <v>31</v>
      </c>
      <c r="H152" s="7" t="s">
        <v>64</v>
      </c>
      <c r="I152" s="7" t="s">
        <v>222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5</v>
      </c>
      <c r="AF152" s="7">
        <v>2500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1</v>
      </c>
      <c r="AR152" s="7">
        <v>0</v>
      </c>
      <c r="AS152" s="7">
        <v>500</v>
      </c>
      <c r="AT152" s="7">
        <v>0</v>
      </c>
      <c r="AU152" s="7">
        <v>0</v>
      </c>
      <c r="AV152" s="7">
        <v>0</v>
      </c>
      <c r="AW152" s="7">
        <v>1</v>
      </c>
      <c r="AX152" s="7">
        <v>600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60</v>
      </c>
      <c r="BM152" s="11">
        <v>3600</v>
      </c>
      <c r="BN152" s="16">
        <f t="shared" si="6"/>
        <v>3540</v>
      </c>
      <c r="BO152" s="16">
        <f t="shared" si="7"/>
        <v>2478</v>
      </c>
    </row>
    <row r="153" spans="1:67" x14ac:dyDescent="0.3">
      <c r="A153" s="15" t="s">
        <v>65</v>
      </c>
      <c r="B153" s="5" t="s">
        <v>311</v>
      </c>
      <c r="C153" s="5">
        <v>426276</v>
      </c>
      <c r="D153" s="6"/>
      <c r="E153" s="5" t="s">
        <v>16</v>
      </c>
      <c r="F153" s="5" t="s">
        <v>217</v>
      </c>
      <c r="G153" s="5" t="s">
        <v>31</v>
      </c>
      <c r="H153" s="7" t="s">
        <v>64</v>
      </c>
      <c r="I153" s="7" t="s">
        <v>312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1</v>
      </c>
      <c r="AF153" s="7">
        <v>0</v>
      </c>
      <c r="AG153" s="7">
        <v>3300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11">
        <v>3300</v>
      </c>
      <c r="BN153" s="16">
        <f t="shared" si="6"/>
        <v>3300</v>
      </c>
      <c r="BO153" s="16">
        <f t="shared" si="7"/>
        <v>2310</v>
      </c>
    </row>
    <row r="154" spans="1:67" x14ac:dyDescent="0.3">
      <c r="A154" s="15" t="s">
        <v>65</v>
      </c>
      <c r="B154" s="5" t="s">
        <v>313</v>
      </c>
      <c r="C154" s="5">
        <v>426278</v>
      </c>
      <c r="D154" s="6"/>
      <c r="E154" s="5" t="s">
        <v>16</v>
      </c>
      <c r="F154" s="5" t="s">
        <v>314</v>
      </c>
      <c r="G154" s="5" t="s">
        <v>31</v>
      </c>
      <c r="H154" s="7" t="s">
        <v>64</v>
      </c>
      <c r="I154" s="7" t="s">
        <v>315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1</v>
      </c>
      <c r="AF154" s="7">
        <v>3200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11">
        <v>3200</v>
      </c>
      <c r="BN154" s="16">
        <f t="shared" si="6"/>
        <v>3200</v>
      </c>
      <c r="BO154" s="16">
        <f t="shared" si="7"/>
        <v>2240</v>
      </c>
    </row>
    <row r="155" spans="1:67" x14ac:dyDescent="0.3">
      <c r="A155" s="15" t="s">
        <v>65</v>
      </c>
      <c r="B155" s="5" t="s">
        <v>26</v>
      </c>
      <c r="C155" s="5">
        <v>414278</v>
      </c>
      <c r="D155" s="6"/>
      <c r="E155" s="5" t="s">
        <v>16</v>
      </c>
      <c r="F155" s="5" t="s">
        <v>12</v>
      </c>
      <c r="G155" s="5" t="s">
        <v>11</v>
      </c>
      <c r="H155" s="7" t="s">
        <v>8</v>
      </c>
      <c r="I155" s="7" t="s">
        <v>72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1</v>
      </c>
      <c r="AF155" s="7">
        <v>3200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11">
        <v>3200</v>
      </c>
      <c r="BN155" s="16">
        <f t="shared" si="6"/>
        <v>3200</v>
      </c>
      <c r="BO155" s="16">
        <f t="shared" si="7"/>
        <v>2240</v>
      </c>
    </row>
    <row r="156" spans="1:67" x14ac:dyDescent="0.3">
      <c r="A156" s="15" t="s">
        <v>65</v>
      </c>
      <c r="B156" s="5" t="s">
        <v>169</v>
      </c>
      <c r="C156" s="5">
        <v>425648</v>
      </c>
      <c r="D156" s="6"/>
      <c r="E156" s="5" t="s">
        <v>16</v>
      </c>
      <c r="F156" s="5" t="s">
        <v>170</v>
      </c>
      <c r="G156" s="5" t="s">
        <v>31</v>
      </c>
      <c r="H156" s="7" t="s">
        <v>64</v>
      </c>
      <c r="I156" s="7" t="s">
        <v>171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1</v>
      </c>
      <c r="AF156" s="7">
        <v>3200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11">
        <v>3200</v>
      </c>
      <c r="BN156" s="16">
        <f t="shared" si="6"/>
        <v>3200</v>
      </c>
      <c r="BO156" s="16">
        <f t="shared" si="7"/>
        <v>2240</v>
      </c>
    </row>
    <row r="157" spans="1:67" x14ac:dyDescent="0.3">
      <c r="A157" s="15" t="s">
        <v>65</v>
      </c>
      <c r="B157" s="5" t="s">
        <v>316</v>
      </c>
      <c r="C157" s="5">
        <v>426259</v>
      </c>
      <c r="D157" s="6"/>
      <c r="E157" s="5" t="s">
        <v>16</v>
      </c>
      <c r="F157" s="5" t="s">
        <v>57</v>
      </c>
      <c r="G157" s="5" t="s">
        <v>31</v>
      </c>
      <c r="H157" s="7" t="s">
        <v>64</v>
      </c>
      <c r="I157" s="7" t="s">
        <v>220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1</v>
      </c>
      <c r="AL157" s="7">
        <v>3136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940.8</v>
      </c>
      <c r="BM157" s="11">
        <v>3136</v>
      </c>
      <c r="BN157" s="16">
        <f t="shared" si="6"/>
        <v>2195.1999999999998</v>
      </c>
      <c r="BO157" s="16">
        <f t="shared" si="7"/>
        <v>1536.6399999999999</v>
      </c>
    </row>
    <row r="158" spans="1:67" x14ac:dyDescent="0.3">
      <c r="A158" s="15" t="s">
        <v>65</v>
      </c>
      <c r="B158" s="5" t="s">
        <v>317</v>
      </c>
      <c r="C158" s="5">
        <v>473531</v>
      </c>
      <c r="D158" s="6"/>
      <c r="E158" s="5" t="s">
        <v>16</v>
      </c>
      <c r="F158" s="5" t="s">
        <v>318</v>
      </c>
      <c r="G158" s="5" t="s">
        <v>31</v>
      </c>
      <c r="H158" s="7" t="s">
        <v>64</v>
      </c>
      <c r="I158" s="7" t="s">
        <v>319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1</v>
      </c>
      <c r="AF158" s="7">
        <v>3000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11">
        <v>3000</v>
      </c>
      <c r="BN158" s="16">
        <f t="shared" si="6"/>
        <v>3000</v>
      </c>
      <c r="BO158" s="16">
        <f t="shared" si="7"/>
        <v>2100</v>
      </c>
    </row>
    <row r="159" spans="1:67" x14ac:dyDescent="0.3">
      <c r="A159" s="15" t="s">
        <v>65</v>
      </c>
      <c r="B159" s="5" t="s">
        <v>320</v>
      </c>
      <c r="C159" s="5">
        <v>431802</v>
      </c>
      <c r="D159" s="6"/>
      <c r="E159" s="5" t="s">
        <v>16</v>
      </c>
      <c r="F159" s="5" t="s">
        <v>57</v>
      </c>
      <c r="G159" s="5" t="s">
        <v>31</v>
      </c>
      <c r="H159" s="7" t="s">
        <v>64</v>
      </c>
      <c r="I159" s="7" t="s">
        <v>321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1</v>
      </c>
      <c r="BD159" s="7">
        <v>2880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172.8</v>
      </c>
      <c r="BM159" s="11">
        <v>2880</v>
      </c>
      <c r="BN159" s="16">
        <f t="shared" si="6"/>
        <v>2707.2</v>
      </c>
      <c r="BO159" s="16">
        <f t="shared" si="7"/>
        <v>1895.0399999999997</v>
      </c>
    </row>
    <row r="160" spans="1:67" x14ac:dyDescent="0.3">
      <c r="A160" s="15" t="s">
        <v>65</v>
      </c>
      <c r="B160" s="5" t="s">
        <v>322</v>
      </c>
      <c r="C160" s="5">
        <v>331654</v>
      </c>
      <c r="D160" s="6"/>
      <c r="E160" s="5" t="s">
        <v>16</v>
      </c>
      <c r="F160" s="5" t="s">
        <v>250</v>
      </c>
      <c r="G160" s="5" t="s">
        <v>31</v>
      </c>
      <c r="H160" s="7" t="s">
        <v>64</v>
      </c>
      <c r="I160" s="7" t="s">
        <v>315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</v>
      </c>
      <c r="AF160" s="7">
        <v>2800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11">
        <v>2800</v>
      </c>
      <c r="BN160" s="16">
        <f t="shared" si="6"/>
        <v>2800</v>
      </c>
      <c r="BO160" s="16">
        <f t="shared" si="7"/>
        <v>1959.9999999999998</v>
      </c>
    </row>
    <row r="161" spans="1:67" x14ac:dyDescent="0.3">
      <c r="A161" s="15" t="s">
        <v>65</v>
      </c>
      <c r="B161" s="5" t="s">
        <v>215</v>
      </c>
      <c r="C161" s="5">
        <v>414124</v>
      </c>
      <c r="D161" s="6"/>
      <c r="E161" s="5" t="s">
        <v>16</v>
      </c>
      <c r="F161" s="5" t="s">
        <v>38</v>
      </c>
      <c r="G161" s="5" t="s">
        <v>31</v>
      </c>
      <c r="H161" s="7" t="s">
        <v>64</v>
      </c>
      <c r="I161" s="7" t="s">
        <v>173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1</v>
      </c>
      <c r="AF161" s="7">
        <v>0</v>
      </c>
      <c r="AG161" s="7">
        <v>500</v>
      </c>
      <c r="AH161" s="7">
        <v>0</v>
      </c>
      <c r="AI161" s="7">
        <v>0</v>
      </c>
      <c r="AJ161" s="7">
        <v>0</v>
      </c>
      <c r="AK161" s="7">
        <v>1</v>
      </c>
      <c r="AL161" s="7">
        <v>0</v>
      </c>
      <c r="AM161" s="7">
        <v>2000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11">
        <v>2500</v>
      </c>
      <c r="BN161" s="16">
        <f t="shared" si="6"/>
        <v>2500</v>
      </c>
      <c r="BO161" s="16">
        <f t="shared" si="7"/>
        <v>1750</v>
      </c>
    </row>
    <row r="162" spans="1:67" ht="19.5" x14ac:dyDescent="0.3">
      <c r="A162" s="15" t="s">
        <v>65</v>
      </c>
      <c r="B162" s="5" t="s">
        <v>323</v>
      </c>
      <c r="C162" s="5">
        <v>397381</v>
      </c>
      <c r="D162" s="6"/>
      <c r="E162" s="5" t="s">
        <v>16</v>
      </c>
      <c r="F162" s="5" t="s">
        <v>298</v>
      </c>
      <c r="G162" s="5" t="s">
        <v>31</v>
      </c>
      <c r="H162" s="7" t="s">
        <v>64</v>
      </c>
      <c r="I162" s="7" t="s">
        <v>232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2</v>
      </c>
      <c r="AF162" s="7">
        <v>2000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11">
        <v>2000</v>
      </c>
      <c r="BN162" s="16">
        <f t="shared" si="6"/>
        <v>2000</v>
      </c>
      <c r="BO162" s="16">
        <f t="shared" si="7"/>
        <v>1400</v>
      </c>
    </row>
    <row r="163" spans="1:67" x14ac:dyDescent="0.3">
      <c r="A163" s="15" t="s">
        <v>65</v>
      </c>
      <c r="B163" s="5" t="s">
        <v>324</v>
      </c>
      <c r="C163" s="5">
        <v>441791</v>
      </c>
      <c r="D163" s="6"/>
      <c r="E163" s="5" t="s">
        <v>16</v>
      </c>
      <c r="F163" s="5" t="s">
        <v>46</v>
      </c>
      <c r="G163" s="5" t="s">
        <v>31</v>
      </c>
      <c r="H163" s="7" t="s">
        <v>64</v>
      </c>
      <c r="I163" s="7" t="s">
        <v>222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1</v>
      </c>
      <c r="AF163" s="7">
        <v>1000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1</v>
      </c>
      <c r="AR163" s="7">
        <v>1000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11">
        <v>2000</v>
      </c>
      <c r="BN163" s="16">
        <f t="shared" si="6"/>
        <v>2000</v>
      </c>
      <c r="BO163" s="16">
        <f t="shared" si="7"/>
        <v>1400</v>
      </c>
    </row>
    <row r="164" spans="1:67" x14ac:dyDescent="0.3">
      <c r="A164" s="15" t="s">
        <v>65</v>
      </c>
      <c r="B164" s="5" t="s">
        <v>56</v>
      </c>
      <c r="C164" s="5">
        <v>383229</v>
      </c>
      <c r="D164" s="6"/>
      <c r="E164" s="5" t="s">
        <v>16</v>
      </c>
      <c r="F164" s="5" t="s">
        <v>57</v>
      </c>
      <c r="G164" s="5" t="s">
        <v>31</v>
      </c>
      <c r="H164" s="7" t="s">
        <v>8</v>
      </c>
      <c r="I164" s="7" t="s">
        <v>58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1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13</v>
      </c>
      <c r="AF164" s="7">
        <v>1300</v>
      </c>
      <c r="AG164" s="7">
        <v>0</v>
      </c>
      <c r="AH164" s="7">
        <v>0</v>
      </c>
      <c r="AI164" s="7">
        <v>0</v>
      </c>
      <c r="AJ164" s="7">
        <v>0</v>
      </c>
      <c r="AK164" s="7">
        <v>3</v>
      </c>
      <c r="AL164" s="7">
        <v>360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2</v>
      </c>
      <c r="BD164" s="7">
        <v>240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122.4</v>
      </c>
      <c r="BM164" s="11">
        <v>1900</v>
      </c>
      <c r="BN164" s="16">
        <f t="shared" si="6"/>
        <v>1777.6</v>
      </c>
      <c r="BO164" s="16">
        <f t="shared" si="7"/>
        <v>1244.32</v>
      </c>
    </row>
    <row r="165" spans="1:67" x14ac:dyDescent="0.3">
      <c r="A165" s="15" t="s">
        <v>65</v>
      </c>
      <c r="B165" s="5" t="s">
        <v>195</v>
      </c>
      <c r="C165" s="5">
        <v>483178</v>
      </c>
      <c r="D165" s="6"/>
      <c r="E165" s="5" t="s">
        <v>16</v>
      </c>
      <c r="F165" s="5" t="s">
        <v>38</v>
      </c>
      <c r="G165" s="5" t="s">
        <v>31</v>
      </c>
      <c r="H165" s="7" t="s">
        <v>64</v>
      </c>
      <c r="I165" s="7" t="s">
        <v>164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4</v>
      </c>
      <c r="AF165" s="7">
        <v>1200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1</v>
      </c>
      <c r="AX165" s="7">
        <v>360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36</v>
      </c>
      <c r="BM165" s="11">
        <v>1560</v>
      </c>
      <c r="BN165" s="16">
        <f t="shared" si="6"/>
        <v>1524</v>
      </c>
      <c r="BO165" s="16">
        <f t="shared" si="7"/>
        <v>1066.8</v>
      </c>
    </row>
    <row r="166" spans="1:67" x14ac:dyDescent="0.3">
      <c r="A166" s="15" t="s">
        <v>65</v>
      </c>
      <c r="B166" s="5" t="s">
        <v>66</v>
      </c>
      <c r="C166" s="5">
        <v>472512</v>
      </c>
      <c r="D166" s="6"/>
      <c r="E166" s="5" t="s">
        <v>16</v>
      </c>
      <c r="F166" s="5" t="s">
        <v>36</v>
      </c>
      <c r="G166" s="5" t="s">
        <v>11</v>
      </c>
      <c r="H166" s="7" t="s">
        <v>7</v>
      </c>
      <c r="I166" s="7" t="s">
        <v>223</v>
      </c>
      <c r="J166" s="7">
        <v>0</v>
      </c>
      <c r="K166" s="7">
        <v>1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10</v>
      </c>
      <c r="AF166" s="7">
        <v>900</v>
      </c>
      <c r="AG166" s="7">
        <v>100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2</v>
      </c>
      <c r="BD166" s="7">
        <v>240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14.4</v>
      </c>
      <c r="BM166" s="11">
        <v>1240</v>
      </c>
      <c r="BN166" s="16">
        <f t="shared" si="6"/>
        <v>1225.5999999999999</v>
      </c>
      <c r="BO166" s="16">
        <f t="shared" si="7"/>
        <v>857.91999999999985</v>
      </c>
    </row>
    <row r="167" spans="1:67" x14ac:dyDescent="0.3">
      <c r="A167" s="15" t="s">
        <v>65</v>
      </c>
      <c r="B167" s="5" t="s">
        <v>216</v>
      </c>
      <c r="C167" s="5">
        <v>462657</v>
      </c>
      <c r="D167" s="6"/>
      <c r="E167" s="5" t="s">
        <v>16</v>
      </c>
      <c r="F167" s="5" t="s">
        <v>63</v>
      </c>
      <c r="G167" s="5" t="s">
        <v>31</v>
      </c>
      <c r="H167" s="7" t="s">
        <v>64</v>
      </c>
      <c r="I167" s="7" t="s">
        <v>70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1</v>
      </c>
      <c r="AF167" s="7">
        <v>1000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11">
        <v>1000</v>
      </c>
      <c r="BN167" s="16">
        <f t="shared" si="6"/>
        <v>1000</v>
      </c>
      <c r="BO167" s="16">
        <f t="shared" si="7"/>
        <v>700</v>
      </c>
    </row>
    <row r="168" spans="1:67" x14ac:dyDescent="0.3">
      <c r="A168" s="15" t="s">
        <v>65</v>
      </c>
      <c r="B168" s="5" t="s">
        <v>325</v>
      </c>
      <c r="C168" s="5">
        <v>446882</v>
      </c>
      <c r="D168" s="6"/>
      <c r="E168" s="5" t="s">
        <v>16</v>
      </c>
      <c r="F168" s="5" t="s">
        <v>63</v>
      </c>
      <c r="G168" s="5" t="s">
        <v>31</v>
      </c>
      <c r="H168" s="7" t="s">
        <v>64</v>
      </c>
      <c r="I168" s="7" t="s">
        <v>82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</v>
      </c>
      <c r="AF168" s="7">
        <v>1000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11">
        <v>1000</v>
      </c>
      <c r="BN168" s="16">
        <f t="shared" si="6"/>
        <v>1000</v>
      </c>
      <c r="BO168" s="16">
        <f t="shared" si="7"/>
        <v>700</v>
      </c>
    </row>
    <row r="169" spans="1:67" x14ac:dyDescent="0.3">
      <c r="A169" s="15" t="s">
        <v>65</v>
      </c>
      <c r="B169" s="5" t="s">
        <v>165</v>
      </c>
      <c r="C169" s="5">
        <v>482098</v>
      </c>
      <c r="D169" s="6"/>
      <c r="E169" s="5" t="s">
        <v>16</v>
      </c>
      <c r="F169" s="5" t="s">
        <v>38</v>
      </c>
      <c r="G169" s="5" t="s">
        <v>76</v>
      </c>
      <c r="H169" s="7" t="s">
        <v>8</v>
      </c>
      <c r="I169" s="7" t="s">
        <v>222</v>
      </c>
      <c r="J169" s="7">
        <v>0</v>
      </c>
      <c r="K169" s="7">
        <v>2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7</v>
      </c>
      <c r="AF169" s="7">
        <v>700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11">
        <v>700</v>
      </c>
      <c r="BN169" s="16">
        <f t="shared" si="6"/>
        <v>700</v>
      </c>
      <c r="BO169" s="16">
        <f t="shared" si="7"/>
        <v>489.99999999999994</v>
      </c>
    </row>
    <row r="170" spans="1:67" ht="19.5" x14ac:dyDescent="0.3">
      <c r="A170" s="15" t="s">
        <v>342</v>
      </c>
      <c r="B170" s="5" t="s">
        <v>326</v>
      </c>
      <c r="C170" s="5">
        <v>397393</v>
      </c>
      <c r="D170" s="6"/>
      <c r="E170" s="5" t="s">
        <v>16</v>
      </c>
      <c r="F170" s="5" t="s">
        <v>57</v>
      </c>
      <c r="G170" s="5" t="s">
        <v>31</v>
      </c>
      <c r="H170" s="7" t="s">
        <v>64</v>
      </c>
      <c r="I170" s="7" t="s">
        <v>327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1</v>
      </c>
      <c r="AL170" s="7">
        <v>336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1</v>
      </c>
      <c r="BD170" s="7">
        <v>360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122.4</v>
      </c>
      <c r="BM170" s="11">
        <v>696</v>
      </c>
      <c r="BN170" s="16">
        <f t="shared" si="6"/>
        <v>573.6</v>
      </c>
      <c r="BO170" s="16">
        <f t="shared" si="7"/>
        <v>401.52</v>
      </c>
    </row>
    <row r="171" spans="1:67" x14ac:dyDescent="0.3">
      <c r="A171" s="15" t="s">
        <v>342</v>
      </c>
      <c r="B171" s="5" t="s">
        <v>39</v>
      </c>
      <c r="C171" s="5">
        <v>321812</v>
      </c>
      <c r="D171" s="6"/>
      <c r="E171" s="5" t="s">
        <v>16</v>
      </c>
      <c r="F171" s="5" t="s">
        <v>28</v>
      </c>
      <c r="G171" s="5" t="s">
        <v>11</v>
      </c>
      <c r="H171" s="7" t="s">
        <v>7</v>
      </c>
      <c r="I171" s="7" t="s">
        <v>40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3</v>
      </c>
      <c r="AF171" s="7">
        <v>300</v>
      </c>
      <c r="AG171" s="7">
        <v>0</v>
      </c>
      <c r="AH171" s="7">
        <v>0</v>
      </c>
      <c r="AI171" s="7">
        <v>0</v>
      </c>
      <c r="AJ171" s="7">
        <v>0</v>
      </c>
      <c r="AK171" s="7">
        <v>2</v>
      </c>
      <c r="AL171" s="7">
        <v>120</v>
      </c>
      <c r="AM171" s="7">
        <v>100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1</v>
      </c>
      <c r="BD171" s="7">
        <v>120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43.2</v>
      </c>
      <c r="BM171" s="11">
        <v>640</v>
      </c>
      <c r="BN171" s="16">
        <f t="shared" si="6"/>
        <v>596.79999999999995</v>
      </c>
      <c r="BO171" s="16">
        <f t="shared" si="7"/>
        <v>417.75999999999993</v>
      </c>
    </row>
    <row r="172" spans="1:67" x14ac:dyDescent="0.3">
      <c r="A172" s="15" t="s">
        <v>343</v>
      </c>
      <c r="B172" s="5" t="s">
        <v>219</v>
      </c>
      <c r="C172" s="5">
        <v>426261</v>
      </c>
      <c r="D172" s="6"/>
      <c r="E172" s="5" t="s">
        <v>16</v>
      </c>
      <c r="F172" s="5" t="s">
        <v>57</v>
      </c>
      <c r="G172" s="5" t="s">
        <v>31</v>
      </c>
      <c r="H172" s="7" t="s">
        <v>64</v>
      </c>
      <c r="I172" s="7" t="s">
        <v>220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1</v>
      </c>
      <c r="AL172" s="7">
        <v>560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168</v>
      </c>
      <c r="BM172" s="11">
        <v>560</v>
      </c>
      <c r="BN172" s="16">
        <f t="shared" si="6"/>
        <v>392</v>
      </c>
      <c r="BO172" s="16">
        <f t="shared" si="7"/>
        <v>274.39999999999998</v>
      </c>
    </row>
    <row r="173" spans="1:67" x14ac:dyDescent="0.3">
      <c r="A173" s="15" t="s">
        <v>343</v>
      </c>
      <c r="B173" s="5" t="s">
        <v>33</v>
      </c>
      <c r="C173" s="5">
        <v>178856</v>
      </c>
      <c r="D173" s="6"/>
      <c r="E173" s="5" t="s">
        <v>16</v>
      </c>
      <c r="F173" s="5" t="s">
        <v>28</v>
      </c>
      <c r="G173" s="5" t="s">
        <v>11</v>
      </c>
      <c r="H173" s="7" t="s">
        <v>10</v>
      </c>
      <c r="I173" s="7" t="s">
        <v>34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5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4</v>
      </c>
      <c r="AF173" s="7">
        <v>300</v>
      </c>
      <c r="AG173" s="7">
        <v>100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1</v>
      </c>
      <c r="BD173" s="7">
        <v>120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7.2</v>
      </c>
      <c r="BM173" s="11">
        <v>520</v>
      </c>
      <c r="BN173" s="16">
        <f t="shared" si="6"/>
        <v>512.79999999999995</v>
      </c>
      <c r="BO173" s="16">
        <f t="shared" si="7"/>
        <v>358.95999999999992</v>
      </c>
    </row>
    <row r="174" spans="1:67" x14ac:dyDescent="0.3">
      <c r="A174" s="15" t="s">
        <v>343</v>
      </c>
      <c r="B174" s="5" t="s">
        <v>328</v>
      </c>
      <c r="C174" s="5">
        <v>383236</v>
      </c>
      <c r="D174" s="6"/>
      <c r="E174" s="5" t="s">
        <v>16</v>
      </c>
      <c r="F174" s="5" t="s">
        <v>57</v>
      </c>
      <c r="G174" s="5" t="s">
        <v>31</v>
      </c>
      <c r="H174" s="7" t="s">
        <v>64</v>
      </c>
      <c r="I174" s="7" t="s">
        <v>58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1</v>
      </c>
      <c r="AL174" s="7">
        <v>448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134.4</v>
      </c>
      <c r="BM174" s="11">
        <v>448</v>
      </c>
      <c r="BN174" s="16">
        <f t="shared" si="6"/>
        <v>313.60000000000002</v>
      </c>
      <c r="BO174" s="16">
        <f t="shared" si="7"/>
        <v>219.52</v>
      </c>
    </row>
    <row r="175" spans="1:67" x14ac:dyDescent="0.3">
      <c r="A175" s="15" t="s">
        <v>343</v>
      </c>
      <c r="B175" s="5" t="s">
        <v>188</v>
      </c>
      <c r="C175" s="5">
        <v>483179</v>
      </c>
      <c r="D175" s="6"/>
      <c r="E175" s="5" t="s">
        <v>16</v>
      </c>
      <c r="F175" s="5" t="s">
        <v>161</v>
      </c>
      <c r="G175" s="5" t="s">
        <v>31</v>
      </c>
      <c r="H175" s="7" t="s">
        <v>8</v>
      </c>
      <c r="I175" s="7" t="s">
        <v>189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4</v>
      </c>
      <c r="AF175" s="7">
        <v>300</v>
      </c>
      <c r="AG175" s="7">
        <v>100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11">
        <v>400</v>
      </c>
      <c r="BN175" s="16">
        <f t="shared" si="6"/>
        <v>400</v>
      </c>
      <c r="BO175" s="16">
        <f t="shared" si="7"/>
        <v>280</v>
      </c>
    </row>
    <row r="176" spans="1:67" x14ac:dyDescent="0.3">
      <c r="A176" s="15" t="s">
        <v>343</v>
      </c>
      <c r="B176" s="5" t="s">
        <v>329</v>
      </c>
      <c r="C176" s="5">
        <v>467500</v>
      </c>
      <c r="D176" s="6"/>
      <c r="E176" s="5" t="s">
        <v>16</v>
      </c>
      <c r="F176" s="5" t="s">
        <v>330</v>
      </c>
      <c r="G176" s="5" t="s">
        <v>31</v>
      </c>
      <c r="H176" s="7" t="s">
        <v>8</v>
      </c>
      <c r="I176" s="7" t="s">
        <v>21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1</v>
      </c>
      <c r="AL176" s="7">
        <v>360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108</v>
      </c>
      <c r="BM176" s="11">
        <v>360</v>
      </c>
      <c r="BN176" s="16">
        <f t="shared" si="6"/>
        <v>252</v>
      </c>
      <c r="BO176" s="16">
        <f t="shared" si="7"/>
        <v>176.39999999999998</v>
      </c>
    </row>
    <row r="177" spans="1:67" x14ac:dyDescent="0.3">
      <c r="A177" s="15" t="s">
        <v>343</v>
      </c>
      <c r="B177" s="5" t="s">
        <v>241</v>
      </c>
      <c r="C177" s="5">
        <v>483173</v>
      </c>
      <c r="D177" s="6"/>
      <c r="E177" s="5" t="s">
        <v>16</v>
      </c>
      <c r="F177" s="5" t="s">
        <v>242</v>
      </c>
      <c r="G177" s="5" t="s">
        <v>76</v>
      </c>
      <c r="H177" s="7" t="s">
        <v>8</v>
      </c>
      <c r="I177" s="7" t="s">
        <v>243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1</v>
      </c>
      <c r="AF177" s="7">
        <v>100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1</v>
      </c>
      <c r="AX177" s="7">
        <v>120</v>
      </c>
      <c r="AY177" s="7">
        <v>0</v>
      </c>
      <c r="AZ177" s="7">
        <v>0</v>
      </c>
      <c r="BA177" s="7">
        <v>0</v>
      </c>
      <c r="BB177" s="7">
        <v>0</v>
      </c>
      <c r="BC177" s="7">
        <v>1</v>
      </c>
      <c r="BD177" s="7">
        <v>120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19.2</v>
      </c>
      <c r="BM177" s="11">
        <v>340</v>
      </c>
      <c r="BN177" s="16">
        <f t="shared" si="6"/>
        <v>320.8</v>
      </c>
      <c r="BO177" s="16">
        <f t="shared" si="7"/>
        <v>224.56</v>
      </c>
    </row>
    <row r="178" spans="1:67" x14ac:dyDescent="0.3">
      <c r="A178" s="15" t="s">
        <v>342</v>
      </c>
      <c r="B178" s="5" t="s">
        <v>331</v>
      </c>
      <c r="C178" s="5">
        <v>331655</v>
      </c>
      <c r="D178" s="6"/>
      <c r="E178" s="5" t="s">
        <v>16</v>
      </c>
      <c r="F178" s="5" t="s">
        <v>250</v>
      </c>
      <c r="G178" s="5" t="s">
        <v>31</v>
      </c>
      <c r="H178" s="7" t="s">
        <v>64</v>
      </c>
      <c r="I178" s="7" t="s">
        <v>315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1</v>
      </c>
      <c r="AF178" s="7">
        <v>300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11">
        <v>300</v>
      </c>
      <c r="BN178" s="16">
        <f t="shared" si="6"/>
        <v>300</v>
      </c>
      <c r="BO178" s="16">
        <f t="shared" si="7"/>
        <v>210</v>
      </c>
    </row>
    <row r="179" spans="1:67" x14ac:dyDescent="0.3">
      <c r="A179" s="15" t="s">
        <v>343</v>
      </c>
      <c r="B179" s="5" t="s">
        <v>332</v>
      </c>
      <c r="C179" s="5">
        <v>469072</v>
      </c>
      <c r="D179" s="6"/>
      <c r="E179" s="5" t="s">
        <v>16</v>
      </c>
      <c r="F179" s="5" t="s">
        <v>211</v>
      </c>
      <c r="G179" s="5" t="s">
        <v>31</v>
      </c>
      <c r="H179" s="7" t="s">
        <v>8</v>
      </c>
      <c r="I179" s="7" t="s">
        <v>333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3</v>
      </c>
      <c r="AF179" s="7">
        <v>200</v>
      </c>
      <c r="AG179" s="7">
        <v>100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11">
        <v>300</v>
      </c>
      <c r="BN179" s="16">
        <f t="shared" si="6"/>
        <v>300</v>
      </c>
      <c r="BO179" s="16">
        <f t="shared" si="7"/>
        <v>210</v>
      </c>
    </row>
    <row r="180" spans="1:67" x14ac:dyDescent="0.3">
      <c r="A180" s="15" t="s">
        <v>342</v>
      </c>
      <c r="B180" s="5" t="s">
        <v>334</v>
      </c>
      <c r="C180" s="5">
        <v>426280</v>
      </c>
      <c r="D180" s="6"/>
      <c r="E180" s="5" t="s">
        <v>16</v>
      </c>
      <c r="F180" s="5" t="s">
        <v>314</v>
      </c>
      <c r="G180" s="5" t="s">
        <v>31</v>
      </c>
      <c r="H180" s="7" t="s">
        <v>64</v>
      </c>
      <c r="I180" s="7" t="s">
        <v>315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1</v>
      </c>
      <c r="AF180" s="7">
        <v>300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11">
        <v>300</v>
      </c>
      <c r="BN180" s="16">
        <f t="shared" si="6"/>
        <v>300</v>
      </c>
      <c r="BO180" s="16">
        <f t="shared" si="7"/>
        <v>210</v>
      </c>
    </row>
    <row r="181" spans="1:67" x14ac:dyDescent="0.3">
      <c r="A181" s="15" t="s">
        <v>343</v>
      </c>
      <c r="B181" s="5" t="s">
        <v>15</v>
      </c>
      <c r="C181" s="5">
        <v>465248</v>
      </c>
      <c r="D181" s="6"/>
      <c r="E181" s="5" t="s">
        <v>16</v>
      </c>
      <c r="F181" s="5" t="s">
        <v>17</v>
      </c>
      <c r="G181" s="5" t="s">
        <v>76</v>
      </c>
      <c r="H181" s="7" t="s">
        <v>10</v>
      </c>
      <c r="I181" s="7" t="s">
        <v>18</v>
      </c>
      <c r="J181" s="7">
        <v>0</v>
      </c>
      <c r="K181" s="7">
        <v>2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2</v>
      </c>
      <c r="AF181" s="7">
        <v>200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11">
        <v>200</v>
      </c>
      <c r="BN181" s="16">
        <f t="shared" si="6"/>
        <v>200</v>
      </c>
      <c r="BO181" s="16">
        <f t="shared" si="7"/>
        <v>140</v>
      </c>
    </row>
    <row r="182" spans="1:67" x14ac:dyDescent="0.3">
      <c r="A182" s="15" t="s">
        <v>343</v>
      </c>
      <c r="B182" s="5" t="s">
        <v>35</v>
      </c>
      <c r="C182" s="5">
        <v>454534</v>
      </c>
      <c r="D182" s="6"/>
      <c r="E182" s="5" t="s">
        <v>16</v>
      </c>
      <c r="F182" s="5" t="s">
        <v>36</v>
      </c>
      <c r="G182" s="5" t="s">
        <v>11</v>
      </c>
      <c r="H182" s="7" t="s">
        <v>7</v>
      </c>
      <c r="I182" s="7" t="s">
        <v>144</v>
      </c>
      <c r="J182" s="7">
        <v>0</v>
      </c>
      <c r="K182" s="7">
        <v>1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2</v>
      </c>
      <c r="AR182" s="7">
        <v>200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11">
        <v>200</v>
      </c>
      <c r="BN182" s="16">
        <f t="shared" si="6"/>
        <v>200</v>
      </c>
      <c r="BO182" s="16">
        <f t="shared" si="7"/>
        <v>140</v>
      </c>
    </row>
    <row r="183" spans="1:67" x14ac:dyDescent="0.3">
      <c r="A183" s="15" t="s">
        <v>344</v>
      </c>
      <c r="B183" s="5" t="s">
        <v>228</v>
      </c>
      <c r="C183" s="5">
        <v>484142</v>
      </c>
      <c r="D183" s="6"/>
      <c r="E183" s="5" t="s">
        <v>16</v>
      </c>
      <c r="F183" s="5" t="s">
        <v>229</v>
      </c>
      <c r="G183" s="5" t="s">
        <v>76</v>
      </c>
      <c r="H183" s="7" t="s">
        <v>8</v>
      </c>
      <c r="I183" s="7" t="s">
        <v>198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1</v>
      </c>
      <c r="BD183" s="7">
        <v>120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7.2</v>
      </c>
      <c r="BM183" s="11">
        <v>120</v>
      </c>
      <c r="BN183" s="16">
        <f t="shared" si="6"/>
        <v>112.8</v>
      </c>
      <c r="BO183" s="16">
        <f t="shared" si="7"/>
        <v>78.959999999999994</v>
      </c>
    </row>
    <row r="184" spans="1:67" x14ac:dyDescent="0.3">
      <c r="A184" s="15" t="s">
        <v>343</v>
      </c>
      <c r="B184" s="5" t="s">
        <v>19</v>
      </c>
      <c r="C184" s="5">
        <v>463799</v>
      </c>
      <c r="D184" s="6"/>
      <c r="E184" s="5" t="s">
        <v>16</v>
      </c>
      <c r="F184" s="5" t="s">
        <v>20</v>
      </c>
      <c r="G184" s="5" t="s">
        <v>11</v>
      </c>
      <c r="H184" s="7" t="s">
        <v>7</v>
      </c>
      <c r="I184" s="7" t="s">
        <v>21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1</v>
      </c>
      <c r="BD184" s="7">
        <v>120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7.2</v>
      </c>
      <c r="BM184" s="11">
        <v>120</v>
      </c>
      <c r="BN184" s="16">
        <f t="shared" si="6"/>
        <v>112.8</v>
      </c>
      <c r="BO184" s="16">
        <f t="shared" si="7"/>
        <v>78.959999999999994</v>
      </c>
    </row>
    <row r="185" spans="1:67" x14ac:dyDescent="0.3">
      <c r="A185" s="15" t="s">
        <v>342</v>
      </c>
      <c r="B185" s="5" t="s">
        <v>335</v>
      </c>
      <c r="C185" s="5">
        <v>391008</v>
      </c>
      <c r="D185" s="6"/>
      <c r="E185" s="5" t="s">
        <v>16</v>
      </c>
      <c r="F185" s="5" t="s">
        <v>217</v>
      </c>
      <c r="G185" s="5" t="s">
        <v>31</v>
      </c>
      <c r="H185" s="7" t="s">
        <v>8</v>
      </c>
      <c r="I185" s="7" t="s">
        <v>336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1</v>
      </c>
      <c r="BD185" s="7">
        <v>120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7.2</v>
      </c>
      <c r="BM185" s="11">
        <v>120</v>
      </c>
      <c r="BN185" s="16">
        <f t="shared" si="6"/>
        <v>112.8</v>
      </c>
      <c r="BO185" s="16">
        <f t="shared" si="7"/>
        <v>78.959999999999994</v>
      </c>
    </row>
    <row r="186" spans="1:67" x14ac:dyDescent="0.3">
      <c r="A186" s="15" t="s">
        <v>343</v>
      </c>
      <c r="B186" s="5" t="s">
        <v>261</v>
      </c>
      <c r="C186" s="5">
        <v>384107</v>
      </c>
      <c r="D186" s="6"/>
      <c r="E186" s="5" t="s">
        <v>16</v>
      </c>
      <c r="F186" s="5" t="s">
        <v>262</v>
      </c>
      <c r="G186" s="5" t="s">
        <v>31</v>
      </c>
      <c r="H186" s="7" t="s">
        <v>64</v>
      </c>
      <c r="I186" s="7" t="s">
        <v>263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1</v>
      </c>
      <c r="AF186" s="7">
        <v>100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11">
        <v>100</v>
      </c>
      <c r="BN186" s="16">
        <f t="shared" si="6"/>
        <v>100</v>
      </c>
      <c r="BO186" s="16">
        <f t="shared" si="7"/>
        <v>70</v>
      </c>
    </row>
    <row r="187" spans="1:67" x14ac:dyDescent="0.3">
      <c r="A187" s="15" t="s">
        <v>343</v>
      </c>
      <c r="B187" s="5" t="s">
        <v>337</v>
      </c>
      <c r="C187" s="5">
        <v>389960</v>
      </c>
      <c r="D187" s="6"/>
      <c r="E187" s="5" t="s">
        <v>16</v>
      </c>
      <c r="F187" s="5" t="s">
        <v>338</v>
      </c>
      <c r="G187" s="5" t="s">
        <v>76</v>
      </c>
      <c r="H187" s="7" t="s">
        <v>10</v>
      </c>
      <c r="I187" s="7" t="s">
        <v>339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1</v>
      </c>
      <c r="AF187" s="7">
        <v>100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11">
        <v>100</v>
      </c>
      <c r="BN187" s="16">
        <f t="shared" si="6"/>
        <v>100</v>
      </c>
      <c r="BO187" s="16">
        <f t="shared" si="7"/>
        <v>70</v>
      </c>
    </row>
    <row r="188" spans="1:67" x14ac:dyDescent="0.3">
      <c r="A188" s="15" t="s">
        <v>343</v>
      </c>
      <c r="B188" s="5" t="s">
        <v>41</v>
      </c>
      <c r="C188" s="5">
        <v>412919</v>
      </c>
      <c r="D188" s="6"/>
      <c r="E188" s="5" t="s">
        <v>16</v>
      </c>
      <c r="F188" s="5" t="s">
        <v>42</v>
      </c>
      <c r="G188" s="5" t="s">
        <v>31</v>
      </c>
      <c r="H188" s="7" t="s">
        <v>8</v>
      </c>
      <c r="I188" s="7" t="s">
        <v>43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1</v>
      </c>
      <c r="AF188" s="7">
        <v>100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11">
        <v>100</v>
      </c>
      <c r="BN188" s="16">
        <f t="shared" si="6"/>
        <v>100</v>
      </c>
      <c r="BO188" s="16">
        <f t="shared" si="7"/>
        <v>70</v>
      </c>
    </row>
    <row r="189" spans="1:67" x14ac:dyDescent="0.3">
      <c r="A189" s="15" t="s">
        <v>343</v>
      </c>
      <c r="B189" s="5" t="s">
        <v>340</v>
      </c>
      <c r="C189" s="5">
        <v>400251</v>
      </c>
      <c r="D189" s="6"/>
      <c r="E189" s="5" t="s">
        <v>16</v>
      </c>
      <c r="F189" s="5" t="s">
        <v>38</v>
      </c>
      <c r="G189" s="5" t="s">
        <v>31</v>
      </c>
      <c r="H189" s="7" t="s">
        <v>8</v>
      </c>
      <c r="I189" s="7" t="s">
        <v>341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1</v>
      </c>
      <c r="AF189" s="7">
        <v>100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11">
        <v>100</v>
      </c>
      <c r="BN189" s="16">
        <f t="shared" si="6"/>
        <v>100</v>
      </c>
      <c r="BO189" s="16">
        <f t="shared" si="7"/>
        <v>70</v>
      </c>
    </row>
    <row r="190" spans="1:67" x14ac:dyDescent="0.3">
      <c r="A190" s="15" t="s">
        <v>343</v>
      </c>
      <c r="B190" s="5" t="s">
        <v>193</v>
      </c>
      <c r="C190" s="5">
        <v>478744</v>
      </c>
      <c r="D190" s="6"/>
      <c r="E190" s="5" t="s">
        <v>16</v>
      </c>
      <c r="F190" s="5" t="s">
        <v>194</v>
      </c>
      <c r="G190" s="5" t="s">
        <v>11</v>
      </c>
      <c r="H190" s="7" t="s">
        <v>7</v>
      </c>
      <c r="I190" s="7" t="s">
        <v>244</v>
      </c>
      <c r="J190" s="7">
        <v>0</v>
      </c>
      <c r="K190" s="7">
        <v>30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11">
        <v>0</v>
      </c>
      <c r="BN190" s="16">
        <f t="shared" si="6"/>
        <v>0</v>
      </c>
      <c r="BO190" s="16">
        <f t="shared" si="7"/>
        <v>0</v>
      </c>
    </row>
    <row r="191" spans="1:67" x14ac:dyDescent="0.3">
      <c r="A191" s="15" t="s">
        <v>343</v>
      </c>
      <c r="B191" s="5" t="s">
        <v>77</v>
      </c>
      <c r="C191" s="5">
        <v>476035</v>
      </c>
      <c r="D191" s="6"/>
      <c r="E191" s="5" t="s">
        <v>16</v>
      </c>
      <c r="F191" s="5" t="s">
        <v>78</v>
      </c>
      <c r="G191" s="5" t="s">
        <v>76</v>
      </c>
      <c r="H191" s="7" t="s">
        <v>10</v>
      </c>
      <c r="I191" s="7" t="s">
        <v>72</v>
      </c>
      <c r="J191" s="7">
        <v>0</v>
      </c>
      <c r="K191" s="7">
        <v>1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11">
        <v>0</v>
      </c>
      <c r="BN191" s="16">
        <f t="shared" si="6"/>
        <v>0</v>
      </c>
      <c r="BO191" s="16">
        <f t="shared" si="7"/>
        <v>0</v>
      </c>
    </row>
    <row r="192" spans="1:67" x14ac:dyDescent="0.3">
      <c r="BO192" s="16">
        <f>SUM(BO2:BO191)</f>
        <v>1190062.2999999996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2022-11-02T02:45:43Z</dcterms:modified>
</cp:coreProperties>
</file>