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네이버\"/>
    </mc:Choice>
  </mc:AlternateContent>
  <bookViews>
    <workbookView xWindow="0" yWindow="0" windowWidth="23040" windowHeight="8955" tabRatio="766"/>
  </bookViews>
  <sheets>
    <sheet name="합계(10)" sheetId="412" r:id="rId1"/>
  </sheets>
  <definedNames>
    <definedName name="_xlnm._FilterDatabase" localSheetId="0" hidden="1">'합계(10)'!$A$1:$AM$1</definedName>
    <definedName name="_xlnm.Extract" localSheetId="0">'합계(10)'!#REF!</definedName>
  </definedNames>
  <calcPr calcId="152511"/>
</workbook>
</file>

<file path=xl/calcChain.xml><?xml version="1.0" encoding="utf-8"?>
<calcChain xmlns="http://schemas.openxmlformats.org/spreadsheetml/2006/main">
  <c r="BO30" i="412" l="1"/>
  <c r="BO15" i="412"/>
  <c r="BO16" i="412"/>
  <c r="BO17" i="412"/>
  <c r="BO18" i="412"/>
  <c r="BO19" i="412"/>
  <c r="BO20" i="412"/>
  <c r="BO21" i="412"/>
  <c r="BO22" i="412"/>
  <c r="BO23" i="412"/>
  <c r="BO24" i="412"/>
  <c r="BO25" i="412"/>
  <c r="BO26" i="412"/>
  <c r="BO27" i="412"/>
  <c r="BO28" i="412"/>
  <c r="BN26" i="412"/>
  <c r="BN27" i="412"/>
  <c r="BN28" i="412"/>
  <c r="BN20" i="412"/>
  <c r="BN21" i="412"/>
  <c r="BN22" i="412"/>
  <c r="BN23" i="412"/>
  <c r="BN24" i="412"/>
  <c r="BN25" i="412"/>
  <c r="BN15" i="412"/>
  <c r="BN16" i="412"/>
  <c r="BN17" i="412"/>
  <c r="BN18" i="412"/>
  <c r="BN19" i="412"/>
  <c r="BN29" i="412" l="1"/>
  <c r="BO29" i="412"/>
  <c r="BN6" i="412" l="1"/>
  <c r="BN5" i="412"/>
  <c r="BN4" i="412"/>
  <c r="BN3" i="412"/>
  <c r="BO3" i="412" s="1"/>
  <c r="BN2" i="412"/>
  <c r="BN10" i="412" l="1"/>
  <c r="BO10" i="412" s="1"/>
  <c r="BN11" i="412"/>
  <c r="BO11" i="412" s="1"/>
  <c r="BN12" i="412"/>
  <c r="BO12" i="412" s="1"/>
  <c r="BN13" i="412"/>
  <c r="BO13" i="412" s="1"/>
  <c r="BN14" i="412"/>
  <c r="BO14" i="412" s="1"/>
  <c r="BO4" i="412" l="1"/>
  <c r="BO5" i="412"/>
  <c r="BO6" i="412"/>
  <c r="BN7" i="412"/>
  <c r="BO7" i="412" s="1"/>
  <c r="BN8" i="412"/>
  <c r="BO8" i="412" s="1"/>
  <c r="BN9" i="412"/>
  <c r="BO9" i="412" s="1"/>
  <c r="BO2" i="412" l="1"/>
</calcChain>
</file>

<file path=xl/sharedStrings.xml><?xml version="1.0" encoding="utf-8"?>
<sst xmlns="http://schemas.openxmlformats.org/spreadsheetml/2006/main" count="265" uniqueCount="124">
  <si>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</si>
  <si>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</si>
  <si>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</si>
  <si>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</si>
  <si>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</si>
  <si>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</si>
  <si>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</si>
  <si>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</si>
  <si>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</si>
  <si>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12세 이상 이용가능</t>
  </si>
  <si>
    <t>합계</t>
  </si>
  <si>
    <t>앱마켓수수료</t>
  </si>
  <si>
    <t>N스토어(PC)</t>
    <phoneticPr fontId="20" type="noConversion"/>
  </si>
  <si>
    <t>PC 뷰어(PC)</t>
    <phoneticPr fontId="20" type="noConversion"/>
  </si>
  <si>
    <t>N스토어(MW)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</si>
  <si>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</si>
  <si>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</si>
  <si>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</si>
  <si>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</si>
  <si>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</si>
  <si>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</si>
  <si>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</si>
  <si>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</si>
  <si>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</si>
  <si>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</si>
  <si>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</si>
  <si>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</si>
  <si>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</si>
  <si>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</si>
  <si>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</si>
  <si>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</si>
  <si>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</si>
  <si>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</si>
  <si>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</si>
  <si>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</si>
  <si>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</si>
  <si>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</si>
  <si>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</si>
  <si>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</si>
  <si>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</si>
  <si>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</si>
  <si>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</si>
  <si>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</si>
  <si>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</si>
  <si>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</si>
  <si>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</si>
  <si>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</si>
  <si>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</si>
  <si>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</si>
  <si>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</si>
  <si>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</si>
  <si>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</si>
  <si>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</si>
  <si>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</si>
  <si>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</si>
  <si>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</si>
  <si>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</si>
  <si>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</si>
  <si>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</si>
  <si>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</si>
  <si>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</si>
  <si>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</si>
  <si>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</si>
  <si>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</si>
  <si>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</si>
  <si>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</si>
  <si>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</si>
  <si>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</si>
  <si>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</si>
  <si>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</si>
  <si>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</si>
  <si>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</si>
  <si>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</si>
  <si>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2022.09.02</t>
  </si>
  <si>
    <t>커피여우 김삼월</t>
  </si>
  <si>
    <t>스토리위즈_만화</t>
  </si>
  <si>
    <t>A.Noa, RK Studio</t>
  </si>
  <si>
    <t>스토리위즈</t>
  </si>
  <si>
    <t>별빛 아래 우리</t>
  </si>
  <si>
    <t>건일</t>
  </si>
  <si>
    <t>악역이지만, 남주는 꼬시지 않아요</t>
  </si>
  <si>
    <t>kuri</t>
  </si>
  <si>
    <t>가출천사 육성계약</t>
  </si>
  <si>
    <t>Bae.C, 조우</t>
  </si>
  <si>
    <t>계약연애, 오늘부터 1일</t>
  </si>
  <si>
    <t>원기공장</t>
  </si>
  <si>
    <t>2019.03.11</t>
  </si>
  <si>
    <t>공주전쟁</t>
  </si>
  <si>
    <t>Luojie</t>
  </si>
  <si>
    <t>2020.04.01</t>
  </si>
  <si>
    <t>2020.07.13</t>
  </si>
  <si>
    <t>개천고 세계편</t>
  </si>
  <si>
    <t>채준</t>
  </si>
  <si>
    <t>2022.05.02</t>
  </si>
  <si>
    <t>N스토어(PC)</t>
    <phoneticPr fontId="20" type="noConversion"/>
  </si>
  <si>
    <t>웹티,올코</t>
  </si>
  <si>
    <t>예쁜 남자 잘생긴 여자</t>
  </si>
  <si>
    <t>2020.08.24</t>
  </si>
  <si>
    <t>윤's 커피</t>
  </si>
  <si>
    <t>올코,세븐영</t>
  </si>
  <si>
    <t>2022.09.21</t>
  </si>
  <si>
    <t>출판사</t>
    <phoneticPr fontId="20" type="noConversion"/>
  </si>
  <si>
    <t>작가 CP</t>
    <phoneticPr fontId="20" type="noConversion"/>
  </si>
  <si>
    <t>이세계 소환은 두 번째라구요</t>
  </si>
  <si>
    <t>Arashiyama</t>
  </si>
  <si>
    <t>2021.07.23</t>
  </si>
  <si>
    <t>2022.10.27</t>
  </si>
  <si>
    <t>2022.11.02</t>
  </si>
  <si>
    <t>천년의 사랑</t>
  </si>
  <si>
    <t>원색동만</t>
  </si>
  <si>
    <t>2019.10.05</t>
  </si>
  <si>
    <t>옹주의 호위무사</t>
  </si>
  <si>
    <t>수국</t>
  </si>
  <si>
    <t>2022.10.17</t>
  </si>
  <si>
    <t>그남자의 사랑방식 [BL]</t>
  </si>
  <si>
    <t>2020.02.01</t>
  </si>
  <si>
    <t>사랑을 찾아서</t>
  </si>
  <si>
    <t>웹툰TV</t>
  </si>
  <si>
    <t>일월성신</t>
  </si>
  <si>
    <t>이름표</t>
  </si>
  <si>
    <t>2022.10.31</t>
  </si>
  <si>
    <t>2022.10.28</t>
  </si>
  <si>
    <t>내 남편의 스토커</t>
  </si>
  <si>
    <t>혜원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</si>
</sst>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2" fillId="0" borderId="0" xfId="42" applyFont="1">
      <alignment vertical="center"/>
    </xf>
    <xf numFmtId="41" fontId="22" fillId="0" borderId="0" xfId="42" applyFont="1" applyFill="1">
      <alignment vertical="center"/>
    </xf>
    <xf numFmtId="41" fontId="23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389"/>
  <sheetViews>
    <sheetView tabSelected="1" zoomScaleNormal="100" workbookViewId="0"/>
  </sheetViews>
  <sheetFormatPr defaultRowHeight="16.5" x14ac:dyDescent="0.3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bestFit="1" customWidth="1"/>
    <col min="66" max="66" width="13.5" style="13" bestFit="1" customWidth="1"/>
    <col min="67" max="67" width="13.375" style="13" customWidth="1"/>
  </cols>
  <sheetData>
    <row r="1" spans="1:69" ht="27" customHeight="1" x14ac:dyDescent="0.3">
      <c r="A1" s="2" t="s">
        <v>15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16</v>
      </c>
      <c r="I1" s="14" t="s">
        <v>6</v>
      </c>
      <c r="J1" s="12" t="s">
        <v>17</v>
      </c>
      <c r="K1" s="12" t="s">
        <v>18</v>
      </c>
      <c r="L1" s="12" t="s">
        <v>19</v>
      </c>
      <c r="M1" s="12" t="s">
        <v>20</v>
      </c>
      <c r="N1" s="12" t="s">
        <v>21</v>
      </c>
      <c r="O1" s="12" t="s">
        <v>22</v>
      </c>
      <c r="P1" s="12" t="s">
        <v>23</v>
      </c>
      <c r="Q1" s="12" t="s">
        <v>24</v>
      </c>
      <c r="R1" s="12" t="s">
        <v>25</v>
      </c>
      <c r="S1" s="12" t="s">
        <v>26</v>
      </c>
      <c r="T1" s="12" t="s">
        <v>27</v>
      </c>
      <c r="U1" s="12" t="s">
        <v>28</v>
      </c>
      <c r="V1" s="12" t="s">
        <v>29</v>
      </c>
      <c r="W1" s="12" t="s">
        <v>30</v>
      </c>
      <c r="X1" s="12" t="s">
        <v>31</v>
      </c>
      <c r="Y1" s="12" t="s">
        <v>32</v>
      </c>
      <c r="Z1" s="12" t="s">
        <v>33</v>
      </c>
      <c r="AA1" s="12" t="s">
        <v>34</v>
      </c>
      <c r="AB1" s="12" t="s">
        <v>35</v>
      </c>
      <c r="AC1" s="12" t="s">
        <v>36</v>
      </c>
      <c r="AD1" s="12" t="s">
        <v>37</v>
      </c>
      <c r="AE1" s="12" t="s">
        <v>38</v>
      </c>
      <c r="AF1" s="12" t="s">
        <v>39</v>
      </c>
      <c r="AG1" s="12" t="s">
        <v>40</v>
      </c>
      <c r="AH1" s="12" t="s">
        <v>41</v>
      </c>
      <c r="AI1" s="12" t="s">
        <v>42</v>
      </c>
      <c r="AJ1" s="12" t="s">
        <v>43</v>
      </c>
      <c r="AK1" s="12" t="s">
        <v>44</v>
      </c>
      <c r="AL1" s="12" t="s">
        <v>45</v>
      </c>
      <c r="AM1" s="12" t="s">
        <v>46</v>
      </c>
      <c r="AN1" s="12" t="s">
        <v>47</v>
      </c>
      <c r="AO1" s="12" t="s">
        <v>48</v>
      </c>
      <c r="AP1" s="12" t="s">
        <v>49</v>
      </c>
      <c r="AQ1" s="12" t="s">
        <v>50</v>
      </c>
      <c r="AR1" s="12" t="s">
        <v>51</v>
      </c>
      <c r="AS1" s="12" t="s">
        <v>52</v>
      </c>
      <c r="AT1" s="12" t="s">
        <v>53</v>
      </c>
      <c r="AU1" s="12" t="s">
        <v>54</v>
      </c>
      <c r="AV1" s="12" t="s">
        <v>55</v>
      </c>
      <c r="AW1" s="12" t="s">
        <v>56</v>
      </c>
      <c r="AX1" s="12" t="s">
        <v>57</v>
      </c>
      <c r="AY1" s="12" t="s">
        <v>58</v>
      </c>
      <c r="AZ1" s="12" t="s">
        <v>59</v>
      </c>
      <c r="BA1" s="12" t="s">
        <v>60</v>
      </c>
      <c r="BB1" s="12" t="s">
        <v>61</v>
      </c>
      <c r="BC1" s="12" t="s">
        <v>62</v>
      </c>
      <c r="BD1" s="12" t="s">
        <v>63</v>
      </c>
      <c r="BE1" s="12" t="s">
        <v>64</v>
      </c>
      <c r="BF1" s="12" t="s">
        <v>65</v>
      </c>
      <c r="BG1" s="12" t="s">
        <v>66</v>
      </c>
      <c r="BH1" s="12" t="s">
        <v>67</v>
      </c>
      <c r="BI1" s="12" t="s">
        <v>68</v>
      </c>
      <c r="BJ1" s="12" t="s">
        <v>69</v>
      </c>
      <c r="BK1" s="12" t="s">
        <v>70</v>
      </c>
      <c r="BL1" s="12" t="s">
        <v>11</v>
      </c>
      <c r="BM1" s="12" t="s">
        <v>10</v>
      </c>
      <c r="BN1" s="12" t="s">
        <v>71</v>
      </c>
      <c r="BO1" s="12" t="s">
        <v>72</v>
      </c>
      <c r="BP1" s="12" t="s">
        <v>101</v>
      </c>
      <c r="BQ1" s="12" t="s">
        <v>102</v>
      </c>
    </row>
    <row r="2" spans="1:69" x14ac:dyDescent="0.3">
      <c r="A2" s="5" t="s">
        <v>12</v>
      </c>
      <c r="B2" s="5" t="s">
        <v>91</v>
      </c>
      <c r="C2" s="5">
        <v>467630</v>
      </c>
      <c r="D2" s="6"/>
      <c r="E2" s="5" t="s">
        <v>75</v>
      </c>
      <c r="F2" s="5" t="s">
        <v>92</v>
      </c>
      <c r="G2" s="5" t="s">
        <v>77</v>
      </c>
      <c r="H2" s="7" t="s">
        <v>8</v>
      </c>
      <c r="I2" s="7" t="s">
        <v>93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11</v>
      </c>
      <c r="AF2" s="8">
        <v>4400</v>
      </c>
      <c r="AG2" s="8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10">
        <v>4400</v>
      </c>
      <c r="BN2" s="15">
        <f>BM2-BL2</f>
        <v>4400</v>
      </c>
      <c r="BO2" s="16">
        <f t="shared" ref="BO2:BO9" si="0">BN2*70%</f>
        <v>3080</v>
      </c>
    </row>
    <row r="3" spans="1:69" x14ac:dyDescent="0.3">
      <c r="A3" s="5" t="s">
        <v>94</v>
      </c>
      <c r="B3" s="5" t="s">
        <v>103</v>
      </c>
      <c r="C3" s="5">
        <v>419155</v>
      </c>
      <c r="D3" s="6"/>
      <c r="E3" s="5" t="s">
        <v>75</v>
      </c>
      <c r="F3" s="5" t="s">
        <v>104</v>
      </c>
      <c r="G3" s="5" t="s">
        <v>77</v>
      </c>
      <c r="H3" s="7" t="s">
        <v>7</v>
      </c>
      <c r="I3" s="7" t="s">
        <v>105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3</v>
      </c>
      <c r="AC3" s="7">
        <v>900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10">
        <v>900</v>
      </c>
      <c r="BN3" s="15">
        <f>BM3-BL3</f>
        <v>900</v>
      </c>
      <c r="BO3" s="16">
        <f>BN3*70%</f>
        <v>630</v>
      </c>
    </row>
    <row r="4" spans="1:69" x14ac:dyDescent="0.3">
      <c r="A4" s="5" t="s">
        <v>12</v>
      </c>
      <c r="B4" s="5" t="s">
        <v>78</v>
      </c>
      <c r="C4" s="5">
        <v>435954</v>
      </c>
      <c r="D4" s="6"/>
      <c r="E4" s="5" t="s">
        <v>75</v>
      </c>
      <c r="F4" s="5" t="s">
        <v>79</v>
      </c>
      <c r="G4" s="5" t="s">
        <v>77</v>
      </c>
      <c r="H4" s="7" t="s">
        <v>7</v>
      </c>
      <c r="I4" s="7" t="s">
        <v>106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3</v>
      </c>
      <c r="AO4" s="7">
        <v>600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11">
        <v>600</v>
      </c>
      <c r="BN4" s="15">
        <f>BM4-BL4</f>
        <v>600</v>
      </c>
      <c r="BO4" s="16">
        <f t="shared" si="0"/>
        <v>420</v>
      </c>
    </row>
    <row r="5" spans="1:69" x14ac:dyDescent="0.3">
      <c r="A5" s="5" t="s">
        <v>12</v>
      </c>
      <c r="B5" s="5" t="s">
        <v>74</v>
      </c>
      <c r="C5" s="5">
        <v>464964</v>
      </c>
      <c r="D5" s="6"/>
      <c r="E5" s="5" t="s">
        <v>75</v>
      </c>
      <c r="F5" s="5" t="s">
        <v>76</v>
      </c>
      <c r="G5" s="5" t="s">
        <v>77</v>
      </c>
      <c r="H5" s="7" t="s">
        <v>7</v>
      </c>
      <c r="I5" s="7" t="s">
        <v>107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1</v>
      </c>
      <c r="AF5" s="7">
        <v>500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11">
        <v>500</v>
      </c>
      <c r="BN5" s="15">
        <f>BM5-BL5</f>
        <v>500</v>
      </c>
      <c r="BO5" s="16">
        <f t="shared" si="0"/>
        <v>350</v>
      </c>
    </row>
    <row r="6" spans="1:69" x14ac:dyDescent="0.3">
      <c r="A6" s="5" t="s">
        <v>12</v>
      </c>
      <c r="B6" s="5" t="s">
        <v>108</v>
      </c>
      <c r="C6" s="5">
        <v>330938</v>
      </c>
      <c r="D6" s="6"/>
      <c r="E6" s="5" t="s">
        <v>75</v>
      </c>
      <c r="F6" s="5" t="s">
        <v>109</v>
      </c>
      <c r="G6" s="5" t="s">
        <v>77</v>
      </c>
      <c r="H6" s="7" t="s">
        <v>7</v>
      </c>
      <c r="I6" s="7" t="s">
        <v>110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2</v>
      </c>
      <c r="AC6" s="7">
        <v>400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11">
        <v>400</v>
      </c>
      <c r="BN6" s="15">
        <f>BM6-BL6</f>
        <v>400</v>
      </c>
      <c r="BO6" s="16">
        <f t="shared" si="0"/>
        <v>280</v>
      </c>
    </row>
    <row r="7" spans="1:69" x14ac:dyDescent="0.3">
      <c r="A7" s="5" t="s">
        <v>12</v>
      </c>
      <c r="B7" s="5" t="s">
        <v>111</v>
      </c>
      <c r="C7" s="5">
        <v>484291</v>
      </c>
      <c r="D7" s="6"/>
      <c r="E7" s="5" t="s">
        <v>75</v>
      </c>
      <c r="F7" s="5" t="s">
        <v>112</v>
      </c>
      <c r="G7" s="5" t="s">
        <v>77</v>
      </c>
      <c r="H7" s="7" t="s">
        <v>7</v>
      </c>
      <c r="I7" s="7" t="s">
        <v>113</v>
      </c>
      <c r="J7" s="7">
        <v>0</v>
      </c>
      <c r="K7" s="7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1</v>
      </c>
      <c r="AO7" s="7">
        <v>200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11">
        <v>200</v>
      </c>
      <c r="BN7" s="15">
        <f t="shared" ref="BN7:BN9" si="1">BM7-BL7</f>
        <v>200</v>
      </c>
      <c r="BO7" s="16">
        <f t="shared" si="0"/>
        <v>140</v>
      </c>
    </row>
    <row r="8" spans="1:69" x14ac:dyDescent="0.3">
      <c r="A8" s="5" t="s">
        <v>12</v>
      </c>
      <c r="B8" s="5" t="s">
        <v>114</v>
      </c>
      <c r="C8" s="5">
        <v>336507</v>
      </c>
      <c r="D8" s="6"/>
      <c r="E8" s="5" t="s">
        <v>75</v>
      </c>
      <c r="F8" s="5" t="s">
        <v>109</v>
      </c>
      <c r="G8" s="5" t="s">
        <v>77</v>
      </c>
      <c r="H8" s="7" t="s">
        <v>8</v>
      </c>
      <c r="I8" s="7" t="s">
        <v>115</v>
      </c>
      <c r="J8" s="7">
        <v>1</v>
      </c>
      <c r="K8" s="7">
        <v>0</v>
      </c>
      <c r="L8" s="7">
        <v>200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11">
        <v>200</v>
      </c>
      <c r="BN8" s="15">
        <f t="shared" si="1"/>
        <v>200</v>
      </c>
      <c r="BO8" s="16">
        <f t="shared" si="0"/>
        <v>140</v>
      </c>
    </row>
    <row r="9" spans="1:69" x14ac:dyDescent="0.3">
      <c r="A9" s="5" t="s">
        <v>12</v>
      </c>
      <c r="B9" s="5" t="s">
        <v>82</v>
      </c>
      <c r="C9" s="5">
        <v>465463</v>
      </c>
      <c r="D9" s="6"/>
      <c r="E9" s="5" t="s">
        <v>75</v>
      </c>
      <c r="F9" s="5" t="s">
        <v>83</v>
      </c>
      <c r="G9" s="5" t="s">
        <v>77</v>
      </c>
      <c r="H9" s="7" t="s">
        <v>9</v>
      </c>
      <c r="I9" s="7" t="s">
        <v>100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1</v>
      </c>
      <c r="AO9" s="7">
        <v>200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11">
        <v>200</v>
      </c>
      <c r="BN9" s="15">
        <f t="shared" si="1"/>
        <v>200</v>
      </c>
      <c r="BO9" s="16">
        <f t="shared" si="0"/>
        <v>140</v>
      </c>
    </row>
    <row r="10" spans="1:69" x14ac:dyDescent="0.3">
      <c r="A10" s="5" t="s">
        <v>12</v>
      </c>
      <c r="B10" s="5" t="s">
        <v>116</v>
      </c>
      <c r="C10" s="5">
        <v>393567</v>
      </c>
      <c r="D10" s="6"/>
      <c r="E10" s="5" t="s">
        <v>75</v>
      </c>
      <c r="F10" s="5" t="s">
        <v>117</v>
      </c>
      <c r="G10" s="5" t="s">
        <v>77</v>
      </c>
      <c r="H10" s="7" t="s">
        <v>8</v>
      </c>
      <c r="I10" s="7" t="s">
        <v>89</v>
      </c>
      <c r="J10" s="7">
        <v>0</v>
      </c>
      <c r="K10" s="7">
        <v>5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8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10">
        <v>0</v>
      </c>
      <c r="BN10" s="15">
        <f t="shared" ref="BN10:BN28" si="2">BM10-BL10</f>
        <v>0</v>
      </c>
      <c r="BO10" s="16">
        <f t="shared" ref="BO10:BO28" si="3">BN10*70%</f>
        <v>0</v>
      </c>
    </row>
    <row r="11" spans="1:69" x14ac:dyDescent="0.3">
      <c r="A11" s="5" t="s">
        <v>12</v>
      </c>
      <c r="B11" s="5" t="s">
        <v>98</v>
      </c>
      <c r="C11" s="5">
        <v>393552</v>
      </c>
      <c r="D11" s="6"/>
      <c r="E11" s="5" t="s">
        <v>75</v>
      </c>
      <c r="F11" s="5" t="s">
        <v>99</v>
      </c>
      <c r="G11" s="5" t="s">
        <v>77</v>
      </c>
      <c r="H11" s="7" t="s">
        <v>7</v>
      </c>
      <c r="I11" s="7" t="s">
        <v>89</v>
      </c>
      <c r="J11" s="7">
        <v>0</v>
      </c>
      <c r="K11" s="7">
        <v>1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8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10">
        <v>0</v>
      </c>
      <c r="BN11" s="15">
        <f t="shared" si="2"/>
        <v>0</v>
      </c>
      <c r="BO11" s="16">
        <f t="shared" si="3"/>
        <v>0</v>
      </c>
    </row>
    <row r="12" spans="1:69" x14ac:dyDescent="0.3">
      <c r="A12" s="5" t="s">
        <v>12</v>
      </c>
      <c r="B12" s="5" t="s">
        <v>118</v>
      </c>
      <c r="C12" s="5">
        <v>483807</v>
      </c>
      <c r="D12" s="6"/>
      <c r="E12" s="5" t="s">
        <v>75</v>
      </c>
      <c r="F12" s="5" t="s">
        <v>119</v>
      </c>
      <c r="G12" s="5" t="s">
        <v>77</v>
      </c>
      <c r="H12" s="7" t="s">
        <v>7</v>
      </c>
      <c r="I12" s="7" t="s">
        <v>120</v>
      </c>
      <c r="J12" s="7">
        <v>0</v>
      </c>
      <c r="K12" s="7">
        <v>20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11">
        <v>0</v>
      </c>
      <c r="BN12" s="15">
        <f t="shared" si="2"/>
        <v>0</v>
      </c>
      <c r="BO12" s="16">
        <f t="shared" si="3"/>
        <v>0</v>
      </c>
    </row>
    <row r="13" spans="1:69" x14ac:dyDescent="0.3">
      <c r="A13" s="5" t="s">
        <v>13</v>
      </c>
      <c r="B13" s="5" t="s">
        <v>82</v>
      </c>
      <c r="C13" s="5">
        <v>465463</v>
      </c>
      <c r="D13" s="6"/>
      <c r="E13" s="5" t="s">
        <v>75</v>
      </c>
      <c r="F13" s="5" t="s">
        <v>83</v>
      </c>
      <c r="G13" s="5" t="s">
        <v>77</v>
      </c>
      <c r="H13" s="7" t="s">
        <v>9</v>
      </c>
      <c r="I13" s="7" t="s">
        <v>100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10</v>
      </c>
      <c r="AF13" s="7">
        <v>700</v>
      </c>
      <c r="AG13" s="7">
        <v>2800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51</v>
      </c>
      <c r="AO13" s="7">
        <v>9700</v>
      </c>
      <c r="AP13" s="7">
        <v>500</v>
      </c>
      <c r="AQ13" s="7">
        <v>13</v>
      </c>
      <c r="AR13" s="7">
        <v>4300</v>
      </c>
      <c r="AS13" s="7">
        <v>600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11">
        <v>18600</v>
      </c>
      <c r="BN13" s="15">
        <f t="shared" si="2"/>
        <v>18600</v>
      </c>
      <c r="BO13" s="16">
        <f t="shared" si="3"/>
        <v>13020</v>
      </c>
    </row>
    <row r="14" spans="1:69" x14ac:dyDescent="0.3">
      <c r="A14" s="5" t="s">
        <v>13</v>
      </c>
      <c r="B14" s="5" t="s">
        <v>111</v>
      </c>
      <c r="C14" s="5">
        <v>484291</v>
      </c>
      <c r="D14" s="6"/>
      <c r="E14" s="5" t="s">
        <v>75</v>
      </c>
      <c r="F14" s="5" t="s">
        <v>112</v>
      </c>
      <c r="G14" s="5" t="s">
        <v>77</v>
      </c>
      <c r="H14" s="7" t="s">
        <v>7</v>
      </c>
      <c r="I14" s="7" t="s">
        <v>113</v>
      </c>
      <c r="J14" s="7">
        <v>0</v>
      </c>
      <c r="K14" s="7">
        <v>1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51</v>
      </c>
      <c r="AC14" s="7">
        <v>10200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1</v>
      </c>
      <c r="AO14" s="7">
        <v>200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11">
        <v>10400</v>
      </c>
      <c r="BN14" s="15">
        <f t="shared" si="2"/>
        <v>10400</v>
      </c>
      <c r="BO14" s="16">
        <f t="shared" si="3"/>
        <v>7279.9999999999991</v>
      </c>
    </row>
    <row r="15" spans="1:69" x14ac:dyDescent="0.3">
      <c r="A15" s="5" t="s">
        <v>13</v>
      </c>
      <c r="B15" s="5" t="s">
        <v>118</v>
      </c>
      <c r="C15" s="5">
        <v>483807</v>
      </c>
      <c r="D15" s="6"/>
      <c r="E15" s="5" t="s">
        <v>75</v>
      </c>
      <c r="F15" s="5" t="s">
        <v>119</v>
      </c>
      <c r="G15" s="5" t="s">
        <v>77</v>
      </c>
      <c r="H15" s="7" t="s">
        <v>7</v>
      </c>
      <c r="I15" s="7" t="s">
        <v>120</v>
      </c>
      <c r="J15" s="7">
        <v>0</v>
      </c>
      <c r="K15" s="7">
        <v>4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27</v>
      </c>
      <c r="AC15" s="7">
        <v>5400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14</v>
      </c>
      <c r="AO15" s="7">
        <v>2800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11">
        <v>8200</v>
      </c>
      <c r="BN15" s="15">
        <f t="shared" si="2"/>
        <v>8200</v>
      </c>
      <c r="BO15" s="16">
        <f t="shared" si="3"/>
        <v>5740</v>
      </c>
    </row>
    <row r="16" spans="1:69" x14ac:dyDescent="0.3">
      <c r="A16" s="5" t="s">
        <v>13</v>
      </c>
      <c r="B16" s="5" t="s">
        <v>80</v>
      </c>
      <c r="C16" s="5">
        <v>465461</v>
      </c>
      <c r="D16" s="6"/>
      <c r="E16" s="5" t="s">
        <v>75</v>
      </c>
      <c r="F16" s="5" t="s">
        <v>81</v>
      </c>
      <c r="G16" s="5" t="s">
        <v>77</v>
      </c>
      <c r="H16" s="7" t="s">
        <v>7</v>
      </c>
      <c r="I16" s="7" t="s">
        <v>121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4</v>
      </c>
      <c r="AC16" s="7">
        <v>800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11">
        <v>800</v>
      </c>
      <c r="BN16" s="15">
        <f t="shared" si="2"/>
        <v>800</v>
      </c>
      <c r="BO16" s="16">
        <f t="shared" si="3"/>
        <v>560</v>
      </c>
    </row>
    <row r="17" spans="1:67" x14ac:dyDescent="0.3">
      <c r="A17" s="5" t="s">
        <v>13</v>
      </c>
      <c r="B17" s="5" t="s">
        <v>74</v>
      </c>
      <c r="C17" s="5">
        <v>464964</v>
      </c>
      <c r="D17" s="6"/>
      <c r="E17" s="5" t="s">
        <v>75</v>
      </c>
      <c r="F17" s="5" t="s">
        <v>76</v>
      </c>
      <c r="G17" s="5" t="s">
        <v>77</v>
      </c>
      <c r="H17" s="7" t="s">
        <v>7</v>
      </c>
      <c r="I17" s="7" t="s">
        <v>107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1</v>
      </c>
      <c r="AF17" s="7">
        <v>500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1">
        <v>500</v>
      </c>
      <c r="BN17" s="15">
        <f t="shared" si="2"/>
        <v>500</v>
      </c>
      <c r="BO17" s="16">
        <f t="shared" si="3"/>
        <v>350</v>
      </c>
    </row>
    <row r="18" spans="1:67" x14ac:dyDescent="0.3">
      <c r="A18" s="5" t="s">
        <v>13</v>
      </c>
      <c r="B18" s="5" t="s">
        <v>78</v>
      </c>
      <c r="C18" s="5">
        <v>435954</v>
      </c>
      <c r="D18" s="6"/>
      <c r="E18" s="5" t="s">
        <v>75</v>
      </c>
      <c r="F18" s="5" t="s">
        <v>79</v>
      </c>
      <c r="G18" s="5" t="s">
        <v>77</v>
      </c>
      <c r="H18" s="7" t="s">
        <v>7</v>
      </c>
      <c r="I18" s="7" t="s">
        <v>106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2</v>
      </c>
      <c r="AO18" s="7">
        <v>400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11">
        <v>400</v>
      </c>
      <c r="BN18" s="15">
        <f t="shared" si="2"/>
        <v>400</v>
      </c>
      <c r="BO18" s="16">
        <f t="shared" si="3"/>
        <v>280</v>
      </c>
    </row>
    <row r="19" spans="1:67" x14ac:dyDescent="0.3">
      <c r="A19" s="5" t="s">
        <v>13</v>
      </c>
      <c r="B19" s="5" t="s">
        <v>87</v>
      </c>
      <c r="C19" s="5">
        <v>423525</v>
      </c>
      <c r="D19" s="6"/>
      <c r="E19" s="5" t="s">
        <v>75</v>
      </c>
      <c r="F19" s="5" t="s">
        <v>88</v>
      </c>
      <c r="G19" s="5" t="s">
        <v>77</v>
      </c>
      <c r="H19" s="7" t="s">
        <v>7</v>
      </c>
      <c r="I19" s="7" t="s">
        <v>73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2</v>
      </c>
      <c r="AC19" s="7">
        <v>400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11">
        <v>400</v>
      </c>
      <c r="BN19" s="15">
        <f t="shared" si="2"/>
        <v>400</v>
      </c>
      <c r="BO19" s="16">
        <f t="shared" si="3"/>
        <v>280</v>
      </c>
    </row>
    <row r="20" spans="1:67" x14ac:dyDescent="0.3">
      <c r="A20" s="5" t="s">
        <v>13</v>
      </c>
      <c r="B20" s="5" t="s">
        <v>116</v>
      </c>
      <c r="C20" s="5">
        <v>393567</v>
      </c>
      <c r="D20" s="6"/>
      <c r="E20" s="5" t="s">
        <v>75</v>
      </c>
      <c r="F20" s="5" t="s">
        <v>117</v>
      </c>
      <c r="G20" s="5" t="s">
        <v>77</v>
      </c>
      <c r="H20" s="7" t="s">
        <v>8</v>
      </c>
      <c r="I20" s="7" t="s">
        <v>89</v>
      </c>
      <c r="J20" s="7">
        <v>0</v>
      </c>
      <c r="K20" s="7">
        <v>2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8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8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10">
        <v>0</v>
      </c>
      <c r="BN20" s="15">
        <f t="shared" si="2"/>
        <v>0</v>
      </c>
      <c r="BO20" s="16">
        <f t="shared" si="3"/>
        <v>0</v>
      </c>
    </row>
    <row r="21" spans="1:67" x14ac:dyDescent="0.3">
      <c r="A21" s="5" t="s">
        <v>13</v>
      </c>
      <c r="B21" s="5" t="s">
        <v>98</v>
      </c>
      <c r="C21" s="5">
        <v>393552</v>
      </c>
      <c r="D21" s="6"/>
      <c r="E21" s="5" t="s">
        <v>75</v>
      </c>
      <c r="F21" s="5" t="s">
        <v>99</v>
      </c>
      <c r="G21" s="5" t="s">
        <v>77</v>
      </c>
      <c r="H21" s="7" t="s">
        <v>7</v>
      </c>
      <c r="I21" s="7" t="s">
        <v>89</v>
      </c>
      <c r="J21" s="7">
        <v>0</v>
      </c>
      <c r="K21" s="7">
        <v>3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10">
        <v>0</v>
      </c>
      <c r="BN21" s="15">
        <f t="shared" si="2"/>
        <v>0</v>
      </c>
      <c r="BO21" s="16">
        <f t="shared" si="3"/>
        <v>0</v>
      </c>
    </row>
    <row r="22" spans="1:67" x14ac:dyDescent="0.3">
      <c r="A22" s="5" t="s">
        <v>14</v>
      </c>
      <c r="B22" s="5" t="s">
        <v>78</v>
      </c>
      <c r="C22" s="5">
        <v>435954</v>
      </c>
      <c r="D22" s="6"/>
      <c r="E22" s="5" t="s">
        <v>75</v>
      </c>
      <c r="F22" s="5" t="s">
        <v>79</v>
      </c>
      <c r="G22" s="5" t="s">
        <v>77</v>
      </c>
      <c r="H22" s="7" t="s">
        <v>7</v>
      </c>
      <c r="I22" s="7" t="s">
        <v>106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7</v>
      </c>
      <c r="AC22" s="7">
        <v>1000</v>
      </c>
      <c r="AD22" s="7">
        <v>400</v>
      </c>
      <c r="AE22" s="7">
        <v>2</v>
      </c>
      <c r="AF22" s="7">
        <v>400</v>
      </c>
      <c r="AG22" s="7">
        <v>400</v>
      </c>
      <c r="AH22" s="7">
        <v>1</v>
      </c>
      <c r="AI22" s="7">
        <v>240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2</v>
      </c>
      <c r="BA22" s="7">
        <v>480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100.8</v>
      </c>
      <c r="BM22" s="11">
        <v>2920</v>
      </c>
      <c r="BN22" s="15">
        <f t="shared" si="2"/>
        <v>2819.2</v>
      </c>
      <c r="BO22" s="16">
        <f t="shared" si="3"/>
        <v>1973.4399999999998</v>
      </c>
    </row>
    <row r="23" spans="1:67" x14ac:dyDescent="0.3">
      <c r="A23" s="5" t="s">
        <v>14</v>
      </c>
      <c r="B23" s="5" t="s">
        <v>80</v>
      </c>
      <c r="C23" s="5">
        <v>465461</v>
      </c>
      <c r="D23" s="6"/>
      <c r="E23" s="5" t="s">
        <v>75</v>
      </c>
      <c r="F23" s="5" t="s">
        <v>81</v>
      </c>
      <c r="G23" s="5" t="s">
        <v>77</v>
      </c>
      <c r="H23" s="7" t="s">
        <v>7</v>
      </c>
      <c r="I23" s="7" t="s">
        <v>121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3</v>
      </c>
      <c r="AC23" s="7">
        <v>400</v>
      </c>
      <c r="AD23" s="7">
        <v>200</v>
      </c>
      <c r="AE23" s="7">
        <v>0</v>
      </c>
      <c r="AF23" s="7">
        <v>0</v>
      </c>
      <c r="AG23" s="7">
        <v>0</v>
      </c>
      <c r="AH23" s="7">
        <v>1</v>
      </c>
      <c r="AI23" s="7">
        <v>240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2</v>
      </c>
      <c r="BA23" s="7">
        <v>480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100.8</v>
      </c>
      <c r="BM23" s="11">
        <v>1320</v>
      </c>
      <c r="BN23" s="15">
        <f t="shared" si="2"/>
        <v>1219.2</v>
      </c>
      <c r="BO23" s="16">
        <f t="shared" si="3"/>
        <v>853.43999999999994</v>
      </c>
    </row>
    <row r="24" spans="1:67" x14ac:dyDescent="0.3">
      <c r="A24" s="5" t="s">
        <v>14</v>
      </c>
      <c r="B24" s="5" t="s">
        <v>96</v>
      </c>
      <c r="C24" s="5">
        <v>406076</v>
      </c>
      <c r="D24" s="6"/>
      <c r="E24" s="5" t="s">
        <v>75</v>
      </c>
      <c r="F24" s="5" t="s">
        <v>95</v>
      </c>
      <c r="G24" s="5" t="s">
        <v>77</v>
      </c>
      <c r="H24" s="7" t="s">
        <v>8</v>
      </c>
      <c r="I24" s="7" t="s">
        <v>97</v>
      </c>
      <c r="J24" s="7">
        <v>0</v>
      </c>
      <c r="K24" s="7">
        <v>1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1</v>
      </c>
      <c r="AC24" s="7">
        <v>200</v>
      </c>
      <c r="AD24" s="7">
        <v>0</v>
      </c>
      <c r="AE24" s="7">
        <v>1</v>
      </c>
      <c r="AF24" s="7">
        <v>600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1</v>
      </c>
      <c r="BA24" s="7">
        <v>240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14.4</v>
      </c>
      <c r="BM24" s="11">
        <v>1040</v>
      </c>
      <c r="BN24" s="15">
        <f t="shared" si="2"/>
        <v>1025.5999999999999</v>
      </c>
      <c r="BO24" s="16">
        <f t="shared" si="3"/>
        <v>717.91999999999985</v>
      </c>
    </row>
    <row r="25" spans="1:67" x14ac:dyDescent="0.3">
      <c r="A25" s="5" t="s">
        <v>14</v>
      </c>
      <c r="B25" s="5" t="s">
        <v>91</v>
      </c>
      <c r="C25" s="5">
        <v>467630</v>
      </c>
      <c r="D25" s="6"/>
      <c r="E25" s="5" t="s">
        <v>75</v>
      </c>
      <c r="F25" s="5" t="s">
        <v>92</v>
      </c>
      <c r="G25" s="5" t="s">
        <v>77</v>
      </c>
      <c r="H25" s="7" t="s">
        <v>8</v>
      </c>
      <c r="I25" s="7" t="s">
        <v>93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1</v>
      </c>
      <c r="AC25" s="7">
        <v>200</v>
      </c>
      <c r="AD25" s="7">
        <v>0</v>
      </c>
      <c r="AE25" s="7">
        <v>0</v>
      </c>
      <c r="AF25" s="7">
        <v>0</v>
      </c>
      <c r="AG25" s="7">
        <v>0</v>
      </c>
      <c r="AH25" s="7">
        <v>2</v>
      </c>
      <c r="AI25" s="7">
        <v>480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1</v>
      </c>
      <c r="BA25" s="7">
        <v>240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158.4</v>
      </c>
      <c r="BM25" s="11">
        <v>920</v>
      </c>
      <c r="BN25" s="15">
        <f t="shared" si="2"/>
        <v>761.6</v>
      </c>
      <c r="BO25" s="16">
        <f t="shared" si="3"/>
        <v>533.12</v>
      </c>
    </row>
    <row r="26" spans="1:67" x14ac:dyDescent="0.3">
      <c r="A26" s="5" t="s">
        <v>14</v>
      </c>
      <c r="B26" s="5" t="s">
        <v>82</v>
      </c>
      <c r="C26" s="5">
        <v>465463</v>
      </c>
      <c r="D26" s="6"/>
      <c r="E26" s="5" t="s">
        <v>75</v>
      </c>
      <c r="F26" s="5" t="s">
        <v>83</v>
      </c>
      <c r="G26" s="5" t="s">
        <v>77</v>
      </c>
      <c r="H26" s="7" t="s">
        <v>9</v>
      </c>
      <c r="I26" s="7" t="s">
        <v>100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2</v>
      </c>
      <c r="BA26" s="7">
        <v>480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28.8</v>
      </c>
      <c r="BM26" s="11">
        <v>480</v>
      </c>
      <c r="BN26" s="15">
        <f t="shared" si="2"/>
        <v>451.2</v>
      </c>
      <c r="BO26" s="16">
        <f t="shared" si="3"/>
        <v>315.83999999999997</v>
      </c>
    </row>
    <row r="27" spans="1:67" x14ac:dyDescent="0.3">
      <c r="A27" s="5" t="s">
        <v>14</v>
      </c>
      <c r="B27" s="5" t="s">
        <v>122</v>
      </c>
      <c r="C27" s="5">
        <v>403837</v>
      </c>
      <c r="D27" s="6"/>
      <c r="E27" s="5" t="s">
        <v>75</v>
      </c>
      <c r="F27" s="5" t="s">
        <v>123</v>
      </c>
      <c r="G27" s="5" t="s">
        <v>77</v>
      </c>
      <c r="H27" s="7" t="s">
        <v>7</v>
      </c>
      <c r="I27" s="7" t="s">
        <v>90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1</v>
      </c>
      <c r="AI27" s="7">
        <v>240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72</v>
      </c>
      <c r="BM27" s="11">
        <v>240</v>
      </c>
      <c r="BN27" s="15">
        <f t="shared" si="2"/>
        <v>168</v>
      </c>
      <c r="BO27" s="16">
        <f t="shared" si="3"/>
        <v>117.6</v>
      </c>
    </row>
    <row r="28" spans="1:67" x14ac:dyDescent="0.3">
      <c r="A28" s="5" t="s">
        <v>14</v>
      </c>
      <c r="B28" s="5" t="s">
        <v>84</v>
      </c>
      <c r="C28" s="5">
        <v>351846</v>
      </c>
      <c r="D28" s="6"/>
      <c r="E28" s="5" t="s">
        <v>75</v>
      </c>
      <c r="F28" s="5" t="s">
        <v>85</v>
      </c>
      <c r="G28" s="5" t="s">
        <v>77</v>
      </c>
      <c r="H28" s="7" t="s">
        <v>7</v>
      </c>
      <c r="I28" s="7" t="s">
        <v>86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1</v>
      </c>
      <c r="AI28" s="7">
        <v>120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36</v>
      </c>
      <c r="BM28" s="11">
        <v>120</v>
      </c>
      <c r="BN28" s="15">
        <f t="shared" si="2"/>
        <v>84</v>
      </c>
      <c r="BO28" s="16">
        <f t="shared" si="3"/>
        <v>58.8</v>
      </c>
    </row>
    <row r="29" spans="1:67" x14ac:dyDescent="0.3">
      <c r="A29" s="5" t="s">
        <v>14</v>
      </c>
      <c r="B29" s="5" t="s">
        <v>111</v>
      </c>
      <c r="C29" s="5">
        <v>484291</v>
      </c>
      <c r="D29" s="6"/>
      <c r="E29" s="5" t="s">
        <v>75</v>
      </c>
      <c r="F29" s="5" t="s">
        <v>112</v>
      </c>
      <c r="G29" s="5" t="s">
        <v>77</v>
      </c>
      <c r="H29" s="7" t="s">
        <v>7</v>
      </c>
      <c r="I29" s="7" t="s">
        <v>113</v>
      </c>
      <c r="J29" s="7">
        <v>0</v>
      </c>
      <c r="K29" s="7">
        <v>2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11">
        <v>0</v>
      </c>
      <c r="BN29" s="15">
        <f t="shared" ref="BN24:BN29" si="4">BM29-BL29</f>
        <v>0</v>
      </c>
      <c r="BO29" s="16">
        <f t="shared" ref="BO24:BO29" si="5">BN29*70%</f>
        <v>0</v>
      </c>
    </row>
    <row r="30" spans="1:67" x14ac:dyDescent="0.3">
      <c r="A30" s="5"/>
      <c r="B30" s="5"/>
      <c r="C30" s="5"/>
      <c r="D30" s="6"/>
      <c r="E30" s="5"/>
      <c r="F30" s="5"/>
      <c r="G30" s="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8"/>
      <c r="AG30" s="8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10"/>
      <c r="BO30" s="17">
        <f>SUM(BO2:BO29)</f>
        <v>37260.160000000003</v>
      </c>
    </row>
    <row r="31" spans="1:67" x14ac:dyDescent="0.3">
      <c r="A31" s="5"/>
      <c r="B31" s="5"/>
      <c r="C31" s="5"/>
      <c r="D31" s="6"/>
      <c r="E31" s="5"/>
      <c r="F31" s="5"/>
      <c r="G31" s="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8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8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10"/>
    </row>
    <row r="32" spans="1:67" x14ac:dyDescent="0.3">
      <c r="A32" s="5"/>
      <c r="B32" s="5"/>
      <c r="C32" s="5"/>
      <c r="D32" s="6"/>
      <c r="E32" s="5"/>
      <c r="F32" s="5"/>
      <c r="G32" s="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8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10"/>
    </row>
    <row r="33" spans="1:65" x14ac:dyDescent="0.3">
      <c r="A33" s="5"/>
      <c r="B33" s="5"/>
      <c r="C33" s="5"/>
      <c r="D33" s="6"/>
      <c r="E33" s="5"/>
      <c r="F33" s="5"/>
      <c r="G33" s="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8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10"/>
    </row>
    <row r="34" spans="1:65" x14ac:dyDescent="0.3">
      <c r="A34" s="5"/>
      <c r="B34" s="5"/>
      <c r="C34" s="5"/>
      <c r="D34" s="6"/>
      <c r="E34" s="5"/>
      <c r="F34" s="5"/>
      <c r="G34" s="5"/>
      <c r="H34" s="7"/>
      <c r="I34" s="7"/>
      <c r="J34" s="7"/>
      <c r="K34" s="7"/>
      <c r="L34" s="8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8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8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10"/>
    </row>
    <row r="35" spans="1:65" x14ac:dyDescent="0.3">
      <c r="A35" s="5"/>
      <c r="B35" s="5"/>
      <c r="C35" s="5"/>
      <c r="D35" s="6"/>
      <c r="E35" s="5"/>
      <c r="F35" s="5"/>
      <c r="G35" s="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8"/>
      <c r="AG35" s="8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8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10"/>
    </row>
    <row r="36" spans="1:65" x14ac:dyDescent="0.3">
      <c r="A36" s="5"/>
      <c r="B36" s="5"/>
      <c r="C36" s="5"/>
      <c r="D36" s="6"/>
      <c r="E36" s="5"/>
      <c r="F36" s="5"/>
      <c r="G36" s="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8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10"/>
    </row>
    <row r="37" spans="1:65" x14ac:dyDescent="0.3">
      <c r="A37" s="5"/>
      <c r="B37" s="5"/>
      <c r="C37" s="5"/>
      <c r="D37" s="6"/>
      <c r="E37" s="5"/>
      <c r="F37" s="5"/>
      <c r="G37" s="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8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8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10"/>
    </row>
    <row r="38" spans="1:65" x14ac:dyDescent="0.3">
      <c r="A38" s="5"/>
      <c r="B38" s="5"/>
      <c r="C38" s="5"/>
      <c r="D38" s="6"/>
      <c r="E38" s="5"/>
      <c r="F38" s="5"/>
      <c r="G38" s="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8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10"/>
    </row>
    <row r="39" spans="1:65" x14ac:dyDescent="0.3">
      <c r="A39" s="5"/>
      <c r="B39" s="5"/>
      <c r="C39" s="5"/>
      <c r="D39" s="6"/>
      <c r="E39" s="5"/>
      <c r="F39" s="5"/>
      <c r="G39" s="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8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10"/>
    </row>
    <row r="40" spans="1:65" x14ac:dyDescent="0.3">
      <c r="A40" s="5"/>
      <c r="B40" s="5"/>
      <c r="C40" s="5"/>
      <c r="D40" s="6"/>
      <c r="E40" s="5"/>
      <c r="F40" s="5"/>
      <c r="G40" s="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8"/>
      <c r="AG40" s="8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8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10"/>
    </row>
    <row r="41" spans="1:65" x14ac:dyDescent="0.3">
      <c r="A41" s="5"/>
      <c r="B41" s="5"/>
      <c r="C41" s="5"/>
      <c r="D41" s="6"/>
      <c r="E41" s="5"/>
      <c r="F41" s="5"/>
      <c r="G41" s="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8"/>
      <c r="AG41" s="8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10"/>
    </row>
    <row r="42" spans="1:65" x14ac:dyDescent="0.3">
      <c r="A42" s="5"/>
      <c r="B42" s="5"/>
      <c r="C42" s="5"/>
      <c r="D42" s="6"/>
      <c r="E42" s="5"/>
      <c r="F42" s="5"/>
      <c r="G42" s="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10"/>
    </row>
    <row r="43" spans="1:65" x14ac:dyDescent="0.3">
      <c r="A43" s="5"/>
      <c r="B43" s="5"/>
      <c r="C43" s="5"/>
      <c r="D43" s="6"/>
      <c r="E43" s="5"/>
      <c r="F43" s="5"/>
      <c r="G43" s="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8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8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10"/>
    </row>
    <row r="44" spans="1:65" x14ac:dyDescent="0.3">
      <c r="A44" s="5"/>
      <c r="B44" s="5"/>
      <c r="C44" s="5"/>
      <c r="D44" s="6"/>
      <c r="E44" s="5"/>
      <c r="F44" s="5"/>
      <c r="G44" s="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8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8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10"/>
    </row>
    <row r="45" spans="1:65" x14ac:dyDescent="0.3">
      <c r="A45" s="5"/>
      <c r="B45" s="5"/>
      <c r="C45" s="5"/>
      <c r="D45" s="6"/>
      <c r="E45" s="5"/>
      <c r="F45" s="5"/>
      <c r="G45" s="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8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10"/>
    </row>
    <row r="46" spans="1:65" x14ac:dyDescent="0.3">
      <c r="A46" s="5"/>
      <c r="B46" s="5"/>
      <c r="C46" s="5"/>
      <c r="D46" s="6"/>
      <c r="E46" s="5"/>
      <c r="F46" s="5"/>
      <c r="G46" s="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8"/>
      <c r="AG46" s="8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10"/>
    </row>
    <row r="47" spans="1:65" x14ac:dyDescent="0.3">
      <c r="A47" s="5"/>
      <c r="B47" s="5"/>
      <c r="C47" s="5"/>
      <c r="D47" s="6"/>
      <c r="E47" s="5"/>
      <c r="F47" s="5"/>
      <c r="G47" s="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8"/>
      <c r="AG47" s="8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10"/>
    </row>
    <row r="48" spans="1:65" x14ac:dyDescent="0.3">
      <c r="A48" s="5"/>
      <c r="B48" s="5"/>
      <c r="C48" s="5"/>
      <c r="D48" s="6"/>
      <c r="E48" s="5"/>
      <c r="F48" s="5"/>
      <c r="G48" s="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8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10"/>
    </row>
    <row r="49" spans="1:65" x14ac:dyDescent="0.3">
      <c r="A49" s="5"/>
      <c r="B49" s="5"/>
      <c r="C49" s="5"/>
      <c r="D49" s="6"/>
      <c r="E49" s="5"/>
      <c r="F49" s="5"/>
      <c r="G49" s="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8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10"/>
    </row>
    <row r="50" spans="1:65" x14ac:dyDescent="0.3">
      <c r="A50" s="5"/>
      <c r="B50" s="5"/>
      <c r="C50" s="5"/>
      <c r="D50" s="6"/>
      <c r="E50" s="5"/>
      <c r="F50" s="5"/>
      <c r="G50" s="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8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10"/>
    </row>
    <row r="51" spans="1:65" x14ac:dyDescent="0.3">
      <c r="A51" s="5"/>
      <c r="B51" s="5"/>
      <c r="C51" s="5"/>
      <c r="D51" s="6"/>
      <c r="E51" s="5"/>
      <c r="F51" s="5"/>
      <c r="G51" s="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8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10"/>
    </row>
    <row r="52" spans="1:65" x14ac:dyDescent="0.3">
      <c r="A52" s="5"/>
      <c r="B52" s="5"/>
      <c r="C52" s="5"/>
      <c r="D52" s="6"/>
      <c r="E52" s="5"/>
      <c r="F52" s="5"/>
      <c r="G52" s="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10"/>
    </row>
    <row r="53" spans="1:65" x14ac:dyDescent="0.3">
      <c r="A53" s="5"/>
      <c r="B53" s="5"/>
      <c r="C53" s="5"/>
      <c r="D53" s="6"/>
      <c r="E53" s="5"/>
      <c r="F53" s="5"/>
      <c r="G53" s="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8"/>
      <c r="AD53" s="7"/>
      <c r="AE53" s="7"/>
      <c r="AF53" s="8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10"/>
    </row>
    <row r="54" spans="1:65" x14ac:dyDescent="0.3">
      <c r="A54" s="5"/>
      <c r="B54" s="5"/>
      <c r="C54" s="5"/>
      <c r="D54" s="6"/>
      <c r="E54" s="5"/>
      <c r="F54" s="5"/>
      <c r="G54" s="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8"/>
      <c r="AG54" s="8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10"/>
    </row>
    <row r="55" spans="1:65" x14ac:dyDescent="0.3">
      <c r="A55" s="5"/>
      <c r="B55" s="5"/>
      <c r="C55" s="5"/>
      <c r="D55" s="6"/>
      <c r="E55" s="5"/>
      <c r="F55" s="5"/>
      <c r="G55" s="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10"/>
    </row>
    <row r="56" spans="1:65" x14ac:dyDescent="0.3">
      <c r="A56" s="5"/>
      <c r="B56" s="5"/>
      <c r="C56" s="5"/>
      <c r="D56" s="6"/>
      <c r="E56" s="5"/>
      <c r="F56" s="5"/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10"/>
    </row>
    <row r="57" spans="1:65" x14ac:dyDescent="0.3">
      <c r="A57" s="5"/>
      <c r="B57" s="5"/>
      <c r="C57" s="5"/>
      <c r="D57" s="6"/>
      <c r="E57" s="5"/>
      <c r="F57" s="5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8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10"/>
    </row>
    <row r="58" spans="1:65" x14ac:dyDescent="0.3">
      <c r="A58" s="5"/>
      <c r="B58" s="5"/>
      <c r="C58" s="5"/>
      <c r="D58" s="6"/>
      <c r="E58" s="5"/>
      <c r="F58" s="5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10"/>
    </row>
    <row r="59" spans="1:65" x14ac:dyDescent="0.3">
      <c r="A59" s="5"/>
      <c r="B59" s="5"/>
      <c r="C59" s="5"/>
      <c r="D59" s="6"/>
      <c r="E59" s="5"/>
      <c r="F59" s="5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8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10"/>
    </row>
    <row r="60" spans="1:65" x14ac:dyDescent="0.3">
      <c r="A60" s="5"/>
      <c r="B60" s="5"/>
      <c r="C60" s="5"/>
      <c r="D60" s="6"/>
      <c r="E60" s="5"/>
      <c r="F60" s="5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8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10"/>
    </row>
    <row r="61" spans="1:65" x14ac:dyDescent="0.3">
      <c r="A61" s="5"/>
      <c r="B61" s="5"/>
      <c r="C61" s="5"/>
      <c r="D61" s="6"/>
      <c r="E61" s="5"/>
      <c r="F61" s="5"/>
      <c r="G61" s="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8"/>
      <c r="AG61" s="8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10"/>
    </row>
    <row r="62" spans="1:65" x14ac:dyDescent="0.3">
      <c r="A62" s="5"/>
      <c r="B62" s="5"/>
      <c r="C62" s="5"/>
      <c r="D62" s="6"/>
      <c r="E62" s="5"/>
      <c r="F62" s="5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8"/>
      <c r="AS62" s="8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10"/>
    </row>
    <row r="63" spans="1:65" x14ac:dyDescent="0.3">
      <c r="A63" s="5"/>
      <c r="B63" s="5"/>
      <c r="C63" s="5"/>
      <c r="D63" s="6"/>
      <c r="E63" s="5"/>
      <c r="F63" s="5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8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10"/>
    </row>
    <row r="64" spans="1:65" x14ac:dyDescent="0.3">
      <c r="A64" s="5"/>
      <c r="B64" s="5"/>
      <c r="C64" s="5"/>
      <c r="D64" s="6"/>
      <c r="E64" s="5"/>
      <c r="F64" s="5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8"/>
      <c r="AG64" s="8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10"/>
    </row>
    <row r="65" spans="1:65" x14ac:dyDescent="0.3">
      <c r="A65" s="5"/>
      <c r="B65" s="5"/>
      <c r="C65" s="5"/>
      <c r="D65" s="6"/>
      <c r="E65" s="5"/>
      <c r="F65" s="5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8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10"/>
    </row>
    <row r="66" spans="1:65" x14ac:dyDescent="0.3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8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10"/>
    </row>
    <row r="67" spans="1:65" x14ac:dyDescent="0.3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8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10"/>
    </row>
    <row r="68" spans="1:65" x14ac:dyDescent="0.3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10"/>
    </row>
    <row r="69" spans="1:65" x14ac:dyDescent="0.3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8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10"/>
    </row>
    <row r="70" spans="1:65" x14ac:dyDescent="0.3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8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10"/>
    </row>
    <row r="71" spans="1:65" x14ac:dyDescent="0.3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8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0"/>
    </row>
    <row r="72" spans="1:65" x14ac:dyDescent="0.3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8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0"/>
    </row>
    <row r="73" spans="1:65" x14ac:dyDescent="0.3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8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0"/>
    </row>
    <row r="74" spans="1:65" x14ac:dyDescent="0.3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8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0"/>
    </row>
    <row r="75" spans="1:65" x14ac:dyDescent="0.3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8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0"/>
    </row>
    <row r="76" spans="1:65" x14ac:dyDescent="0.3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0"/>
    </row>
    <row r="77" spans="1:65" x14ac:dyDescent="0.3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0"/>
    </row>
    <row r="78" spans="1:65" x14ac:dyDescent="0.3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8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0"/>
    </row>
    <row r="79" spans="1:65" x14ac:dyDescent="0.3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1"/>
    </row>
    <row r="80" spans="1:65" x14ac:dyDescent="0.3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1"/>
    </row>
    <row r="81" spans="1:65" x14ac:dyDescent="0.3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1"/>
    </row>
    <row r="82" spans="1:65" x14ac:dyDescent="0.3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1"/>
    </row>
    <row r="83" spans="1:65" x14ac:dyDescent="0.3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1"/>
    </row>
    <row r="84" spans="1:65" x14ac:dyDescent="0.3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1"/>
    </row>
    <row r="85" spans="1:65" x14ac:dyDescent="0.3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1"/>
    </row>
    <row r="86" spans="1:65" x14ac:dyDescent="0.3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1"/>
    </row>
    <row r="87" spans="1:65" x14ac:dyDescent="0.3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1"/>
    </row>
    <row r="88" spans="1:65" x14ac:dyDescent="0.3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1"/>
    </row>
    <row r="89" spans="1:65" x14ac:dyDescent="0.3">
      <c r="A89" s="5"/>
      <c r="B89" s="5"/>
      <c r="C89" s="5"/>
      <c r="D89" s="6"/>
      <c r="E89" s="5"/>
      <c r="F89" s="5"/>
      <c r="G89" s="5"/>
      <c r="H89" s="7"/>
      <c r="I89" s="7"/>
      <c r="J89" s="7"/>
      <c r="K89" s="8"/>
      <c r="L89" s="8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8"/>
      <c r="AF89" s="8"/>
      <c r="AG89" s="8"/>
      <c r="AH89" s="7"/>
      <c r="AI89" s="7"/>
      <c r="AJ89" s="7"/>
      <c r="AK89" s="7"/>
      <c r="AL89" s="7"/>
      <c r="AM89" s="7"/>
      <c r="AN89" s="7"/>
      <c r="AO89" s="7"/>
      <c r="AP89" s="7"/>
      <c r="AQ89" s="8"/>
      <c r="AR89" s="8"/>
      <c r="AS89" s="8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3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8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8"/>
      <c r="AS90" s="8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3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8"/>
      <c r="AD91" s="8"/>
      <c r="AE91" s="7"/>
      <c r="AF91" s="8"/>
      <c r="AG91" s="8"/>
      <c r="AH91" s="7"/>
      <c r="AI91" s="7"/>
      <c r="AJ91" s="7"/>
      <c r="AK91" s="7"/>
      <c r="AL91" s="7"/>
      <c r="AM91" s="7"/>
      <c r="AN91" s="7"/>
      <c r="AO91" s="8"/>
      <c r="AP91" s="7"/>
      <c r="AQ91" s="7"/>
      <c r="AR91" s="8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3">
      <c r="A92" s="5"/>
      <c r="B92" s="5"/>
      <c r="C92" s="5"/>
      <c r="D92" s="6"/>
      <c r="E92" s="5"/>
      <c r="F92" s="5"/>
      <c r="G92" s="5"/>
      <c r="H92" s="7"/>
      <c r="I92" s="7"/>
      <c r="J92" s="7"/>
      <c r="K92" s="8"/>
      <c r="L92" s="8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8"/>
      <c r="AF92" s="8"/>
      <c r="AG92" s="8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8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3">
      <c r="A93" s="5"/>
      <c r="B93" s="5"/>
      <c r="C93" s="5"/>
      <c r="D93" s="6"/>
      <c r="E93" s="5"/>
      <c r="F93" s="5"/>
      <c r="G93" s="5"/>
      <c r="H93" s="7"/>
      <c r="I93" s="7"/>
      <c r="J93" s="8"/>
      <c r="K93" s="8"/>
      <c r="L93" s="8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8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3">
      <c r="A94" s="5"/>
      <c r="B94" s="5"/>
      <c r="C94" s="5"/>
      <c r="D94" s="6"/>
      <c r="E94" s="5"/>
      <c r="F94" s="5"/>
      <c r="G94" s="5"/>
      <c r="H94" s="7"/>
      <c r="I94" s="7"/>
      <c r="J94" s="7"/>
      <c r="K94" s="8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8"/>
      <c r="AF94" s="8"/>
      <c r="AG94" s="8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8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3">
      <c r="A95" s="5"/>
      <c r="B95" s="5"/>
      <c r="C95" s="5"/>
      <c r="D95" s="6"/>
      <c r="E95" s="5"/>
      <c r="F95" s="5"/>
      <c r="G95" s="5"/>
      <c r="H95" s="7"/>
      <c r="I95" s="7"/>
      <c r="J95" s="7"/>
      <c r="K95" s="8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8"/>
      <c r="AF95" s="8"/>
      <c r="AG95" s="8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8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3">
      <c r="A96" s="5"/>
      <c r="B96" s="5"/>
      <c r="C96" s="5"/>
      <c r="D96" s="6"/>
      <c r="E96" s="5"/>
      <c r="F96" s="5"/>
      <c r="G96" s="5"/>
      <c r="H96" s="7"/>
      <c r="I96" s="7"/>
      <c r="J96" s="7"/>
      <c r="K96" s="8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8"/>
      <c r="AF96" s="8"/>
      <c r="AG96" s="8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8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3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8"/>
      <c r="AD97" s="7"/>
      <c r="AE97" s="7"/>
      <c r="AF97" s="8"/>
      <c r="AG97" s="8"/>
      <c r="AH97" s="7"/>
      <c r="AI97" s="7"/>
      <c r="AJ97" s="7"/>
      <c r="AK97" s="7"/>
      <c r="AL97" s="7"/>
      <c r="AM97" s="7"/>
      <c r="AN97" s="7"/>
      <c r="AO97" s="8"/>
      <c r="AP97" s="7"/>
      <c r="AQ97" s="7"/>
      <c r="AR97" s="8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3">
      <c r="A98" s="5"/>
      <c r="B98" s="5"/>
      <c r="C98" s="5"/>
      <c r="D98" s="6"/>
      <c r="E98" s="5"/>
      <c r="F98" s="5"/>
      <c r="G98" s="5"/>
      <c r="H98" s="7"/>
      <c r="I98" s="7"/>
      <c r="J98" s="7"/>
      <c r="K98" s="8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8"/>
      <c r="AF98" s="8"/>
      <c r="AG98" s="8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8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3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8"/>
      <c r="AF99" s="8"/>
      <c r="AG99" s="8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8"/>
      <c r="AS99" s="8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3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8"/>
      <c r="AF100" s="8"/>
      <c r="AG100" s="8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8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3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8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8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3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8"/>
      <c r="AF102" s="8"/>
      <c r="AG102" s="8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8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3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8"/>
      <c r="AF103" s="8"/>
      <c r="AG103" s="8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8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3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8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8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3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8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3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8"/>
      <c r="AG106" s="8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3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8"/>
      <c r="AG107" s="8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8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3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  <c r="AG108" s="8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8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3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8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3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8"/>
      <c r="AD110" s="7"/>
      <c r="AE110" s="7"/>
      <c r="AF110" s="8"/>
      <c r="AG110" s="8"/>
      <c r="AH110" s="7"/>
      <c r="AI110" s="7"/>
      <c r="AJ110" s="7"/>
      <c r="AK110" s="7"/>
      <c r="AL110" s="7"/>
      <c r="AM110" s="7"/>
      <c r="AN110" s="7"/>
      <c r="AO110" s="8"/>
      <c r="AP110" s="8"/>
      <c r="AQ110" s="7"/>
      <c r="AR110" s="8"/>
      <c r="AS110" s="8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3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8"/>
      <c r="AG111" s="8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8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3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8"/>
      <c r="AG112" s="8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8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3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8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8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3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8"/>
      <c r="AG114" s="8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8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3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8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3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8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8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3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8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3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8"/>
      <c r="AD118" s="8"/>
      <c r="AE118" s="7"/>
      <c r="AF118" s="7"/>
      <c r="AG118" s="8"/>
      <c r="AH118" s="7"/>
      <c r="AI118" s="7"/>
      <c r="AJ118" s="7"/>
      <c r="AK118" s="7"/>
      <c r="AL118" s="7"/>
      <c r="AM118" s="7"/>
      <c r="AN118" s="7"/>
      <c r="AO118" s="8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3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8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8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3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8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3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8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3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3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8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3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8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8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3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8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3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8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3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8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3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8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8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0"/>
    </row>
    <row r="129" spans="1:65" x14ac:dyDescent="0.3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8"/>
      <c r="AG129" s="8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8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0"/>
    </row>
    <row r="130" spans="1:65" x14ac:dyDescent="0.3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8"/>
      <c r="AG130" s="8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0"/>
    </row>
    <row r="131" spans="1:65" x14ac:dyDescent="0.3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8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0"/>
    </row>
    <row r="132" spans="1:65" x14ac:dyDescent="0.3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8"/>
      <c r="AG132" s="8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8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0"/>
    </row>
    <row r="133" spans="1:65" x14ac:dyDescent="0.3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8"/>
      <c r="AG133" s="8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0"/>
    </row>
    <row r="134" spans="1:65" x14ac:dyDescent="0.3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8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8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0"/>
    </row>
    <row r="135" spans="1:65" x14ac:dyDescent="0.3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8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0"/>
    </row>
    <row r="136" spans="1:65" x14ac:dyDescent="0.3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8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0"/>
    </row>
    <row r="137" spans="1:65" x14ac:dyDescent="0.3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8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0"/>
    </row>
    <row r="138" spans="1:65" x14ac:dyDescent="0.3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8"/>
      <c r="AG138" s="8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0"/>
    </row>
    <row r="139" spans="1:65" x14ac:dyDescent="0.3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8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0"/>
    </row>
    <row r="140" spans="1:65" x14ac:dyDescent="0.3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8"/>
      <c r="AD140" s="8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0"/>
    </row>
    <row r="141" spans="1:65" x14ac:dyDescent="0.3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8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0"/>
    </row>
    <row r="142" spans="1:65" x14ac:dyDescent="0.3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8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0"/>
    </row>
    <row r="143" spans="1:65" x14ac:dyDescent="0.3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8"/>
      <c r="AG143" s="8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8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0"/>
    </row>
    <row r="144" spans="1:65" x14ac:dyDescent="0.3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8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0"/>
    </row>
    <row r="145" spans="1:65" x14ac:dyDescent="0.3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8"/>
      <c r="AG145" s="8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0"/>
    </row>
    <row r="146" spans="1:65" x14ac:dyDescent="0.3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8"/>
      <c r="AG146" s="8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0"/>
    </row>
    <row r="147" spans="1:65" x14ac:dyDescent="0.3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8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8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0"/>
    </row>
    <row r="148" spans="1:65" x14ac:dyDescent="0.3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8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0"/>
    </row>
    <row r="149" spans="1:65" x14ac:dyDescent="0.3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8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0"/>
    </row>
    <row r="150" spans="1:65" x14ac:dyDescent="0.3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8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8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0"/>
    </row>
    <row r="151" spans="1:65" x14ac:dyDescent="0.3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8"/>
      <c r="AG151" s="8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0"/>
    </row>
    <row r="152" spans="1:65" x14ac:dyDescent="0.3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8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3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8"/>
      <c r="AG153" s="8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3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8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8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3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8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0"/>
    </row>
    <row r="156" spans="1:65" x14ac:dyDescent="0.3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8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0"/>
    </row>
    <row r="157" spans="1:65" x14ac:dyDescent="0.3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8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0"/>
    </row>
    <row r="158" spans="1:65" x14ac:dyDescent="0.3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8"/>
      <c r="AG158" s="8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8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0"/>
    </row>
    <row r="159" spans="1:65" x14ac:dyDescent="0.3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8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8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0"/>
    </row>
    <row r="160" spans="1:65" x14ac:dyDescent="0.3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8"/>
      <c r="AG160" s="8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3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8"/>
      <c r="AG161" s="8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3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8"/>
      <c r="AG162" s="8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0"/>
    </row>
    <row r="163" spans="1:65" x14ac:dyDescent="0.3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8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0"/>
    </row>
    <row r="164" spans="1:65" x14ac:dyDescent="0.3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8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3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8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3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8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0"/>
    </row>
    <row r="167" spans="1:65" x14ac:dyDescent="0.3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8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3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8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8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3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3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3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8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3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8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3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3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3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8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8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3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8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3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3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3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8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3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3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3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3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3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3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3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3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3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8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3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8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3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3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3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8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8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3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3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3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8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3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3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8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3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3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3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8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3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3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8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3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8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3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8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3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3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8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8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3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3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8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3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3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3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8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3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8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3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8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3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8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3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8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3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8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3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8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3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8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0"/>
    </row>
    <row r="219" spans="1:65" x14ac:dyDescent="0.3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8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8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3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8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3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8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0"/>
    </row>
    <row r="222" spans="1:65" x14ac:dyDescent="0.3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8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0"/>
    </row>
    <row r="223" spans="1:65" x14ac:dyDescent="0.3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0"/>
    </row>
    <row r="224" spans="1:65" x14ac:dyDescent="0.3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8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0"/>
    </row>
    <row r="225" spans="1:65" x14ac:dyDescent="0.3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8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0"/>
    </row>
    <row r="226" spans="1:65" x14ac:dyDescent="0.3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0"/>
    </row>
    <row r="227" spans="1:65" x14ac:dyDescent="0.3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8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0"/>
    </row>
    <row r="228" spans="1:65" x14ac:dyDescent="0.3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8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0"/>
    </row>
    <row r="229" spans="1:65" x14ac:dyDescent="0.3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8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0"/>
    </row>
    <row r="230" spans="1:65" x14ac:dyDescent="0.3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8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0"/>
    </row>
    <row r="231" spans="1:65" x14ac:dyDescent="0.3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8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0"/>
    </row>
    <row r="232" spans="1:65" x14ac:dyDescent="0.3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1"/>
    </row>
    <row r="233" spans="1:65" x14ac:dyDescent="0.3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1"/>
    </row>
    <row r="234" spans="1:65" x14ac:dyDescent="0.3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1"/>
    </row>
    <row r="235" spans="1:65" x14ac:dyDescent="0.3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1"/>
    </row>
    <row r="236" spans="1:65" x14ac:dyDescent="0.3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1"/>
    </row>
    <row r="237" spans="1:65" x14ac:dyDescent="0.3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1"/>
    </row>
    <row r="238" spans="1:65" x14ac:dyDescent="0.3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1"/>
    </row>
    <row r="239" spans="1:65" x14ac:dyDescent="0.3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1"/>
    </row>
    <row r="240" spans="1:65" x14ac:dyDescent="0.3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1"/>
    </row>
    <row r="241" spans="1:65" x14ac:dyDescent="0.3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1"/>
    </row>
    <row r="242" spans="1:65" x14ac:dyDescent="0.3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1"/>
    </row>
    <row r="243" spans="1:65" x14ac:dyDescent="0.3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1"/>
    </row>
    <row r="244" spans="1:65" x14ac:dyDescent="0.3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1"/>
    </row>
    <row r="245" spans="1:65" x14ac:dyDescent="0.3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1"/>
    </row>
    <row r="246" spans="1:65" x14ac:dyDescent="0.3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1"/>
    </row>
    <row r="247" spans="1:65" x14ac:dyDescent="0.3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1"/>
    </row>
    <row r="248" spans="1:65" x14ac:dyDescent="0.3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1"/>
    </row>
    <row r="249" spans="1:65" x14ac:dyDescent="0.3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1"/>
    </row>
    <row r="250" spans="1:65" x14ac:dyDescent="0.3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1"/>
    </row>
    <row r="251" spans="1:65" x14ac:dyDescent="0.3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1"/>
    </row>
    <row r="252" spans="1:65" x14ac:dyDescent="0.3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1"/>
    </row>
    <row r="253" spans="1:65" x14ac:dyDescent="0.3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1"/>
    </row>
    <row r="254" spans="1:65" x14ac:dyDescent="0.3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1"/>
    </row>
    <row r="255" spans="1:65" x14ac:dyDescent="0.3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1"/>
    </row>
    <row r="256" spans="1:65" x14ac:dyDescent="0.3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1"/>
    </row>
    <row r="257" spans="1:65" x14ac:dyDescent="0.3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1"/>
    </row>
    <row r="258" spans="1:65" x14ac:dyDescent="0.3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1"/>
    </row>
    <row r="259" spans="1:65" x14ac:dyDescent="0.3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1"/>
    </row>
    <row r="260" spans="1:65" x14ac:dyDescent="0.3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8"/>
      <c r="L260" s="8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8"/>
      <c r="AF260" s="8"/>
      <c r="AG260" s="8"/>
      <c r="AH260" s="7"/>
      <c r="AI260" s="7"/>
      <c r="AJ260" s="7"/>
      <c r="AK260" s="8"/>
      <c r="AL260" s="8"/>
      <c r="AM260" s="8"/>
      <c r="AN260" s="7"/>
      <c r="AO260" s="7"/>
      <c r="AP260" s="7"/>
      <c r="AQ260" s="8"/>
      <c r="AR260" s="8"/>
      <c r="AS260" s="8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9"/>
      <c r="BM260" s="10"/>
    </row>
    <row r="261" spans="1:65" x14ac:dyDescent="0.3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8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8"/>
      <c r="AF261" s="8"/>
      <c r="AG261" s="8"/>
      <c r="AH261" s="7"/>
      <c r="AI261" s="7"/>
      <c r="AJ261" s="7"/>
      <c r="AK261" s="8"/>
      <c r="AL261" s="8"/>
      <c r="AM261" s="8"/>
      <c r="AN261" s="7"/>
      <c r="AO261" s="7"/>
      <c r="AP261" s="7"/>
      <c r="AQ261" s="7"/>
      <c r="AR261" s="8"/>
      <c r="AS261" s="8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9"/>
      <c r="BM261" s="10"/>
    </row>
    <row r="262" spans="1:65" x14ac:dyDescent="0.3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8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8"/>
      <c r="AF262" s="8"/>
      <c r="AG262" s="8"/>
      <c r="AH262" s="7"/>
      <c r="AI262" s="7"/>
      <c r="AJ262" s="7"/>
      <c r="AK262" s="8"/>
      <c r="AL262" s="8"/>
      <c r="AM262" s="8"/>
      <c r="AN262" s="7"/>
      <c r="AO262" s="7"/>
      <c r="AP262" s="7"/>
      <c r="AQ262" s="8"/>
      <c r="AR262" s="8"/>
      <c r="AS262" s="8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9"/>
      <c r="BM262" s="10"/>
    </row>
    <row r="263" spans="1:65" x14ac:dyDescent="0.3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8"/>
      <c r="AF263" s="8"/>
      <c r="AG263" s="8"/>
      <c r="AH263" s="7"/>
      <c r="AI263" s="7"/>
      <c r="AJ263" s="7"/>
      <c r="AK263" s="8"/>
      <c r="AL263" s="8"/>
      <c r="AM263" s="8"/>
      <c r="AN263" s="7"/>
      <c r="AO263" s="7"/>
      <c r="AP263" s="7"/>
      <c r="AQ263" s="8"/>
      <c r="AR263" s="8"/>
      <c r="AS263" s="8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9"/>
      <c r="BM263" s="10"/>
    </row>
    <row r="264" spans="1:65" x14ac:dyDescent="0.3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8"/>
      <c r="AH264" s="7"/>
      <c r="AI264" s="7"/>
      <c r="AJ264" s="7"/>
      <c r="AK264" s="7"/>
      <c r="AL264" s="8"/>
      <c r="AM264" s="8"/>
      <c r="AN264" s="7"/>
      <c r="AO264" s="7"/>
      <c r="AP264" s="7"/>
      <c r="AQ264" s="7"/>
      <c r="AR264" s="8"/>
      <c r="AS264" s="8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9"/>
      <c r="BM264" s="10"/>
    </row>
    <row r="265" spans="1:65" x14ac:dyDescent="0.3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8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8"/>
      <c r="AF265" s="8"/>
      <c r="AG265" s="8"/>
      <c r="AH265" s="7"/>
      <c r="AI265" s="7"/>
      <c r="AJ265" s="7"/>
      <c r="AK265" s="8"/>
      <c r="AL265" s="8"/>
      <c r="AM265" s="8"/>
      <c r="AN265" s="7"/>
      <c r="AO265" s="7"/>
      <c r="AP265" s="7"/>
      <c r="AQ265" s="7"/>
      <c r="AR265" s="8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9"/>
      <c r="BM265" s="10"/>
    </row>
    <row r="266" spans="1:65" x14ac:dyDescent="0.3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8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8"/>
      <c r="AF266" s="8"/>
      <c r="AG266" s="8"/>
      <c r="AH266" s="7"/>
      <c r="AI266" s="7"/>
      <c r="AJ266" s="7"/>
      <c r="AK266" s="8"/>
      <c r="AL266" s="8"/>
      <c r="AM266" s="8"/>
      <c r="AN266" s="7"/>
      <c r="AO266" s="7"/>
      <c r="AP266" s="7"/>
      <c r="AQ266" s="7"/>
      <c r="AR266" s="8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9"/>
      <c r="BM266" s="10"/>
    </row>
    <row r="267" spans="1:65" x14ac:dyDescent="0.3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8"/>
      <c r="AF267" s="8"/>
      <c r="AG267" s="8"/>
      <c r="AH267" s="7"/>
      <c r="AI267" s="7"/>
      <c r="AJ267" s="7"/>
      <c r="AK267" s="8"/>
      <c r="AL267" s="8"/>
      <c r="AM267" s="8"/>
      <c r="AN267" s="7"/>
      <c r="AO267" s="7"/>
      <c r="AP267" s="7"/>
      <c r="AQ267" s="7"/>
      <c r="AR267" s="8"/>
      <c r="AS267" s="8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9"/>
      <c r="BM267" s="10"/>
    </row>
    <row r="268" spans="1:65" x14ac:dyDescent="0.3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8"/>
      <c r="L268" s="8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8"/>
      <c r="AF268" s="8"/>
      <c r="AG268" s="8"/>
      <c r="AH268" s="7"/>
      <c r="AI268" s="7"/>
      <c r="AJ268" s="7"/>
      <c r="AK268" s="8"/>
      <c r="AL268" s="8"/>
      <c r="AM268" s="8"/>
      <c r="AN268" s="7"/>
      <c r="AO268" s="7"/>
      <c r="AP268" s="7"/>
      <c r="AQ268" s="7"/>
      <c r="AR268" s="8"/>
      <c r="AS268" s="8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9"/>
      <c r="BM268" s="10"/>
    </row>
    <row r="269" spans="1:65" x14ac:dyDescent="0.3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8"/>
      <c r="AF269" s="8"/>
      <c r="AG269" s="8"/>
      <c r="AH269" s="7"/>
      <c r="AI269" s="7"/>
      <c r="AJ269" s="7"/>
      <c r="AK269" s="8"/>
      <c r="AL269" s="8"/>
      <c r="AM269" s="8"/>
      <c r="AN269" s="7"/>
      <c r="AO269" s="7"/>
      <c r="AP269" s="7"/>
      <c r="AQ269" s="7"/>
      <c r="AR269" s="8"/>
      <c r="AS269" s="8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9"/>
      <c r="BM269" s="10"/>
    </row>
    <row r="270" spans="1:65" x14ac:dyDescent="0.3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8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8"/>
      <c r="AF270" s="8"/>
      <c r="AG270" s="8"/>
      <c r="AH270" s="7"/>
      <c r="AI270" s="7"/>
      <c r="AJ270" s="7"/>
      <c r="AK270" s="8"/>
      <c r="AL270" s="8"/>
      <c r="AM270" s="8"/>
      <c r="AN270" s="7"/>
      <c r="AO270" s="7"/>
      <c r="AP270" s="7"/>
      <c r="AQ270" s="7"/>
      <c r="AR270" s="8"/>
      <c r="AS270" s="8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9"/>
      <c r="BM270" s="10"/>
    </row>
    <row r="271" spans="1:65" x14ac:dyDescent="0.3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8"/>
      <c r="AG271" s="8"/>
      <c r="AH271" s="7"/>
      <c r="AI271" s="7"/>
      <c r="AJ271" s="7"/>
      <c r="AK271" s="8"/>
      <c r="AL271" s="8"/>
      <c r="AM271" s="8"/>
      <c r="AN271" s="7"/>
      <c r="AO271" s="7"/>
      <c r="AP271" s="7"/>
      <c r="AQ271" s="7"/>
      <c r="AR271" s="8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9"/>
      <c r="BM271" s="10"/>
    </row>
    <row r="272" spans="1:65" x14ac:dyDescent="0.3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8"/>
      <c r="AG272" s="8"/>
      <c r="AH272" s="7"/>
      <c r="AI272" s="7"/>
      <c r="AJ272" s="7"/>
      <c r="AK272" s="7"/>
      <c r="AL272" s="8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9"/>
      <c r="BM272" s="10"/>
    </row>
    <row r="273" spans="1:65" x14ac:dyDescent="0.3">
      <c r="A273" s="5"/>
      <c r="B273" s="5"/>
      <c r="C273" s="5"/>
      <c r="D273" s="6"/>
      <c r="E273" s="5"/>
      <c r="F273" s="5"/>
      <c r="G273" s="5"/>
      <c r="H273" s="7"/>
      <c r="I273" s="7"/>
      <c r="J273" s="8"/>
      <c r="K273" s="7"/>
      <c r="L273" s="8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8"/>
      <c r="AG273" s="8"/>
      <c r="AH273" s="7"/>
      <c r="AI273" s="7"/>
      <c r="AJ273" s="7"/>
      <c r="AK273" s="7"/>
      <c r="AL273" s="8"/>
      <c r="AM273" s="8"/>
      <c r="AN273" s="7"/>
      <c r="AO273" s="7"/>
      <c r="AP273" s="7"/>
      <c r="AQ273" s="7"/>
      <c r="AR273" s="8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9"/>
      <c r="BM273" s="10"/>
    </row>
    <row r="274" spans="1:65" x14ac:dyDescent="0.3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8"/>
      <c r="AG274" s="7"/>
      <c r="AH274" s="7"/>
      <c r="AI274" s="7"/>
      <c r="AJ274" s="7"/>
      <c r="AK274" s="7"/>
      <c r="AL274" s="8"/>
      <c r="AM274" s="8"/>
      <c r="AN274" s="7"/>
      <c r="AO274" s="7"/>
      <c r="AP274" s="7"/>
      <c r="AQ274" s="7"/>
      <c r="AR274" s="8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9"/>
      <c r="BM274" s="10"/>
    </row>
    <row r="275" spans="1:65" x14ac:dyDescent="0.3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8"/>
      <c r="AG275" s="7"/>
      <c r="AH275" s="7"/>
      <c r="AI275" s="7"/>
      <c r="AJ275" s="7"/>
      <c r="AK275" s="7"/>
      <c r="AL275" s="8"/>
      <c r="AM275" s="8"/>
      <c r="AN275" s="7"/>
      <c r="AO275" s="7"/>
      <c r="AP275" s="7"/>
      <c r="AQ275" s="7"/>
      <c r="AR275" s="8"/>
      <c r="AS275" s="8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9"/>
      <c r="BM275" s="10"/>
    </row>
    <row r="276" spans="1:65" x14ac:dyDescent="0.3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8"/>
      <c r="AG276" s="8"/>
      <c r="AH276" s="7"/>
      <c r="AI276" s="7"/>
      <c r="AJ276" s="7"/>
      <c r="AK276" s="7"/>
      <c r="AL276" s="8"/>
      <c r="AM276" s="8"/>
      <c r="AN276" s="7"/>
      <c r="AO276" s="7"/>
      <c r="AP276" s="7"/>
      <c r="AQ276" s="7"/>
      <c r="AR276" s="8"/>
      <c r="AS276" s="8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9"/>
      <c r="BM276" s="10"/>
    </row>
    <row r="277" spans="1:65" x14ac:dyDescent="0.3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8"/>
      <c r="AG277" s="7"/>
      <c r="AH277" s="7"/>
      <c r="AI277" s="8"/>
      <c r="AJ277" s="8"/>
      <c r="AK277" s="7"/>
      <c r="AL277" s="7"/>
      <c r="AM277" s="7"/>
      <c r="AN277" s="7"/>
      <c r="AO277" s="7"/>
      <c r="AP277" s="7"/>
      <c r="AQ277" s="7"/>
      <c r="AR277" s="8"/>
      <c r="AS277" s="8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9"/>
      <c r="BM277" s="10"/>
    </row>
    <row r="278" spans="1:65" x14ac:dyDescent="0.3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8"/>
      <c r="AG278" s="7"/>
      <c r="AH278" s="7"/>
      <c r="AI278" s="7"/>
      <c r="AJ278" s="7"/>
      <c r="AK278" s="7"/>
      <c r="AL278" s="8"/>
      <c r="AM278" s="8"/>
      <c r="AN278" s="7"/>
      <c r="AO278" s="7"/>
      <c r="AP278" s="7"/>
      <c r="AQ278" s="7"/>
      <c r="AR278" s="8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9"/>
      <c r="BM278" s="10"/>
    </row>
    <row r="279" spans="1:65" x14ac:dyDescent="0.3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8"/>
      <c r="AG279" s="8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8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10"/>
    </row>
    <row r="280" spans="1:65" x14ac:dyDescent="0.3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8"/>
      <c r="AG280" s="7"/>
      <c r="AH280" s="7"/>
      <c r="AI280" s="7"/>
      <c r="AJ280" s="7"/>
      <c r="AK280" s="7"/>
      <c r="AL280" s="8"/>
      <c r="AM280" s="7"/>
      <c r="AN280" s="7"/>
      <c r="AO280" s="7"/>
      <c r="AP280" s="7"/>
      <c r="AQ280" s="7"/>
      <c r="AR280" s="8"/>
      <c r="AS280" s="8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9"/>
      <c r="BM280" s="10"/>
    </row>
    <row r="281" spans="1:65" x14ac:dyDescent="0.3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8"/>
      <c r="AG281" s="7"/>
      <c r="AH281" s="7"/>
      <c r="AI281" s="7"/>
      <c r="AJ281" s="7"/>
      <c r="AK281" s="7"/>
      <c r="AL281" s="8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10"/>
    </row>
    <row r="282" spans="1:65" x14ac:dyDescent="0.3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8"/>
      <c r="AG282" s="7"/>
      <c r="AH282" s="7"/>
      <c r="AI282" s="7"/>
      <c r="AJ282" s="7"/>
      <c r="AK282" s="7"/>
      <c r="AL282" s="8"/>
      <c r="AM282" s="7"/>
      <c r="AN282" s="7"/>
      <c r="AO282" s="7"/>
      <c r="AP282" s="7"/>
      <c r="AQ282" s="7"/>
      <c r="AR282" s="8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9"/>
      <c r="BM282" s="10"/>
    </row>
    <row r="283" spans="1:65" x14ac:dyDescent="0.3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8"/>
      <c r="AG283" s="7"/>
      <c r="AH283" s="7"/>
      <c r="AI283" s="7"/>
      <c r="AJ283" s="7"/>
      <c r="AK283" s="7"/>
      <c r="AL283" s="8"/>
      <c r="AM283" s="7"/>
      <c r="AN283" s="7"/>
      <c r="AO283" s="7"/>
      <c r="AP283" s="7"/>
      <c r="AQ283" s="7"/>
      <c r="AR283" s="8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9"/>
      <c r="BM283" s="10"/>
    </row>
    <row r="284" spans="1:65" x14ac:dyDescent="0.3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8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8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10"/>
    </row>
    <row r="285" spans="1:65" x14ac:dyDescent="0.3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8"/>
      <c r="AG285" s="7"/>
      <c r="AH285" s="7"/>
      <c r="AI285" s="7"/>
      <c r="AJ285" s="7"/>
      <c r="AK285" s="7"/>
      <c r="AL285" s="8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9"/>
      <c r="BM285" s="10"/>
    </row>
    <row r="286" spans="1:65" x14ac:dyDescent="0.3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8"/>
      <c r="AM286" s="8"/>
      <c r="AN286" s="7"/>
      <c r="AO286" s="7"/>
      <c r="AP286" s="7"/>
      <c r="AQ286" s="7"/>
      <c r="AR286" s="8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9"/>
      <c r="BM286" s="10"/>
    </row>
    <row r="287" spans="1:65" x14ac:dyDescent="0.3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8"/>
      <c r="AG287" s="8"/>
      <c r="AH287" s="7"/>
      <c r="AI287" s="7"/>
      <c r="AJ287" s="7"/>
      <c r="AK287" s="7"/>
      <c r="AL287" s="8"/>
      <c r="AM287" s="8"/>
      <c r="AN287" s="7"/>
      <c r="AO287" s="7"/>
      <c r="AP287" s="7"/>
      <c r="AQ287" s="7"/>
      <c r="AR287" s="8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9"/>
      <c r="BM287" s="10"/>
    </row>
    <row r="288" spans="1:65" x14ac:dyDescent="0.3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8"/>
      <c r="AG288" s="7"/>
      <c r="AH288" s="7"/>
      <c r="AI288" s="7"/>
      <c r="AJ288" s="7"/>
      <c r="AK288" s="7"/>
      <c r="AL288" s="8"/>
      <c r="AM288" s="7"/>
      <c r="AN288" s="7"/>
      <c r="AO288" s="7"/>
      <c r="AP288" s="7"/>
      <c r="AQ288" s="7"/>
      <c r="AR288" s="8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9"/>
      <c r="BM288" s="10"/>
    </row>
    <row r="289" spans="1:65" x14ac:dyDescent="0.3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8"/>
      <c r="AG289" s="7"/>
      <c r="AH289" s="7"/>
      <c r="AI289" s="7"/>
      <c r="AJ289" s="7"/>
      <c r="AK289" s="7"/>
      <c r="AL289" s="8"/>
      <c r="AM289" s="7"/>
      <c r="AN289" s="7"/>
      <c r="AO289" s="7"/>
      <c r="AP289" s="7"/>
      <c r="AQ289" s="7"/>
      <c r="AR289" s="8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9"/>
      <c r="BM289" s="10"/>
    </row>
    <row r="290" spans="1:65" x14ac:dyDescent="0.3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8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9"/>
      <c r="BM290" s="10"/>
    </row>
    <row r="291" spans="1:65" x14ac:dyDescent="0.3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8"/>
      <c r="AG291" s="8"/>
      <c r="AH291" s="7"/>
      <c r="AI291" s="7"/>
      <c r="AJ291" s="7"/>
      <c r="AK291" s="7"/>
      <c r="AL291" s="8"/>
      <c r="AM291" s="8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9"/>
      <c r="BM291" s="10"/>
    </row>
    <row r="292" spans="1:65" x14ac:dyDescent="0.3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8"/>
      <c r="AG292" s="8"/>
      <c r="AH292" s="7"/>
      <c r="AI292" s="7"/>
      <c r="AJ292" s="7"/>
      <c r="AK292" s="7"/>
      <c r="AL292" s="8"/>
      <c r="AM292" s="8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10"/>
    </row>
    <row r="293" spans="1:65" x14ac:dyDescent="0.3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8"/>
      <c r="AG293" s="7"/>
      <c r="AH293" s="7"/>
      <c r="AI293" s="7"/>
      <c r="AJ293" s="7"/>
      <c r="AK293" s="7"/>
      <c r="AL293" s="8"/>
      <c r="AM293" s="8"/>
      <c r="AN293" s="7"/>
      <c r="AO293" s="7"/>
      <c r="AP293" s="7"/>
      <c r="AQ293" s="7"/>
      <c r="AR293" s="8"/>
      <c r="AS293" s="8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9"/>
      <c r="BM293" s="10"/>
    </row>
    <row r="294" spans="1:65" x14ac:dyDescent="0.3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8"/>
      <c r="AG294" s="8"/>
      <c r="AH294" s="7"/>
      <c r="AI294" s="7"/>
      <c r="AJ294" s="7"/>
      <c r="AK294" s="7"/>
      <c r="AL294" s="8"/>
      <c r="AM294" s="8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9"/>
      <c r="BM294" s="10"/>
    </row>
    <row r="295" spans="1:65" x14ac:dyDescent="0.3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8"/>
      <c r="AG295" s="7"/>
      <c r="AH295" s="7"/>
      <c r="AI295" s="7"/>
      <c r="AJ295" s="7"/>
      <c r="AK295" s="7"/>
      <c r="AL295" s="8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9"/>
      <c r="BM295" s="10"/>
    </row>
    <row r="296" spans="1:65" x14ac:dyDescent="0.3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8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10"/>
    </row>
    <row r="297" spans="1:65" x14ac:dyDescent="0.3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8"/>
      <c r="AG297" s="7"/>
      <c r="AH297" s="7"/>
      <c r="AI297" s="7"/>
      <c r="AJ297" s="7"/>
      <c r="AK297" s="7"/>
      <c r="AL297" s="8"/>
      <c r="AM297" s="7"/>
      <c r="AN297" s="7"/>
      <c r="AO297" s="7"/>
      <c r="AP297" s="7"/>
      <c r="AQ297" s="7"/>
      <c r="AR297" s="8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9"/>
      <c r="BM297" s="10"/>
    </row>
    <row r="298" spans="1:65" x14ac:dyDescent="0.3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8"/>
      <c r="AG298" s="7"/>
      <c r="AH298" s="7"/>
      <c r="AI298" s="7"/>
      <c r="AJ298" s="7"/>
      <c r="AK298" s="7"/>
      <c r="AL298" s="8"/>
      <c r="AM298" s="8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9"/>
      <c r="BM298" s="10"/>
    </row>
    <row r="299" spans="1:65" x14ac:dyDescent="0.3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8"/>
      <c r="AG299" s="7"/>
      <c r="AH299" s="7"/>
      <c r="AI299" s="7"/>
      <c r="AJ299" s="7"/>
      <c r="AK299" s="7"/>
      <c r="AL299" s="8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9"/>
      <c r="BM299" s="10"/>
    </row>
    <row r="300" spans="1:65" x14ac:dyDescent="0.3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8"/>
      <c r="AG300" s="7"/>
      <c r="AH300" s="7"/>
      <c r="AI300" s="7"/>
      <c r="AJ300" s="7"/>
      <c r="AK300" s="7"/>
      <c r="AL300" s="8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10"/>
    </row>
    <row r="301" spans="1:65" x14ac:dyDescent="0.3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8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8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10"/>
    </row>
    <row r="302" spans="1:65" x14ac:dyDescent="0.3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8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9"/>
      <c r="BM302" s="10"/>
    </row>
    <row r="303" spans="1:65" x14ac:dyDescent="0.3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8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10"/>
    </row>
    <row r="304" spans="1:65" x14ac:dyDescent="0.3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8"/>
      <c r="AG304" s="7"/>
      <c r="AH304" s="7"/>
      <c r="AI304" s="7"/>
      <c r="AJ304" s="7"/>
      <c r="AK304" s="7"/>
      <c r="AL304" s="8"/>
      <c r="AM304" s="8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9"/>
      <c r="BM304" s="10"/>
    </row>
    <row r="305" spans="1:65" x14ac:dyDescent="0.3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8"/>
      <c r="AG305" s="7"/>
      <c r="AH305" s="7"/>
      <c r="AI305" s="7"/>
      <c r="AJ305" s="7"/>
      <c r="AK305" s="7"/>
      <c r="AL305" s="8"/>
      <c r="AM305" s="8"/>
      <c r="AN305" s="7"/>
      <c r="AO305" s="7"/>
      <c r="AP305" s="7"/>
      <c r="AQ305" s="7"/>
      <c r="AR305" s="8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10"/>
    </row>
    <row r="306" spans="1:65" x14ac:dyDescent="0.3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8"/>
      <c r="AJ306" s="7"/>
      <c r="AK306" s="7"/>
      <c r="AL306" s="8"/>
      <c r="AM306" s="7"/>
      <c r="AN306" s="7"/>
      <c r="AO306" s="8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9"/>
      <c r="BM306" s="10"/>
    </row>
    <row r="307" spans="1:65" x14ac:dyDescent="0.3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8"/>
      <c r="AM307" s="8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9"/>
      <c r="BM307" s="10"/>
    </row>
    <row r="308" spans="1:65" x14ac:dyDescent="0.3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8"/>
      <c r="AG308" s="7"/>
      <c r="AH308" s="7"/>
      <c r="AI308" s="7"/>
      <c r="AJ308" s="7"/>
      <c r="AK308" s="7"/>
      <c r="AL308" s="8"/>
      <c r="AM308" s="7"/>
      <c r="AN308" s="7"/>
      <c r="AO308" s="7"/>
      <c r="AP308" s="7"/>
      <c r="AQ308" s="7"/>
      <c r="AR308" s="8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9"/>
      <c r="BM308" s="10"/>
    </row>
    <row r="309" spans="1:65" x14ac:dyDescent="0.3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8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9"/>
      <c r="BM309" s="10"/>
    </row>
    <row r="310" spans="1:65" x14ac:dyDescent="0.3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8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8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10"/>
    </row>
    <row r="311" spans="1:65" x14ac:dyDescent="0.3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8"/>
      <c r="AG311" s="7"/>
      <c r="AH311" s="7"/>
      <c r="AI311" s="7"/>
      <c r="AJ311" s="7"/>
      <c r="AK311" s="7"/>
      <c r="AL311" s="8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9"/>
      <c r="BM311" s="10"/>
    </row>
    <row r="312" spans="1:65" x14ac:dyDescent="0.3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8"/>
      <c r="AS312" s="8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10"/>
    </row>
    <row r="313" spans="1:65" x14ac:dyDescent="0.3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8"/>
      <c r="AG313" s="7"/>
      <c r="AH313" s="7"/>
      <c r="AI313" s="7"/>
      <c r="AJ313" s="7"/>
      <c r="AK313" s="7"/>
      <c r="AL313" s="8"/>
      <c r="AM313" s="8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9"/>
      <c r="BM313" s="10"/>
    </row>
    <row r="314" spans="1:65" x14ac:dyDescent="0.3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8"/>
      <c r="AM314" s="8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9"/>
      <c r="BM314" s="10"/>
    </row>
    <row r="315" spans="1:65" x14ac:dyDescent="0.3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8"/>
      <c r="AG315" s="7"/>
      <c r="AH315" s="7"/>
      <c r="AI315" s="7"/>
      <c r="AJ315" s="7"/>
      <c r="AK315" s="7"/>
      <c r="AL315" s="7"/>
      <c r="AM315" s="8"/>
      <c r="AN315" s="7"/>
      <c r="AO315" s="7"/>
      <c r="AP315" s="7"/>
      <c r="AQ315" s="7"/>
      <c r="AR315" s="8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10"/>
    </row>
    <row r="316" spans="1:65" x14ac:dyDescent="0.3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8"/>
      <c r="AG316" s="7"/>
      <c r="AH316" s="7"/>
      <c r="AI316" s="7"/>
      <c r="AJ316" s="7"/>
      <c r="AK316" s="7"/>
      <c r="AL316" s="8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9"/>
      <c r="BM316" s="10"/>
    </row>
    <row r="317" spans="1:65" x14ac:dyDescent="0.3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8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9"/>
      <c r="BM317" s="10"/>
    </row>
    <row r="318" spans="1:65" x14ac:dyDescent="0.3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8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9"/>
      <c r="BM318" s="10"/>
    </row>
    <row r="319" spans="1:65" x14ac:dyDescent="0.3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8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10"/>
    </row>
    <row r="320" spans="1:65" x14ac:dyDescent="0.3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8"/>
      <c r="AG320" s="7"/>
      <c r="AH320" s="7"/>
      <c r="AI320" s="7"/>
      <c r="AJ320" s="7"/>
      <c r="AK320" s="7"/>
      <c r="AL320" s="8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9"/>
      <c r="BM320" s="10"/>
    </row>
    <row r="321" spans="1:65" x14ac:dyDescent="0.3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8"/>
      <c r="AN321" s="7"/>
      <c r="AO321" s="7"/>
      <c r="AP321" s="7"/>
      <c r="AQ321" s="7"/>
      <c r="AR321" s="8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10"/>
    </row>
    <row r="322" spans="1:65" x14ac:dyDescent="0.3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8"/>
      <c r="AG322" s="7"/>
      <c r="AH322" s="7"/>
      <c r="AI322" s="7"/>
      <c r="AJ322" s="7"/>
      <c r="AK322" s="7"/>
      <c r="AL322" s="8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9"/>
      <c r="BM322" s="10"/>
    </row>
    <row r="323" spans="1:65" x14ac:dyDescent="0.3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8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9"/>
      <c r="BM323" s="10"/>
    </row>
    <row r="324" spans="1:65" x14ac:dyDescent="0.3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8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10"/>
    </row>
    <row r="325" spans="1:65" x14ac:dyDescent="0.3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8"/>
      <c r="AG325" s="8"/>
      <c r="AH325" s="7"/>
      <c r="AI325" s="7"/>
      <c r="AJ325" s="7"/>
      <c r="AK325" s="7"/>
      <c r="AL325" s="8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10"/>
    </row>
    <row r="326" spans="1:65" x14ac:dyDescent="0.3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8"/>
      <c r="AM326" s="7"/>
      <c r="AN326" s="7"/>
      <c r="AO326" s="7"/>
      <c r="AP326" s="7"/>
      <c r="AQ326" s="7"/>
      <c r="AR326" s="8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9"/>
      <c r="BM326" s="10"/>
    </row>
    <row r="327" spans="1:65" x14ac:dyDescent="0.3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8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9"/>
      <c r="BM327" s="10"/>
    </row>
    <row r="328" spans="1:65" x14ac:dyDescent="0.3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8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9"/>
      <c r="BM328" s="10"/>
    </row>
    <row r="329" spans="1:65" x14ac:dyDescent="0.3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8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8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10"/>
    </row>
    <row r="330" spans="1:65" x14ac:dyDescent="0.3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8"/>
      <c r="AG330" s="7"/>
      <c r="AH330" s="7"/>
      <c r="AI330" s="7"/>
      <c r="AJ330" s="7"/>
      <c r="AK330" s="7"/>
      <c r="AL330" s="8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10"/>
    </row>
    <row r="331" spans="1:65" x14ac:dyDescent="0.3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8"/>
      <c r="AG331" s="7"/>
      <c r="AH331" s="7"/>
      <c r="AI331" s="7"/>
      <c r="AJ331" s="7"/>
      <c r="AK331" s="7"/>
      <c r="AL331" s="8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9"/>
      <c r="BM331" s="10"/>
    </row>
    <row r="332" spans="1:65" x14ac:dyDescent="0.3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8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9"/>
      <c r="BM332" s="10"/>
    </row>
    <row r="333" spans="1:65" x14ac:dyDescent="0.3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8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8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10"/>
    </row>
    <row r="334" spans="1:65" x14ac:dyDescent="0.3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8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9"/>
      <c r="BM334" s="10"/>
    </row>
    <row r="335" spans="1:65" x14ac:dyDescent="0.3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8"/>
      <c r="AG335" s="8"/>
      <c r="AH335" s="7"/>
      <c r="AI335" s="7"/>
      <c r="AJ335" s="7"/>
      <c r="AK335" s="7"/>
      <c r="AL335" s="7"/>
      <c r="AM335" s="8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10"/>
    </row>
    <row r="336" spans="1:65" x14ac:dyDescent="0.3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8"/>
      <c r="AH336" s="7"/>
      <c r="AI336" s="7"/>
      <c r="AJ336" s="7"/>
      <c r="AK336" s="7"/>
      <c r="AL336" s="7"/>
      <c r="AM336" s="8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10"/>
    </row>
    <row r="337" spans="1:65" x14ac:dyDescent="0.3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10"/>
    </row>
    <row r="338" spans="1:65" x14ac:dyDescent="0.3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8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10"/>
    </row>
    <row r="339" spans="1:65" x14ac:dyDescent="0.3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8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9"/>
      <c r="BM339" s="10"/>
    </row>
    <row r="340" spans="1:65" x14ac:dyDescent="0.3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10"/>
    </row>
    <row r="341" spans="1:65" x14ac:dyDescent="0.3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8"/>
      <c r="AM341" s="8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10"/>
    </row>
    <row r="342" spans="1:65" x14ac:dyDescent="0.3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8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10"/>
    </row>
    <row r="343" spans="1:65" x14ac:dyDescent="0.3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8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9"/>
      <c r="BM343" s="10"/>
    </row>
    <row r="344" spans="1:65" x14ac:dyDescent="0.3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8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10"/>
    </row>
    <row r="345" spans="1:65" x14ac:dyDescent="0.3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8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10"/>
    </row>
    <row r="346" spans="1:65" x14ac:dyDescent="0.3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8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10"/>
    </row>
    <row r="347" spans="1:65" x14ac:dyDescent="0.3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8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10"/>
    </row>
    <row r="348" spans="1:65" x14ac:dyDescent="0.3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8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10"/>
    </row>
    <row r="349" spans="1:65" x14ac:dyDescent="0.3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8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10"/>
    </row>
    <row r="350" spans="1:65" x14ac:dyDescent="0.3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8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10"/>
    </row>
    <row r="351" spans="1:65" x14ac:dyDescent="0.3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8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10"/>
    </row>
    <row r="352" spans="1:65" x14ac:dyDescent="0.3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8"/>
      <c r="AH352" s="7"/>
      <c r="AI352" s="7"/>
      <c r="AJ352" s="7"/>
      <c r="AK352" s="7"/>
      <c r="AL352" s="7"/>
      <c r="AM352" s="8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10"/>
    </row>
    <row r="353" spans="1:65" x14ac:dyDescent="0.3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8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10"/>
    </row>
    <row r="354" spans="1:65" x14ac:dyDescent="0.3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8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10"/>
    </row>
    <row r="355" spans="1:65" x14ac:dyDescent="0.3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8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10"/>
    </row>
    <row r="356" spans="1:65" x14ac:dyDescent="0.3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8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10"/>
    </row>
    <row r="357" spans="1:65" x14ac:dyDescent="0.3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8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10"/>
    </row>
    <row r="358" spans="1:65" x14ac:dyDescent="0.3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8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10"/>
    </row>
    <row r="359" spans="1:65" x14ac:dyDescent="0.3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8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10"/>
    </row>
    <row r="360" spans="1:65" x14ac:dyDescent="0.3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8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10"/>
    </row>
    <row r="361" spans="1:65" x14ac:dyDescent="0.3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8"/>
      <c r="AG361" s="7"/>
      <c r="AH361" s="7"/>
      <c r="AI361" s="7"/>
      <c r="AJ361" s="7"/>
      <c r="AK361" s="7"/>
      <c r="AL361" s="7"/>
      <c r="AM361" s="8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10"/>
    </row>
    <row r="362" spans="1:65" x14ac:dyDescent="0.3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8"/>
      <c r="AG362" s="7"/>
      <c r="AH362" s="7"/>
      <c r="AI362" s="7"/>
      <c r="AJ362" s="7"/>
      <c r="AK362" s="7"/>
      <c r="AL362" s="7"/>
      <c r="AM362" s="8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10"/>
    </row>
    <row r="363" spans="1:65" x14ac:dyDescent="0.3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8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10"/>
    </row>
    <row r="364" spans="1:65" x14ac:dyDescent="0.3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8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10"/>
    </row>
    <row r="365" spans="1:65" x14ac:dyDescent="0.3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8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10"/>
    </row>
    <row r="366" spans="1:65" x14ac:dyDescent="0.3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8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10"/>
    </row>
    <row r="367" spans="1:65" x14ac:dyDescent="0.3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8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10"/>
    </row>
    <row r="368" spans="1:65" x14ac:dyDescent="0.3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8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10"/>
    </row>
    <row r="369" spans="1:65" x14ac:dyDescent="0.3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8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10"/>
    </row>
    <row r="370" spans="1:65" x14ac:dyDescent="0.3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8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10"/>
    </row>
    <row r="371" spans="1:65" x14ac:dyDescent="0.3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10"/>
    </row>
    <row r="372" spans="1:65" x14ac:dyDescent="0.3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8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10"/>
    </row>
    <row r="373" spans="1:65" x14ac:dyDescent="0.3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8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10"/>
    </row>
    <row r="374" spans="1:65" x14ac:dyDescent="0.3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8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10"/>
    </row>
    <row r="375" spans="1:65" x14ac:dyDescent="0.3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11"/>
    </row>
    <row r="376" spans="1:65" x14ac:dyDescent="0.3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11"/>
    </row>
    <row r="377" spans="1:65" x14ac:dyDescent="0.3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11"/>
    </row>
    <row r="378" spans="1:65" x14ac:dyDescent="0.3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11"/>
    </row>
    <row r="379" spans="1:65" x14ac:dyDescent="0.3">
      <c r="A379" s="5"/>
      <c r="B379" s="5"/>
      <c r="C379" s="5"/>
      <c r="D379" s="6"/>
      <c r="E379" s="5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11"/>
    </row>
    <row r="380" spans="1:65" x14ac:dyDescent="0.3">
      <c r="A380" s="5"/>
      <c r="B380" s="5"/>
      <c r="C380" s="5"/>
      <c r="D380" s="6"/>
      <c r="E380" s="5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11"/>
    </row>
    <row r="381" spans="1:65" x14ac:dyDescent="0.3">
      <c r="A381" s="5"/>
      <c r="B381" s="5"/>
      <c r="C381" s="5"/>
      <c r="D381" s="6"/>
      <c r="E381" s="5"/>
      <c r="F381" s="5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11"/>
    </row>
    <row r="382" spans="1:65" x14ac:dyDescent="0.3">
      <c r="A382" s="5"/>
      <c r="B382" s="5"/>
      <c r="C382" s="5"/>
      <c r="D382" s="6"/>
      <c r="E382" s="5"/>
      <c r="F382" s="5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11"/>
    </row>
    <row r="383" spans="1:65" x14ac:dyDescent="0.3">
      <c r="A383" s="5"/>
      <c r="B383" s="5"/>
      <c r="C383" s="5"/>
      <c r="D383" s="6"/>
      <c r="E383" s="5"/>
      <c r="F383" s="5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11"/>
    </row>
    <row r="384" spans="1:65" x14ac:dyDescent="0.3">
      <c r="A384" s="5"/>
      <c r="B384" s="5"/>
      <c r="C384" s="5"/>
      <c r="D384" s="6"/>
      <c r="E384" s="5"/>
      <c r="F384" s="5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11"/>
    </row>
    <row r="385" spans="1:65" x14ac:dyDescent="0.3">
      <c r="A385" s="5"/>
      <c r="B385" s="5"/>
      <c r="C385" s="5"/>
      <c r="D385" s="6"/>
      <c r="E385" s="5"/>
      <c r="F385" s="5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11"/>
    </row>
    <row r="386" spans="1:65" x14ac:dyDescent="0.3">
      <c r="A386" s="5"/>
      <c r="B386" s="5"/>
      <c r="C386" s="5"/>
      <c r="D386" s="6"/>
      <c r="E386" s="5"/>
      <c r="F386" s="5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11"/>
    </row>
    <row r="387" spans="1:65" x14ac:dyDescent="0.3">
      <c r="A387" s="5"/>
      <c r="B387" s="5"/>
      <c r="C387" s="5"/>
      <c r="D387" s="6"/>
      <c r="E387" s="5"/>
      <c r="F387" s="5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11"/>
    </row>
    <row r="388" spans="1:65" x14ac:dyDescent="0.3">
      <c r="A388" s="5"/>
      <c r="B388" s="5"/>
      <c r="C388" s="5"/>
      <c r="D388" s="6"/>
      <c r="E388" s="5"/>
      <c r="F388" s="5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11"/>
    </row>
    <row r="389" spans="1:65" x14ac:dyDescent="0.3">
      <c r="A389" s="5"/>
      <c r="B389" s="5"/>
      <c r="C389" s="5"/>
      <c r="D389" s="6"/>
      <c r="E389" s="5"/>
      <c r="F389" s="5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2022-11-02T03:01:03Z</dcterms:modified>
</cp:coreProperties>
</file>