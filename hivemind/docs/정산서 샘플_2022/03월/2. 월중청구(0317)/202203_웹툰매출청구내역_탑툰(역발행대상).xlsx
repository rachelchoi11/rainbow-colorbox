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3월매출\2. 월중매출(0317)\"/>
    </mc:Choice>
  </mc:AlternateContent>
  <bookViews>
    <workbookView xWindow="0" yWindow="0" windowWidth="23040" windowHeight="8952"/>
  </bookViews>
  <sheets>
    <sheet name="합계(2)" sheetId="1" r:id="rId1"/>
    <sheet name="혜원" sheetId="2" r:id="rId2"/>
    <sheet name="진엔터" sheetId="3" r:id="rId3"/>
  </sheets>
  <calcPr calcId="152511"/>
</workbook>
</file>

<file path=xl/calcChain.xml><?xml version="1.0" encoding="utf-8"?>
<calcChain xmlns="http://schemas.openxmlformats.org/spreadsheetml/2006/main">
  <c r="O3" i="3" l="1"/>
  <c r="O3" i="2"/>
  <c r="O11" i="1"/>
</calcChain>
</file>

<file path=xl/sharedStrings.xml><?xml version="1.0" encoding="utf-8"?>
<sst xmlns="http://schemas.openxmlformats.org/spreadsheetml/2006/main" count="114" uniqueCount="29">
  <si>
    <t>#</t>
  </si>
  <si>
    <t>구분</t>
  </si>
  <si>
    <t>작품명</t>
  </si>
  <si>
    <t>범위</t>
  </si>
  <si>
    <t>세금</t>
  </si>
  <si>
    <t>WEB 정산</t>
  </si>
  <si>
    <t>APP 정산</t>
  </si>
  <si>
    <t>결제 및 기타수수료</t>
  </si>
  <si>
    <t>02월 연재</t>
  </si>
  <si>
    <t>02월 휴재</t>
  </si>
  <si>
    <t>연재/MG정산액</t>
  </si>
  <si>
    <t>RS 선지급차감액</t>
  </si>
  <si>
    <t>RS 조정액</t>
  </si>
  <si>
    <t>RS 정산액</t>
  </si>
  <si>
    <t>총 정산액</t>
  </si>
  <si>
    <t>기타</t>
  </si>
  <si>
    <t>(한국)</t>
  </si>
  <si>
    <t>내 남편의 스토커</t>
  </si>
  <si>
    <t>전체회차</t>
  </si>
  <si>
    <t>면세</t>
  </si>
  <si>
    <t>(연재없음)</t>
  </si>
  <si>
    <t>연애 2분의 1</t>
  </si>
  <si>
    <t>최애에게 들켜버렸다</t>
  </si>
  <si>
    <t>공주전쟁</t>
  </si>
  <si>
    <t>폭군의 눈물</t>
  </si>
  <si>
    <t>별빛 아래 우리</t>
  </si>
  <si>
    <t>백스테이지 키스신</t>
  </si>
  <si>
    <t>계약연애, 오늘부터 1일</t>
  </si>
  <si>
    <t>폐하, 옥체 보존하세요!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</si>
</sst>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66666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"/>
      <color rgb="FFAAAAAA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CCCCCC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right" vertical="center" wrapText="1"/>
    </xf>
    <xf numFmtId="3" fontId="0" fillId="34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showGridLines="0" tabSelected="1" workbookViewId="0">
      <selection activeCell="E19" sqref="E19"/>
    </sheetView>
  </sheetViews>
  <sheetFormatPr defaultRowHeight="17.399999999999999" x14ac:dyDescent="0.4"/>
  <cols>
    <col min="1" max="1" width="7.796875" customWidth="1"/>
    <col min="2" max="2" width="6" bestFit="1" customWidth="1"/>
    <col min="3" max="3" width="20.09765625" bestFit="1" customWidth="1"/>
    <col min="4" max="4" width="6" bestFit="1" customWidth="1"/>
    <col min="5" max="5" width="4.796875" bestFit="1" customWidth="1"/>
    <col min="6" max="6" width="8.8984375" bestFit="1" customWidth="1"/>
    <col min="7" max="7" width="8.5" bestFit="1" customWidth="1"/>
    <col min="8" max="8" width="16.69921875" bestFit="1" customWidth="1"/>
    <col min="9" max="10" width="9.19921875" bestFit="1" customWidth="1"/>
    <col min="11" max="11" width="13.69921875" bestFit="1" customWidth="1"/>
    <col min="12" max="12" width="14.5" bestFit="1" customWidth="1"/>
    <col min="13" max="14" width="9" bestFit="1" customWidth="1"/>
    <col min="16" max="16" width="6.19921875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>
        <v>10811</v>
      </c>
      <c r="B2" s="3" t="s">
        <v>16</v>
      </c>
      <c r="C2" s="4" t="s">
        <v>17</v>
      </c>
      <c r="D2" s="5" t="s">
        <v>18</v>
      </c>
      <c r="E2" s="6" t="s">
        <v>19</v>
      </c>
      <c r="F2" s="7">
        <v>6237</v>
      </c>
      <c r="G2" s="9">
        <v>0</v>
      </c>
      <c r="H2" s="8"/>
      <c r="I2" s="10" t="s">
        <v>20</v>
      </c>
      <c r="J2" s="10" t="s">
        <v>20</v>
      </c>
      <c r="K2" s="9">
        <v>0</v>
      </c>
      <c r="L2" s="9">
        <v>0</v>
      </c>
      <c r="M2" s="9">
        <v>0</v>
      </c>
      <c r="N2" s="7">
        <v>6237</v>
      </c>
      <c r="O2" s="7">
        <v>6237</v>
      </c>
      <c r="P2" s="8"/>
    </row>
    <row r="3" spans="1:16" x14ac:dyDescent="0.4">
      <c r="A3" s="2">
        <v>10812</v>
      </c>
      <c r="B3" s="3" t="s">
        <v>16</v>
      </c>
      <c r="C3" s="4" t="s">
        <v>21</v>
      </c>
      <c r="D3" s="5" t="s">
        <v>18</v>
      </c>
      <c r="E3" s="6" t="s">
        <v>19</v>
      </c>
      <c r="F3" s="7">
        <v>6156</v>
      </c>
      <c r="G3" s="9">
        <v>0</v>
      </c>
      <c r="H3" s="8"/>
      <c r="I3" s="10" t="s">
        <v>20</v>
      </c>
      <c r="J3" s="10" t="s">
        <v>20</v>
      </c>
      <c r="K3" s="9">
        <v>0</v>
      </c>
      <c r="L3" s="9">
        <v>0</v>
      </c>
      <c r="M3" s="9">
        <v>0</v>
      </c>
      <c r="N3" s="7">
        <v>6156</v>
      </c>
      <c r="O3" s="7">
        <v>6156</v>
      </c>
      <c r="P3" s="8"/>
    </row>
    <row r="4" spans="1:16" x14ac:dyDescent="0.4">
      <c r="A4" s="2">
        <v>10813</v>
      </c>
      <c r="B4" s="3" t="s">
        <v>16</v>
      </c>
      <c r="C4" s="4" t="s">
        <v>22</v>
      </c>
      <c r="D4" s="5" t="s">
        <v>18</v>
      </c>
      <c r="E4" s="6" t="s">
        <v>19</v>
      </c>
      <c r="F4" s="7">
        <v>15714</v>
      </c>
      <c r="G4" s="9">
        <v>0</v>
      </c>
      <c r="H4" s="8"/>
      <c r="I4" s="10" t="s">
        <v>20</v>
      </c>
      <c r="J4" s="10" t="s">
        <v>20</v>
      </c>
      <c r="K4" s="9">
        <v>0</v>
      </c>
      <c r="L4" s="9">
        <v>0</v>
      </c>
      <c r="M4" s="9">
        <v>0</v>
      </c>
      <c r="N4" s="7">
        <v>15714</v>
      </c>
      <c r="O4" s="7">
        <v>15714</v>
      </c>
      <c r="P4" s="8"/>
    </row>
    <row r="5" spans="1:16" x14ac:dyDescent="0.4">
      <c r="A5" s="2">
        <v>10814</v>
      </c>
      <c r="B5" s="3" t="s">
        <v>16</v>
      </c>
      <c r="C5" s="4" t="s">
        <v>23</v>
      </c>
      <c r="D5" s="5" t="s">
        <v>18</v>
      </c>
      <c r="E5" s="6" t="s">
        <v>19</v>
      </c>
      <c r="F5" s="7">
        <v>13527</v>
      </c>
      <c r="G5" s="7">
        <v>1953</v>
      </c>
      <c r="H5" s="8"/>
      <c r="I5" s="10" t="s">
        <v>20</v>
      </c>
      <c r="J5" s="10" t="s">
        <v>20</v>
      </c>
      <c r="K5" s="9">
        <v>0</v>
      </c>
      <c r="L5" s="9">
        <v>0</v>
      </c>
      <c r="M5" s="9">
        <v>0</v>
      </c>
      <c r="N5" s="7">
        <v>15480</v>
      </c>
      <c r="O5" s="7">
        <v>15480</v>
      </c>
      <c r="P5" s="8"/>
    </row>
    <row r="6" spans="1:16" x14ac:dyDescent="0.4">
      <c r="A6" s="2">
        <v>10815</v>
      </c>
      <c r="B6" s="3" t="s">
        <v>16</v>
      </c>
      <c r="C6" s="4" t="s">
        <v>24</v>
      </c>
      <c r="D6" s="5" t="s">
        <v>18</v>
      </c>
      <c r="E6" s="6" t="s">
        <v>19</v>
      </c>
      <c r="F6" s="9">
        <v>0</v>
      </c>
      <c r="G6" s="9">
        <v>0</v>
      </c>
      <c r="H6" s="8"/>
      <c r="I6" s="10" t="s">
        <v>20</v>
      </c>
      <c r="J6" s="10" t="s">
        <v>20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8"/>
    </row>
    <row r="7" spans="1:16" x14ac:dyDescent="0.4">
      <c r="A7" s="2">
        <v>10816</v>
      </c>
      <c r="B7" s="3" t="s">
        <v>16</v>
      </c>
      <c r="C7" s="4" t="s">
        <v>25</v>
      </c>
      <c r="D7" s="5" t="s">
        <v>18</v>
      </c>
      <c r="E7" s="6" t="s">
        <v>19</v>
      </c>
      <c r="F7" s="7">
        <v>11259</v>
      </c>
      <c r="G7" s="9">
        <v>0</v>
      </c>
      <c r="H7" s="8"/>
      <c r="I7" s="10" t="s">
        <v>20</v>
      </c>
      <c r="J7" s="10" t="s">
        <v>20</v>
      </c>
      <c r="K7" s="9">
        <v>0</v>
      </c>
      <c r="L7" s="9">
        <v>0</v>
      </c>
      <c r="M7" s="9">
        <v>0</v>
      </c>
      <c r="N7" s="7">
        <v>11259</v>
      </c>
      <c r="O7" s="7">
        <v>11259</v>
      </c>
      <c r="P7" s="8"/>
    </row>
    <row r="8" spans="1:16" x14ac:dyDescent="0.4">
      <c r="A8" s="2">
        <v>10818</v>
      </c>
      <c r="B8" s="3" t="s">
        <v>16</v>
      </c>
      <c r="C8" s="4" t="s">
        <v>26</v>
      </c>
      <c r="D8" s="5" t="s">
        <v>18</v>
      </c>
      <c r="E8" s="6" t="s">
        <v>19</v>
      </c>
      <c r="F8" s="7">
        <v>7452</v>
      </c>
      <c r="G8" s="9">
        <v>0</v>
      </c>
      <c r="H8" s="8"/>
      <c r="I8" s="10" t="s">
        <v>20</v>
      </c>
      <c r="J8" s="10" t="s">
        <v>20</v>
      </c>
      <c r="K8" s="9">
        <v>0</v>
      </c>
      <c r="L8" s="9">
        <v>0</v>
      </c>
      <c r="M8" s="9">
        <v>0</v>
      </c>
      <c r="N8" s="7">
        <v>7452</v>
      </c>
      <c r="O8" s="7">
        <v>7452</v>
      </c>
      <c r="P8" s="8"/>
    </row>
    <row r="9" spans="1:16" x14ac:dyDescent="0.4">
      <c r="A9" s="2">
        <v>10819</v>
      </c>
      <c r="B9" s="3" t="s">
        <v>16</v>
      </c>
      <c r="C9" s="4" t="s">
        <v>27</v>
      </c>
      <c r="D9" s="5" t="s">
        <v>18</v>
      </c>
      <c r="E9" s="6" t="s">
        <v>19</v>
      </c>
      <c r="F9" s="9">
        <v>0</v>
      </c>
      <c r="G9" s="9">
        <v>0</v>
      </c>
      <c r="H9" s="8"/>
      <c r="I9" s="10" t="s">
        <v>20</v>
      </c>
      <c r="J9" s="10" t="s">
        <v>20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8"/>
    </row>
    <row r="10" spans="1:16" x14ac:dyDescent="0.4">
      <c r="A10" s="2">
        <v>10822</v>
      </c>
      <c r="B10" s="3" t="s">
        <v>16</v>
      </c>
      <c r="C10" s="4" t="s">
        <v>28</v>
      </c>
      <c r="D10" s="5" t="s">
        <v>18</v>
      </c>
      <c r="E10" s="6" t="s">
        <v>19</v>
      </c>
      <c r="F10" s="7">
        <v>7857</v>
      </c>
      <c r="G10" s="9">
        <v>0</v>
      </c>
      <c r="H10" s="8"/>
      <c r="I10" s="10" t="s">
        <v>20</v>
      </c>
      <c r="J10" s="10" t="s">
        <v>20</v>
      </c>
      <c r="K10" s="9">
        <v>0</v>
      </c>
      <c r="L10" s="9">
        <v>0</v>
      </c>
      <c r="M10" s="9">
        <v>0</v>
      </c>
      <c r="N10" s="7">
        <v>7857</v>
      </c>
      <c r="O10" s="7">
        <v>7857</v>
      </c>
      <c r="P10" s="8"/>
    </row>
    <row r="11" spans="1:16" x14ac:dyDescent="0.4">
      <c r="O11" s="11">
        <f>SUM(O2:O10)</f>
        <v>70155</v>
      </c>
    </row>
  </sheetData>
  <phoneticPr fontId="2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showGridLines="0" workbookViewId="0">
      <selection activeCell="D12" sqref="D12"/>
    </sheetView>
  </sheetViews>
  <sheetFormatPr defaultRowHeight="17.399999999999999" x14ac:dyDescent="0.4"/>
  <cols>
    <col min="1" max="1" width="7.796875" customWidth="1"/>
    <col min="2" max="2" width="6" bestFit="1" customWidth="1"/>
    <col min="3" max="3" width="20.09765625" bestFit="1" customWidth="1"/>
    <col min="4" max="4" width="6" bestFit="1" customWidth="1"/>
    <col min="5" max="5" width="4.796875" bestFit="1" customWidth="1"/>
    <col min="6" max="6" width="8.8984375" bestFit="1" customWidth="1"/>
    <col min="7" max="7" width="8.5" bestFit="1" customWidth="1"/>
    <col min="8" max="8" width="16.69921875" bestFit="1" customWidth="1"/>
    <col min="9" max="10" width="9.19921875" bestFit="1" customWidth="1"/>
    <col min="11" max="11" width="13.69921875" bestFit="1" customWidth="1"/>
    <col min="12" max="12" width="14.5" bestFit="1" customWidth="1"/>
    <col min="13" max="14" width="9" bestFit="1" customWidth="1"/>
    <col min="16" max="16" width="6.19921875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>
        <v>10811</v>
      </c>
      <c r="B2" s="3" t="s">
        <v>16</v>
      </c>
      <c r="C2" s="4" t="s">
        <v>17</v>
      </c>
      <c r="D2" s="5" t="s">
        <v>18</v>
      </c>
      <c r="E2" s="6" t="s">
        <v>19</v>
      </c>
      <c r="F2" s="7">
        <v>6237</v>
      </c>
      <c r="G2" s="9">
        <v>0</v>
      </c>
      <c r="H2" s="8"/>
      <c r="I2" s="10" t="s">
        <v>20</v>
      </c>
      <c r="J2" s="10" t="s">
        <v>20</v>
      </c>
      <c r="K2" s="9">
        <v>0</v>
      </c>
      <c r="L2" s="9">
        <v>0</v>
      </c>
      <c r="M2" s="9">
        <v>0</v>
      </c>
      <c r="N2" s="7">
        <v>6237</v>
      </c>
      <c r="O2" s="7">
        <v>6237</v>
      </c>
      <c r="P2" s="8"/>
    </row>
    <row r="3" spans="1:16" x14ac:dyDescent="0.4">
      <c r="O3" s="11">
        <f>SUM(O2:O2)</f>
        <v>6237</v>
      </c>
    </row>
  </sheetData>
  <phoneticPr fontId="2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showGridLines="0" workbookViewId="0">
      <selection activeCell="C13" sqref="C13"/>
    </sheetView>
  </sheetViews>
  <sheetFormatPr defaultRowHeight="17.399999999999999" x14ac:dyDescent="0.4"/>
  <cols>
    <col min="1" max="1" width="7.796875" customWidth="1"/>
    <col min="2" max="2" width="6" bestFit="1" customWidth="1"/>
    <col min="3" max="3" width="20.09765625" bestFit="1" customWidth="1"/>
    <col min="4" max="4" width="6" bestFit="1" customWidth="1"/>
    <col min="5" max="5" width="4.796875" bestFit="1" customWidth="1"/>
    <col min="6" max="6" width="8.8984375" bestFit="1" customWidth="1"/>
    <col min="7" max="7" width="8.5" bestFit="1" customWidth="1"/>
    <col min="8" max="8" width="16.69921875" bestFit="1" customWidth="1"/>
    <col min="9" max="10" width="9.19921875" bestFit="1" customWidth="1"/>
    <col min="11" max="11" width="13.69921875" bestFit="1" customWidth="1"/>
    <col min="12" max="12" width="14.5" bestFit="1" customWidth="1"/>
    <col min="13" max="14" width="9" bestFit="1" customWidth="1"/>
    <col min="16" max="16" width="6.19921875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>
        <v>10818</v>
      </c>
      <c r="B2" s="3" t="s">
        <v>16</v>
      </c>
      <c r="C2" s="4" t="s">
        <v>26</v>
      </c>
      <c r="D2" s="5" t="s">
        <v>18</v>
      </c>
      <c r="E2" s="6" t="s">
        <v>19</v>
      </c>
      <c r="F2" s="7">
        <v>7452</v>
      </c>
      <c r="G2" s="9">
        <v>0</v>
      </c>
      <c r="H2" s="8"/>
      <c r="I2" s="10" t="s">
        <v>20</v>
      </c>
      <c r="J2" s="10" t="s">
        <v>20</v>
      </c>
      <c r="K2" s="9">
        <v>0</v>
      </c>
      <c r="L2" s="9">
        <v>0</v>
      </c>
      <c r="M2" s="9">
        <v>0</v>
      </c>
      <c r="N2" s="7">
        <v>7452</v>
      </c>
      <c r="O2" s="7">
        <v>7452</v>
      </c>
      <c r="P2" s="8"/>
    </row>
    <row r="3" spans="1:16" x14ac:dyDescent="0.4">
      <c r="O3" s="11">
        <f>SUM(O2:O2)</f>
        <v>7452</v>
      </c>
    </row>
  </sheetData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합계(2)</vt:lpstr>
      <vt:lpstr>혜원</vt:lpstr>
      <vt:lpstr>진엔터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2022-03-17T03:08:01Z</dcterms:created>
  <dcterms:modified xsi:type="dcterms:W3CDTF">2022-03-17T03:08:01Z</dcterms:modified>
</cp:coreProperties>
</file>