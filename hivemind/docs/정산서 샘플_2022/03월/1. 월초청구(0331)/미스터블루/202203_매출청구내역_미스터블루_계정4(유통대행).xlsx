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미스터블루\"/>
    </mc:Choice>
  </mc:AlternateContent>
  <bookViews>
    <workbookView xWindow="0" yWindow="0" windowWidth="23040" windowHeight="8952" tabRatio="722"/>
  </bookViews>
  <sheets>
    <sheet name="합계(3)" sheetId="140" r:id="rId1"/>
    <sheet name="더컴퍼니" sheetId="153" r:id="rId2"/>
    <sheet name="에필로그" sheetId="154" r:id="rId3"/>
    <sheet name="밀리의 서재" sheetId="155" r:id="rId4"/>
    <sheet name="스토리위드" sheetId="156" r:id="rId5"/>
    <sheet name="아크스튜디오" sheetId="157" r:id="rId6"/>
  </sheets>
  <externalReferences>
    <externalReference r:id="rId7"/>
  </externalReferences>
  <definedNames>
    <definedName name="_xlnm._FilterDatabase" localSheetId="0" hidden="1">'합계(3)'!$A$1:$AJ$94</definedName>
    <definedName name="_xlnm.Extract" localSheetId="1">더컴퍼니!$A$1:$AJ$1</definedName>
    <definedName name="_xlnm.Extract" localSheetId="3">'밀리의 서재'!$A$1:$AJ$1</definedName>
    <definedName name="_xlnm.Extract" localSheetId="4">스토리위드!$A$1:$AJ$1</definedName>
    <definedName name="_xlnm.Extract" localSheetId="5">아크스튜디오!$A$1:$AJ$1</definedName>
    <definedName name="_xlnm.Extract" localSheetId="2">에필로그!$A$1:$AJ$1</definedName>
    <definedName name="_xlnm.Extract" localSheetId="0">'합계(3)'!#REF!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" i="157" l="1"/>
  <c r="AJ4" i="156"/>
  <c r="AJ26" i="155"/>
  <c r="AJ25" i="154"/>
  <c r="AJ43" i="153"/>
  <c r="C3" i="140" l="1"/>
  <c r="C4" i="140"/>
  <c r="C5" i="140"/>
  <c r="C6" i="140"/>
  <c r="C7" i="140"/>
  <c r="C8" i="140"/>
  <c r="C9" i="140"/>
  <c r="C10" i="140"/>
  <c r="C11" i="140"/>
  <c r="C12" i="140"/>
  <c r="C13" i="140"/>
  <c r="C22" i="140"/>
  <c r="C23" i="140"/>
  <c r="C24" i="140"/>
  <c r="C25" i="140"/>
  <c r="C26" i="140"/>
  <c r="C27" i="140"/>
  <c r="C28" i="140"/>
  <c r="C29" i="140"/>
  <c r="C30" i="140"/>
  <c r="C31" i="140"/>
  <c r="C32" i="140"/>
  <c r="C33" i="140"/>
  <c r="C34" i="140"/>
  <c r="C35" i="140"/>
  <c r="C36" i="140"/>
  <c r="C37" i="140"/>
  <c r="C38" i="140"/>
  <c r="C39" i="140"/>
  <c r="C40" i="140"/>
  <c r="C42" i="140"/>
  <c r="C44" i="140"/>
  <c r="C45" i="140"/>
  <c r="C46" i="140"/>
  <c r="C47" i="140"/>
  <c r="C48" i="140"/>
  <c r="C49" i="140"/>
  <c r="C50" i="140"/>
  <c r="C51" i="140"/>
  <c r="C52" i="140"/>
  <c r="C53" i="140"/>
  <c r="C56" i="140"/>
  <c r="C57" i="140"/>
  <c r="C58" i="140"/>
  <c r="C59" i="140"/>
  <c r="C60" i="140"/>
  <c r="C61" i="140"/>
  <c r="C62" i="140"/>
  <c r="C63" i="140"/>
  <c r="C64" i="140"/>
  <c r="C65" i="140"/>
  <c r="C66" i="140"/>
  <c r="C67" i="140"/>
  <c r="C68" i="140"/>
  <c r="C69" i="140"/>
  <c r="C70" i="140"/>
  <c r="C71" i="140"/>
  <c r="C72" i="140"/>
  <c r="C73" i="140"/>
  <c r="C74" i="140"/>
  <c r="C75" i="140"/>
  <c r="C76" i="140"/>
  <c r="C78" i="140"/>
  <c r="C79" i="140"/>
  <c r="C80" i="140"/>
  <c r="C82" i="140"/>
  <c r="C83" i="140"/>
  <c r="C84" i="140"/>
  <c r="C85" i="140"/>
  <c r="C86" i="140"/>
  <c r="C87" i="140"/>
  <c r="C88" i="140"/>
  <c r="C89" i="140"/>
  <c r="C90" i="140"/>
  <c r="C91" i="140"/>
  <c r="C93" i="140"/>
  <c r="C2" i="140"/>
  <c r="AJ94" i="140"/>
</calcChain>
</file>

<file path=xl/sharedStrings.xml><?xml version="1.0" encoding="utf-8"?>
<sst xmlns="http://schemas.openxmlformats.org/spreadsheetml/2006/main" count="691" uniqueCount="192">
  <si>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</si>
  <si>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</si>
  <si>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</si>
  <si>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</si>
  <si>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</si>
  <si>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</si>
  <si>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</si>
  <si>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</si>
  <si>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</si>
  <si>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</si>
  <si>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</si>
  <si>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</si>
  <si>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</si>
  <si>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</si>
  <si>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나나코</t>
  </si>
  <si>
    <t>강호, 미치다</t>
  </si>
  <si>
    <t>최재봉</t>
  </si>
  <si>
    <t>기획에 산다</t>
  </si>
  <si>
    <t>남궁세가 건달공자</t>
  </si>
  <si>
    <t>협행마</t>
  </si>
  <si>
    <t>남창목가</t>
  </si>
  <si>
    <t>더 캡틴</t>
  </si>
  <si>
    <t>무림병장</t>
  </si>
  <si>
    <t>무적살수</t>
  </si>
  <si>
    <t>법보다 주먹</t>
  </si>
  <si>
    <t>jooki</t>
  </si>
  <si>
    <t>신들의 성소</t>
  </si>
  <si>
    <t>중년바나나</t>
  </si>
  <si>
    <t>엠프티(Empty)</t>
  </si>
  <si>
    <t>라돌체</t>
  </si>
  <si>
    <t>용병수칙</t>
  </si>
  <si>
    <t>위사무적</t>
  </si>
  <si>
    <t>이 맛에 회장한다</t>
  </si>
  <si>
    <t>이세계 최강 군바리</t>
  </si>
  <si>
    <t>전설이 돼라</t>
  </si>
  <si>
    <t>전장의 금기</t>
  </si>
  <si>
    <t>진짜 사나이</t>
  </si>
  <si>
    <t>하고 싶어</t>
  </si>
  <si>
    <t>시아</t>
  </si>
  <si>
    <t>헌터 킹</t>
  </si>
  <si>
    <t>흑막의 신</t>
  </si>
  <si>
    <t>강산(江山)</t>
  </si>
  <si>
    <t>엠프티(Empty) (외전)</t>
  </si>
  <si>
    <t>티끌모아 대박</t>
  </si>
  <si>
    <t>바보가 만드는 멋진 세상 (개정판)</t>
  </si>
  <si>
    <t>백범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</si>
  <si>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</si>
  <si>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</si>
  <si>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</si>
  <si>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</si>
  <si>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</si>
  <si>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</si>
  <si>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</si>
  <si>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</si>
  <si>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</si>
  <si>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</si>
  <si>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</si>
  <si>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</si>
  <si>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</si>
  <si>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</si>
  <si>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</si>
  <si>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</si>
  <si>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</si>
  <si>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</si>
  <si>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</si>
  <si>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</si>
  <si>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</si>
  <si>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</si>
  <si>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너드 공략집</t>
  </si>
  <si>
    <t>이다겸</t>
  </si>
  <si>
    <t>[BL] 익스클루시브(Exclusive)</t>
  </si>
  <si>
    <t>사틴</t>
  </si>
  <si>
    <t>[BL] 하루하루</t>
  </si>
  <si>
    <t>클라우드 나인(Cloud 9)</t>
  </si>
  <si>
    <t>SISSI</t>
  </si>
  <si>
    <t>악당의 리턴</t>
  </si>
  <si>
    <t>백범(白帆)</t>
  </si>
  <si>
    <t>악당의 리턴 (연재)</t>
  </si>
  <si>
    <t>[BL] 그저, 닿지 않을 너에게</t>
  </si>
  <si>
    <t>뚜여사</t>
  </si>
  <si>
    <t>[BL] More than BLUE(모어 댄 블루)</t>
  </si>
  <si>
    <t>낯선 밤에 마주친</t>
  </si>
  <si>
    <t>춈춈</t>
  </si>
  <si>
    <t>너만 보면 두근두근</t>
  </si>
  <si>
    <t>정경하</t>
  </si>
  <si>
    <t>더티독</t>
  </si>
  <si>
    <t>용가리맛쿠키</t>
  </si>
  <si>
    <t>설연</t>
  </si>
  <si>
    <t>모닝콜(Morning Call)</t>
  </si>
  <si>
    <t>하이지</t>
  </si>
  <si>
    <t>바람피우지 마세요</t>
  </si>
  <si>
    <t>정감</t>
  </si>
  <si>
    <t>법보다 주먹 (연재)</t>
  </si>
  <si>
    <t>비공개 열애</t>
  </si>
  <si>
    <t>박지영</t>
  </si>
  <si>
    <t>설국연가</t>
  </si>
  <si>
    <t>마뇽</t>
  </si>
  <si>
    <t>호랑헌화가</t>
  </si>
  <si>
    <t>여도흔</t>
  </si>
  <si>
    <t>[BL] 금의 해, 새의 눈</t>
  </si>
  <si>
    <t>등나무밑소공자</t>
  </si>
  <si>
    <t>[BL] 사냥꾼</t>
  </si>
  <si>
    <t>고은 나의 고은</t>
  </si>
  <si>
    <t>서풍</t>
  </si>
  <si>
    <t>군주, 다시 귀환하다</t>
  </si>
  <si>
    <t>대공의 아내</t>
  </si>
  <si>
    <t>문시티</t>
  </si>
  <si>
    <t>더티독 (외전)</t>
  </si>
  <si>
    <t>동대륙의 낭인무사</t>
  </si>
  <si>
    <t>라스트 스노우폴(Last Snowfall) (연재)</t>
  </si>
  <si>
    <t>미칠 광(狂), 너에게 미치다 (연재)</t>
  </si>
  <si>
    <t>정연서</t>
  </si>
  <si>
    <t>사냥꾼 (외전)</t>
  </si>
  <si>
    <t>사냥꾼은 마왕이 되기 싫다 (연재)</t>
  </si>
  <si>
    <t>강명운</t>
  </si>
  <si>
    <t>새벽달</t>
  </si>
  <si>
    <t>김혜연</t>
  </si>
  <si>
    <t>선배님 흔들어 주세요 (연재)</t>
  </si>
  <si>
    <t>김매콤</t>
  </si>
  <si>
    <t>수리 낭군</t>
  </si>
  <si>
    <t>하루가</t>
  </si>
  <si>
    <t>신들의 성소 (외전)</t>
  </si>
  <si>
    <t>연애의 시작</t>
  </si>
  <si>
    <t>차크</t>
  </si>
  <si>
    <t>라에르</t>
  </si>
  <si>
    <t>이중생활</t>
  </si>
  <si>
    <t>이정숙</t>
  </si>
  <si>
    <t>향기로운 뿔</t>
  </si>
  <si>
    <t>이진희</t>
  </si>
  <si>
    <t>더컴퍼니</t>
  </si>
  <si>
    <t>에필로그</t>
  </si>
  <si>
    <t>밀리의 서재</t>
  </si>
  <si>
    <t>아크스튜디오</t>
  </si>
  <si>
    <t>[BL] 금의 해, 새의 눈 (연재)</t>
  </si>
  <si>
    <t>[BL] 비터, 비터(Bitter, Bitter)</t>
  </si>
  <si>
    <t>[BL] 월하연인</t>
  </si>
  <si>
    <t>무슈슈</t>
  </si>
  <si>
    <t>[BL] 익스클루시브(Exclusive) (연재)</t>
  </si>
  <si>
    <t>[BL] 주먹 구십구 (연재)</t>
  </si>
  <si>
    <t>마연</t>
  </si>
  <si>
    <t>계약 비서</t>
  </si>
  <si>
    <t>김원경</t>
  </si>
  <si>
    <t>그 여자의 사정</t>
  </si>
  <si>
    <t>전혜진</t>
  </si>
  <si>
    <t>끝까지, 지독하게</t>
  </si>
  <si>
    <t>진태이</t>
  </si>
  <si>
    <t>끝도 없이 젖어드는</t>
  </si>
  <si>
    <t>이서윤</t>
  </si>
  <si>
    <t>내 하루에 네가 피어나</t>
  </si>
  <si>
    <t>정은숙</t>
  </si>
  <si>
    <t>네이처 너처 (Nature Nurture)</t>
  </si>
  <si>
    <t>마왕의 구원자 (외전증보판)</t>
  </si>
  <si>
    <t>바스락</t>
  </si>
  <si>
    <t>달로</t>
  </si>
  <si>
    <t>반하는 세계</t>
  </si>
  <si>
    <t>밤의 제물</t>
  </si>
  <si>
    <t>두럭</t>
  </si>
  <si>
    <t>벗어 주세요</t>
  </si>
  <si>
    <t>주해나</t>
  </si>
  <si>
    <t>베로나에서 그를 만나다</t>
  </si>
  <si>
    <t>원성혜</t>
  </si>
  <si>
    <t>베르사유의 장미</t>
  </si>
  <si>
    <t>불건전한 수컷</t>
  </si>
  <si>
    <t>sJessi</t>
  </si>
  <si>
    <t>사계(Four Season)</t>
  </si>
  <si>
    <t>사랑 그리고 그 후</t>
  </si>
  <si>
    <t>최현자</t>
  </si>
  <si>
    <t>삶의 끝에서</t>
  </si>
  <si>
    <t>이승희</t>
  </si>
  <si>
    <t>선량한 야만인(Salvaje)</t>
  </si>
  <si>
    <t>아는 손, 아는 혀</t>
  </si>
  <si>
    <t>김지언</t>
  </si>
  <si>
    <t>언더독 크라이스 (연재)</t>
  </si>
  <si>
    <t>라이큐</t>
  </si>
  <si>
    <t>우아한 곡선</t>
  </si>
  <si>
    <t>위험한 선배</t>
  </si>
  <si>
    <t>이차적 일탈</t>
  </si>
  <si>
    <t>서혜은</t>
  </si>
  <si>
    <t>정절보다 절정</t>
  </si>
  <si>
    <t>도큐진</t>
  </si>
  <si>
    <t>콘크리트 펀치</t>
  </si>
  <si>
    <t>폭군의 공물</t>
  </si>
  <si>
    <t>여러해살이풀</t>
  </si>
  <si>
    <t>홍염의 덫</t>
  </si>
  <si>
    <t>황궁의 밤</t>
  </si>
  <si>
    <t>현진서</t>
  </si>
  <si>
    <t>밀리의 서재</t>
    <phoneticPr fontId="26" type="noConversion"/>
  </si>
  <si>
    <t>밀리의 서재</t>
    <phoneticPr fontId="26" type="noConversion"/>
  </si>
  <si>
    <t>더컴퍼니</t>
    <phoneticPr fontId="26" type="noConversion"/>
  </si>
  <si>
    <t>스토리위드</t>
    <phoneticPr fontId="26" type="noConversion"/>
  </si>
  <si>
    <t>더컴퍼니</t>
    <phoneticPr fontId="26" type="noConversion"/>
  </si>
  <si>
    <t>스토리위드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</si>
</sst>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1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7"/>
      <name val="돋움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100" fillId="0" borderId="19" xfId="0" applyFont="1" applyBorder="1" applyAlignment="1">
      <alignment horizontal="left" vertical="center" wrapText="1"/>
    </xf>
    <xf numFmtId="4" fontId="0" fillId="43" borderId="0" xfId="0" applyNumberFormat="1" applyFill="1">
      <alignment vertical="center"/>
    </xf>
    <xf numFmtId="0" fontId="0" fillId="43" borderId="0" xfId="0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94"/>
  <sheetViews>
    <sheetView tabSelected="1" zoomScaleNormal="100" workbookViewId="0"/>
  </sheetViews>
  <sheetFormatPr defaultRowHeight="17.399999999999999"/>
  <cols>
    <col min="1" max="1" width="25.19921875" bestFit="1" customWidth="1"/>
    <col min="35" max="35" width="12.8984375" customWidth="1"/>
    <col min="36" max="36" width="13.296875" style="1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18" thickBot="1">
      <c r="A2" s="7" t="s">
        <v>78</v>
      </c>
      <c r="B2" s="7" t="s">
        <v>79</v>
      </c>
      <c r="C2" s="7" t="str">
        <f>VLOOKUP(B2,[1]Sheet1!$B$2:$C$1111,2,FALSE)</f>
        <v>더컴퍼니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9">
        <v>7000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7000</v>
      </c>
      <c r="AH2" s="9">
        <v>4410</v>
      </c>
      <c r="AI2" s="10">
        <v>7000</v>
      </c>
      <c r="AJ2" s="16">
        <v>4410</v>
      </c>
    </row>
    <row r="3" spans="1:36" ht="18.600000000000001" thickBot="1">
      <c r="A3" s="7" t="s">
        <v>99</v>
      </c>
      <c r="B3" s="7" t="s">
        <v>100</v>
      </c>
      <c r="C3" s="7" t="str">
        <f>VLOOKUP(B3,[1]Sheet1!$B$2:$C$1111,2,FALSE)</f>
        <v>더컴퍼니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</v>
      </c>
      <c r="K3" s="8">
        <v>3</v>
      </c>
      <c r="L3" s="9">
        <v>9000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</v>
      </c>
      <c r="AF3" s="8">
        <v>3</v>
      </c>
      <c r="AG3" s="9">
        <v>9000</v>
      </c>
      <c r="AH3" s="9">
        <v>5670</v>
      </c>
      <c r="AI3" s="10">
        <v>9000</v>
      </c>
      <c r="AJ3" s="16">
        <v>5670</v>
      </c>
    </row>
    <row r="4" spans="1:36" ht="18.600000000000001" thickBot="1">
      <c r="A4" s="7" t="s">
        <v>133</v>
      </c>
      <c r="B4" s="7" t="s">
        <v>100</v>
      </c>
      <c r="C4" s="7" t="str">
        <f>VLOOKUP(B4,[1]Sheet1!$B$2:$C$1111,2,FALSE)</f>
        <v>더컴퍼니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271</v>
      </c>
      <c r="K4" s="8">
        <v>271</v>
      </c>
      <c r="L4" s="9">
        <v>27100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271</v>
      </c>
      <c r="AF4" s="8">
        <v>271</v>
      </c>
      <c r="AG4" s="9">
        <v>27100</v>
      </c>
      <c r="AH4" s="9">
        <v>17073</v>
      </c>
      <c r="AI4" s="10">
        <v>27100</v>
      </c>
      <c r="AJ4" s="16">
        <v>17073</v>
      </c>
    </row>
    <row r="5" spans="1:36" ht="18" thickBot="1">
      <c r="A5" s="7" t="s">
        <v>134</v>
      </c>
      <c r="B5" s="7" t="s">
        <v>124</v>
      </c>
      <c r="C5" s="7" t="str">
        <f>VLOOKUP(B5,[1]Sheet1!$B$2:$C$1111,2,FALSE)</f>
        <v>더컴퍼니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</v>
      </c>
      <c r="K5" s="8">
        <v>3</v>
      </c>
      <c r="L5" s="9">
        <v>9000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</v>
      </c>
      <c r="AF5" s="8">
        <v>3</v>
      </c>
      <c r="AG5" s="9">
        <v>9000</v>
      </c>
      <c r="AH5" s="9">
        <v>5670</v>
      </c>
      <c r="AI5" s="10">
        <v>9000</v>
      </c>
      <c r="AJ5" s="16">
        <v>5670</v>
      </c>
    </row>
    <row r="6" spans="1:36" ht="18" thickBot="1">
      <c r="A6" s="7" t="s">
        <v>101</v>
      </c>
      <c r="B6" s="7" t="s">
        <v>29</v>
      </c>
      <c r="C6" s="7" t="str">
        <f>VLOOKUP(B6,[1]Sheet1!$B$2:$C$1111,2,FALSE)</f>
        <v>더컴퍼니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1</v>
      </c>
      <c r="L6" s="9">
        <v>2700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1</v>
      </c>
      <c r="AG6" s="9">
        <v>2700</v>
      </c>
      <c r="AH6" s="9">
        <v>1701</v>
      </c>
      <c r="AI6" s="10">
        <v>2700</v>
      </c>
      <c r="AJ6" s="16">
        <v>1701</v>
      </c>
    </row>
    <row r="7" spans="1:36" ht="18" thickBot="1">
      <c r="A7" s="7" t="s">
        <v>135</v>
      </c>
      <c r="B7" s="7" t="s">
        <v>136</v>
      </c>
      <c r="C7" s="7" t="str">
        <f>VLOOKUP(B7,[1]Sheet1!$B$2:$C$1111,2,FALSE)</f>
        <v>더컴퍼니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</v>
      </c>
      <c r="K7" s="8">
        <v>4</v>
      </c>
      <c r="L7" s="9">
        <v>12800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4</v>
      </c>
      <c r="AF7" s="8">
        <v>4</v>
      </c>
      <c r="AG7" s="9">
        <v>12800</v>
      </c>
      <c r="AH7" s="9">
        <v>8064</v>
      </c>
      <c r="AI7" s="10">
        <v>12800</v>
      </c>
      <c r="AJ7" s="16">
        <v>8064</v>
      </c>
    </row>
    <row r="8" spans="1:36" ht="18" thickBot="1">
      <c r="A8" s="7" t="s">
        <v>70</v>
      </c>
      <c r="B8" s="7" t="s">
        <v>71</v>
      </c>
      <c r="C8" s="7" t="str">
        <f>VLOOKUP(B8,[1]Sheet1!$B$2:$C$1111,2,FALSE)</f>
        <v>더컴퍼니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8">
        <v>2</v>
      </c>
      <c r="R8" s="9">
        <v>6000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2</v>
      </c>
      <c r="AG8" s="9">
        <v>6000</v>
      </c>
      <c r="AH8" s="9">
        <v>3780</v>
      </c>
      <c r="AI8" s="10">
        <v>6000</v>
      </c>
      <c r="AJ8" s="16">
        <v>3780</v>
      </c>
    </row>
    <row r="9" spans="1:36" ht="18" thickBot="1">
      <c r="A9" s="7" t="s">
        <v>137</v>
      </c>
      <c r="B9" s="7" t="s">
        <v>71</v>
      </c>
      <c r="C9" s="7" t="str">
        <f>VLOOKUP(B9,[1]Sheet1!$B$2:$C$1111,2,FALSE)</f>
        <v>더컴퍼니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27</v>
      </c>
      <c r="K9" s="8">
        <v>27</v>
      </c>
      <c r="L9" s="9">
        <v>2700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27</v>
      </c>
      <c r="AF9" s="8">
        <v>27</v>
      </c>
      <c r="AG9" s="9">
        <v>2700</v>
      </c>
      <c r="AH9" s="9">
        <v>1701</v>
      </c>
      <c r="AI9" s="10">
        <v>2700</v>
      </c>
      <c r="AJ9" s="16">
        <v>1701</v>
      </c>
    </row>
    <row r="10" spans="1:36" ht="18" thickBot="1">
      <c r="A10" s="7" t="s">
        <v>138</v>
      </c>
      <c r="B10" s="7" t="s">
        <v>139</v>
      </c>
      <c r="C10" s="7" t="str">
        <f>VLOOKUP(B10,[1]Sheet1!$B$2:$C$1111,2,FALSE)</f>
        <v>더컴퍼니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1</v>
      </c>
      <c r="AG10" s="8">
        <v>100</v>
      </c>
      <c r="AH10" s="8">
        <v>63</v>
      </c>
      <c r="AI10" s="11">
        <v>100</v>
      </c>
      <c r="AJ10" s="17">
        <v>63</v>
      </c>
    </row>
    <row r="11" spans="1:36" ht="18" thickBot="1">
      <c r="A11" s="7" t="s">
        <v>72</v>
      </c>
      <c r="B11" s="7" t="s">
        <v>71</v>
      </c>
      <c r="C11" s="7" t="str">
        <f>VLOOKUP(B11,[1]Sheet1!$B$2:$C$1111,2,FALSE)</f>
        <v>더컴퍼니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2</v>
      </c>
      <c r="L11" s="9">
        <v>7200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7200</v>
      </c>
      <c r="AH11" s="9">
        <v>4536</v>
      </c>
      <c r="AI11" s="10">
        <v>7200</v>
      </c>
      <c r="AJ11" s="16">
        <v>4536</v>
      </c>
    </row>
    <row r="12" spans="1:36" ht="18" thickBot="1">
      <c r="A12" s="7" t="s">
        <v>80</v>
      </c>
      <c r="B12" s="7" t="s">
        <v>14</v>
      </c>
      <c r="C12" s="7" t="str">
        <f>VLOOKUP(B12,[1]Sheet1!$B$2:$C$1111,2,FALSE)</f>
        <v>더컴퍼니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4</v>
      </c>
      <c r="K12" s="8">
        <v>4</v>
      </c>
      <c r="L12" s="9">
        <v>12800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4</v>
      </c>
      <c r="AF12" s="8">
        <v>4</v>
      </c>
      <c r="AG12" s="9">
        <v>12800</v>
      </c>
      <c r="AH12" s="9">
        <v>8064</v>
      </c>
      <c r="AI12" s="10">
        <v>12800</v>
      </c>
      <c r="AJ12" s="16">
        <v>8064</v>
      </c>
    </row>
    <row r="13" spans="1:36" ht="18" thickBot="1">
      <c r="A13" s="7" t="s">
        <v>15</v>
      </c>
      <c r="B13" s="7" t="s">
        <v>16</v>
      </c>
      <c r="C13" s="7" t="str">
        <f>VLOOKUP(B13,[1]Sheet1!$B$2:$C$1111,2,FALSE)</f>
        <v>에필로그</v>
      </c>
      <c r="D13" s="8">
        <v>0</v>
      </c>
      <c r="E13" s="8">
        <v>0</v>
      </c>
      <c r="F13" s="8">
        <v>0</v>
      </c>
      <c r="G13" s="8">
        <v>119</v>
      </c>
      <c r="H13" s="8">
        <v>119</v>
      </c>
      <c r="I13" s="9">
        <v>107100</v>
      </c>
      <c r="J13" s="8">
        <v>0</v>
      </c>
      <c r="K13" s="8">
        <v>0</v>
      </c>
      <c r="L13" s="8">
        <v>0</v>
      </c>
      <c r="M13" s="8">
        <v>4</v>
      </c>
      <c r="N13" s="8">
        <v>84</v>
      </c>
      <c r="O13" s="9">
        <v>68040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123</v>
      </c>
      <c r="AF13" s="8">
        <v>203</v>
      </c>
      <c r="AG13" s="9">
        <v>175140</v>
      </c>
      <c r="AH13" s="9">
        <v>110338.2</v>
      </c>
      <c r="AI13" s="10">
        <v>175140</v>
      </c>
      <c r="AJ13" s="16">
        <v>110338.2</v>
      </c>
    </row>
    <row r="14" spans="1:36" ht="18" thickBot="1">
      <c r="A14" s="7" t="s">
        <v>140</v>
      </c>
      <c r="B14" s="7" t="s">
        <v>141</v>
      </c>
      <c r="C14" s="18" t="s">
        <v>186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47</v>
      </c>
      <c r="K14" s="8">
        <v>47</v>
      </c>
      <c r="L14" s="9">
        <v>117500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47</v>
      </c>
      <c r="AF14" s="8">
        <v>47</v>
      </c>
      <c r="AG14" s="9">
        <v>117500</v>
      </c>
      <c r="AH14" s="9">
        <v>74025</v>
      </c>
      <c r="AI14" s="10">
        <v>117500</v>
      </c>
      <c r="AJ14" s="16">
        <v>74025</v>
      </c>
    </row>
    <row r="15" spans="1:36" ht="18" thickBot="1">
      <c r="A15" s="7" t="s">
        <v>102</v>
      </c>
      <c r="B15" s="7" t="s">
        <v>103</v>
      </c>
      <c r="C15" s="18" t="s">
        <v>187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10</v>
      </c>
      <c r="K15" s="8">
        <v>10</v>
      </c>
      <c r="L15" s="9">
        <v>36000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10</v>
      </c>
      <c r="AF15" s="8">
        <v>10</v>
      </c>
      <c r="AG15" s="9">
        <v>36000</v>
      </c>
      <c r="AH15" s="9">
        <v>22680</v>
      </c>
      <c r="AI15" s="10">
        <v>36000</v>
      </c>
      <c r="AJ15" s="16">
        <v>22680</v>
      </c>
    </row>
    <row r="16" spans="1:36" ht="18" thickBot="1">
      <c r="A16" s="7" t="s">
        <v>104</v>
      </c>
      <c r="B16" s="7" t="s">
        <v>76</v>
      </c>
      <c r="C16" s="18" t="s">
        <v>188</v>
      </c>
      <c r="D16" s="8">
        <v>0</v>
      </c>
      <c r="E16" s="8">
        <v>0</v>
      </c>
      <c r="F16" s="8">
        <v>0</v>
      </c>
      <c r="G16" s="8">
        <v>99</v>
      </c>
      <c r="H16" s="8">
        <v>99</v>
      </c>
      <c r="I16" s="9">
        <v>89100</v>
      </c>
      <c r="J16" s="8">
        <v>4</v>
      </c>
      <c r="K16" s="8">
        <v>4</v>
      </c>
      <c r="L16" s="9">
        <v>8000</v>
      </c>
      <c r="M16" s="8">
        <v>3</v>
      </c>
      <c r="N16" s="8">
        <v>27</v>
      </c>
      <c r="O16" s="9">
        <v>24300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106</v>
      </c>
      <c r="AF16" s="8">
        <v>130</v>
      </c>
      <c r="AG16" s="9">
        <v>121400</v>
      </c>
      <c r="AH16" s="9">
        <v>76482</v>
      </c>
      <c r="AI16" s="10">
        <v>121400</v>
      </c>
      <c r="AJ16" s="16">
        <v>76482</v>
      </c>
    </row>
    <row r="17" spans="1:36" ht="18" thickBot="1">
      <c r="A17" s="7" t="s">
        <v>142</v>
      </c>
      <c r="B17" s="7" t="s">
        <v>143</v>
      </c>
      <c r="C17" s="18" t="s">
        <v>186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2</v>
      </c>
      <c r="L17" s="9">
        <v>5000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2</v>
      </c>
      <c r="AF17" s="8">
        <v>2</v>
      </c>
      <c r="AG17" s="9">
        <v>5000</v>
      </c>
      <c r="AH17" s="9">
        <v>3150</v>
      </c>
      <c r="AI17" s="10">
        <v>5000</v>
      </c>
      <c r="AJ17" s="16">
        <v>3150</v>
      </c>
    </row>
    <row r="18" spans="1:36" ht="18" thickBot="1">
      <c r="A18" s="7" t="s">
        <v>17</v>
      </c>
      <c r="B18" s="7" t="s">
        <v>76</v>
      </c>
      <c r="C18" s="18" t="s">
        <v>187</v>
      </c>
      <c r="D18" s="8">
        <v>0</v>
      </c>
      <c r="E18" s="8">
        <v>0</v>
      </c>
      <c r="F18" s="8">
        <v>0</v>
      </c>
      <c r="G18" s="8">
        <v>32</v>
      </c>
      <c r="H18" s="8">
        <v>32</v>
      </c>
      <c r="I18" s="9">
        <v>28800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32</v>
      </c>
      <c r="AF18" s="8">
        <v>32</v>
      </c>
      <c r="AG18" s="9">
        <v>28800</v>
      </c>
      <c r="AH18" s="9">
        <v>18144</v>
      </c>
      <c r="AI18" s="10">
        <v>28800</v>
      </c>
      <c r="AJ18" s="16">
        <v>18144</v>
      </c>
    </row>
    <row r="19" spans="1:36" ht="18" thickBot="1">
      <c r="A19" s="7" t="s">
        <v>144</v>
      </c>
      <c r="B19" s="7" t="s">
        <v>145</v>
      </c>
      <c r="C19" s="18" t="s">
        <v>187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1</v>
      </c>
      <c r="L19" s="8">
        <v>200</v>
      </c>
      <c r="M19" s="8">
        <v>0</v>
      </c>
      <c r="N19" s="8">
        <v>0</v>
      </c>
      <c r="O19" s="8">
        <v>0</v>
      </c>
      <c r="P19" s="8">
        <v>1</v>
      </c>
      <c r="Q19" s="8">
        <v>2</v>
      </c>
      <c r="R19" s="9">
        <v>3800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</v>
      </c>
      <c r="AF19" s="8">
        <v>3</v>
      </c>
      <c r="AG19" s="9">
        <v>4000</v>
      </c>
      <c r="AH19" s="9">
        <v>2520</v>
      </c>
      <c r="AI19" s="10">
        <v>4000</v>
      </c>
      <c r="AJ19" s="16">
        <v>2520</v>
      </c>
    </row>
    <row r="20" spans="1:36" ht="18" thickBot="1">
      <c r="A20" s="7" t="s">
        <v>146</v>
      </c>
      <c r="B20" s="7" t="s">
        <v>147</v>
      </c>
      <c r="C20" s="18" t="s">
        <v>189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9">
        <v>3200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9">
        <v>3200</v>
      </c>
      <c r="AH20" s="9">
        <v>2016</v>
      </c>
      <c r="AI20" s="10">
        <v>3200</v>
      </c>
      <c r="AJ20" s="16">
        <v>2016</v>
      </c>
    </row>
    <row r="21" spans="1:36" ht="18" thickBot="1">
      <c r="A21" s="7" t="s">
        <v>18</v>
      </c>
      <c r="B21" s="7" t="s">
        <v>19</v>
      </c>
      <c r="C21" s="18" t="s">
        <v>187</v>
      </c>
      <c r="D21" s="8">
        <v>0</v>
      </c>
      <c r="E21" s="8">
        <v>0</v>
      </c>
      <c r="F21" s="8">
        <v>0</v>
      </c>
      <c r="G21" s="8">
        <v>55</v>
      </c>
      <c r="H21" s="8">
        <v>55</v>
      </c>
      <c r="I21" s="9">
        <v>49500</v>
      </c>
      <c r="J21" s="8">
        <v>1</v>
      </c>
      <c r="K21" s="8">
        <v>1</v>
      </c>
      <c r="L21" s="9">
        <v>2500</v>
      </c>
      <c r="M21" s="8">
        <v>3</v>
      </c>
      <c r="N21" s="8">
        <v>27</v>
      </c>
      <c r="O21" s="9">
        <v>24300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59</v>
      </c>
      <c r="AF21" s="8">
        <v>83</v>
      </c>
      <c r="AG21" s="9">
        <v>76300</v>
      </c>
      <c r="AH21" s="9">
        <v>48069</v>
      </c>
      <c r="AI21" s="10">
        <v>76300</v>
      </c>
      <c r="AJ21" s="16">
        <v>48069</v>
      </c>
    </row>
    <row r="22" spans="1:36" ht="18" thickBot="1">
      <c r="A22" s="7" t="s">
        <v>20</v>
      </c>
      <c r="B22" s="7" t="s">
        <v>16</v>
      </c>
      <c r="C22" s="7" t="str">
        <f>VLOOKUP(B22,[1]Sheet1!$B$2:$C$1111,2,FALSE)</f>
        <v>에필로그</v>
      </c>
      <c r="D22" s="8">
        <v>0</v>
      </c>
      <c r="E22" s="8">
        <v>0</v>
      </c>
      <c r="F22" s="8">
        <v>0</v>
      </c>
      <c r="G22" s="8">
        <v>755</v>
      </c>
      <c r="H22" s="8">
        <v>755</v>
      </c>
      <c r="I22" s="9">
        <v>679500</v>
      </c>
      <c r="J22" s="8">
        <v>0</v>
      </c>
      <c r="K22" s="8">
        <v>0</v>
      </c>
      <c r="L22" s="8">
        <v>0</v>
      </c>
      <c r="M22" s="8">
        <v>7</v>
      </c>
      <c r="N22" s="8">
        <v>168</v>
      </c>
      <c r="O22" s="9">
        <v>125280</v>
      </c>
      <c r="P22" s="8">
        <v>0</v>
      </c>
      <c r="Q22" s="8">
        <v>0</v>
      </c>
      <c r="R22" s="8">
        <v>0</v>
      </c>
      <c r="S22" s="8">
        <v>1</v>
      </c>
      <c r="T22" s="8">
        <v>1</v>
      </c>
      <c r="U22" s="9">
        <v>1080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763</v>
      </c>
      <c r="AF22" s="8">
        <v>924</v>
      </c>
      <c r="AG22" s="9">
        <v>805860</v>
      </c>
      <c r="AH22" s="9">
        <v>507659.4</v>
      </c>
      <c r="AI22" s="10">
        <v>805860</v>
      </c>
      <c r="AJ22" s="16">
        <v>507659.4</v>
      </c>
    </row>
    <row r="23" spans="1:36" ht="18" thickBot="1">
      <c r="A23" s="7" t="s">
        <v>81</v>
      </c>
      <c r="B23" s="7" t="s">
        <v>82</v>
      </c>
      <c r="C23" s="7" t="str">
        <f>VLOOKUP(B23,[1]Sheet1!$B$2:$C$1111,2,FALSE)</f>
        <v>밀리의 서재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4</v>
      </c>
      <c r="K23" s="8">
        <v>4</v>
      </c>
      <c r="L23" s="9">
        <v>8000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4</v>
      </c>
      <c r="AF23" s="8">
        <v>4</v>
      </c>
      <c r="AG23" s="9">
        <v>8000</v>
      </c>
      <c r="AH23" s="9">
        <v>5040</v>
      </c>
      <c r="AI23" s="10">
        <v>8000</v>
      </c>
      <c r="AJ23" s="16">
        <v>5040</v>
      </c>
    </row>
    <row r="24" spans="1:36" ht="18" thickBot="1">
      <c r="A24" s="7" t="s">
        <v>148</v>
      </c>
      <c r="B24" s="7" t="s">
        <v>149</v>
      </c>
      <c r="C24" s="7" t="str">
        <f>VLOOKUP(B24,[1]Sheet1!$B$2:$C$1111,2,FALSE)</f>
        <v>밀리의 서재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4</v>
      </c>
      <c r="K24" s="8">
        <v>4</v>
      </c>
      <c r="L24" s="9">
        <v>8000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</v>
      </c>
      <c r="AF24" s="8">
        <v>4</v>
      </c>
      <c r="AG24" s="9">
        <v>8000</v>
      </c>
      <c r="AH24" s="9">
        <v>5040</v>
      </c>
      <c r="AI24" s="10">
        <v>8000</v>
      </c>
      <c r="AJ24" s="16">
        <v>5040</v>
      </c>
    </row>
    <row r="25" spans="1:36" ht="18" thickBot="1">
      <c r="A25" s="7" t="s">
        <v>68</v>
      </c>
      <c r="B25" s="7" t="s">
        <v>69</v>
      </c>
      <c r="C25" s="7" t="str">
        <f>VLOOKUP(B25,[1]Sheet1!$B$2:$C$1111,2,FALSE)</f>
        <v>더컴퍼니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</v>
      </c>
      <c r="K25" s="8">
        <v>2</v>
      </c>
      <c r="L25" s="9">
        <v>6400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</v>
      </c>
      <c r="AF25" s="8">
        <v>2</v>
      </c>
      <c r="AG25" s="9">
        <v>6400</v>
      </c>
      <c r="AH25" s="9">
        <v>4032</v>
      </c>
      <c r="AI25" s="10">
        <v>6400</v>
      </c>
      <c r="AJ25" s="16">
        <v>4032</v>
      </c>
    </row>
    <row r="26" spans="1:36" ht="18" thickBot="1">
      <c r="A26" s="7" t="s">
        <v>83</v>
      </c>
      <c r="B26" s="7" t="s">
        <v>84</v>
      </c>
      <c r="C26" s="7" t="str">
        <f>VLOOKUP(B26,[1]Sheet1!$B$2:$C$1111,2,FALSE)</f>
        <v>밀리의 서재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38</v>
      </c>
      <c r="K26" s="8">
        <v>38</v>
      </c>
      <c r="L26" s="9">
        <v>95000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38</v>
      </c>
      <c r="AF26" s="8">
        <v>38</v>
      </c>
      <c r="AG26" s="9">
        <v>95000</v>
      </c>
      <c r="AH26" s="9">
        <v>59850</v>
      </c>
      <c r="AI26" s="10">
        <v>95000</v>
      </c>
      <c r="AJ26" s="16">
        <v>59850</v>
      </c>
    </row>
    <row r="27" spans="1:36" ht="18" thickBot="1">
      <c r="A27" s="7" t="s">
        <v>150</v>
      </c>
      <c r="B27" s="7" t="s">
        <v>139</v>
      </c>
      <c r="C27" s="7" t="str">
        <f>VLOOKUP(B27,[1]Sheet1!$B$2:$C$1111,2,FALSE)</f>
        <v>더컴퍼니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1</v>
      </c>
      <c r="L27" s="9">
        <v>2500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1</v>
      </c>
      <c r="AG27" s="9">
        <v>2500</v>
      </c>
      <c r="AH27" s="9">
        <v>1575</v>
      </c>
      <c r="AI27" s="10">
        <v>2500</v>
      </c>
      <c r="AJ27" s="16">
        <v>1575</v>
      </c>
    </row>
    <row r="28" spans="1:36" ht="18" thickBot="1">
      <c r="A28" s="7" t="s">
        <v>105</v>
      </c>
      <c r="B28" s="7" t="s">
        <v>106</v>
      </c>
      <c r="C28" s="7" t="str">
        <f>VLOOKUP(B28,[1]Sheet1!$B$2:$C$1111,2,FALSE)</f>
        <v>더컴퍼니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6</v>
      </c>
      <c r="K28" s="8">
        <v>6</v>
      </c>
      <c r="L28" s="9">
        <v>19200</v>
      </c>
      <c r="M28" s="8">
        <v>0</v>
      </c>
      <c r="N28" s="8">
        <v>0</v>
      </c>
      <c r="O28" s="8">
        <v>0</v>
      </c>
      <c r="P28" s="8">
        <v>1</v>
      </c>
      <c r="Q28" s="8">
        <v>7</v>
      </c>
      <c r="R28" s="9">
        <v>20160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</v>
      </c>
      <c r="AF28" s="8">
        <v>13</v>
      </c>
      <c r="AG28" s="9">
        <v>39360</v>
      </c>
      <c r="AH28" s="9">
        <v>24796.799999999999</v>
      </c>
      <c r="AI28" s="10">
        <v>39360</v>
      </c>
      <c r="AJ28" s="16">
        <v>24796.799999999999</v>
      </c>
    </row>
    <row r="29" spans="1:36" ht="18" thickBot="1">
      <c r="A29" s="7" t="s">
        <v>21</v>
      </c>
      <c r="B29" s="7" t="s">
        <v>76</v>
      </c>
      <c r="C29" s="7" t="str">
        <f>VLOOKUP(B29,[1]Sheet1!$B$2:$C$1111,2,FALSE)</f>
        <v>에필로그</v>
      </c>
      <c r="D29" s="8">
        <v>0</v>
      </c>
      <c r="E29" s="8">
        <v>0</v>
      </c>
      <c r="F29" s="8">
        <v>0</v>
      </c>
      <c r="G29" s="8">
        <v>33</v>
      </c>
      <c r="H29" s="8">
        <v>33</v>
      </c>
      <c r="I29" s="9">
        <v>29700</v>
      </c>
      <c r="J29" s="8">
        <v>8</v>
      </c>
      <c r="K29" s="8">
        <v>8</v>
      </c>
      <c r="L29" s="9">
        <v>16000</v>
      </c>
      <c r="M29" s="8">
        <v>1</v>
      </c>
      <c r="N29" s="8">
        <v>8</v>
      </c>
      <c r="O29" s="9">
        <v>7200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42</v>
      </c>
      <c r="AF29" s="8">
        <v>49</v>
      </c>
      <c r="AG29" s="9">
        <v>52900</v>
      </c>
      <c r="AH29" s="9">
        <v>33327</v>
      </c>
      <c r="AI29" s="10">
        <v>52900</v>
      </c>
      <c r="AJ29" s="16">
        <v>33327</v>
      </c>
    </row>
    <row r="30" spans="1:36" ht="18" thickBot="1">
      <c r="A30" s="7" t="s">
        <v>85</v>
      </c>
      <c r="B30" s="7" t="s">
        <v>86</v>
      </c>
      <c r="C30" s="7" t="str">
        <f>VLOOKUP(B30,[1]Sheet1!$B$2:$C$1111,2,FALSE)</f>
        <v>더컴퍼니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4</v>
      </c>
      <c r="K30" s="8">
        <v>4</v>
      </c>
      <c r="L30" s="9">
        <v>14000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4</v>
      </c>
      <c r="AF30" s="8">
        <v>4</v>
      </c>
      <c r="AG30" s="9">
        <v>14000</v>
      </c>
      <c r="AH30" s="9">
        <v>8820</v>
      </c>
      <c r="AI30" s="10">
        <v>14000</v>
      </c>
      <c r="AJ30" s="16">
        <v>8820</v>
      </c>
    </row>
    <row r="31" spans="1:36" ht="18" thickBot="1">
      <c r="A31" s="7" t="s">
        <v>107</v>
      </c>
      <c r="B31" s="7" t="s">
        <v>86</v>
      </c>
      <c r="C31" s="7" t="str">
        <f>VLOOKUP(B31,[1]Sheet1!$B$2:$C$1111,2,FALSE)</f>
        <v>더컴퍼니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8">
        <v>400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8">
        <v>400</v>
      </c>
      <c r="AH31" s="8">
        <v>252</v>
      </c>
      <c r="AI31" s="11">
        <v>400</v>
      </c>
      <c r="AJ31" s="17">
        <v>252</v>
      </c>
    </row>
    <row r="32" spans="1:36" ht="18" thickBot="1">
      <c r="A32" s="7" t="s">
        <v>108</v>
      </c>
      <c r="B32" s="7" t="s">
        <v>19</v>
      </c>
      <c r="C32" s="7" t="str">
        <f>VLOOKUP(B32,[1]Sheet1!$B$2:$C$1111,2,FALSE)</f>
        <v>에필로그</v>
      </c>
      <c r="D32" s="8">
        <v>0</v>
      </c>
      <c r="E32" s="8">
        <v>0</v>
      </c>
      <c r="F32" s="8">
        <v>0</v>
      </c>
      <c r="G32" s="8">
        <v>36</v>
      </c>
      <c r="H32" s="8">
        <v>36</v>
      </c>
      <c r="I32" s="9">
        <v>32400</v>
      </c>
      <c r="J32" s="8">
        <v>0</v>
      </c>
      <c r="K32" s="8">
        <v>0</v>
      </c>
      <c r="L32" s="8">
        <v>0</v>
      </c>
      <c r="M32" s="8">
        <v>1</v>
      </c>
      <c r="N32" s="8">
        <v>9</v>
      </c>
      <c r="O32" s="9">
        <v>5670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37</v>
      </c>
      <c r="AF32" s="8">
        <v>45</v>
      </c>
      <c r="AG32" s="9">
        <v>38070</v>
      </c>
      <c r="AH32" s="9">
        <v>23984.1</v>
      </c>
      <c r="AI32" s="10">
        <v>38070</v>
      </c>
      <c r="AJ32" s="16">
        <v>23984.1</v>
      </c>
    </row>
    <row r="33" spans="1:36" ht="18" thickBot="1">
      <c r="A33" s="7" t="s">
        <v>109</v>
      </c>
      <c r="B33" s="7" t="s">
        <v>87</v>
      </c>
      <c r="C33" s="7" t="str">
        <f>VLOOKUP(B33,[1]Sheet1!$B$2:$C$1111,2,FALSE)</f>
        <v>더컴퍼니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30</v>
      </c>
      <c r="K33" s="8">
        <v>30</v>
      </c>
      <c r="L33" s="9">
        <v>3000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30</v>
      </c>
      <c r="AF33" s="8">
        <v>30</v>
      </c>
      <c r="AG33" s="9">
        <v>3000</v>
      </c>
      <c r="AH33" s="9">
        <v>1890</v>
      </c>
      <c r="AI33" s="10">
        <v>3000</v>
      </c>
      <c r="AJ33" s="16">
        <v>1890</v>
      </c>
    </row>
    <row r="34" spans="1:36" ht="18" thickBot="1">
      <c r="A34" s="7" t="s">
        <v>151</v>
      </c>
      <c r="B34" s="7" t="s">
        <v>74</v>
      </c>
      <c r="C34" s="7" t="str">
        <f>VLOOKUP(B34,[1]Sheet1!$B$2:$C$1111,2,FALSE)</f>
        <v>더컴퍼니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4300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4300</v>
      </c>
      <c r="AH34" s="9">
        <v>2709</v>
      </c>
      <c r="AI34" s="10">
        <v>4300</v>
      </c>
      <c r="AJ34" s="16">
        <v>2709</v>
      </c>
    </row>
    <row r="35" spans="1:36" ht="18" thickBot="1">
      <c r="A35" s="7" t="s">
        <v>88</v>
      </c>
      <c r="B35" s="7" t="s">
        <v>89</v>
      </c>
      <c r="C35" s="7" t="str">
        <f>VLOOKUP(B35,[1]Sheet1!$B$2:$C$1111,2,FALSE)</f>
        <v>밀리의 서재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12</v>
      </c>
      <c r="K35" s="8">
        <v>12</v>
      </c>
      <c r="L35" s="9">
        <v>24000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12</v>
      </c>
      <c r="AF35" s="8">
        <v>12</v>
      </c>
      <c r="AG35" s="9">
        <v>24000</v>
      </c>
      <c r="AH35" s="9">
        <v>15120</v>
      </c>
      <c r="AI35" s="10">
        <v>24000</v>
      </c>
      <c r="AJ35" s="16">
        <v>15120</v>
      </c>
    </row>
    <row r="36" spans="1:36" ht="18" thickBot="1">
      <c r="A36" s="7" t="s">
        <v>22</v>
      </c>
      <c r="B36" s="7" t="s">
        <v>19</v>
      </c>
      <c r="C36" s="7" t="str">
        <f>VLOOKUP(B36,[1]Sheet1!$B$2:$C$1111,2,FALSE)</f>
        <v>에필로그</v>
      </c>
      <c r="D36" s="8">
        <v>0</v>
      </c>
      <c r="E36" s="8">
        <v>0</v>
      </c>
      <c r="F36" s="8">
        <v>0</v>
      </c>
      <c r="G36" s="8">
        <v>24</v>
      </c>
      <c r="H36" s="8">
        <v>24</v>
      </c>
      <c r="I36" s="9">
        <v>21600</v>
      </c>
      <c r="J36" s="8">
        <v>0</v>
      </c>
      <c r="K36" s="8">
        <v>0</v>
      </c>
      <c r="L36" s="8">
        <v>0</v>
      </c>
      <c r="M36" s="8">
        <v>1</v>
      </c>
      <c r="N36" s="8">
        <v>7</v>
      </c>
      <c r="O36" s="9">
        <v>5670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25</v>
      </c>
      <c r="AF36" s="8">
        <v>31</v>
      </c>
      <c r="AG36" s="9">
        <v>27270</v>
      </c>
      <c r="AH36" s="9">
        <v>17180.099999999999</v>
      </c>
      <c r="AI36" s="10">
        <v>27270</v>
      </c>
      <c r="AJ36" s="16">
        <v>17180.099999999999</v>
      </c>
    </row>
    <row r="37" spans="1:36" ht="18" thickBot="1">
      <c r="A37" s="7" t="s">
        <v>23</v>
      </c>
      <c r="B37" s="7" t="s">
        <v>19</v>
      </c>
      <c r="C37" s="7" t="str">
        <f>VLOOKUP(B37,[1]Sheet1!$B$2:$C$1111,2,FALSE)</f>
        <v>에필로그</v>
      </c>
      <c r="D37" s="8">
        <v>0</v>
      </c>
      <c r="E37" s="8">
        <v>0</v>
      </c>
      <c r="F37" s="8">
        <v>0</v>
      </c>
      <c r="G37" s="8">
        <v>29</v>
      </c>
      <c r="H37" s="8">
        <v>29</v>
      </c>
      <c r="I37" s="9">
        <v>26100</v>
      </c>
      <c r="J37" s="8">
        <v>0</v>
      </c>
      <c r="K37" s="8">
        <v>0</v>
      </c>
      <c r="L37" s="8">
        <v>0</v>
      </c>
      <c r="M37" s="8">
        <v>2</v>
      </c>
      <c r="N37" s="8">
        <v>14</v>
      </c>
      <c r="O37" s="9">
        <v>11340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31</v>
      </c>
      <c r="AF37" s="8">
        <v>43</v>
      </c>
      <c r="AG37" s="9">
        <v>37440</v>
      </c>
      <c r="AH37" s="9">
        <v>23587.200000000001</v>
      </c>
      <c r="AI37" s="10">
        <v>37440</v>
      </c>
      <c r="AJ37" s="16">
        <v>23587.200000000001</v>
      </c>
    </row>
    <row r="38" spans="1:36" ht="18" thickBot="1">
      <c r="A38" s="7" t="s">
        <v>110</v>
      </c>
      <c r="B38" s="7" t="s">
        <v>111</v>
      </c>
      <c r="C38" s="7" t="str">
        <f>VLOOKUP(B38,[1]Sheet1!$B$2:$C$1111,2,FALSE)</f>
        <v>더컴퍼니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13</v>
      </c>
      <c r="K38" s="8">
        <v>13</v>
      </c>
      <c r="L38" s="9">
        <v>1300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13</v>
      </c>
      <c r="AF38" s="8">
        <v>13</v>
      </c>
      <c r="AG38" s="9">
        <v>1300</v>
      </c>
      <c r="AH38" s="8">
        <v>819</v>
      </c>
      <c r="AI38" s="10">
        <v>1300</v>
      </c>
      <c r="AJ38" s="17">
        <v>819</v>
      </c>
    </row>
    <row r="39" spans="1:36" ht="18" thickBot="1">
      <c r="A39" s="7" t="s">
        <v>90</v>
      </c>
      <c r="B39" s="7" t="s">
        <v>91</v>
      </c>
      <c r="C39" s="7" t="str">
        <f>VLOOKUP(B39,[1]Sheet1!$B$2:$C$1111,2,FALSE)</f>
        <v>더컴퍼니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9">
        <v>3060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</v>
      </c>
      <c r="AF39" s="8">
        <v>1</v>
      </c>
      <c r="AG39" s="9">
        <v>3060</v>
      </c>
      <c r="AH39" s="9">
        <v>1927.8</v>
      </c>
      <c r="AI39" s="10">
        <v>3060</v>
      </c>
      <c r="AJ39" s="16">
        <v>1927.8</v>
      </c>
    </row>
    <row r="40" spans="1:36" ht="18" thickBot="1">
      <c r="A40" s="7" t="s">
        <v>44</v>
      </c>
      <c r="B40" s="7" t="s">
        <v>45</v>
      </c>
      <c r="C40" s="7" t="str">
        <f>VLOOKUP(B40,[1]Sheet1!$B$2:$C$1111,2,FALSE)</f>
        <v>에필로그</v>
      </c>
      <c r="D40" s="8">
        <v>0</v>
      </c>
      <c r="E40" s="8">
        <v>0</v>
      </c>
      <c r="F40" s="8">
        <v>0</v>
      </c>
      <c r="G40" s="8">
        <v>1</v>
      </c>
      <c r="H40" s="8">
        <v>1</v>
      </c>
      <c r="I40" s="8">
        <v>900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1</v>
      </c>
      <c r="AG40" s="8">
        <v>900</v>
      </c>
      <c r="AH40" s="8">
        <v>567</v>
      </c>
      <c r="AI40" s="11">
        <v>900</v>
      </c>
      <c r="AJ40" s="17">
        <v>567</v>
      </c>
    </row>
    <row r="41" spans="1:36" ht="18" thickBot="1">
      <c r="A41" s="7" t="s">
        <v>152</v>
      </c>
      <c r="B41" s="7" t="s">
        <v>153</v>
      </c>
      <c r="C41" s="18" t="s">
        <v>186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101</v>
      </c>
      <c r="K41" s="8">
        <v>101</v>
      </c>
      <c r="L41" s="9">
        <v>202000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101</v>
      </c>
      <c r="AF41" s="8">
        <v>101</v>
      </c>
      <c r="AG41" s="9">
        <v>202000</v>
      </c>
      <c r="AH41" s="9">
        <v>127260</v>
      </c>
      <c r="AI41" s="10">
        <v>202000</v>
      </c>
      <c r="AJ41" s="16">
        <v>127260</v>
      </c>
    </row>
    <row r="42" spans="1:36" ht="18" thickBot="1">
      <c r="A42" s="7" t="s">
        <v>154</v>
      </c>
      <c r="B42" s="7" t="s">
        <v>14</v>
      </c>
      <c r="C42" s="7" t="str">
        <f>VLOOKUP(B42,[1]Sheet1!$B$2:$C$1111,2,FALSE)</f>
        <v>더컴퍼니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8">
        <v>3</v>
      </c>
      <c r="R42" s="9">
        <v>8100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3</v>
      </c>
      <c r="AG42" s="9">
        <v>8100</v>
      </c>
      <c r="AH42" s="9">
        <v>5103</v>
      </c>
      <c r="AI42" s="10">
        <v>8100</v>
      </c>
      <c r="AJ42" s="16">
        <v>5103</v>
      </c>
    </row>
    <row r="43" spans="1:36" ht="18" thickBot="1">
      <c r="A43" s="7" t="s">
        <v>155</v>
      </c>
      <c r="B43" s="7" t="s">
        <v>156</v>
      </c>
      <c r="C43" s="18" t="s">
        <v>190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100</v>
      </c>
      <c r="K43" s="8">
        <v>100</v>
      </c>
      <c r="L43" s="9">
        <v>244500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100</v>
      </c>
      <c r="AF43" s="8">
        <v>100</v>
      </c>
      <c r="AG43" s="9">
        <v>244500</v>
      </c>
      <c r="AH43" s="9">
        <v>154035</v>
      </c>
      <c r="AI43" s="10">
        <v>244500</v>
      </c>
      <c r="AJ43" s="16">
        <v>154035</v>
      </c>
    </row>
    <row r="44" spans="1:36" ht="18" thickBot="1">
      <c r="A44" s="7" t="s">
        <v>24</v>
      </c>
      <c r="B44" s="7" t="s">
        <v>76</v>
      </c>
      <c r="C44" s="7" t="str">
        <f>VLOOKUP(B44,[1]Sheet1!$B$2:$C$1111,2,FALSE)</f>
        <v>에필로그</v>
      </c>
      <c r="D44" s="8">
        <v>0</v>
      </c>
      <c r="E44" s="8">
        <v>0</v>
      </c>
      <c r="F44" s="8">
        <v>0</v>
      </c>
      <c r="G44" s="8">
        <v>701</v>
      </c>
      <c r="H44" s="8">
        <v>701</v>
      </c>
      <c r="I44" s="9">
        <v>630900</v>
      </c>
      <c r="J44" s="8">
        <v>0</v>
      </c>
      <c r="K44" s="8">
        <v>0</v>
      </c>
      <c r="L44" s="8">
        <v>0</v>
      </c>
      <c r="M44" s="8">
        <v>15</v>
      </c>
      <c r="N44" s="8">
        <v>435</v>
      </c>
      <c r="O44" s="9">
        <v>305370</v>
      </c>
      <c r="P44" s="8">
        <v>0</v>
      </c>
      <c r="Q44" s="8">
        <v>0</v>
      </c>
      <c r="R44" s="8">
        <v>0</v>
      </c>
      <c r="S44" s="8">
        <v>4</v>
      </c>
      <c r="T44" s="8">
        <v>4</v>
      </c>
      <c r="U44" s="9">
        <v>4320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720</v>
      </c>
      <c r="AF44" s="12">
        <v>1140</v>
      </c>
      <c r="AG44" s="9">
        <v>940590</v>
      </c>
      <c r="AH44" s="9">
        <v>592442.1</v>
      </c>
      <c r="AI44" s="10">
        <v>940590</v>
      </c>
      <c r="AJ44" s="16">
        <v>592442.1</v>
      </c>
    </row>
    <row r="45" spans="1:36" ht="18" thickBot="1">
      <c r="A45" s="7" t="s">
        <v>92</v>
      </c>
      <c r="B45" s="7" t="s">
        <v>76</v>
      </c>
      <c r="C45" s="7" t="str">
        <f>VLOOKUP(B45,[1]Sheet1!$B$2:$C$1111,2,FALSE)</f>
        <v>에필로그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335</v>
      </c>
      <c r="K45" s="8">
        <v>335</v>
      </c>
      <c r="L45" s="9">
        <v>33500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335</v>
      </c>
      <c r="AF45" s="8">
        <v>335</v>
      </c>
      <c r="AG45" s="9">
        <v>33500</v>
      </c>
      <c r="AH45" s="9">
        <v>21105</v>
      </c>
      <c r="AI45" s="10">
        <v>33500</v>
      </c>
      <c r="AJ45" s="16">
        <v>21105</v>
      </c>
    </row>
    <row r="46" spans="1:36" ht="18" thickBot="1">
      <c r="A46" s="7" t="s">
        <v>157</v>
      </c>
      <c r="B46" s="7" t="s">
        <v>158</v>
      </c>
      <c r="C46" s="7" t="str">
        <f>VLOOKUP(B46,[1]Sheet1!$B$2:$C$1111,2,FALSE)</f>
        <v>더컴퍼니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1</v>
      </c>
      <c r="K46" s="8">
        <v>1</v>
      </c>
      <c r="L46" s="9">
        <v>3800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</v>
      </c>
      <c r="AF46" s="8">
        <v>1</v>
      </c>
      <c r="AG46" s="9">
        <v>3800</v>
      </c>
      <c r="AH46" s="9">
        <v>2394</v>
      </c>
      <c r="AI46" s="10">
        <v>3800</v>
      </c>
      <c r="AJ46" s="16">
        <v>2394</v>
      </c>
    </row>
    <row r="47" spans="1:36" ht="18" thickBot="1">
      <c r="A47" s="7" t="s">
        <v>159</v>
      </c>
      <c r="B47" s="7" t="s">
        <v>160</v>
      </c>
      <c r="C47" s="7" t="str">
        <f>VLOOKUP(B47,[1]Sheet1!$B$2:$C$1111,2,FALSE)</f>
        <v>밀리의 서재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6</v>
      </c>
      <c r="K47" s="8">
        <v>6</v>
      </c>
      <c r="L47" s="9">
        <v>12000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6</v>
      </c>
      <c r="AF47" s="8">
        <v>6</v>
      </c>
      <c r="AG47" s="9">
        <v>12000</v>
      </c>
      <c r="AH47" s="9">
        <v>7560</v>
      </c>
      <c r="AI47" s="10">
        <v>12000</v>
      </c>
      <c r="AJ47" s="16">
        <v>7560</v>
      </c>
    </row>
    <row r="48" spans="1:36" ht="18" thickBot="1">
      <c r="A48" s="7" t="s">
        <v>161</v>
      </c>
      <c r="B48" s="7" t="s">
        <v>74</v>
      </c>
      <c r="C48" s="7" t="str">
        <f>VLOOKUP(B48,[1]Sheet1!$B$2:$C$1111,2,FALSE)</f>
        <v>더컴퍼니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1</v>
      </c>
      <c r="L48" s="9">
        <v>3000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</v>
      </c>
      <c r="AF48" s="8">
        <v>1</v>
      </c>
      <c r="AG48" s="9">
        <v>3000</v>
      </c>
      <c r="AH48" s="9">
        <v>1890</v>
      </c>
      <c r="AI48" s="10">
        <v>3000</v>
      </c>
      <c r="AJ48" s="16">
        <v>1890</v>
      </c>
    </row>
    <row r="49" spans="1:36" ht="18" thickBot="1">
      <c r="A49" s="7" t="s">
        <v>162</v>
      </c>
      <c r="B49" s="7" t="s">
        <v>163</v>
      </c>
      <c r="C49" s="7" t="str">
        <f>VLOOKUP(B49,[1]Sheet1!$B$2:$C$1111,2,FALSE)</f>
        <v>더컴퍼니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2</v>
      </c>
      <c r="Q49" s="8">
        <v>4</v>
      </c>
      <c r="R49" s="9">
        <v>13600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</v>
      </c>
      <c r="AF49" s="8">
        <v>4</v>
      </c>
      <c r="AG49" s="9">
        <v>13600</v>
      </c>
      <c r="AH49" s="9">
        <v>8568</v>
      </c>
      <c r="AI49" s="10">
        <v>13600</v>
      </c>
      <c r="AJ49" s="16">
        <v>8568</v>
      </c>
    </row>
    <row r="50" spans="1:36" ht="18" thickBot="1">
      <c r="A50" s="7" t="s">
        <v>93</v>
      </c>
      <c r="B50" s="7" t="s">
        <v>94</v>
      </c>
      <c r="C50" s="7" t="str">
        <f>VLOOKUP(B50,[1]Sheet1!$B$2:$C$1111,2,FALSE)</f>
        <v>밀리의 서재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1</v>
      </c>
      <c r="L50" s="9">
        <v>2000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9">
        <v>2000</v>
      </c>
      <c r="AH50" s="9">
        <v>1260</v>
      </c>
      <c r="AI50" s="10">
        <v>2000</v>
      </c>
      <c r="AJ50" s="16">
        <v>1260</v>
      </c>
    </row>
    <row r="51" spans="1:36" ht="18" thickBot="1">
      <c r="A51" s="7" t="s">
        <v>164</v>
      </c>
      <c r="B51" s="7" t="s">
        <v>14</v>
      </c>
      <c r="C51" s="7" t="str">
        <f>VLOOKUP(B51,[1]Sheet1!$B$2:$C$1111,2,FALSE)</f>
        <v>더컴퍼니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2</v>
      </c>
      <c r="K51" s="8">
        <v>2</v>
      </c>
      <c r="L51" s="9">
        <v>6400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2</v>
      </c>
      <c r="AF51" s="8">
        <v>2</v>
      </c>
      <c r="AG51" s="9">
        <v>6400</v>
      </c>
      <c r="AH51" s="9">
        <v>4032</v>
      </c>
      <c r="AI51" s="10">
        <v>6400</v>
      </c>
      <c r="AJ51" s="16">
        <v>4032</v>
      </c>
    </row>
    <row r="52" spans="1:36" ht="18" thickBot="1">
      <c r="A52" s="7" t="s">
        <v>112</v>
      </c>
      <c r="B52" s="7" t="s">
        <v>29</v>
      </c>
      <c r="C52" s="7" t="str">
        <f>VLOOKUP(B52,[1]Sheet1!$B$2:$C$1111,2,FALSE)</f>
        <v>더컴퍼니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2</v>
      </c>
      <c r="K52" s="8">
        <v>2</v>
      </c>
      <c r="L52" s="8">
        <v>600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2</v>
      </c>
      <c r="AF52" s="8">
        <v>2</v>
      </c>
      <c r="AG52" s="8">
        <v>600</v>
      </c>
      <c r="AH52" s="8">
        <v>378</v>
      </c>
      <c r="AI52" s="11">
        <v>600</v>
      </c>
      <c r="AJ52" s="17">
        <v>378</v>
      </c>
    </row>
    <row r="53" spans="1:36" ht="18" thickBot="1">
      <c r="A53" s="7" t="s">
        <v>113</v>
      </c>
      <c r="B53" s="7" t="s">
        <v>114</v>
      </c>
      <c r="C53" s="7" t="str">
        <f>VLOOKUP(B53,[1]Sheet1!$B$2:$C$1111,2,FALSE)</f>
        <v>아크스튜디오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12</v>
      </c>
      <c r="K53" s="8">
        <v>12</v>
      </c>
      <c r="L53" s="9">
        <v>1200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12</v>
      </c>
      <c r="AF53" s="8">
        <v>12</v>
      </c>
      <c r="AG53" s="9">
        <v>1200</v>
      </c>
      <c r="AH53" s="8">
        <v>756</v>
      </c>
      <c r="AI53" s="10">
        <v>1200</v>
      </c>
      <c r="AJ53" s="17">
        <v>756</v>
      </c>
    </row>
    <row r="54" spans="1:36" ht="18" thickBot="1">
      <c r="A54" s="7" t="s">
        <v>165</v>
      </c>
      <c r="B54" s="7" t="s">
        <v>166</v>
      </c>
      <c r="C54" s="18" t="s">
        <v>186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27</v>
      </c>
      <c r="K54" s="8">
        <v>27</v>
      </c>
      <c r="L54" s="9">
        <v>54000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27</v>
      </c>
      <c r="AF54" s="8">
        <v>27</v>
      </c>
      <c r="AG54" s="9">
        <v>54000</v>
      </c>
      <c r="AH54" s="9">
        <v>34020</v>
      </c>
      <c r="AI54" s="10">
        <v>54000</v>
      </c>
      <c r="AJ54" s="16">
        <v>34020</v>
      </c>
    </row>
    <row r="55" spans="1:36" ht="18" thickBot="1">
      <c r="A55" s="7" t="s">
        <v>167</v>
      </c>
      <c r="B55" s="7" t="s">
        <v>168</v>
      </c>
      <c r="C55" s="18" t="s">
        <v>186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23</v>
      </c>
      <c r="K55" s="8">
        <v>23</v>
      </c>
      <c r="L55" s="9">
        <v>46000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23</v>
      </c>
      <c r="AF55" s="8">
        <v>23</v>
      </c>
      <c r="AG55" s="9">
        <v>46000</v>
      </c>
      <c r="AH55" s="9">
        <v>28980</v>
      </c>
      <c r="AI55" s="10">
        <v>46000</v>
      </c>
      <c r="AJ55" s="16">
        <v>28980</v>
      </c>
    </row>
    <row r="56" spans="1:36" ht="18" thickBot="1">
      <c r="A56" s="7" t="s">
        <v>115</v>
      </c>
      <c r="B56" s="7" t="s">
        <v>116</v>
      </c>
      <c r="C56" s="7" t="str">
        <f>VLOOKUP(B56,[1]Sheet1!$B$2:$C$1111,2,FALSE)</f>
        <v>밀리의 서재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4</v>
      </c>
      <c r="K56" s="8">
        <v>4</v>
      </c>
      <c r="L56" s="9">
        <v>10000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4</v>
      </c>
      <c r="AF56" s="8">
        <v>4</v>
      </c>
      <c r="AG56" s="9">
        <v>10000</v>
      </c>
      <c r="AH56" s="9">
        <v>6300</v>
      </c>
      <c r="AI56" s="10">
        <v>10000</v>
      </c>
      <c r="AJ56" s="16">
        <v>6300</v>
      </c>
    </row>
    <row r="57" spans="1:36" ht="18" thickBot="1">
      <c r="A57" s="7" t="s">
        <v>169</v>
      </c>
      <c r="B57" s="7" t="s">
        <v>136</v>
      </c>
      <c r="C57" s="7" t="str">
        <f>VLOOKUP(B57,[1]Sheet1!$B$2:$C$1111,2,FALSE)</f>
        <v>더컴퍼니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6</v>
      </c>
      <c r="K57" s="8">
        <v>6</v>
      </c>
      <c r="L57" s="9">
        <v>18000</v>
      </c>
      <c r="M57" s="8">
        <v>9</v>
      </c>
      <c r="N57" s="8">
        <v>27</v>
      </c>
      <c r="O57" s="9">
        <v>81000</v>
      </c>
      <c r="P57" s="8">
        <v>5</v>
      </c>
      <c r="Q57" s="8">
        <v>15</v>
      </c>
      <c r="R57" s="9">
        <v>45000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20</v>
      </c>
      <c r="AF57" s="8">
        <v>48</v>
      </c>
      <c r="AG57" s="9">
        <v>144000</v>
      </c>
      <c r="AH57" s="9">
        <v>90720</v>
      </c>
      <c r="AI57" s="10">
        <v>144000</v>
      </c>
      <c r="AJ57" s="16">
        <v>90720</v>
      </c>
    </row>
    <row r="58" spans="1:36" ht="18" thickBot="1">
      <c r="A58" s="7" t="s">
        <v>117</v>
      </c>
      <c r="B58" s="7" t="s">
        <v>118</v>
      </c>
      <c r="C58" s="7" t="str">
        <f>VLOOKUP(B58,[1]Sheet1!$B$2:$C$1111,2,FALSE)</f>
        <v>더컴퍼니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</v>
      </c>
      <c r="K58" s="8">
        <v>2</v>
      </c>
      <c r="L58" s="8">
        <v>200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2</v>
      </c>
      <c r="AF58" s="8">
        <v>2</v>
      </c>
      <c r="AG58" s="8">
        <v>200</v>
      </c>
      <c r="AH58" s="8">
        <v>126</v>
      </c>
      <c r="AI58" s="11">
        <v>200</v>
      </c>
      <c r="AJ58" s="17">
        <v>126</v>
      </c>
    </row>
    <row r="59" spans="1:36" ht="18" thickBot="1">
      <c r="A59" s="7" t="s">
        <v>95</v>
      </c>
      <c r="B59" s="7" t="s">
        <v>96</v>
      </c>
      <c r="C59" s="7" t="str">
        <f>VLOOKUP(B59,[1]Sheet1!$B$2:$C$1111,2,FALSE)</f>
        <v>밀리의 서재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55</v>
      </c>
      <c r="K59" s="8">
        <v>55</v>
      </c>
      <c r="L59" s="9">
        <v>110000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55</v>
      </c>
      <c r="AF59" s="8">
        <v>55</v>
      </c>
      <c r="AG59" s="9">
        <v>110000</v>
      </c>
      <c r="AH59" s="9">
        <v>69300</v>
      </c>
      <c r="AI59" s="10">
        <v>110000</v>
      </c>
      <c r="AJ59" s="16">
        <v>69300</v>
      </c>
    </row>
    <row r="60" spans="1:36" ht="18" thickBot="1">
      <c r="A60" s="7" t="s">
        <v>119</v>
      </c>
      <c r="B60" s="7" t="s">
        <v>120</v>
      </c>
      <c r="C60" s="7" t="str">
        <f>VLOOKUP(B60,[1]Sheet1!$B$2:$C$1111,2,FALSE)</f>
        <v>밀리의 서재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2</v>
      </c>
      <c r="K60" s="8">
        <v>2</v>
      </c>
      <c r="L60" s="9">
        <v>4000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</v>
      </c>
      <c r="AF60" s="8">
        <v>2</v>
      </c>
      <c r="AG60" s="9">
        <v>4000</v>
      </c>
      <c r="AH60" s="9">
        <v>2520</v>
      </c>
      <c r="AI60" s="10">
        <v>4000</v>
      </c>
      <c r="AJ60" s="16">
        <v>2520</v>
      </c>
    </row>
    <row r="61" spans="1:36" ht="18" thickBot="1">
      <c r="A61" s="7" t="s">
        <v>26</v>
      </c>
      <c r="B61" s="7" t="s">
        <v>27</v>
      </c>
      <c r="C61" s="7" t="str">
        <f>VLOOKUP(B61,[1]Sheet1!$B$2:$C$1111,2,FALSE)</f>
        <v>더컴퍼니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</v>
      </c>
      <c r="K61" s="8">
        <v>2</v>
      </c>
      <c r="L61" s="9">
        <v>7600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9">
        <v>7600</v>
      </c>
      <c r="AH61" s="9">
        <v>4788</v>
      </c>
      <c r="AI61" s="10">
        <v>7600</v>
      </c>
      <c r="AJ61" s="16">
        <v>4788</v>
      </c>
    </row>
    <row r="62" spans="1:36" ht="18" thickBot="1">
      <c r="A62" s="7" t="s">
        <v>121</v>
      </c>
      <c r="B62" s="7" t="s">
        <v>27</v>
      </c>
      <c r="C62" s="7" t="str">
        <f>VLOOKUP(B62,[1]Sheet1!$B$2:$C$1111,2,FALSE)</f>
        <v>더컴퍼니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2</v>
      </c>
      <c r="K62" s="8">
        <v>2</v>
      </c>
      <c r="L62" s="9">
        <v>2400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2</v>
      </c>
      <c r="AF62" s="8">
        <v>2</v>
      </c>
      <c r="AG62" s="9">
        <v>2400</v>
      </c>
      <c r="AH62" s="9">
        <v>1512</v>
      </c>
      <c r="AI62" s="10">
        <v>2400</v>
      </c>
      <c r="AJ62" s="16">
        <v>1512</v>
      </c>
    </row>
    <row r="63" spans="1:36" ht="18" thickBot="1">
      <c r="A63" s="7" t="s">
        <v>170</v>
      </c>
      <c r="B63" s="7" t="s">
        <v>171</v>
      </c>
      <c r="C63" s="7" t="str">
        <f>VLOOKUP(B63,[1]Sheet1!$B$2:$C$1111,2,FALSE)</f>
        <v>더컴퍼니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9">
        <v>3600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9">
        <v>3600</v>
      </c>
      <c r="AH63" s="9">
        <v>2268</v>
      </c>
      <c r="AI63" s="10">
        <v>3600</v>
      </c>
      <c r="AJ63" s="16">
        <v>2268</v>
      </c>
    </row>
    <row r="64" spans="1:36" ht="18" thickBot="1">
      <c r="A64" s="7" t="s">
        <v>75</v>
      </c>
      <c r="B64" s="7" t="s">
        <v>76</v>
      </c>
      <c r="C64" s="7" t="str">
        <f>VLOOKUP(B64,[1]Sheet1!$B$2:$C$1111,2,FALSE)</f>
        <v>에필로그</v>
      </c>
      <c r="D64" s="8">
        <v>0</v>
      </c>
      <c r="E64" s="8">
        <v>0</v>
      </c>
      <c r="F64" s="8">
        <v>0</v>
      </c>
      <c r="G64" s="8">
        <v>85</v>
      </c>
      <c r="H64" s="8">
        <v>85</v>
      </c>
      <c r="I64" s="9">
        <v>76500</v>
      </c>
      <c r="J64" s="8">
        <v>0</v>
      </c>
      <c r="K64" s="8">
        <v>0</v>
      </c>
      <c r="L64" s="8">
        <v>0</v>
      </c>
      <c r="M64" s="8">
        <v>2</v>
      </c>
      <c r="N64" s="8">
        <v>22</v>
      </c>
      <c r="O64" s="9">
        <v>19800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87</v>
      </c>
      <c r="AF64" s="8">
        <v>107</v>
      </c>
      <c r="AG64" s="9">
        <v>96300</v>
      </c>
      <c r="AH64" s="9">
        <v>60669</v>
      </c>
      <c r="AI64" s="10">
        <v>96300</v>
      </c>
      <c r="AJ64" s="16">
        <v>60669</v>
      </c>
    </row>
    <row r="65" spans="1:36" ht="18" thickBot="1">
      <c r="A65" s="7" t="s">
        <v>77</v>
      </c>
      <c r="B65" s="7" t="s">
        <v>76</v>
      </c>
      <c r="C65" s="7" t="str">
        <f>VLOOKUP(B65,[1]Sheet1!$B$2:$C$1111,2,FALSE)</f>
        <v>에필로그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32</v>
      </c>
      <c r="K65" s="8">
        <v>32</v>
      </c>
      <c r="L65" s="9">
        <v>3200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32</v>
      </c>
      <c r="AF65" s="8">
        <v>32</v>
      </c>
      <c r="AG65" s="9">
        <v>3200</v>
      </c>
      <c r="AH65" s="9">
        <v>2016</v>
      </c>
      <c r="AI65" s="10">
        <v>3200</v>
      </c>
      <c r="AJ65" s="16">
        <v>2016</v>
      </c>
    </row>
    <row r="66" spans="1:36" ht="18" thickBot="1">
      <c r="A66" s="7" t="s">
        <v>172</v>
      </c>
      <c r="B66" s="7" t="s">
        <v>173</v>
      </c>
      <c r="C66" s="7" t="str">
        <f>VLOOKUP(B66,[1]Sheet1!$B$2:$C$1111,2,FALSE)</f>
        <v>아크스튜디오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v>1</v>
      </c>
      <c r="L66" s="8">
        <v>100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</v>
      </c>
      <c r="AF66" s="8">
        <v>1</v>
      </c>
      <c r="AG66" s="8">
        <v>100</v>
      </c>
      <c r="AH66" s="8">
        <v>63</v>
      </c>
      <c r="AI66" s="11">
        <v>100</v>
      </c>
      <c r="AJ66" s="17">
        <v>63</v>
      </c>
    </row>
    <row r="67" spans="1:36" ht="18" thickBot="1">
      <c r="A67" s="7" t="s">
        <v>28</v>
      </c>
      <c r="B67" s="7" t="s">
        <v>29</v>
      </c>
      <c r="C67" s="7" t="str">
        <f>VLOOKUP(B67,[1]Sheet1!$B$2:$C$1111,2,FALSE)</f>
        <v>더컴퍼니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7</v>
      </c>
      <c r="K67" s="8">
        <v>7</v>
      </c>
      <c r="L67" s="9">
        <v>19600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7</v>
      </c>
      <c r="AF67" s="8">
        <v>7</v>
      </c>
      <c r="AG67" s="9">
        <v>19600</v>
      </c>
      <c r="AH67" s="9">
        <v>12348</v>
      </c>
      <c r="AI67" s="10">
        <v>19600</v>
      </c>
      <c r="AJ67" s="16">
        <v>12348</v>
      </c>
    </row>
    <row r="68" spans="1:36" ht="18" thickBot="1">
      <c r="A68" s="7" t="s">
        <v>42</v>
      </c>
      <c r="B68" s="7" t="s">
        <v>29</v>
      </c>
      <c r="C68" s="7" t="str">
        <f>VLOOKUP(B68,[1]Sheet1!$B$2:$C$1111,2,FALSE)</f>
        <v>더컴퍼니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6</v>
      </c>
      <c r="K68" s="8">
        <v>6</v>
      </c>
      <c r="L68" s="9">
        <v>3300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6</v>
      </c>
      <c r="AF68" s="8">
        <v>6</v>
      </c>
      <c r="AG68" s="9">
        <v>3300</v>
      </c>
      <c r="AH68" s="9">
        <v>2079</v>
      </c>
      <c r="AI68" s="10">
        <v>3300</v>
      </c>
      <c r="AJ68" s="16">
        <v>2079</v>
      </c>
    </row>
    <row r="69" spans="1:36" ht="18" thickBot="1">
      <c r="A69" s="7" t="s">
        <v>122</v>
      </c>
      <c r="B69" s="7" t="s">
        <v>123</v>
      </c>
      <c r="C69" s="7" t="str">
        <f>VLOOKUP(B69,[1]Sheet1!$B$2:$C$1111,2,FALSE)</f>
        <v>밀리의 서재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13</v>
      </c>
      <c r="K69" s="8">
        <v>13</v>
      </c>
      <c r="L69" s="9">
        <v>39000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13</v>
      </c>
      <c r="AF69" s="8">
        <v>13</v>
      </c>
      <c r="AG69" s="9">
        <v>39000</v>
      </c>
      <c r="AH69" s="9">
        <v>24570</v>
      </c>
      <c r="AI69" s="10">
        <v>39000</v>
      </c>
      <c r="AJ69" s="16">
        <v>24570</v>
      </c>
    </row>
    <row r="70" spans="1:36" ht="18" thickBot="1">
      <c r="A70" s="7" t="s">
        <v>30</v>
      </c>
      <c r="B70" s="7" t="s">
        <v>19</v>
      </c>
      <c r="C70" s="7" t="str">
        <f>VLOOKUP(B70,[1]Sheet1!$B$2:$C$1111,2,FALSE)</f>
        <v>에필로그</v>
      </c>
      <c r="D70" s="8">
        <v>0</v>
      </c>
      <c r="E70" s="8">
        <v>0</v>
      </c>
      <c r="F70" s="8">
        <v>0</v>
      </c>
      <c r="G70" s="8">
        <v>29</v>
      </c>
      <c r="H70" s="8">
        <v>29</v>
      </c>
      <c r="I70" s="9">
        <v>26100</v>
      </c>
      <c r="J70" s="8">
        <v>0</v>
      </c>
      <c r="K70" s="8">
        <v>0</v>
      </c>
      <c r="L70" s="8">
        <v>0</v>
      </c>
      <c r="M70" s="8">
        <v>4</v>
      </c>
      <c r="N70" s="8">
        <v>32</v>
      </c>
      <c r="O70" s="9">
        <v>20160</v>
      </c>
      <c r="P70" s="8">
        <v>0</v>
      </c>
      <c r="Q70" s="8">
        <v>0</v>
      </c>
      <c r="R70" s="8">
        <v>0</v>
      </c>
      <c r="S70" s="8">
        <v>1</v>
      </c>
      <c r="T70" s="8">
        <v>1</v>
      </c>
      <c r="U70" s="9">
        <v>1080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34</v>
      </c>
      <c r="AF70" s="8">
        <v>62</v>
      </c>
      <c r="AG70" s="9">
        <v>47340</v>
      </c>
      <c r="AH70" s="9">
        <v>29791.8</v>
      </c>
      <c r="AI70" s="10">
        <v>47340</v>
      </c>
      <c r="AJ70" s="16">
        <v>29791.8</v>
      </c>
    </row>
    <row r="71" spans="1:36" ht="18" thickBot="1">
      <c r="A71" s="7" t="s">
        <v>174</v>
      </c>
      <c r="B71" s="7" t="s">
        <v>86</v>
      </c>
      <c r="C71" s="7" t="str">
        <f>VLOOKUP(B71,[1]Sheet1!$B$2:$C$1111,2,FALSE)</f>
        <v>더컴퍼니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1</v>
      </c>
      <c r="Q71" s="8">
        <v>3</v>
      </c>
      <c r="R71" s="9">
        <v>8400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3</v>
      </c>
      <c r="AG71" s="9">
        <v>8400</v>
      </c>
      <c r="AH71" s="9">
        <v>5292</v>
      </c>
      <c r="AI71" s="10">
        <v>8400</v>
      </c>
      <c r="AJ71" s="16">
        <v>5292</v>
      </c>
    </row>
    <row r="72" spans="1:36" ht="18" thickBot="1">
      <c r="A72" s="7" t="s">
        <v>31</v>
      </c>
      <c r="B72" s="7" t="s">
        <v>19</v>
      </c>
      <c r="C72" s="7" t="str">
        <f>VLOOKUP(B72,[1]Sheet1!$B$2:$C$1111,2,FALSE)</f>
        <v>에필로그</v>
      </c>
      <c r="D72" s="8">
        <v>0</v>
      </c>
      <c r="E72" s="8">
        <v>0</v>
      </c>
      <c r="F72" s="8">
        <v>0</v>
      </c>
      <c r="G72" s="8">
        <v>127</v>
      </c>
      <c r="H72" s="8">
        <v>127</v>
      </c>
      <c r="I72" s="9">
        <v>88900</v>
      </c>
      <c r="J72" s="8">
        <v>0</v>
      </c>
      <c r="K72" s="8">
        <v>0</v>
      </c>
      <c r="L72" s="8">
        <v>0</v>
      </c>
      <c r="M72" s="8">
        <v>7</v>
      </c>
      <c r="N72" s="8">
        <v>49</v>
      </c>
      <c r="O72" s="9">
        <v>24990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134</v>
      </c>
      <c r="AF72" s="8">
        <v>176</v>
      </c>
      <c r="AG72" s="9">
        <v>113890</v>
      </c>
      <c r="AH72" s="9">
        <v>71750.7</v>
      </c>
      <c r="AI72" s="10">
        <v>113890</v>
      </c>
      <c r="AJ72" s="16">
        <v>71750.7</v>
      </c>
    </row>
    <row r="73" spans="1:36" ht="18" thickBot="1">
      <c r="A73" s="7" t="s">
        <v>175</v>
      </c>
      <c r="B73" s="7" t="s">
        <v>163</v>
      </c>
      <c r="C73" s="7" t="str">
        <f>VLOOKUP(B73,[1]Sheet1!$B$2:$C$1111,2,FALSE)</f>
        <v>더컴퍼니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67</v>
      </c>
      <c r="K73" s="8">
        <v>67</v>
      </c>
      <c r="L73" s="9">
        <v>241200</v>
      </c>
      <c r="M73" s="8">
        <v>0</v>
      </c>
      <c r="N73" s="8">
        <v>0</v>
      </c>
      <c r="O73" s="8">
        <v>0</v>
      </c>
      <c r="P73" s="8">
        <v>28</v>
      </c>
      <c r="Q73" s="8">
        <v>56</v>
      </c>
      <c r="R73" s="9">
        <v>201600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95</v>
      </c>
      <c r="AF73" s="8">
        <v>123</v>
      </c>
      <c r="AG73" s="9">
        <v>442800</v>
      </c>
      <c r="AH73" s="9">
        <v>278964</v>
      </c>
      <c r="AI73" s="10">
        <v>442800</v>
      </c>
      <c r="AJ73" s="16">
        <v>278964</v>
      </c>
    </row>
    <row r="74" spans="1:36" ht="18" thickBot="1">
      <c r="A74" s="7" t="s">
        <v>32</v>
      </c>
      <c r="B74" s="7" t="s">
        <v>19</v>
      </c>
      <c r="C74" s="7" t="str">
        <f>VLOOKUP(B74,[1]Sheet1!$B$2:$C$1111,2,FALSE)</f>
        <v>에필로그</v>
      </c>
      <c r="D74" s="8">
        <v>0</v>
      </c>
      <c r="E74" s="8">
        <v>0</v>
      </c>
      <c r="F74" s="8">
        <v>0</v>
      </c>
      <c r="G74" s="8">
        <v>117</v>
      </c>
      <c r="H74" s="8">
        <v>117</v>
      </c>
      <c r="I74" s="9">
        <v>105300</v>
      </c>
      <c r="J74" s="8">
        <v>0</v>
      </c>
      <c r="K74" s="8">
        <v>0</v>
      </c>
      <c r="L74" s="8">
        <v>0</v>
      </c>
      <c r="M74" s="8">
        <v>13</v>
      </c>
      <c r="N74" s="8">
        <v>91</v>
      </c>
      <c r="O74" s="9">
        <v>59220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7</v>
      </c>
      <c r="AA74" s="9">
        <v>5292</v>
      </c>
      <c r="AB74" s="8">
        <v>0</v>
      </c>
      <c r="AC74" s="8">
        <v>0</v>
      </c>
      <c r="AD74" s="8">
        <v>0</v>
      </c>
      <c r="AE74" s="8">
        <v>131</v>
      </c>
      <c r="AF74" s="8">
        <v>215</v>
      </c>
      <c r="AG74" s="9">
        <v>169812</v>
      </c>
      <c r="AH74" s="9">
        <v>106822.8</v>
      </c>
      <c r="AI74" s="10">
        <v>169812</v>
      </c>
      <c r="AJ74" s="16">
        <v>106822.8</v>
      </c>
    </row>
    <row r="75" spans="1:36" ht="18" thickBot="1">
      <c r="A75" s="7" t="s">
        <v>33</v>
      </c>
      <c r="B75" s="7" t="s">
        <v>19</v>
      </c>
      <c r="C75" s="7" t="str">
        <f>VLOOKUP(B75,[1]Sheet1!$B$2:$C$1111,2,FALSE)</f>
        <v>에필로그</v>
      </c>
      <c r="D75" s="8">
        <v>0</v>
      </c>
      <c r="E75" s="8">
        <v>0</v>
      </c>
      <c r="F75" s="8">
        <v>0</v>
      </c>
      <c r="G75" s="8">
        <v>71</v>
      </c>
      <c r="H75" s="8">
        <v>71</v>
      </c>
      <c r="I75" s="9">
        <v>63900</v>
      </c>
      <c r="J75" s="8">
        <v>8</v>
      </c>
      <c r="K75" s="8">
        <v>8</v>
      </c>
      <c r="L75" s="9">
        <v>20000</v>
      </c>
      <c r="M75" s="8">
        <v>1</v>
      </c>
      <c r="N75" s="8">
        <v>8</v>
      </c>
      <c r="O75" s="9">
        <v>5040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80</v>
      </c>
      <c r="AF75" s="8">
        <v>87</v>
      </c>
      <c r="AG75" s="9">
        <v>88940</v>
      </c>
      <c r="AH75" s="9">
        <v>56032.2</v>
      </c>
      <c r="AI75" s="10">
        <v>88940</v>
      </c>
      <c r="AJ75" s="16">
        <v>56032.2</v>
      </c>
    </row>
    <row r="76" spans="1:36" ht="18" thickBot="1">
      <c r="A76" s="7" t="s">
        <v>125</v>
      </c>
      <c r="B76" s="7" t="s">
        <v>126</v>
      </c>
      <c r="C76" s="7" t="str">
        <f>VLOOKUP(B76,[1]Sheet1!$B$2:$C$1111,2,FALSE)</f>
        <v>밀리의 서재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20</v>
      </c>
      <c r="K76" s="8">
        <v>20</v>
      </c>
      <c r="L76" s="9">
        <v>40000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20</v>
      </c>
      <c r="AF76" s="8">
        <v>20</v>
      </c>
      <c r="AG76" s="9">
        <v>40000</v>
      </c>
      <c r="AH76" s="9">
        <v>25200</v>
      </c>
      <c r="AI76" s="10">
        <v>40000</v>
      </c>
      <c r="AJ76" s="16">
        <v>25200</v>
      </c>
    </row>
    <row r="77" spans="1:36" ht="18" thickBot="1">
      <c r="A77" s="7" t="s">
        <v>176</v>
      </c>
      <c r="B77" s="7" t="s">
        <v>177</v>
      </c>
      <c r="C77" s="18" t="s">
        <v>186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263</v>
      </c>
      <c r="K77" s="8">
        <v>263</v>
      </c>
      <c r="L77" s="9">
        <v>526000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263</v>
      </c>
      <c r="AF77" s="8">
        <v>263</v>
      </c>
      <c r="AG77" s="9">
        <v>526000</v>
      </c>
      <c r="AH77" s="9">
        <v>331380</v>
      </c>
      <c r="AI77" s="10">
        <v>526000</v>
      </c>
      <c r="AJ77" s="16">
        <v>331380</v>
      </c>
    </row>
    <row r="78" spans="1:36" ht="18" thickBot="1">
      <c r="A78" s="7" t="s">
        <v>34</v>
      </c>
      <c r="B78" s="7" t="s">
        <v>76</v>
      </c>
      <c r="C78" s="7" t="str">
        <f>VLOOKUP(B78,[1]Sheet1!$B$2:$C$1111,2,FALSE)</f>
        <v>에필로그</v>
      </c>
      <c r="D78" s="8">
        <v>0</v>
      </c>
      <c r="E78" s="8">
        <v>0</v>
      </c>
      <c r="F78" s="8">
        <v>0</v>
      </c>
      <c r="G78" s="8">
        <v>541</v>
      </c>
      <c r="H78" s="8">
        <v>541</v>
      </c>
      <c r="I78" s="9">
        <v>486900</v>
      </c>
      <c r="J78" s="8">
        <v>0</v>
      </c>
      <c r="K78" s="8">
        <v>0</v>
      </c>
      <c r="L78" s="8">
        <v>0</v>
      </c>
      <c r="M78" s="8">
        <v>12</v>
      </c>
      <c r="N78" s="8">
        <v>156</v>
      </c>
      <c r="O78" s="9">
        <v>140400</v>
      </c>
      <c r="P78" s="8">
        <v>1</v>
      </c>
      <c r="Q78" s="8">
        <v>13</v>
      </c>
      <c r="R78" s="9">
        <v>26000</v>
      </c>
      <c r="S78" s="8">
        <v>10</v>
      </c>
      <c r="T78" s="8">
        <v>10</v>
      </c>
      <c r="U78" s="9">
        <v>10800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564</v>
      </c>
      <c r="AF78" s="8">
        <v>720</v>
      </c>
      <c r="AG78" s="9">
        <v>664100</v>
      </c>
      <c r="AH78" s="9">
        <v>418059</v>
      </c>
      <c r="AI78" s="10">
        <v>664100</v>
      </c>
      <c r="AJ78" s="16">
        <v>418059</v>
      </c>
    </row>
    <row r="79" spans="1:36" ht="18" thickBot="1">
      <c r="A79" s="7" t="s">
        <v>34</v>
      </c>
      <c r="B79" s="7" t="s">
        <v>41</v>
      </c>
      <c r="C79" s="7" t="str">
        <f>VLOOKUP(B79,[1]Sheet1!$B$2:$C$1111,2,FALSE)</f>
        <v>에필로그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1</v>
      </c>
      <c r="N79" s="8">
        <v>11</v>
      </c>
      <c r="O79" s="9">
        <v>8910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11</v>
      </c>
      <c r="AG79" s="9">
        <v>8910</v>
      </c>
      <c r="AH79" s="9">
        <v>5613.3</v>
      </c>
      <c r="AI79" s="10">
        <v>8910</v>
      </c>
      <c r="AJ79" s="16">
        <v>5613.3</v>
      </c>
    </row>
    <row r="80" spans="1:36" ht="18" thickBot="1">
      <c r="A80" s="7" t="s">
        <v>35</v>
      </c>
      <c r="B80" s="7" t="s">
        <v>19</v>
      </c>
      <c r="C80" s="7" t="str">
        <f>VLOOKUP(B80,[1]Sheet1!$B$2:$C$1111,2,FALSE)</f>
        <v>에필로그</v>
      </c>
      <c r="D80" s="8">
        <v>0</v>
      </c>
      <c r="E80" s="8">
        <v>0</v>
      </c>
      <c r="F80" s="8">
        <v>0</v>
      </c>
      <c r="G80" s="8">
        <v>29</v>
      </c>
      <c r="H80" s="8">
        <v>29</v>
      </c>
      <c r="I80" s="9">
        <v>26100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29</v>
      </c>
      <c r="AF80" s="8">
        <v>29</v>
      </c>
      <c r="AG80" s="9">
        <v>26100</v>
      </c>
      <c r="AH80" s="9">
        <v>16443</v>
      </c>
      <c r="AI80" s="10">
        <v>26100</v>
      </c>
      <c r="AJ80" s="16">
        <v>16443</v>
      </c>
    </row>
    <row r="81" spans="1:36" ht="18" thickBot="1">
      <c r="A81" s="7" t="s">
        <v>178</v>
      </c>
      <c r="B81" s="7" t="s">
        <v>179</v>
      </c>
      <c r="C81" s="7" t="s">
        <v>191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5</v>
      </c>
      <c r="K81" s="8">
        <v>5</v>
      </c>
      <c r="L81" s="9">
        <v>16500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5</v>
      </c>
      <c r="AF81" s="8">
        <v>5</v>
      </c>
      <c r="AG81" s="9">
        <v>16500</v>
      </c>
      <c r="AH81" s="9">
        <v>10395</v>
      </c>
      <c r="AI81" s="10">
        <v>16500</v>
      </c>
      <c r="AJ81" s="16">
        <v>10395</v>
      </c>
    </row>
    <row r="82" spans="1:36" ht="18" thickBot="1">
      <c r="A82" s="7" t="s">
        <v>36</v>
      </c>
      <c r="B82" s="7" t="s">
        <v>76</v>
      </c>
      <c r="C82" s="7" t="str">
        <f>VLOOKUP(B82,[1]Sheet1!$B$2:$C$1111,2,FALSE)</f>
        <v>에필로그</v>
      </c>
      <c r="D82" s="8">
        <v>0</v>
      </c>
      <c r="E82" s="8">
        <v>0</v>
      </c>
      <c r="F82" s="8">
        <v>0</v>
      </c>
      <c r="G82" s="8">
        <v>152</v>
      </c>
      <c r="H82" s="8">
        <v>152</v>
      </c>
      <c r="I82" s="9">
        <v>136800</v>
      </c>
      <c r="J82" s="8">
        <v>0</v>
      </c>
      <c r="K82" s="8">
        <v>0</v>
      </c>
      <c r="L82" s="8">
        <v>0</v>
      </c>
      <c r="M82" s="8">
        <v>3</v>
      </c>
      <c r="N82" s="8">
        <v>39</v>
      </c>
      <c r="O82" s="9">
        <v>35100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155</v>
      </c>
      <c r="AF82" s="8">
        <v>191</v>
      </c>
      <c r="AG82" s="9">
        <v>171900</v>
      </c>
      <c r="AH82" s="9">
        <v>108297</v>
      </c>
      <c r="AI82" s="10">
        <v>171900</v>
      </c>
      <c r="AJ82" s="16">
        <v>108297</v>
      </c>
    </row>
    <row r="83" spans="1:36" ht="18" thickBot="1">
      <c r="A83" s="7" t="s">
        <v>180</v>
      </c>
      <c r="B83" s="7" t="s">
        <v>19</v>
      </c>
      <c r="C83" s="7" t="str">
        <f>VLOOKUP(B83,[1]Sheet1!$B$2:$C$1111,2,FALSE)</f>
        <v>에필로그</v>
      </c>
      <c r="D83" s="8">
        <v>0</v>
      </c>
      <c r="E83" s="8">
        <v>0</v>
      </c>
      <c r="F83" s="8">
        <v>0</v>
      </c>
      <c r="G83" s="8">
        <v>15</v>
      </c>
      <c r="H83" s="8">
        <v>15</v>
      </c>
      <c r="I83" s="9">
        <v>13500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15</v>
      </c>
      <c r="AF83" s="8">
        <v>15</v>
      </c>
      <c r="AG83" s="9">
        <v>13500</v>
      </c>
      <c r="AH83" s="9">
        <v>8505</v>
      </c>
      <c r="AI83" s="10">
        <v>13500</v>
      </c>
      <c r="AJ83" s="16">
        <v>8505</v>
      </c>
    </row>
    <row r="84" spans="1:36" ht="18" thickBot="1">
      <c r="A84" s="7" t="s">
        <v>73</v>
      </c>
      <c r="B84" s="7" t="s">
        <v>25</v>
      </c>
      <c r="C84" s="7" t="str">
        <f>VLOOKUP(B84,[1]Sheet1!$B$2:$C$1111,2,FALSE)</f>
        <v>더컴퍼니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</v>
      </c>
      <c r="K84" s="8">
        <v>1</v>
      </c>
      <c r="L84" s="9">
        <v>3000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8">
        <v>1</v>
      </c>
      <c r="AG84" s="9">
        <v>3000</v>
      </c>
      <c r="AH84" s="9">
        <v>1890</v>
      </c>
      <c r="AI84" s="10">
        <v>3000</v>
      </c>
      <c r="AJ84" s="16">
        <v>1890</v>
      </c>
    </row>
    <row r="85" spans="1:36" ht="18" thickBot="1">
      <c r="A85" s="7" t="s">
        <v>43</v>
      </c>
      <c r="B85" s="7" t="s">
        <v>76</v>
      </c>
      <c r="C85" s="7" t="str">
        <f>VLOOKUP(B85,[1]Sheet1!$B$2:$C$1111,2,FALSE)</f>
        <v>에필로그</v>
      </c>
      <c r="D85" s="8">
        <v>0</v>
      </c>
      <c r="E85" s="8">
        <v>0</v>
      </c>
      <c r="F85" s="8">
        <v>0</v>
      </c>
      <c r="G85" s="8">
        <v>39</v>
      </c>
      <c r="H85" s="8">
        <v>39</v>
      </c>
      <c r="I85" s="9">
        <v>35100</v>
      </c>
      <c r="J85" s="8">
        <v>0</v>
      </c>
      <c r="K85" s="8">
        <v>0</v>
      </c>
      <c r="L85" s="8">
        <v>0</v>
      </c>
      <c r="M85" s="8">
        <v>1</v>
      </c>
      <c r="N85" s="8">
        <v>10</v>
      </c>
      <c r="O85" s="9">
        <v>6300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40</v>
      </c>
      <c r="AF85" s="8">
        <v>49</v>
      </c>
      <c r="AG85" s="9">
        <v>41400</v>
      </c>
      <c r="AH85" s="9">
        <v>26082</v>
      </c>
      <c r="AI85" s="10">
        <v>41400</v>
      </c>
      <c r="AJ85" s="16">
        <v>26082</v>
      </c>
    </row>
    <row r="86" spans="1:36" ht="18" thickBot="1">
      <c r="A86" s="7" t="s">
        <v>181</v>
      </c>
      <c r="B86" s="7" t="s">
        <v>182</v>
      </c>
      <c r="C86" s="7" t="str">
        <f>VLOOKUP(B86,[1]Sheet1!$B$2:$C$1111,2,FALSE)</f>
        <v>더컴퍼니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3</v>
      </c>
      <c r="K86" s="8">
        <v>3</v>
      </c>
      <c r="L86" s="9">
        <v>10800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3</v>
      </c>
      <c r="AF86" s="8">
        <v>3</v>
      </c>
      <c r="AG86" s="9">
        <v>10800</v>
      </c>
      <c r="AH86" s="9">
        <v>6804</v>
      </c>
      <c r="AI86" s="10">
        <v>10800</v>
      </c>
      <c r="AJ86" s="16">
        <v>6804</v>
      </c>
    </row>
    <row r="87" spans="1:36" ht="18" thickBot="1">
      <c r="A87" s="7" t="s">
        <v>37</v>
      </c>
      <c r="B87" s="7" t="s">
        <v>38</v>
      </c>
      <c r="C87" s="7" t="str">
        <f>VLOOKUP(B87,[1]Sheet1!$B$2:$C$1111,2,FALSE)</f>
        <v>더컴퍼니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6</v>
      </c>
      <c r="K87" s="8">
        <v>6</v>
      </c>
      <c r="L87" s="9">
        <v>21000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6</v>
      </c>
      <c r="AF87" s="8">
        <v>6</v>
      </c>
      <c r="AG87" s="9">
        <v>21000</v>
      </c>
      <c r="AH87" s="9">
        <v>13230</v>
      </c>
      <c r="AI87" s="10">
        <v>21000</v>
      </c>
      <c r="AJ87" s="16">
        <v>13230</v>
      </c>
    </row>
    <row r="88" spans="1:36" ht="18" thickBot="1">
      <c r="A88" s="7" t="s">
        <v>127</v>
      </c>
      <c r="B88" s="7" t="s">
        <v>128</v>
      </c>
      <c r="C88" s="7" t="str">
        <f>VLOOKUP(B88,[1]Sheet1!$B$2:$C$1111,2,FALSE)</f>
        <v>밀리의 서재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1</v>
      </c>
      <c r="K88" s="8">
        <v>1</v>
      </c>
      <c r="L88" s="9">
        <v>3000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</v>
      </c>
      <c r="AF88" s="8">
        <v>1</v>
      </c>
      <c r="AG88" s="9">
        <v>3000</v>
      </c>
      <c r="AH88" s="9">
        <v>1890</v>
      </c>
      <c r="AI88" s="10">
        <v>3000</v>
      </c>
      <c r="AJ88" s="16">
        <v>1890</v>
      </c>
    </row>
    <row r="89" spans="1:36" ht="18" thickBot="1">
      <c r="A89" s="7" t="s">
        <v>39</v>
      </c>
      <c r="B89" s="7" t="s">
        <v>76</v>
      </c>
      <c r="C89" s="7" t="str">
        <f>VLOOKUP(B89,[1]Sheet1!$B$2:$C$1111,2,FALSE)</f>
        <v>에필로그</v>
      </c>
      <c r="D89" s="8">
        <v>0</v>
      </c>
      <c r="E89" s="8">
        <v>0</v>
      </c>
      <c r="F89" s="8">
        <v>0</v>
      </c>
      <c r="G89" s="8">
        <v>27</v>
      </c>
      <c r="H89" s="8">
        <v>27</v>
      </c>
      <c r="I89" s="9">
        <v>24300</v>
      </c>
      <c r="J89" s="8">
        <v>1</v>
      </c>
      <c r="K89" s="8">
        <v>1</v>
      </c>
      <c r="L89" s="9">
        <v>2000</v>
      </c>
      <c r="M89" s="8">
        <v>11</v>
      </c>
      <c r="N89" s="8">
        <v>77</v>
      </c>
      <c r="O89" s="9">
        <v>50400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39</v>
      </c>
      <c r="AF89" s="8">
        <v>105</v>
      </c>
      <c r="AG89" s="9">
        <v>76700</v>
      </c>
      <c r="AH89" s="9">
        <v>48321</v>
      </c>
      <c r="AI89" s="10">
        <v>76700</v>
      </c>
      <c r="AJ89" s="16">
        <v>48321</v>
      </c>
    </row>
    <row r="90" spans="1:36" ht="18" thickBot="1">
      <c r="A90" s="7" t="s">
        <v>97</v>
      </c>
      <c r="B90" s="7" t="s">
        <v>98</v>
      </c>
      <c r="C90" s="7" t="str">
        <f>VLOOKUP(B90,[1]Sheet1!$B$2:$C$1111,2,FALSE)</f>
        <v>밀리의 서재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2</v>
      </c>
      <c r="K90" s="8">
        <v>2</v>
      </c>
      <c r="L90" s="9">
        <v>4000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2</v>
      </c>
      <c r="AF90" s="8">
        <v>2</v>
      </c>
      <c r="AG90" s="9">
        <v>4000</v>
      </c>
      <c r="AH90" s="9">
        <v>2520</v>
      </c>
      <c r="AI90" s="10">
        <v>4000</v>
      </c>
      <c r="AJ90" s="16">
        <v>2520</v>
      </c>
    </row>
    <row r="91" spans="1:36" ht="18" thickBot="1">
      <c r="A91" s="7" t="s">
        <v>183</v>
      </c>
      <c r="B91" s="7" t="s">
        <v>136</v>
      </c>
      <c r="C91" s="7" t="str">
        <f>VLOOKUP(B91,[1]Sheet1!$B$2:$C$1111,2,FALSE)</f>
        <v>더컴퍼니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7</v>
      </c>
      <c r="K91" s="8">
        <v>7</v>
      </c>
      <c r="L91" s="9">
        <v>23100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7</v>
      </c>
      <c r="AF91" s="8">
        <v>7</v>
      </c>
      <c r="AG91" s="9">
        <v>23100</v>
      </c>
      <c r="AH91" s="9">
        <v>14553</v>
      </c>
      <c r="AI91" s="10">
        <v>23100</v>
      </c>
      <c r="AJ91" s="16">
        <v>14553</v>
      </c>
    </row>
    <row r="92" spans="1:36" ht="18" thickBot="1">
      <c r="A92" s="7" t="s">
        <v>184</v>
      </c>
      <c r="B92" s="7" t="s">
        <v>185</v>
      </c>
      <c r="C92" s="18" t="s">
        <v>186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134</v>
      </c>
      <c r="K92" s="8">
        <v>134</v>
      </c>
      <c r="L92" s="9">
        <v>469000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134</v>
      </c>
      <c r="AF92" s="8">
        <v>134</v>
      </c>
      <c r="AG92" s="9">
        <v>469000</v>
      </c>
      <c r="AH92" s="9">
        <v>295470</v>
      </c>
      <c r="AI92" s="10">
        <v>469000</v>
      </c>
      <c r="AJ92" s="16">
        <v>295470</v>
      </c>
    </row>
    <row r="93" spans="1:36">
      <c r="A93" s="7" t="s">
        <v>40</v>
      </c>
      <c r="B93" s="7" t="s">
        <v>76</v>
      </c>
      <c r="C93" s="7" t="str">
        <f>VLOOKUP(B93,[1]Sheet1!$B$2:$C$1111,2,FALSE)</f>
        <v>에필로그</v>
      </c>
      <c r="D93" s="8">
        <v>0</v>
      </c>
      <c r="E93" s="8">
        <v>0</v>
      </c>
      <c r="F93" s="8">
        <v>0</v>
      </c>
      <c r="G93" s="8">
        <v>135</v>
      </c>
      <c r="H93" s="8">
        <v>135</v>
      </c>
      <c r="I93" s="9">
        <v>121500</v>
      </c>
      <c r="J93" s="8">
        <v>0</v>
      </c>
      <c r="K93" s="8">
        <v>0</v>
      </c>
      <c r="L93" s="8">
        <v>0</v>
      </c>
      <c r="M93" s="8">
        <v>2</v>
      </c>
      <c r="N93" s="8">
        <v>18</v>
      </c>
      <c r="O93" s="9">
        <v>16200</v>
      </c>
      <c r="P93" s="8">
        <v>0</v>
      </c>
      <c r="Q93" s="8">
        <v>0</v>
      </c>
      <c r="R93" s="8">
        <v>0</v>
      </c>
      <c r="S93" s="8">
        <v>1</v>
      </c>
      <c r="T93" s="8">
        <v>1</v>
      </c>
      <c r="U93" s="9">
        <v>1080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138</v>
      </c>
      <c r="AF93" s="8">
        <v>154</v>
      </c>
      <c r="AG93" s="9">
        <v>138780</v>
      </c>
      <c r="AH93" s="9">
        <v>87399</v>
      </c>
      <c r="AI93" s="10">
        <v>138780</v>
      </c>
      <c r="AJ93" s="16">
        <v>87399</v>
      </c>
    </row>
    <row r="94" spans="1:36">
      <c r="AJ94" s="13">
        <f>SUM(AJ2:AJ93)</f>
        <v>4396099.5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43"/>
  <sheetViews>
    <sheetView workbookViewId="0"/>
  </sheetViews>
  <sheetFormatPr defaultRowHeight="17.399999999999999"/>
  <cols>
    <col min="1" max="1" width="9.19921875" bestFit="1" customWidth="1"/>
    <col min="2" max="2" width="8.3984375" bestFit="1" customWidth="1"/>
    <col min="3" max="3" width="7.0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0.1992187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18.600000000000001" thickBot="1">
      <c r="A2" s="7" t="s">
        <v>78</v>
      </c>
      <c r="B2" s="7" t="s">
        <v>79</v>
      </c>
      <c r="C2" s="7" t="s">
        <v>129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9">
        <v>7000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7000</v>
      </c>
      <c r="AH2" s="9">
        <v>4410</v>
      </c>
      <c r="AI2" s="10">
        <v>7000</v>
      </c>
      <c r="AJ2" s="16">
        <v>4410</v>
      </c>
    </row>
    <row r="3" spans="1:36" ht="18.600000000000001" thickBot="1">
      <c r="A3" s="7" t="s">
        <v>99</v>
      </c>
      <c r="B3" s="7" t="s">
        <v>100</v>
      </c>
      <c r="C3" s="7" t="s">
        <v>129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</v>
      </c>
      <c r="K3" s="8">
        <v>3</v>
      </c>
      <c r="L3" s="9">
        <v>9000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</v>
      </c>
      <c r="AF3" s="8">
        <v>3</v>
      </c>
      <c r="AG3" s="9">
        <v>9000</v>
      </c>
      <c r="AH3" s="9">
        <v>5670</v>
      </c>
      <c r="AI3" s="10">
        <v>9000</v>
      </c>
      <c r="AJ3" s="16">
        <v>5670</v>
      </c>
    </row>
    <row r="4" spans="1:36" ht="18.600000000000001" thickBot="1">
      <c r="A4" s="7" t="s">
        <v>133</v>
      </c>
      <c r="B4" s="7" t="s">
        <v>100</v>
      </c>
      <c r="C4" s="7" t="s">
        <v>129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271</v>
      </c>
      <c r="K4" s="8">
        <v>271</v>
      </c>
      <c r="L4" s="9">
        <v>27100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271</v>
      </c>
      <c r="AF4" s="8">
        <v>271</v>
      </c>
      <c r="AG4" s="9">
        <v>27100</v>
      </c>
      <c r="AH4" s="9">
        <v>17073</v>
      </c>
      <c r="AI4" s="10">
        <v>27100</v>
      </c>
      <c r="AJ4" s="16">
        <v>17073</v>
      </c>
    </row>
    <row r="5" spans="1:36" ht="27.6" thickBot="1">
      <c r="A5" s="7" t="s">
        <v>134</v>
      </c>
      <c r="B5" s="7" t="s">
        <v>124</v>
      </c>
      <c r="C5" s="7" t="s">
        <v>129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</v>
      </c>
      <c r="K5" s="8">
        <v>3</v>
      </c>
      <c r="L5" s="9">
        <v>9000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</v>
      </c>
      <c r="AF5" s="8">
        <v>3</v>
      </c>
      <c r="AG5" s="9">
        <v>9000</v>
      </c>
      <c r="AH5" s="9">
        <v>5670</v>
      </c>
      <c r="AI5" s="10">
        <v>9000</v>
      </c>
      <c r="AJ5" s="16">
        <v>5670</v>
      </c>
    </row>
    <row r="6" spans="1:36" ht="18" thickBot="1">
      <c r="A6" s="7" t="s">
        <v>101</v>
      </c>
      <c r="B6" s="7" t="s">
        <v>29</v>
      </c>
      <c r="C6" s="7" t="s">
        <v>129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1</v>
      </c>
      <c r="L6" s="9">
        <v>2700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1</v>
      </c>
      <c r="AG6" s="9">
        <v>2700</v>
      </c>
      <c r="AH6" s="9">
        <v>1701</v>
      </c>
      <c r="AI6" s="10">
        <v>2700</v>
      </c>
      <c r="AJ6" s="16">
        <v>1701</v>
      </c>
    </row>
    <row r="7" spans="1:36" ht="18" thickBot="1">
      <c r="A7" s="7" t="s">
        <v>135</v>
      </c>
      <c r="B7" s="7" t="s">
        <v>136</v>
      </c>
      <c r="C7" s="7" t="s">
        <v>129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</v>
      </c>
      <c r="K7" s="8">
        <v>4</v>
      </c>
      <c r="L7" s="9">
        <v>12800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4</v>
      </c>
      <c r="AF7" s="8">
        <v>4</v>
      </c>
      <c r="AG7" s="9">
        <v>12800</v>
      </c>
      <c r="AH7" s="9">
        <v>8064</v>
      </c>
      <c r="AI7" s="10">
        <v>12800</v>
      </c>
      <c r="AJ7" s="16">
        <v>8064</v>
      </c>
    </row>
    <row r="8" spans="1:36" ht="27.6" thickBot="1">
      <c r="A8" s="7" t="s">
        <v>70</v>
      </c>
      <c r="B8" s="7" t="s">
        <v>71</v>
      </c>
      <c r="C8" s="7" t="s">
        <v>129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8">
        <v>2</v>
      </c>
      <c r="R8" s="9">
        <v>6000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2</v>
      </c>
      <c r="AG8" s="9">
        <v>6000</v>
      </c>
      <c r="AH8" s="9">
        <v>3780</v>
      </c>
      <c r="AI8" s="10">
        <v>6000</v>
      </c>
      <c r="AJ8" s="16">
        <v>3780</v>
      </c>
    </row>
    <row r="9" spans="1:36" ht="36.6" thickBot="1">
      <c r="A9" s="7" t="s">
        <v>137</v>
      </c>
      <c r="B9" s="7" t="s">
        <v>71</v>
      </c>
      <c r="C9" s="7" t="s">
        <v>129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27</v>
      </c>
      <c r="K9" s="8">
        <v>27</v>
      </c>
      <c r="L9" s="9">
        <v>2700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27</v>
      </c>
      <c r="AF9" s="8">
        <v>27</v>
      </c>
      <c r="AG9" s="9">
        <v>2700</v>
      </c>
      <c r="AH9" s="9">
        <v>1701</v>
      </c>
      <c r="AI9" s="10">
        <v>2700</v>
      </c>
      <c r="AJ9" s="16">
        <v>1701</v>
      </c>
    </row>
    <row r="10" spans="1:36" ht="18.600000000000001" thickBot="1">
      <c r="A10" s="7" t="s">
        <v>138</v>
      </c>
      <c r="B10" s="7" t="s">
        <v>139</v>
      </c>
      <c r="C10" s="7" t="s">
        <v>129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1</v>
      </c>
      <c r="AG10" s="8">
        <v>100</v>
      </c>
      <c r="AH10" s="8">
        <v>63</v>
      </c>
      <c r="AI10" s="11">
        <v>100</v>
      </c>
      <c r="AJ10" s="17">
        <v>63</v>
      </c>
    </row>
    <row r="11" spans="1:36" ht="18" thickBot="1">
      <c r="A11" s="7" t="s">
        <v>72</v>
      </c>
      <c r="B11" s="7" t="s">
        <v>71</v>
      </c>
      <c r="C11" s="7" t="s">
        <v>129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2</v>
      </c>
      <c r="L11" s="9">
        <v>7200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7200</v>
      </c>
      <c r="AH11" s="9">
        <v>4536</v>
      </c>
      <c r="AI11" s="10">
        <v>7200</v>
      </c>
      <c r="AJ11" s="16">
        <v>4536</v>
      </c>
    </row>
    <row r="12" spans="1:36" ht="27.6" thickBot="1">
      <c r="A12" s="7" t="s">
        <v>80</v>
      </c>
      <c r="B12" s="7" t="s">
        <v>14</v>
      </c>
      <c r="C12" s="7" t="s">
        <v>129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4</v>
      </c>
      <c r="K12" s="8">
        <v>4</v>
      </c>
      <c r="L12" s="9">
        <v>12800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4</v>
      </c>
      <c r="AF12" s="8">
        <v>4</v>
      </c>
      <c r="AG12" s="9">
        <v>12800</v>
      </c>
      <c r="AH12" s="9">
        <v>8064</v>
      </c>
      <c r="AI12" s="10">
        <v>12800</v>
      </c>
      <c r="AJ12" s="16">
        <v>8064</v>
      </c>
    </row>
    <row r="13" spans="1:36" ht="18.600000000000001" thickBot="1">
      <c r="A13" s="7" t="s">
        <v>104</v>
      </c>
      <c r="B13" s="7" t="s">
        <v>76</v>
      </c>
      <c r="C13" s="18" t="s">
        <v>188</v>
      </c>
      <c r="D13" s="8">
        <v>0</v>
      </c>
      <c r="E13" s="8">
        <v>0</v>
      </c>
      <c r="F13" s="8">
        <v>0</v>
      </c>
      <c r="G13" s="8">
        <v>99</v>
      </c>
      <c r="H13" s="8">
        <v>99</v>
      </c>
      <c r="I13" s="9">
        <v>89100</v>
      </c>
      <c r="J13" s="8">
        <v>4</v>
      </c>
      <c r="K13" s="8">
        <v>4</v>
      </c>
      <c r="L13" s="9">
        <v>8000</v>
      </c>
      <c r="M13" s="8">
        <v>3</v>
      </c>
      <c r="N13" s="8">
        <v>27</v>
      </c>
      <c r="O13" s="9">
        <v>24300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106</v>
      </c>
      <c r="AF13" s="8">
        <v>130</v>
      </c>
      <c r="AG13" s="9">
        <v>121400</v>
      </c>
      <c r="AH13" s="9">
        <v>76482</v>
      </c>
      <c r="AI13" s="10">
        <v>121400</v>
      </c>
      <c r="AJ13" s="16">
        <v>76482</v>
      </c>
    </row>
    <row r="14" spans="1:36" ht="18" thickBot="1">
      <c r="A14" s="7" t="s">
        <v>68</v>
      </c>
      <c r="B14" s="7" t="s">
        <v>69</v>
      </c>
      <c r="C14" s="7" t="s">
        <v>129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2</v>
      </c>
      <c r="L14" s="9">
        <v>6400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</v>
      </c>
      <c r="AF14" s="8">
        <v>2</v>
      </c>
      <c r="AG14" s="9">
        <v>6400</v>
      </c>
      <c r="AH14" s="9">
        <v>4032</v>
      </c>
      <c r="AI14" s="10">
        <v>6400</v>
      </c>
      <c r="AJ14" s="16">
        <v>4032</v>
      </c>
    </row>
    <row r="15" spans="1:36" ht="27.6" thickBot="1">
      <c r="A15" s="7" t="s">
        <v>150</v>
      </c>
      <c r="B15" s="7" t="s">
        <v>139</v>
      </c>
      <c r="C15" s="7" t="s">
        <v>129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1</v>
      </c>
      <c r="L15" s="9">
        <v>2500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</v>
      </c>
      <c r="AF15" s="8">
        <v>1</v>
      </c>
      <c r="AG15" s="9">
        <v>2500</v>
      </c>
      <c r="AH15" s="9">
        <v>1575</v>
      </c>
      <c r="AI15" s="10">
        <v>2500</v>
      </c>
      <c r="AJ15" s="16">
        <v>1575</v>
      </c>
    </row>
    <row r="16" spans="1:36" ht="18" thickBot="1">
      <c r="A16" s="7" t="s">
        <v>105</v>
      </c>
      <c r="B16" s="7" t="s">
        <v>106</v>
      </c>
      <c r="C16" s="7" t="s">
        <v>129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6</v>
      </c>
      <c r="K16" s="8">
        <v>6</v>
      </c>
      <c r="L16" s="9">
        <v>19200</v>
      </c>
      <c r="M16" s="8">
        <v>0</v>
      </c>
      <c r="N16" s="8">
        <v>0</v>
      </c>
      <c r="O16" s="8">
        <v>0</v>
      </c>
      <c r="P16" s="8">
        <v>1</v>
      </c>
      <c r="Q16" s="8">
        <v>7</v>
      </c>
      <c r="R16" s="9">
        <v>20160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7</v>
      </c>
      <c r="AF16" s="8">
        <v>13</v>
      </c>
      <c r="AG16" s="9">
        <v>39360</v>
      </c>
      <c r="AH16" s="9">
        <v>24796.799999999999</v>
      </c>
      <c r="AI16" s="10">
        <v>39360</v>
      </c>
      <c r="AJ16" s="16">
        <v>24796.799999999999</v>
      </c>
    </row>
    <row r="17" spans="1:36" ht="18" thickBot="1">
      <c r="A17" s="7" t="s">
        <v>85</v>
      </c>
      <c r="B17" s="7" t="s">
        <v>86</v>
      </c>
      <c r="C17" s="7" t="s">
        <v>129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4</v>
      </c>
      <c r="K17" s="8">
        <v>4</v>
      </c>
      <c r="L17" s="9">
        <v>14000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4</v>
      </c>
      <c r="AF17" s="8">
        <v>4</v>
      </c>
      <c r="AG17" s="9">
        <v>14000</v>
      </c>
      <c r="AH17" s="9">
        <v>8820</v>
      </c>
      <c r="AI17" s="10">
        <v>14000</v>
      </c>
      <c r="AJ17" s="16">
        <v>8820</v>
      </c>
    </row>
    <row r="18" spans="1:36" ht="18" thickBot="1">
      <c r="A18" s="7" t="s">
        <v>107</v>
      </c>
      <c r="B18" s="7" t="s">
        <v>86</v>
      </c>
      <c r="C18" s="7" t="s">
        <v>129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</v>
      </c>
      <c r="K18" s="8">
        <v>2</v>
      </c>
      <c r="L18" s="8">
        <v>400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</v>
      </c>
      <c r="AF18" s="8">
        <v>2</v>
      </c>
      <c r="AG18" s="8">
        <v>400</v>
      </c>
      <c r="AH18" s="8">
        <v>252</v>
      </c>
      <c r="AI18" s="11">
        <v>400</v>
      </c>
      <c r="AJ18" s="17">
        <v>252</v>
      </c>
    </row>
    <row r="19" spans="1:36" ht="36.6" thickBot="1">
      <c r="A19" s="7" t="s">
        <v>109</v>
      </c>
      <c r="B19" s="7" t="s">
        <v>87</v>
      </c>
      <c r="C19" s="7" t="s">
        <v>129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30</v>
      </c>
      <c r="K19" s="8">
        <v>30</v>
      </c>
      <c r="L19" s="9">
        <v>3000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30</v>
      </c>
      <c r="AF19" s="8">
        <v>30</v>
      </c>
      <c r="AG19" s="9">
        <v>3000</v>
      </c>
      <c r="AH19" s="9">
        <v>1890</v>
      </c>
      <c r="AI19" s="10">
        <v>3000</v>
      </c>
      <c r="AJ19" s="16">
        <v>1890</v>
      </c>
    </row>
    <row r="20" spans="1:36" ht="18.600000000000001" thickBot="1">
      <c r="A20" s="7" t="s">
        <v>151</v>
      </c>
      <c r="B20" s="7" t="s">
        <v>74</v>
      </c>
      <c r="C20" s="7" t="s">
        <v>129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9">
        <v>4300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9">
        <v>4300</v>
      </c>
      <c r="AH20" s="9">
        <v>2709</v>
      </c>
      <c r="AI20" s="10">
        <v>4300</v>
      </c>
      <c r="AJ20" s="16">
        <v>2709</v>
      </c>
    </row>
    <row r="21" spans="1:36" ht="27.6" thickBot="1">
      <c r="A21" s="7" t="s">
        <v>110</v>
      </c>
      <c r="B21" s="7" t="s">
        <v>111</v>
      </c>
      <c r="C21" s="7" t="s">
        <v>129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13</v>
      </c>
      <c r="K21" s="8">
        <v>13</v>
      </c>
      <c r="L21" s="9">
        <v>1300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13</v>
      </c>
      <c r="AF21" s="8">
        <v>13</v>
      </c>
      <c r="AG21" s="9">
        <v>1300</v>
      </c>
      <c r="AH21" s="8">
        <v>819</v>
      </c>
      <c r="AI21" s="10">
        <v>1300</v>
      </c>
      <c r="AJ21" s="17">
        <v>819</v>
      </c>
    </row>
    <row r="22" spans="1:36" ht="18.600000000000001" thickBot="1">
      <c r="A22" s="7" t="s">
        <v>90</v>
      </c>
      <c r="B22" s="7" t="s">
        <v>91</v>
      </c>
      <c r="C22" s="7" t="s">
        <v>129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9">
        <v>3060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9">
        <v>3060</v>
      </c>
      <c r="AH22" s="9">
        <v>1927.8</v>
      </c>
      <c r="AI22" s="10">
        <v>3060</v>
      </c>
      <c r="AJ22" s="16">
        <v>1927.8</v>
      </c>
    </row>
    <row r="23" spans="1:36" ht="18" thickBot="1">
      <c r="A23" s="7" t="s">
        <v>154</v>
      </c>
      <c r="B23" s="7" t="s">
        <v>14</v>
      </c>
      <c r="C23" s="7" t="s">
        <v>129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3</v>
      </c>
      <c r="R23" s="9">
        <v>8100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3</v>
      </c>
      <c r="AG23" s="9">
        <v>8100</v>
      </c>
      <c r="AH23" s="9">
        <v>5103</v>
      </c>
      <c r="AI23" s="10">
        <v>8100</v>
      </c>
      <c r="AJ23" s="16">
        <v>5103</v>
      </c>
    </row>
    <row r="24" spans="1:36" ht="18" thickBot="1">
      <c r="A24" s="7" t="s">
        <v>155</v>
      </c>
      <c r="B24" s="7" t="s">
        <v>156</v>
      </c>
      <c r="C24" s="18" t="s">
        <v>190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100</v>
      </c>
      <c r="K24" s="8">
        <v>100</v>
      </c>
      <c r="L24" s="9">
        <v>244500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100</v>
      </c>
      <c r="AF24" s="8">
        <v>100</v>
      </c>
      <c r="AG24" s="9">
        <v>244500</v>
      </c>
      <c r="AH24" s="9">
        <v>154035</v>
      </c>
      <c r="AI24" s="10">
        <v>244500</v>
      </c>
      <c r="AJ24" s="16">
        <v>154035</v>
      </c>
    </row>
    <row r="25" spans="1:36" ht="18" thickBot="1">
      <c r="A25" s="7" t="s">
        <v>157</v>
      </c>
      <c r="B25" s="7" t="s">
        <v>158</v>
      </c>
      <c r="C25" s="7" t="s">
        <v>129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3800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3800</v>
      </c>
      <c r="AH25" s="9">
        <v>2394</v>
      </c>
      <c r="AI25" s="10">
        <v>3800</v>
      </c>
      <c r="AJ25" s="16">
        <v>2394</v>
      </c>
    </row>
    <row r="26" spans="1:36" ht="18.600000000000001" thickBot="1">
      <c r="A26" s="7" t="s">
        <v>161</v>
      </c>
      <c r="B26" s="7" t="s">
        <v>74</v>
      </c>
      <c r="C26" s="7" t="s">
        <v>129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1</v>
      </c>
      <c r="L26" s="9">
        <v>3000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9">
        <v>3000</v>
      </c>
      <c r="AH26" s="9">
        <v>1890</v>
      </c>
      <c r="AI26" s="10">
        <v>3000</v>
      </c>
      <c r="AJ26" s="16">
        <v>1890</v>
      </c>
    </row>
    <row r="27" spans="1:36" ht="18" thickBot="1">
      <c r="A27" s="7" t="s">
        <v>162</v>
      </c>
      <c r="B27" s="7" t="s">
        <v>163</v>
      </c>
      <c r="C27" s="7" t="s">
        <v>129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2</v>
      </c>
      <c r="Q27" s="8">
        <v>4</v>
      </c>
      <c r="R27" s="9">
        <v>13600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</v>
      </c>
      <c r="AF27" s="8">
        <v>4</v>
      </c>
      <c r="AG27" s="9">
        <v>13600</v>
      </c>
      <c r="AH27" s="9">
        <v>8568</v>
      </c>
      <c r="AI27" s="10">
        <v>13600</v>
      </c>
      <c r="AJ27" s="16">
        <v>8568</v>
      </c>
    </row>
    <row r="28" spans="1:36" ht="18.600000000000001" thickBot="1">
      <c r="A28" s="7" t="s">
        <v>164</v>
      </c>
      <c r="B28" s="7" t="s">
        <v>14</v>
      </c>
      <c r="C28" s="7" t="s">
        <v>129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</v>
      </c>
      <c r="K28" s="8">
        <v>2</v>
      </c>
      <c r="L28" s="9">
        <v>6400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</v>
      </c>
      <c r="AF28" s="8">
        <v>2</v>
      </c>
      <c r="AG28" s="9">
        <v>6400</v>
      </c>
      <c r="AH28" s="9">
        <v>4032</v>
      </c>
      <c r="AI28" s="10">
        <v>6400</v>
      </c>
      <c r="AJ28" s="16">
        <v>4032</v>
      </c>
    </row>
    <row r="29" spans="1:36" ht="18" thickBot="1">
      <c r="A29" s="7" t="s">
        <v>112</v>
      </c>
      <c r="B29" s="7" t="s">
        <v>29</v>
      </c>
      <c r="C29" s="7" t="s">
        <v>129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2</v>
      </c>
      <c r="L29" s="8">
        <v>600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</v>
      </c>
      <c r="AF29" s="8">
        <v>2</v>
      </c>
      <c r="AG29" s="8">
        <v>600</v>
      </c>
      <c r="AH29" s="8">
        <v>378</v>
      </c>
      <c r="AI29" s="11">
        <v>600</v>
      </c>
      <c r="AJ29" s="17">
        <v>378</v>
      </c>
    </row>
    <row r="30" spans="1:36" ht="18.600000000000001" thickBot="1">
      <c r="A30" s="7" t="s">
        <v>169</v>
      </c>
      <c r="B30" s="7" t="s">
        <v>136</v>
      </c>
      <c r="C30" s="7" t="s">
        <v>129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6</v>
      </c>
      <c r="K30" s="8">
        <v>6</v>
      </c>
      <c r="L30" s="9">
        <v>18000</v>
      </c>
      <c r="M30" s="8">
        <v>9</v>
      </c>
      <c r="N30" s="8">
        <v>27</v>
      </c>
      <c r="O30" s="9">
        <v>81000</v>
      </c>
      <c r="P30" s="8">
        <v>5</v>
      </c>
      <c r="Q30" s="8">
        <v>15</v>
      </c>
      <c r="R30" s="9">
        <v>45000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20</v>
      </c>
      <c r="AF30" s="8">
        <v>48</v>
      </c>
      <c r="AG30" s="9">
        <v>144000</v>
      </c>
      <c r="AH30" s="9">
        <v>90720</v>
      </c>
      <c r="AI30" s="10">
        <v>144000</v>
      </c>
      <c r="AJ30" s="16">
        <v>90720</v>
      </c>
    </row>
    <row r="31" spans="1:36" ht="18.600000000000001" thickBot="1">
      <c r="A31" s="7" t="s">
        <v>117</v>
      </c>
      <c r="B31" s="7" t="s">
        <v>118</v>
      </c>
      <c r="C31" s="7" t="s">
        <v>129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8">
        <v>200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8">
        <v>200</v>
      </c>
      <c r="AH31" s="8">
        <v>126</v>
      </c>
      <c r="AI31" s="11">
        <v>200</v>
      </c>
      <c r="AJ31" s="17">
        <v>126</v>
      </c>
    </row>
    <row r="32" spans="1:36" ht="18" thickBot="1">
      <c r="A32" s="7" t="s">
        <v>26</v>
      </c>
      <c r="B32" s="7" t="s">
        <v>27</v>
      </c>
      <c r="C32" s="7" t="s">
        <v>129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2</v>
      </c>
      <c r="L32" s="9">
        <v>7600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7600</v>
      </c>
      <c r="AH32" s="9">
        <v>4788</v>
      </c>
      <c r="AI32" s="10">
        <v>7600</v>
      </c>
      <c r="AJ32" s="16">
        <v>4788</v>
      </c>
    </row>
    <row r="33" spans="1:36" ht="18.600000000000001" thickBot="1">
      <c r="A33" s="7" t="s">
        <v>121</v>
      </c>
      <c r="B33" s="7" t="s">
        <v>27</v>
      </c>
      <c r="C33" s="7" t="s">
        <v>129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2</v>
      </c>
      <c r="K33" s="8">
        <v>2</v>
      </c>
      <c r="L33" s="9">
        <v>2400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</v>
      </c>
      <c r="AF33" s="8">
        <v>2</v>
      </c>
      <c r="AG33" s="9">
        <v>2400</v>
      </c>
      <c r="AH33" s="9">
        <v>1512</v>
      </c>
      <c r="AI33" s="10">
        <v>2400</v>
      </c>
      <c r="AJ33" s="16">
        <v>1512</v>
      </c>
    </row>
    <row r="34" spans="1:36" ht="18.600000000000001" thickBot="1">
      <c r="A34" s="7" t="s">
        <v>170</v>
      </c>
      <c r="B34" s="7" t="s">
        <v>171</v>
      </c>
      <c r="C34" s="7" t="s">
        <v>129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3600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3600</v>
      </c>
      <c r="AH34" s="9">
        <v>2268</v>
      </c>
      <c r="AI34" s="10">
        <v>3600</v>
      </c>
      <c r="AJ34" s="16">
        <v>2268</v>
      </c>
    </row>
    <row r="35" spans="1:36" ht="18" thickBot="1">
      <c r="A35" s="7" t="s">
        <v>28</v>
      </c>
      <c r="B35" s="7" t="s">
        <v>29</v>
      </c>
      <c r="C35" s="7" t="s">
        <v>129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7</v>
      </c>
      <c r="K35" s="8">
        <v>7</v>
      </c>
      <c r="L35" s="9">
        <v>19600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7</v>
      </c>
      <c r="AF35" s="8">
        <v>7</v>
      </c>
      <c r="AG35" s="9">
        <v>19600</v>
      </c>
      <c r="AH35" s="9">
        <v>12348</v>
      </c>
      <c r="AI35" s="10">
        <v>19600</v>
      </c>
      <c r="AJ35" s="16">
        <v>12348</v>
      </c>
    </row>
    <row r="36" spans="1:36" ht="18.600000000000001" thickBot="1">
      <c r="A36" s="7" t="s">
        <v>42</v>
      </c>
      <c r="B36" s="7" t="s">
        <v>29</v>
      </c>
      <c r="C36" s="7" t="s">
        <v>129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6</v>
      </c>
      <c r="K36" s="8">
        <v>6</v>
      </c>
      <c r="L36" s="9">
        <v>3300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6</v>
      </c>
      <c r="AF36" s="8">
        <v>6</v>
      </c>
      <c r="AG36" s="9">
        <v>3300</v>
      </c>
      <c r="AH36" s="9">
        <v>2079</v>
      </c>
      <c r="AI36" s="10">
        <v>3300</v>
      </c>
      <c r="AJ36" s="16">
        <v>2079</v>
      </c>
    </row>
    <row r="37" spans="1:36" ht="18" thickBot="1">
      <c r="A37" s="7" t="s">
        <v>174</v>
      </c>
      <c r="B37" s="7" t="s">
        <v>86</v>
      </c>
      <c r="C37" s="7" t="s">
        <v>129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8">
        <v>3</v>
      </c>
      <c r="R37" s="9">
        <v>8400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3</v>
      </c>
      <c r="AG37" s="9">
        <v>8400</v>
      </c>
      <c r="AH37" s="9">
        <v>5292</v>
      </c>
      <c r="AI37" s="10">
        <v>8400</v>
      </c>
      <c r="AJ37" s="16">
        <v>5292</v>
      </c>
    </row>
    <row r="38" spans="1:36" ht="18" thickBot="1">
      <c r="A38" s="7" t="s">
        <v>175</v>
      </c>
      <c r="B38" s="7" t="s">
        <v>163</v>
      </c>
      <c r="C38" s="7" t="s">
        <v>129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67</v>
      </c>
      <c r="K38" s="8">
        <v>67</v>
      </c>
      <c r="L38" s="9">
        <v>241200</v>
      </c>
      <c r="M38" s="8">
        <v>0</v>
      </c>
      <c r="N38" s="8">
        <v>0</v>
      </c>
      <c r="O38" s="8">
        <v>0</v>
      </c>
      <c r="P38" s="8">
        <v>28</v>
      </c>
      <c r="Q38" s="8">
        <v>56</v>
      </c>
      <c r="R38" s="9">
        <v>201600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95</v>
      </c>
      <c r="AF38" s="8">
        <v>123</v>
      </c>
      <c r="AG38" s="9">
        <v>442800</v>
      </c>
      <c r="AH38" s="9">
        <v>278964</v>
      </c>
      <c r="AI38" s="10">
        <v>442800</v>
      </c>
      <c r="AJ38" s="16">
        <v>278964</v>
      </c>
    </row>
    <row r="39" spans="1:36" ht="18.600000000000001" thickBot="1">
      <c r="A39" s="7" t="s">
        <v>73</v>
      </c>
      <c r="B39" s="7" t="s">
        <v>25</v>
      </c>
      <c r="C39" s="7" t="s">
        <v>129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9">
        <v>3000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</v>
      </c>
      <c r="AF39" s="8">
        <v>1</v>
      </c>
      <c r="AG39" s="9">
        <v>3000</v>
      </c>
      <c r="AH39" s="9">
        <v>1890</v>
      </c>
      <c r="AI39" s="10">
        <v>3000</v>
      </c>
      <c r="AJ39" s="16">
        <v>1890</v>
      </c>
    </row>
    <row r="40" spans="1:36" ht="18" thickBot="1">
      <c r="A40" s="7" t="s">
        <v>181</v>
      </c>
      <c r="B40" s="7" t="s">
        <v>182</v>
      </c>
      <c r="C40" s="7" t="s">
        <v>129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3</v>
      </c>
      <c r="K40" s="8">
        <v>3</v>
      </c>
      <c r="L40" s="9">
        <v>10800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3</v>
      </c>
      <c r="AF40" s="8">
        <v>3</v>
      </c>
      <c r="AG40" s="9">
        <v>10800</v>
      </c>
      <c r="AH40" s="9">
        <v>6804</v>
      </c>
      <c r="AI40" s="10">
        <v>10800</v>
      </c>
      <c r="AJ40" s="16">
        <v>6804</v>
      </c>
    </row>
    <row r="41" spans="1:36" ht="18" thickBot="1">
      <c r="A41" s="7" t="s">
        <v>37</v>
      </c>
      <c r="B41" s="7" t="s">
        <v>38</v>
      </c>
      <c r="C41" s="7" t="s">
        <v>129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v>6</v>
      </c>
      <c r="L41" s="9">
        <v>21000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6</v>
      </c>
      <c r="AF41" s="8">
        <v>6</v>
      </c>
      <c r="AG41" s="9">
        <v>21000</v>
      </c>
      <c r="AH41" s="9">
        <v>13230</v>
      </c>
      <c r="AI41" s="10">
        <v>21000</v>
      </c>
      <c r="AJ41" s="16">
        <v>13230</v>
      </c>
    </row>
    <row r="42" spans="1:36">
      <c r="A42" s="7" t="s">
        <v>183</v>
      </c>
      <c r="B42" s="7" t="s">
        <v>136</v>
      </c>
      <c r="C42" s="7" t="s">
        <v>129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7</v>
      </c>
      <c r="K42" s="8">
        <v>7</v>
      </c>
      <c r="L42" s="9">
        <v>23100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7</v>
      </c>
      <c r="AF42" s="8">
        <v>7</v>
      </c>
      <c r="AG42" s="9">
        <v>23100</v>
      </c>
      <c r="AH42" s="9">
        <v>14553</v>
      </c>
      <c r="AI42" s="10">
        <v>23100</v>
      </c>
      <c r="AJ42" s="16">
        <v>14553</v>
      </c>
    </row>
    <row r="43" spans="1:36">
      <c r="AJ43" s="19">
        <f>SUM(AJ2:AJ42)</f>
        <v>795009.6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5"/>
  <sheetViews>
    <sheetView workbookViewId="0"/>
  </sheetViews>
  <sheetFormatPr defaultRowHeight="17.399999999999999"/>
  <cols>
    <col min="2" max="3" width="7.0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1.6992187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18" thickBot="1">
      <c r="A2" s="7" t="s">
        <v>15</v>
      </c>
      <c r="B2" s="7" t="s">
        <v>16</v>
      </c>
      <c r="C2" s="7" t="s">
        <v>130</v>
      </c>
      <c r="D2" s="8">
        <v>0</v>
      </c>
      <c r="E2" s="8">
        <v>0</v>
      </c>
      <c r="F2" s="8">
        <v>0</v>
      </c>
      <c r="G2" s="8">
        <v>119</v>
      </c>
      <c r="H2" s="8">
        <v>119</v>
      </c>
      <c r="I2" s="9">
        <v>107100</v>
      </c>
      <c r="J2" s="8">
        <v>0</v>
      </c>
      <c r="K2" s="8">
        <v>0</v>
      </c>
      <c r="L2" s="8">
        <v>0</v>
      </c>
      <c r="M2" s="8">
        <v>4</v>
      </c>
      <c r="N2" s="8">
        <v>84</v>
      </c>
      <c r="O2" s="9">
        <v>68040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123</v>
      </c>
      <c r="AF2" s="8">
        <v>203</v>
      </c>
      <c r="AG2" s="9">
        <v>175140</v>
      </c>
      <c r="AH2" s="9">
        <v>110338.2</v>
      </c>
      <c r="AI2" s="10">
        <v>175140</v>
      </c>
      <c r="AJ2" s="16">
        <v>110338.2</v>
      </c>
    </row>
    <row r="3" spans="1:36" ht="18" thickBot="1">
      <c r="A3" s="7" t="s">
        <v>20</v>
      </c>
      <c r="B3" s="7" t="s">
        <v>16</v>
      </c>
      <c r="C3" s="7" t="s">
        <v>130</v>
      </c>
      <c r="D3" s="8">
        <v>0</v>
      </c>
      <c r="E3" s="8">
        <v>0</v>
      </c>
      <c r="F3" s="8">
        <v>0</v>
      </c>
      <c r="G3" s="8">
        <v>755</v>
      </c>
      <c r="H3" s="8">
        <v>755</v>
      </c>
      <c r="I3" s="9">
        <v>679500</v>
      </c>
      <c r="J3" s="8">
        <v>0</v>
      </c>
      <c r="K3" s="8">
        <v>0</v>
      </c>
      <c r="L3" s="8">
        <v>0</v>
      </c>
      <c r="M3" s="8">
        <v>7</v>
      </c>
      <c r="N3" s="8">
        <v>168</v>
      </c>
      <c r="O3" s="9">
        <v>125280</v>
      </c>
      <c r="P3" s="8">
        <v>0</v>
      </c>
      <c r="Q3" s="8">
        <v>0</v>
      </c>
      <c r="R3" s="8">
        <v>0</v>
      </c>
      <c r="S3" s="8">
        <v>1</v>
      </c>
      <c r="T3" s="8">
        <v>1</v>
      </c>
      <c r="U3" s="9">
        <v>1080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763</v>
      </c>
      <c r="AF3" s="8">
        <v>924</v>
      </c>
      <c r="AG3" s="9">
        <v>805860</v>
      </c>
      <c r="AH3" s="9">
        <v>507659.4</v>
      </c>
      <c r="AI3" s="10">
        <v>805860</v>
      </c>
      <c r="AJ3" s="16">
        <v>507659.4</v>
      </c>
    </row>
    <row r="4" spans="1:36" ht="18" thickBot="1">
      <c r="A4" s="7" t="s">
        <v>21</v>
      </c>
      <c r="B4" s="7" t="s">
        <v>76</v>
      </c>
      <c r="C4" s="7" t="s">
        <v>130</v>
      </c>
      <c r="D4" s="8">
        <v>0</v>
      </c>
      <c r="E4" s="8">
        <v>0</v>
      </c>
      <c r="F4" s="8">
        <v>0</v>
      </c>
      <c r="G4" s="8">
        <v>33</v>
      </c>
      <c r="H4" s="8">
        <v>33</v>
      </c>
      <c r="I4" s="9">
        <v>29700</v>
      </c>
      <c r="J4" s="8">
        <v>8</v>
      </c>
      <c r="K4" s="8">
        <v>8</v>
      </c>
      <c r="L4" s="9">
        <v>16000</v>
      </c>
      <c r="M4" s="8">
        <v>1</v>
      </c>
      <c r="N4" s="8">
        <v>8</v>
      </c>
      <c r="O4" s="9">
        <v>7200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42</v>
      </c>
      <c r="AF4" s="8">
        <v>49</v>
      </c>
      <c r="AG4" s="9">
        <v>52900</v>
      </c>
      <c r="AH4" s="9">
        <v>33327</v>
      </c>
      <c r="AI4" s="10">
        <v>52900</v>
      </c>
      <c r="AJ4" s="16">
        <v>33327</v>
      </c>
    </row>
    <row r="5" spans="1:36" ht="18.600000000000001" thickBot="1">
      <c r="A5" s="7" t="s">
        <v>108</v>
      </c>
      <c r="B5" s="7" t="s">
        <v>19</v>
      </c>
      <c r="C5" s="7" t="s">
        <v>130</v>
      </c>
      <c r="D5" s="8">
        <v>0</v>
      </c>
      <c r="E5" s="8">
        <v>0</v>
      </c>
      <c r="F5" s="8">
        <v>0</v>
      </c>
      <c r="G5" s="8">
        <v>36</v>
      </c>
      <c r="H5" s="8">
        <v>36</v>
      </c>
      <c r="I5" s="9">
        <v>32400</v>
      </c>
      <c r="J5" s="8">
        <v>0</v>
      </c>
      <c r="K5" s="8">
        <v>0</v>
      </c>
      <c r="L5" s="8">
        <v>0</v>
      </c>
      <c r="M5" s="8">
        <v>1</v>
      </c>
      <c r="N5" s="8">
        <v>9</v>
      </c>
      <c r="O5" s="9">
        <v>5670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37</v>
      </c>
      <c r="AF5" s="8">
        <v>45</v>
      </c>
      <c r="AG5" s="9">
        <v>38070</v>
      </c>
      <c r="AH5" s="9">
        <v>23984.1</v>
      </c>
      <c r="AI5" s="10">
        <v>38070</v>
      </c>
      <c r="AJ5" s="16">
        <v>23984.1</v>
      </c>
    </row>
    <row r="6" spans="1:36" ht="18" thickBot="1">
      <c r="A6" s="7" t="s">
        <v>22</v>
      </c>
      <c r="B6" s="7" t="s">
        <v>19</v>
      </c>
      <c r="C6" s="7" t="s">
        <v>130</v>
      </c>
      <c r="D6" s="8">
        <v>0</v>
      </c>
      <c r="E6" s="8">
        <v>0</v>
      </c>
      <c r="F6" s="8">
        <v>0</v>
      </c>
      <c r="G6" s="8">
        <v>24</v>
      </c>
      <c r="H6" s="8">
        <v>24</v>
      </c>
      <c r="I6" s="9">
        <v>21600</v>
      </c>
      <c r="J6" s="8">
        <v>0</v>
      </c>
      <c r="K6" s="8">
        <v>0</v>
      </c>
      <c r="L6" s="8">
        <v>0</v>
      </c>
      <c r="M6" s="8">
        <v>1</v>
      </c>
      <c r="N6" s="8">
        <v>7</v>
      </c>
      <c r="O6" s="9">
        <v>5670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25</v>
      </c>
      <c r="AF6" s="8">
        <v>31</v>
      </c>
      <c r="AG6" s="9">
        <v>27270</v>
      </c>
      <c r="AH6" s="9">
        <v>17180.099999999999</v>
      </c>
      <c r="AI6" s="10">
        <v>27270</v>
      </c>
      <c r="AJ6" s="16">
        <v>17180.099999999999</v>
      </c>
    </row>
    <row r="7" spans="1:36" ht="18" thickBot="1">
      <c r="A7" s="7" t="s">
        <v>23</v>
      </c>
      <c r="B7" s="7" t="s">
        <v>19</v>
      </c>
      <c r="C7" s="7" t="s">
        <v>130</v>
      </c>
      <c r="D7" s="8">
        <v>0</v>
      </c>
      <c r="E7" s="8">
        <v>0</v>
      </c>
      <c r="F7" s="8">
        <v>0</v>
      </c>
      <c r="G7" s="8">
        <v>29</v>
      </c>
      <c r="H7" s="8">
        <v>29</v>
      </c>
      <c r="I7" s="9">
        <v>26100</v>
      </c>
      <c r="J7" s="8">
        <v>0</v>
      </c>
      <c r="K7" s="8">
        <v>0</v>
      </c>
      <c r="L7" s="8">
        <v>0</v>
      </c>
      <c r="M7" s="8">
        <v>2</v>
      </c>
      <c r="N7" s="8">
        <v>14</v>
      </c>
      <c r="O7" s="9">
        <v>11340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31</v>
      </c>
      <c r="AF7" s="8">
        <v>43</v>
      </c>
      <c r="AG7" s="9">
        <v>37440</v>
      </c>
      <c r="AH7" s="9">
        <v>23587.200000000001</v>
      </c>
      <c r="AI7" s="10">
        <v>37440</v>
      </c>
      <c r="AJ7" s="16">
        <v>23587.200000000001</v>
      </c>
    </row>
    <row r="8" spans="1:36" ht="27.6" thickBot="1">
      <c r="A8" s="7" t="s">
        <v>44</v>
      </c>
      <c r="B8" s="7" t="s">
        <v>45</v>
      </c>
      <c r="C8" s="7" t="s">
        <v>130</v>
      </c>
      <c r="D8" s="8">
        <v>0</v>
      </c>
      <c r="E8" s="8">
        <v>0</v>
      </c>
      <c r="F8" s="8">
        <v>0</v>
      </c>
      <c r="G8" s="8">
        <v>1</v>
      </c>
      <c r="H8" s="8">
        <v>1</v>
      </c>
      <c r="I8" s="8">
        <v>900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8">
        <v>900</v>
      </c>
      <c r="AH8" s="8">
        <v>567</v>
      </c>
      <c r="AI8" s="11">
        <v>900</v>
      </c>
      <c r="AJ8" s="17">
        <v>567</v>
      </c>
    </row>
    <row r="9" spans="1:36" ht="18" thickBot="1">
      <c r="A9" s="7" t="s">
        <v>24</v>
      </c>
      <c r="B9" s="7" t="s">
        <v>76</v>
      </c>
      <c r="C9" s="7" t="s">
        <v>130</v>
      </c>
      <c r="D9" s="8">
        <v>0</v>
      </c>
      <c r="E9" s="8">
        <v>0</v>
      </c>
      <c r="F9" s="8">
        <v>0</v>
      </c>
      <c r="G9" s="8">
        <v>701</v>
      </c>
      <c r="H9" s="8">
        <v>701</v>
      </c>
      <c r="I9" s="9">
        <v>630900</v>
      </c>
      <c r="J9" s="8">
        <v>0</v>
      </c>
      <c r="K9" s="8">
        <v>0</v>
      </c>
      <c r="L9" s="8">
        <v>0</v>
      </c>
      <c r="M9" s="8">
        <v>15</v>
      </c>
      <c r="N9" s="8">
        <v>435</v>
      </c>
      <c r="O9" s="9">
        <v>305370</v>
      </c>
      <c r="P9" s="8">
        <v>0</v>
      </c>
      <c r="Q9" s="8">
        <v>0</v>
      </c>
      <c r="R9" s="8">
        <v>0</v>
      </c>
      <c r="S9" s="8">
        <v>4</v>
      </c>
      <c r="T9" s="8">
        <v>4</v>
      </c>
      <c r="U9" s="9">
        <v>4320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720</v>
      </c>
      <c r="AF9" s="12">
        <v>1140</v>
      </c>
      <c r="AG9" s="9">
        <v>940590</v>
      </c>
      <c r="AH9" s="9">
        <v>592442.1</v>
      </c>
      <c r="AI9" s="10">
        <v>940590</v>
      </c>
      <c r="AJ9" s="16">
        <v>592442.1</v>
      </c>
    </row>
    <row r="10" spans="1:36" ht="18.600000000000001" thickBot="1">
      <c r="A10" s="7" t="s">
        <v>92</v>
      </c>
      <c r="B10" s="7" t="s">
        <v>76</v>
      </c>
      <c r="C10" s="7" t="s">
        <v>130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335</v>
      </c>
      <c r="K10" s="8">
        <v>335</v>
      </c>
      <c r="L10" s="9">
        <v>33500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335</v>
      </c>
      <c r="AF10" s="8">
        <v>335</v>
      </c>
      <c r="AG10" s="9">
        <v>33500</v>
      </c>
      <c r="AH10" s="9">
        <v>21105</v>
      </c>
      <c r="AI10" s="10">
        <v>33500</v>
      </c>
      <c r="AJ10" s="16">
        <v>21105</v>
      </c>
    </row>
    <row r="11" spans="1:36" ht="18" thickBot="1">
      <c r="A11" s="7" t="s">
        <v>75</v>
      </c>
      <c r="B11" s="7" t="s">
        <v>76</v>
      </c>
      <c r="C11" s="7" t="s">
        <v>130</v>
      </c>
      <c r="D11" s="8">
        <v>0</v>
      </c>
      <c r="E11" s="8">
        <v>0</v>
      </c>
      <c r="F11" s="8">
        <v>0</v>
      </c>
      <c r="G11" s="8">
        <v>85</v>
      </c>
      <c r="H11" s="8">
        <v>85</v>
      </c>
      <c r="I11" s="9">
        <v>76500</v>
      </c>
      <c r="J11" s="8">
        <v>0</v>
      </c>
      <c r="K11" s="8">
        <v>0</v>
      </c>
      <c r="L11" s="8">
        <v>0</v>
      </c>
      <c r="M11" s="8">
        <v>2</v>
      </c>
      <c r="N11" s="8">
        <v>22</v>
      </c>
      <c r="O11" s="9">
        <v>19800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87</v>
      </c>
      <c r="AF11" s="8">
        <v>107</v>
      </c>
      <c r="AG11" s="9">
        <v>96300</v>
      </c>
      <c r="AH11" s="9">
        <v>60669</v>
      </c>
      <c r="AI11" s="10">
        <v>96300</v>
      </c>
      <c r="AJ11" s="16">
        <v>60669</v>
      </c>
    </row>
    <row r="12" spans="1:36" ht="18.600000000000001" thickBot="1">
      <c r="A12" s="7" t="s">
        <v>77</v>
      </c>
      <c r="B12" s="7" t="s">
        <v>76</v>
      </c>
      <c r="C12" s="7" t="s">
        <v>130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32</v>
      </c>
      <c r="K12" s="8">
        <v>32</v>
      </c>
      <c r="L12" s="9">
        <v>3200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32</v>
      </c>
      <c r="AF12" s="8">
        <v>32</v>
      </c>
      <c r="AG12" s="9">
        <v>3200</v>
      </c>
      <c r="AH12" s="9">
        <v>2016</v>
      </c>
      <c r="AI12" s="10">
        <v>3200</v>
      </c>
      <c r="AJ12" s="16">
        <v>2016</v>
      </c>
    </row>
    <row r="13" spans="1:36" ht="18" thickBot="1">
      <c r="A13" s="7" t="s">
        <v>30</v>
      </c>
      <c r="B13" s="7" t="s">
        <v>19</v>
      </c>
      <c r="C13" s="7" t="s">
        <v>130</v>
      </c>
      <c r="D13" s="8">
        <v>0</v>
      </c>
      <c r="E13" s="8">
        <v>0</v>
      </c>
      <c r="F13" s="8">
        <v>0</v>
      </c>
      <c r="G13" s="8">
        <v>29</v>
      </c>
      <c r="H13" s="8">
        <v>29</v>
      </c>
      <c r="I13" s="9">
        <v>26100</v>
      </c>
      <c r="J13" s="8">
        <v>0</v>
      </c>
      <c r="K13" s="8">
        <v>0</v>
      </c>
      <c r="L13" s="8">
        <v>0</v>
      </c>
      <c r="M13" s="8">
        <v>4</v>
      </c>
      <c r="N13" s="8">
        <v>32</v>
      </c>
      <c r="O13" s="9">
        <v>20160</v>
      </c>
      <c r="P13" s="8">
        <v>0</v>
      </c>
      <c r="Q13" s="8">
        <v>0</v>
      </c>
      <c r="R13" s="8">
        <v>0</v>
      </c>
      <c r="S13" s="8">
        <v>1</v>
      </c>
      <c r="T13" s="8">
        <v>1</v>
      </c>
      <c r="U13" s="9">
        <v>1080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34</v>
      </c>
      <c r="AF13" s="8">
        <v>62</v>
      </c>
      <c r="AG13" s="9">
        <v>47340</v>
      </c>
      <c r="AH13" s="9">
        <v>29791.8</v>
      </c>
      <c r="AI13" s="10">
        <v>47340</v>
      </c>
      <c r="AJ13" s="16">
        <v>29791.8</v>
      </c>
    </row>
    <row r="14" spans="1:36" ht="18" thickBot="1">
      <c r="A14" s="7" t="s">
        <v>31</v>
      </c>
      <c r="B14" s="7" t="s">
        <v>19</v>
      </c>
      <c r="C14" s="7" t="s">
        <v>130</v>
      </c>
      <c r="D14" s="8">
        <v>0</v>
      </c>
      <c r="E14" s="8">
        <v>0</v>
      </c>
      <c r="F14" s="8">
        <v>0</v>
      </c>
      <c r="G14" s="8">
        <v>127</v>
      </c>
      <c r="H14" s="8">
        <v>127</v>
      </c>
      <c r="I14" s="9">
        <v>88900</v>
      </c>
      <c r="J14" s="8">
        <v>0</v>
      </c>
      <c r="K14" s="8">
        <v>0</v>
      </c>
      <c r="L14" s="8">
        <v>0</v>
      </c>
      <c r="M14" s="8">
        <v>7</v>
      </c>
      <c r="N14" s="8">
        <v>49</v>
      </c>
      <c r="O14" s="9">
        <v>24990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134</v>
      </c>
      <c r="AF14" s="8">
        <v>176</v>
      </c>
      <c r="AG14" s="9">
        <v>113890</v>
      </c>
      <c r="AH14" s="9">
        <v>71750.7</v>
      </c>
      <c r="AI14" s="10">
        <v>113890</v>
      </c>
      <c r="AJ14" s="16">
        <v>71750.7</v>
      </c>
    </row>
    <row r="15" spans="1:36" ht="18.600000000000001" thickBot="1">
      <c r="A15" s="7" t="s">
        <v>32</v>
      </c>
      <c r="B15" s="7" t="s">
        <v>19</v>
      </c>
      <c r="C15" s="7" t="s">
        <v>130</v>
      </c>
      <c r="D15" s="8">
        <v>0</v>
      </c>
      <c r="E15" s="8">
        <v>0</v>
      </c>
      <c r="F15" s="8">
        <v>0</v>
      </c>
      <c r="G15" s="8">
        <v>117</v>
      </c>
      <c r="H15" s="8">
        <v>117</v>
      </c>
      <c r="I15" s="9">
        <v>105300</v>
      </c>
      <c r="J15" s="8">
        <v>0</v>
      </c>
      <c r="K15" s="8">
        <v>0</v>
      </c>
      <c r="L15" s="8">
        <v>0</v>
      </c>
      <c r="M15" s="8">
        <v>13</v>
      </c>
      <c r="N15" s="8">
        <v>91</v>
      </c>
      <c r="O15" s="9">
        <v>59220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7</v>
      </c>
      <c r="AA15" s="9">
        <v>5292</v>
      </c>
      <c r="AB15" s="8">
        <v>0</v>
      </c>
      <c r="AC15" s="8">
        <v>0</v>
      </c>
      <c r="AD15" s="8">
        <v>0</v>
      </c>
      <c r="AE15" s="8">
        <v>131</v>
      </c>
      <c r="AF15" s="8">
        <v>215</v>
      </c>
      <c r="AG15" s="9">
        <v>169812</v>
      </c>
      <c r="AH15" s="9">
        <v>106822.8</v>
      </c>
      <c r="AI15" s="10">
        <v>169812</v>
      </c>
      <c r="AJ15" s="16">
        <v>106822.8</v>
      </c>
    </row>
    <row r="16" spans="1:36" ht="18.600000000000001" thickBot="1">
      <c r="A16" s="7" t="s">
        <v>33</v>
      </c>
      <c r="B16" s="7" t="s">
        <v>19</v>
      </c>
      <c r="C16" s="7" t="s">
        <v>130</v>
      </c>
      <c r="D16" s="8">
        <v>0</v>
      </c>
      <c r="E16" s="8">
        <v>0</v>
      </c>
      <c r="F16" s="8">
        <v>0</v>
      </c>
      <c r="G16" s="8">
        <v>71</v>
      </c>
      <c r="H16" s="8">
        <v>71</v>
      </c>
      <c r="I16" s="9">
        <v>63900</v>
      </c>
      <c r="J16" s="8">
        <v>8</v>
      </c>
      <c r="K16" s="8">
        <v>8</v>
      </c>
      <c r="L16" s="9">
        <v>20000</v>
      </c>
      <c r="M16" s="8">
        <v>1</v>
      </c>
      <c r="N16" s="8">
        <v>8</v>
      </c>
      <c r="O16" s="9">
        <v>5040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80</v>
      </c>
      <c r="AF16" s="8">
        <v>87</v>
      </c>
      <c r="AG16" s="9">
        <v>88940</v>
      </c>
      <c r="AH16" s="9">
        <v>56032.2</v>
      </c>
      <c r="AI16" s="10">
        <v>88940</v>
      </c>
      <c r="AJ16" s="16">
        <v>56032.2</v>
      </c>
    </row>
    <row r="17" spans="1:36" ht="18" thickBot="1">
      <c r="A17" s="7" t="s">
        <v>34</v>
      </c>
      <c r="B17" s="7" t="s">
        <v>76</v>
      </c>
      <c r="C17" s="7" t="s">
        <v>130</v>
      </c>
      <c r="D17" s="8">
        <v>0</v>
      </c>
      <c r="E17" s="8">
        <v>0</v>
      </c>
      <c r="F17" s="8">
        <v>0</v>
      </c>
      <c r="G17" s="8">
        <v>541</v>
      </c>
      <c r="H17" s="8">
        <v>541</v>
      </c>
      <c r="I17" s="9">
        <v>486900</v>
      </c>
      <c r="J17" s="8">
        <v>0</v>
      </c>
      <c r="K17" s="8">
        <v>0</v>
      </c>
      <c r="L17" s="8">
        <v>0</v>
      </c>
      <c r="M17" s="8">
        <v>12</v>
      </c>
      <c r="N17" s="8">
        <v>156</v>
      </c>
      <c r="O17" s="9">
        <v>140400</v>
      </c>
      <c r="P17" s="8">
        <v>1</v>
      </c>
      <c r="Q17" s="8">
        <v>13</v>
      </c>
      <c r="R17" s="9">
        <v>26000</v>
      </c>
      <c r="S17" s="8">
        <v>10</v>
      </c>
      <c r="T17" s="8">
        <v>10</v>
      </c>
      <c r="U17" s="9">
        <v>10800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564</v>
      </c>
      <c r="AF17" s="8">
        <v>720</v>
      </c>
      <c r="AG17" s="9">
        <v>664100</v>
      </c>
      <c r="AH17" s="9">
        <v>418059</v>
      </c>
      <c r="AI17" s="10">
        <v>664100</v>
      </c>
      <c r="AJ17" s="16">
        <v>418059</v>
      </c>
    </row>
    <row r="18" spans="1:36" ht="18" thickBot="1">
      <c r="A18" s="7" t="s">
        <v>34</v>
      </c>
      <c r="B18" s="7" t="s">
        <v>41</v>
      </c>
      <c r="C18" s="7" t="s">
        <v>130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</v>
      </c>
      <c r="N18" s="8">
        <v>11</v>
      </c>
      <c r="O18" s="9">
        <v>8910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11</v>
      </c>
      <c r="AG18" s="9">
        <v>8910</v>
      </c>
      <c r="AH18" s="9">
        <v>5613.3</v>
      </c>
      <c r="AI18" s="10">
        <v>8910</v>
      </c>
      <c r="AJ18" s="16">
        <v>5613.3</v>
      </c>
    </row>
    <row r="19" spans="1:36" ht="18" thickBot="1">
      <c r="A19" s="7" t="s">
        <v>35</v>
      </c>
      <c r="B19" s="7" t="s">
        <v>19</v>
      </c>
      <c r="C19" s="7" t="s">
        <v>130</v>
      </c>
      <c r="D19" s="8">
        <v>0</v>
      </c>
      <c r="E19" s="8">
        <v>0</v>
      </c>
      <c r="F19" s="8">
        <v>0</v>
      </c>
      <c r="G19" s="8">
        <v>29</v>
      </c>
      <c r="H19" s="8">
        <v>29</v>
      </c>
      <c r="I19" s="9">
        <v>26100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29</v>
      </c>
      <c r="AF19" s="8">
        <v>29</v>
      </c>
      <c r="AG19" s="9">
        <v>26100</v>
      </c>
      <c r="AH19" s="9">
        <v>16443</v>
      </c>
      <c r="AI19" s="10">
        <v>26100</v>
      </c>
      <c r="AJ19" s="16">
        <v>16443</v>
      </c>
    </row>
    <row r="20" spans="1:36" ht="18" thickBot="1">
      <c r="A20" s="7" t="s">
        <v>36</v>
      </c>
      <c r="B20" s="7" t="s">
        <v>76</v>
      </c>
      <c r="C20" s="7" t="s">
        <v>130</v>
      </c>
      <c r="D20" s="8">
        <v>0</v>
      </c>
      <c r="E20" s="8">
        <v>0</v>
      </c>
      <c r="F20" s="8">
        <v>0</v>
      </c>
      <c r="G20" s="8">
        <v>152</v>
      </c>
      <c r="H20" s="8">
        <v>152</v>
      </c>
      <c r="I20" s="9">
        <v>136800</v>
      </c>
      <c r="J20" s="8">
        <v>0</v>
      </c>
      <c r="K20" s="8">
        <v>0</v>
      </c>
      <c r="L20" s="8">
        <v>0</v>
      </c>
      <c r="M20" s="8">
        <v>3</v>
      </c>
      <c r="N20" s="8">
        <v>39</v>
      </c>
      <c r="O20" s="9">
        <v>35100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155</v>
      </c>
      <c r="AF20" s="8">
        <v>191</v>
      </c>
      <c r="AG20" s="9">
        <v>171900</v>
      </c>
      <c r="AH20" s="9">
        <v>108297</v>
      </c>
      <c r="AI20" s="10">
        <v>171900</v>
      </c>
      <c r="AJ20" s="16">
        <v>108297</v>
      </c>
    </row>
    <row r="21" spans="1:36" ht="18" thickBot="1">
      <c r="A21" s="7" t="s">
        <v>180</v>
      </c>
      <c r="B21" s="7" t="s">
        <v>19</v>
      </c>
      <c r="C21" s="7" t="s">
        <v>130</v>
      </c>
      <c r="D21" s="8">
        <v>0</v>
      </c>
      <c r="E21" s="8">
        <v>0</v>
      </c>
      <c r="F21" s="8">
        <v>0</v>
      </c>
      <c r="G21" s="8">
        <v>15</v>
      </c>
      <c r="H21" s="8">
        <v>15</v>
      </c>
      <c r="I21" s="9">
        <v>13500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15</v>
      </c>
      <c r="AF21" s="8">
        <v>15</v>
      </c>
      <c r="AG21" s="9">
        <v>13500</v>
      </c>
      <c r="AH21" s="9">
        <v>8505</v>
      </c>
      <c r="AI21" s="10">
        <v>13500</v>
      </c>
      <c r="AJ21" s="16">
        <v>8505</v>
      </c>
    </row>
    <row r="22" spans="1:36" ht="18" thickBot="1">
      <c r="A22" s="7" t="s">
        <v>43</v>
      </c>
      <c r="B22" s="7" t="s">
        <v>76</v>
      </c>
      <c r="C22" s="7" t="s">
        <v>130</v>
      </c>
      <c r="D22" s="8">
        <v>0</v>
      </c>
      <c r="E22" s="8">
        <v>0</v>
      </c>
      <c r="F22" s="8">
        <v>0</v>
      </c>
      <c r="G22" s="8">
        <v>39</v>
      </c>
      <c r="H22" s="8">
        <v>39</v>
      </c>
      <c r="I22" s="9">
        <v>35100</v>
      </c>
      <c r="J22" s="8">
        <v>0</v>
      </c>
      <c r="K22" s="8">
        <v>0</v>
      </c>
      <c r="L22" s="8">
        <v>0</v>
      </c>
      <c r="M22" s="8">
        <v>1</v>
      </c>
      <c r="N22" s="8">
        <v>10</v>
      </c>
      <c r="O22" s="9">
        <v>6300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40</v>
      </c>
      <c r="AF22" s="8">
        <v>49</v>
      </c>
      <c r="AG22" s="9">
        <v>41400</v>
      </c>
      <c r="AH22" s="9">
        <v>26082</v>
      </c>
      <c r="AI22" s="10">
        <v>41400</v>
      </c>
      <c r="AJ22" s="16">
        <v>26082</v>
      </c>
    </row>
    <row r="23" spans="1:36" ht="18" thickBot="1">
      <c r="A23" s="7" t="s">
        <v>39</v>
      </c>
      <c r="B23" s="7" t="s">
        <v>76</v>
      </c>
      <c r="C23" s="7" t="s">
        <v>130</v>
      </c>
      <c r="D23" s="8">
        <v>0</v>
      </c>
      <c r="E23" s="8">
        <v>0</v>
      </c>
      <c r="F23" s="8">
        <v>0</v>
      </c>
      <c r="G23" s="8">
        <v>27</v>
      </c>
      <c r="H23" s="8">
        <v>27</v>
      </c>
      <c r="I23" s="9">
        <v>24300</v>
      </c>
      <c r="J23" s="8">
        <v>1</v>
      </c>
      <c r="K23" s="8">
        <v>1</v>
      </c>
      <c r="L23" s="9">
        <v>2000</v>
      </c>
      <c r="M23" s="8">
        <v>11</v>
      </c>
      <c r="N23" s="8">
        <v>77</v>
      </c>
      <c r="O23" s="9">
        <v>50400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39</v>
      </c>
      <c r="AF23" s="8">
        <v>105</v>
      </c>
      <c r="AG23" s="9">
        <v>76700</v>
      </c>
      <c r="AH23" s="9">
        <v>48321</v>
      </c>
      <c r="AI23" s="10">
        <v>76700</v>
      </c>
      <c r="AJ23" s="16">
        <v>48321</v>
      </c>
    </row>
    <row r="24" spans="1:36">
      <c r="A24" s="7" t="s">
        <v>40</v>
      </c>
      <c r="B24" s="7" t="s">
        <v>76</v>
      </c>
      <c r="C24" s="7" t="s">
        <v>130</v>
      </c>
      <c r="D24" s="8">
        <v>0</v>
      </c>
      <c r="E24" s="8">
        <v>0</v>
      </c>
      <c r="F24" s="8">
        <v>0</v>
      </c>
      <c r="G24" s="8">
        <v>135</v>
      </c>
      <c r="H24" s="8">
        <v>135</v>
      </c>
      <c r="I24" s="9">
        <v>121500</v>
      </c>
      <c r="J24" s="8">
        <v>0</v>
      </c>
      <c r="K24" s="8">
        <v>0</v>
      </c>
      <c r="L24" s="8">
        <v>0</v>
      </c>
      <c r="M24" s="8">
        <v>2</v>
      </c>
      <c r="N24" s="8">
        <v>18</v>
      </c>
      <c r="O24" s="9">
        <v>16200</v>
      </c>
      <c r="P24" s="8">
        <v>0</v>
      </c>
      <c r="Q24" s="8">
        <v>0</v>
      </c>
      <c r="R24" s="8">
        <v>0</v>
      </c>
      <c r="S24" s="8">
        <v>1</v>
      </c>
      <c r="T24" s="8">
        <v>1</v>
      </c>
      <c r="U24" s="9">
        <v>1080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138</v>
      </c>
      <c r="AF24" s="8">
        <v>154</v>
      </c>
      <c r="AG24" s="9">
        <v>138780</v>
      </c>
      <c r="AH24" s="9">
        <v>87399</v>
      </c>
      <c r="AI24" s="10">
        <v>138780</v>
      </c>
      <c r="AJ24" s="16">
        <v>87399</v>
      </c>
    </row>
    <row r="25" spans="1:36">
      <c r="AJ25" s="19">
        <f>SUM(AJ2:AJ24)</f>
        <v>2375991.9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6"/>
  <sheetViews>
    <sheetView workbookViewId="0"/>
  </sheetViews>
  <sheetFormatPr defaultRowHeight="17.399999999999999"/>
  <cols>
    <col min="1" max="1" width="9.3984375" bestFit="1" customWidth="1"/>
    <col min="2" max="2" width="7.09765625" bestFit="1" customWidth="1"/>
    <col min="3" max="3" width="7.5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1.6992187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18" thickBot="1">
      <c r="A2" s="7" t="s">
        <v>140</v>
      </c>
      <c r="B2" s="7" t="s">
        <v>141</v>
      </c>
      <c r="C2" s="18" t="s">
        <v>186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47</v>
      </c>
      <c r="K2" s="8">
        <v>47</v>
      </c>
      <c r="L2" s="9">
        <v>117500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47</v>
      </c>
      <c r="AF2" s="8">
        <v>47</v>
      </c>
      <c r="AG2" s="9">
        <v>117500</v>
      </c>
      <c r="AH2" s="9">
        <v>74025</v>
      </c>
      <c r="AI2" s="10">
        <v>117500</v>
      </c>
      <c r="AJ2" s="16">
        <v>74025</v>
      </c>
    </row>
    <row r="3" spans="1:36" ht="18" thickBot="1">
      <c r="A3" s="7" t="s">
        <v>102</v>
      </c>
      <c r="B3" s="7" t="s">
        <v>103</v>
      </c>
      <c r="C3" s="18" t="s">
        <v>187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10</v>
      </c>
      <c r="K3" s="8">
        <v>10</v>
      </c>
      <c r="L3" s="9">
        <v>36000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10</v>
      </c>
      <c r="AF3" s="8">
        <v>10</v>
      </c>
      <c r="AG3" s="9">
        <v>36000</v>
      </c>
      <c r="AH3" s="9">
        <v>22680</v>
      </c>
      <c r="AI3" s="10">
        <v>36000</v>
      </c>
      <c r="AJ3" s="16">
        <v>22680</v>
      </c>
    </row>
    <row r="4" spans="1:36" ht="18" thickBot="1">
      <c r="A4" s="7" t="s">
        <v>142</v>
      </c>
      <c r="B4" s="7" t="s">
        <v>143</v>
      </c>
      <c r="C4" s="18" t="s">
        <v>186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</v>
      </c>
      <c r="K4" s="8">
        <v>2</v>
      </c>
      <c r="L4" s="9">
        <v>5000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</v>
      </c>
      <c r="AF4" s="8">
        <v>2</v>
      </c>
      <c r="AG4" s="9">
        <v>5000</v>
      </c>
      <c r="AH4" s="9">
        <v>3150</v>
      </c>
      <c r="AI4" s="10">
        <v>5000</v>
      </c>
      <c r="AJ4" s="16">
        <v>3150</v>
      </c>
    </row>
    <row r="5" spans="1:36" ht="18" thickBot="1">
      <c r="A5" s="7" t="s">
        <v>17</v>
      </c>
      <c r="B5" s="7" t="s">
        <v>76</v>
      </c>
      <c r="C5" s="18" t="s">
        <v>187</v>
      </c>
      <c r="D5" s="8">
        <v>0</v>
      </c>
      <c r="E5" s="8">
        <v>0</v>
      </c>
      <c r="F5" s="8">
        <v>0</v>
      </c>
      <c r="G5" s="8">
        <v>32</v>
      </c>
      <c r="H5" s="8">
        <v>32</v>
      </c>
      <c r="I5" s="9">
        <v>28800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32</v>
      </c>
      <c r="AF5" s="8">
        <v>32</v>
      </c>
      <c r="AG5" s="9">
        <v>28800</v>
      </c>
      <c r="AH5" s="9">
        <v>18144</v>
      </c>
      <c r="AI5" s="10">
        <v>28800</v>
      </c>
      <c r="AJ5" s="16">
        <v>18144</v>
      </c>
    </row>
    <row r="6" spans="1:36" ht="18.600000000000001" thickBot="1">
      <c r="A6" s="7" t="s">
        <v>144</v>
      </c>
      <c r="B6" s="7" t="s">
        <v>145</v>
      </c>
      <c r="C6" s="18" t="s">
        <v>187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1</v>
      </c>
      <c r="L6" s="8">
        <v>200</v>
      </c>
      <c r="M6" s="8">
        <v>0</v>
      </c>
      <c r="N6" s="8">
        <v>0</v>
      </c>
      <c r="O6" s="8">
        <v>0</v>
      </c>
      <c r="P6" s="8">
        <v>1</v>
      </c>
      <c r="Q6" s="8">
        <v>2</v>
      </c>
      <c r="R6" s="9">
        <v>3800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</v>
      </c>
      <c r="AF6" s="8">
        <v>3</v>
      </c>
      <c r="AG6" s="9">
        <v>4000</v>
      </c>
      <c r="AH6" s="9">
        <v>2520</v>
      </c>
      <c r="AI6" s="10">
        <v>4000</v>
      </c>
      <c r="AJ6" s="16">
        <v>2520</v>
      </c>
    </row>
    <row r="7" spans="1:36" ht="18.600000000000001" thickBot="1">
      <c r="A7" s="7" t="s">
        <v>18</v>
      </c>
      <c r="B7" s="7" t="s">
        <v>19</v>
      </c>
      <c r="C7" s="18" t="s">
        <v>187</v>
      </c>
      <c r="D7" s="8">
        <v>0</v>
      </c>
      <c r="E7" s="8">
        <v>0</v>
      </c>
      <c r="F7" s="8">
        <v>0</v>
      </c>
      <c r="G7" s="8">
        <v>55</v>
      </c>
      <c r="H7" s="8">
        <v>55</v>
      </c>
      <c r="I7" s="9">
        <v>49500</v>
      </c>
      <c r="J7" s="8">
        <v>1</v>
      </c>
      <c r="K7" s="8">
        <v>1</v>
      </c>
      <c r="L7" s="9">
        <v>2500</v>
      </c>
      <c r="M7" s="8">
        <v>3</v>
      </c>
      <c r="N7" s="8">
        <v>27</v>
      </c>
      <c r="O7" s="9">
        <v>24300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59</v>
      </c>
      <c r="AF7" s="8">
        <v>83</v>
      </c>
      <c r="AG7" s="9">
        <v>76300</v>
      </c>
      <c r="AH7" s="9">
        <v>48069</v>
      </c>
      <c r="AI7" s="10">
        <v>76300</v>
      </c>
      <c r="AJ7" s="16">
        <v>48069</v>
      </c>
    </row>
    <row r="8" spans="1:36" ht="18.600000000000001" thickBot="1">
      <c r="A8" s="7" t="s">
        <v>81</v>
      </c>
      <c r="B8" s="7" t="s">
        <v>82</v>
      </c>
      <c r="C8" s="7" t="s">
        <v>131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v>4</v>
      </c>
      <c r="L8" s="9">
        <v>8000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</v>
      </c>
      <c r="AF8" s="8">
        <v>4</v>
      </c>
      <c r="AG8" s="9">
        <v>8000</v>
      </c>
      <c r="AH8" s="9">
        <v>5040</v>
      </c>
      <c r="AI8" s="10">
        <v>8000</v>
      </c>
      <c r="AJ8" s="16">
        <v>5040</v>
      </c>
    </row>
    <row r="9" spans="1:36" ht="18.600000000000001" thickBot="1">
      <c r="A9" s="7" t="s">
        <v>148</v>
      </c>
      <c r="B9" s="7" t="s">
        <v>149</v>
      </c>
      <c r="C9" s="7" t="s">
        <v>131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4</v>
      </c>
      <c r="K9" s="8">
        <v>4</v>
      </c>
      <c r="L9" s="9">
        <v>8000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4</v>
      </c>
      <c r="AF9" s="8">
        <v>4</v>
      </c>
      <c r="AG9" s="9">
        <v>8000</v>
      </c>
      <c r="AH9" s="9">
        <v>5040</v>
      </c>
      <c r="AI9" s="10">
        <v>8000</v>
      </c>
      <c r="AJ9" s="16">
        <v>5040</v>
      </c>
    </row>
    <row r="10" spans="1:36" ht="18.600000000000001" thickBot="1">
      <c r="A10" s="7" t="s">
        <v>83</v>
      </c>
      <c r="B10" s="7" t="s">
        <v>84</v>
      </c>
      <c r="C10" s="7" t="s">
        <v>131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38</v>
      </c>
      <c r="K10" s="8">
        <v>38</v>
      </c>
      <c r="L10" s="9">
        <v>95000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38</v>
      </c>
      <c r="AF10" s="8">
        <v>38</v>
      </c>
      <c r="AG10" s="9">
        <v>95000</v>
      </c>
      <c r="AH10" s="9">
        <v>59850</v>
      </c>
      <c r="AI10" s="10">
        <v>95000</v>
      </c>
      <c r="AJ10" s="16">
        <v>59850</v>
      </c>
    </row>
    <row r="11" spans="1:36" ht="18.600000000000001" thickBot="1">
      <c r="A11" s="7" t="s">
        <v>88</v>
      </c>
      <c r="B11" s="7" t="s">
        <v>89</v>
      </c>
      <c r="C11" s="7" t="s">
        <v>131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12</v>
      </c>
      <c r="K11" s="8">
        <v>12</v>
      </c>
      <c r="L11" s="9">
        <v>24000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12</v>
      </c>
      <c r="AF11" s="8">
        <v>12</v>
      </c>
      <c r="AG11" s="9">
        <v>24000</v>
      </c>
      <c r="AH11" s="9">
        <v>15120</v>
      </c>
      <c r="AI11" s="10">
        <v>24000</v>
      </c>
      <c r="AJ11" s="16">
        <v>15120</v>
      </c>
    </row>
    <row r="12" spans="1:36" ht="18" thickBot="1">
      <c r="A12" s="7" t="s">
        <v>152</v>
      </c>
      <c r="B12" s="7" t="s">
        <v>153</v>
      </c>
      <c r="C12" s="18" t="s">
        <v>186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101</v>
      </c>
      <c r="K12" s="8">
        <v>101</v>
      </c>
      <c r="L12" s="9">
        <v>202000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101</v>
      </c>
      <c r="AF12" s="8">
        <v>101</v>
      </c>
      <c r="AG12" s="9">
        <v>202000</v>
      </c>
      <c r="AH12" s="9">
        <v>127260</v>
      </c>
      <c r="AI12" s="10">
        <v>202000</v>
      </c>
      <c r="AJ12" s="16">
        <v>127260</v>
      </c>
    </row>
    <row r="13" spans="1:36" ht="18.600000000000001" thickBot="1">
      <c r="A13" s="7" t="s">
        <v>159</v>
      </c>
      <c r="B13" s="7" t="s">
        <v>160</v>
      </c>
      <c r="C13" s="7" t="s">
        <v>131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6</v>
      </c>
      <c r="K13" s="8">
        <v>6</v>
      </c>
      <c r="L13" s="9">
        <v>12000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6</v>
      </c>
      <c r="AF13" s="8">
        <v>6</v>
      </c>
      <c r="AG13" s="9">
        <v>12000</v>
      </c>
      <c r="AH13" s="9">
        <v>7560</v>
      </c>
      <c r="AI13" s="10">
        <v>12000</v>
      </c>
      <c r="AJ13" s="16">
        <v>7560</v>
      </c>
    </row>
    <row r="14" spans="1:36" ht="18" thickBot="1">
      <c r="A14" s="7" t="s">
        <v>93</v>
      </c>
      <c r="B14" s="7" t="s">
        <v>94</v>
      </c>
      <c r="C14" s="7" t="s">
        <v>131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1</v>
      </c>
      <c r="L14" s="9">
        <v>2000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1</v>
      </c>
      <c r="AG14" s="9">
        <v>2000</v>
      </c>
      <c r="AH14" s="9">
        <v>1260</v>
      </c>
      <c r="AI14" s="10">
        <v>2000</v>
      </c>
      <c r="AJ14" s="16">
        <v>1260</v>
      </c>
    </row>
    <row r="15" spans="1:36" ht="18.600000000000001" thickBot="1">
      <c r="A15" s="7" t="s">
        <v>165</v>
      </c>
      <c r="B15" s="7" t="s">
        <v>166</v>
      </c>
      <c r="C15" s="18" t="s">
        <v>186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27</v>
      </c>
      <c r="K15" s="8">
        <v>27</v>
      </c>
      <c r="L15" s="9">
        <v>54000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27</v>
      </c>
      <c r="AF15" s="8">
        <v>27</v>
      </c>
      <c r="AG15" s="9">
        <v>54000</v>
      </c>
      <c r="AH15" s="9">
        <v>34020</v>
      </c>
      <c r="AI15" s="10">
        <v>54000</v>
      </c>
      <c r="AJ15" s="16">
        <v>34020</v>
      </c>
    </row>
    <row r="16" spans="1:36" ht="18" thickBot="1">
      <c r="A16" s="7" t="s">
        <v>167</v>
      </c>
      <c r="B16" s="7" t="s">
        <v>168</v>
      </c>
      <c r="C16" s="18" t="s">
        <v>186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23</v>
      </c>
      <c r="K16" s="8">
        <v>23</v>
      </c>
      <c r="L16" s="9">
        <v>46000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23</v>
      </c>
      <c r="AF16" s="8">
        <v>23</v>
      </c>
      <c r="AG16" s="9">
        <v>46000</v>
      </c>
      <c r="AH16" s="9">
        <v>28980</v>
      </c>
      <c r="AI16" s="10">
        <v>46000</v>
      </c>
      <c r="AJ16" s="16">
        <v>28980</v>
      </c>
    </row>
    <row r="17" spans="1:36" ht="18" thickBot="1">
      <c r="A17" s="7" t="s">
        <v>115</v>
      </c>
      <c r="B17" s="7" t="s">
        <v>116</v>
      </c>
      <c r="C17" s="7" t="s">
        <v>131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4</v>
      </c>
      <c r="K17" s="8">
        <v>4</v>
      </c>
      <c r="L17" s="9">
        <v>10000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4</v>
      </c>
      <c r="AF17" s="8">
        <v>4</v>
      </c>
      <c r="AG17" s="9">
        <v>10000</v>
      </c>
      <c r="AH17" s="9">
        <v>6300</v>
      </c>
      <c r="AI17" s="10">
        <v>10000</v>
      </c>
      <c r="AJ17" s="16">
        <v>6300</v>
      </c>
    </row>
    <row r="18" spans="1:36" ht="18" thickBot="1">
      <c r="A18" s="7" t="s">
        <v>95</v>
      </c>
      <c r="B18" s="7" t="s">
        <v>96</v>
      </c>
      <c r="C18" s="7" t="s">
        <v>131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55</v>
      </c>
      <c r="K18" s="8">
        <v>55</v>
      </c>
      <c r="L18" s="9">
        <v>110000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55</v>
      </c>
      <c r="AF18" s="8">
        <v>55</v>
      </c>
      <c r="AG18" s="9">
        <v>110000</v>
      </c>
      <c r="AH18" s="9">
        <v>69300</v>
      </c>
      <c r="AI18" s="10">
        <v>110000</v>
      </c>
      <c r="AJ18" s="16">
        <v>69300</v>
      </c>
    </row>
    <row r="19" spans="1:36" ht="18" thickBot="1">
      <c r="A19" s="7" t="s">
        <v>119</v>
      </c>
      <c r="B19" s="7" t="s">
        <v>120</v>
      </c>
      <c r="C19" s="7" t="s">
        <v>131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2</v>
      </c>
      <c r="K19" s="8">
        <v>2</v>
      </c>
      <c r="L19" s="9">
        <v>4000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</v>
      </c>
      <c r="AF19" s="8">
        <v>2</v>
      </c>
      <c r="AG19" s="9">
        <v>4000</v>
      </c>
      <c r="AH19" s="9">
        <v>2520</v>
      </c>
      <c r="AI19" s="10">
        <v>4000</v>
      </c>
      <c r="AJ19" s="16">
        <v>2520</v>
      </c>
    </row>
    <row r="20" spans="1:36" ht="18" thickBot="1">
      <c r="A20" s="7" t="s">
        <v>122</v>
      </c>
      <c r="B20" s="7" t="s">
        <v>123</v>
      </c>
      <c r="C20" s="7" t="s">
        <v>131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13</v>
      </c>
      <c r="K20" s="8">
        <v>13</v>
      </c>
      <c r="L20" s="9">
        <v>39000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13</v>
      </c>
      <c r="AF20" s="8">
        <v>13</v>
      </c>
      <c r="AG20" s="9">
        <v>39000</v>
      </c>
      <c r="AH20" s="9">
        <v>24570</v>
      </c>
      <c r="AI20" s="10">
        <v>39000</v>
      </c>
      <c r="AJ20" s="16">
        <v>24570</v>
      </c>
    </row>
    <row r="21" spans="1:36" ht="18" thickBot="1">
      <c r="A21" s="7" t="s">
        <v>125</v>
      </c>
      <c r="B21" s="7" t="s">
        <v>126</v>
      </c>
      <c r="C21" s="7" t="s">
        <v>131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20</v>
      </c>
      <c r="K21" s="8">
        <v>20</v>
      </c>
      <c r="L21" s="9">
        <v>40000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20</v>
      </c>
      <c r="AF21" s="8">
        <v>20</v>
      </c>
      <c r="AG21" s="9">
        <v>40000</v>
      </c>
      <c r="AH21" s="9">
        <v>25200</v>
      </c>
      <c r="AI21" s="10">
        <v>40000</v>
      </c>
      <c r="AJ21" s="16">
        <v>25200</v>
      </c>
    </row>
    <row r="22" spans="1:36" ht="18" thickBot="1">
      <c r="A22" s="7" t="s">
        <v>176</v>
      </c>
      <c r="B22" s="7" t="s">
        <v>177</v>
      </c>
      <c r="C22" s="18" t="s">
        <v>186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263</v>
      </c>
      <c r="K22" s="8">
        <v>263</v>
      </c>
      <c r="L22" s="9">
        <v>526000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263</v>
      </c>
      <c r="AF22" s="8">
        <v>263</v>
      </c>
      <c r="AG22" s="9">
        <v>526000</v>
      </c>
      <c r="AH22" s="9">
        <v>331380</v>
      </c>
      <c r="AI22" s="10">
        <v>526000</v>
      </c>
      <c r="AJ22" s="16">
        <v>331380</v>
      </c>
    </row>
    <row r="23" spans="1:36" ht="18" thickBot="1">
      <c r="A23" s="7" t="s">
        <v>127</v>
      </c>
      <c r="B23" s="7" t="s">
        <v>128</v>
      </c>
      <c r="C23" s="7" t="s">
        <v>131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1</v>
      </c>
      <c r="L23" s="9">
        <v>3000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9">
        <v>3000</v>
      </c>
      <c r="AH23" s="9">
        <v>1890</v>
      </c>
      <c r="AI23" s="10">
        <v>3000</v>
      </c>
      <c r="AJ23" s="16">
        <v>1890</v>
      </c>
    </row>
    <row r="24" spans="1:36" ht="18" thickBot="1">
      <c r="A24" s="7" t="s">
        <v>97</v>
      </c>
      <c r="B24" s="7" t="s">
        <v>98</v>
      </c>
      <c r="C24" s="7" t="s">
        <v>131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</v>
      </c>
      <c r="K24" s="8">
        <v>2</v>
      </c>
      <c r="L24" s="9">
        <v>4000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</v>
      </c>
      <c r="AF24" s="8">
        <v>2</v>
      </c>
      <c r="AG24" s="9">
        <v>4000</v>
      </c>
      <c r="AH24" s="9">
        <v>2520</v>
      </c>
      <c r="AI24" s="10">
        <v>4000</v>
      </c>
      <c r="AJ24" s="16">
        <v>2520</v>
      </c>
    </row>
    <row r="25" spans="1:36">
      <c r="A25" s="7" t="s">
        <v>184</v>
      </c>
      <c r="B25" s="7" t="s">
        <v>185</v>
      </c>
      <c r="C25" s="18" t="s">
        <v>186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134</v>
      </c>
      <c r="K25" s="8">
        <v>134</v>
      </c>
      <c r="L25" s="9">
        <v>469000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134</v>
      </c>
      <c r="AF25" s="8">
        <v>134</v>
      </c>
      <c r="AG25" s="9">
        <v>469000</v>
      </c>
      <c r="AH25" s="9">
        <v>295470</v>
      </c>
      <c r="AI25" s="10">
        <v>469000</v>
      </c>
      <c r="AJ25" s="16">
        <v>295470</v>
      </c>
    </row>
    <row r="26" spans="1:36">
      <c r="AJ26" s="19">
        <f>SUM(AJ2:AJ25)</f>
        <v>1211868</v>
      </c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4"/>
  <sheetViews>
    <sheetView topLeftCell="P1" workbookViewId="0">
      <selection activeCell="AA9" sqref="AA9"/>
    </sheetView>
  </sheetViews>
  <sheetFormatPr defaultRowHeight="17.399999999999999"/>
  <cols>
    <col min="2" max="2" width="7.09765625" bestFit="1" customWidth="1"/>
    <col min="3" max="3" width="7.1992187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19921875" bestFit="1" customWidth="1"/>
    <col min="35" max="35" width="7.59765625" bestFit="1" customWidth="1"/>
    <col min="36" max="36" width="9.1992187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18.600000000000001" thickBot="1">
      <c r="A2" s="7" t="s">
        <v>146</v>
      </c>
      <c r="B2" s="7" t="s">
        <v>147</v>
      </c>
      <c r="C2" s="18" t="s">
        <v>189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9">
        <v>3200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9">
        <v>3200</v>
      </c>
      <c r="AH2" s="9">
        <v>2016</v>
      </c>
      <c r="AI2" s="10">
        <v>3200</v>
      </c>
      <c r="AJ2" s="16">
        <v>2016</v>
      </c>
    </row>
    <row r="3" spans="1:36">
      <c r="A3" s="7" t="s">
        <v>178</v>
      </c>
      <c r="B3" s="7" t="s">
        <v>179</v>
      </c>
      <c r="C3" s="7" t="s">
        <v>191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5</v>
      </c>
      <c r="K3" s="8">
        <v>5</v>
      </c>
      <c r="L3" s="9">
        <v>16500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5</v>
      </c>
      <c r="AF3" s="8">
        <v>5</v>
      </c>
      <c r="AG3" s="9">
        <v>16500</v>
      </c>
      <c r="AH3" s="9">
        <v>10395</v>
      </c>
      <c r="AI3" s="10">
        <v>16500</v>
      </c>
      <c r="AJ3" s="16">
        <v>10395</v>
      </c>
    </row>
    <row r="4" spans="1:36">
      <c r="AJ4" s="19">
        <f>SUM(AJ2:AJ3)</f>
        <v>12411</v>
      </c>
    </row>
  </sheetData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4"/>
  <sheetViews>
    <sheetView workbookViewId="0">
      <selection activeCell="D8" sqref="D8"/>
    </sheetView>
  </sheetViews>
  <sheetFormatPr defaultRowHeight="17.399999999999999"/>
  <cols>
    <col min="2" max="2" width="7.09765625" bestFit="1" customWidth="1"/>
    <col min="3" max="3" width="8.398437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19921875" bestFit="1" customWidth="1"/>
    <col min="35" max="35" width="6.796875" bestFit="1" customWidth="1"/>
    <col min="36" max="36" width="7.09765625" bestFit="1" customWidth="1"/>
  </cols>
  <sheetData>
    <row r="1" spans="1:36" ht="63" thickBot="1">
      <c r="A1" s="1" t="s">
        <v>0</v>
      </c>
      <c r="B1" s="1" t="s">
        <v>1</v>
      </c>
      <c r="C1" s="1" t="s">
        <v>67</v>
      </c>
      <c r="D1" s="2" t="s">
        <v>46</v>
      </c>
      <c r="E1" s="2" t="s">
        <v>47</v>
      </c>
      <c r="F1" s="2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61</v>
      </c>
      <c r="AF1" s="5" t="s">
        <v>62</v>
      </c>
      <c r="AG1" s="5" t="s">
        <v>63</v>
      </c>
      <c r="AH1" s="5" t="s">
        <v>64</v>
      </c>
      <c r="AI1" s="6" t="s">
        <v>65</v>
      </c>
      <c r="AJ1" s="14" t="s">
        <v>66</v>
      </c>
    </row>
    <row r="2" spans="1:36" ht="27.6" thickBot="1">
      <c r="A2" s="7" t="s">
        <v>113</v>
      </c>
      <c r="B2" s="7" t="s">
        <v>114</v>
      </c>
      <c r="C2" s="7" t="s">
        <v>132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12</v>
      </c>
      <c r="K2" s="8">
        <v>12</v>
      </c>
      <c r="L2" s="9">
        <v>1200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12</v>
      </c>
      <c r="AF2" s="8">
        <v>12</v>
      </c>
      <c r="AG2" s="9">
        <v>1200</v>
      </c>
      <c r="AH2" s="8">
        <v>756</v>
      </c>
      <c r="AI2" s="10">
        <v>1200</v>
      </c>
      <c r="AJ2" s="17">
        <v>756</v>
      </c>
    </row>
    <row r="3" spans="1:36" ht="18">
      <c r="A3" s="7" t="s">
        <v>172</v>
      </c>
      <c r="B3" s="7" t="s">
        <v>173</v>
      </c>
      <c r="C3" s="7" t="s">
        <v>132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</v>
      </c>
      <c r="K3" s="8">
        <v>1</v>
      </c>
      <c r="L3" s="8">
        <v>100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</v>
      </c>
      <c r="AF3" s="8">
        <v>1</v>
      </c>
      <c r="AG3" s="8">
        <v>100</v>
      </c>
      <c r="AH3" s="8">
        <v>63</v>
      </c>
      <c r="AI3" s="11">
        <v>100</v>
      </c>
      <c r="AJ3" s="17">
        <v>63</v>
      </c>
    </row>
    <row r="4" spans="1:36">
      <c r="AJ4" s="20">
        <f>SUM(AJ2:AJ3)</f>
        <v>819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합계(3)</vt:lpstr>
      <vt:lpstr>더컴퍼니</vt:lpstr>
      <vt:lpstr>에필로그</vt:lpstr>
      <vt:lpstr>밀리의 서재</vt:lpstr>
      <vt:lpstr>스토리위드</vt:lpstr>
      <vt:lpstr>아크스튜디오</vt:lpstr>
      <vt:lpstr>더컴퍼니!Extract</vt:lpstr>
      <vt:lpstr>'밀리의 서재'!Extract</vt:lpstr>
      <vt:lpstr>스토리위드!Extract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2022-04-06T08:45:48Z</dcterms:modified>
</cp:coreProperties>
</file>