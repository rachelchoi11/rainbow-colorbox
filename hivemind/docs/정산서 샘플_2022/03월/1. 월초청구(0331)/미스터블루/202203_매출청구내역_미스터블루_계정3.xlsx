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미스터블루\"/>
    </mc:Choice>
  </mc:AlternateContent>
  <bookViews>
    <workbookView xWindow="0" yWindow="0" windowWidth="23040" windowHeight="8952" tabRatio="722"/>
  </bookViews>
  <sheets>
    <sheet name="합계(3)" sheetId="140" r:id="rId1"/>
  </sheets>
  <definedNames>
    <definedName name="_xlnm._FilterDatabase" localSheetId="0" hidden="1">'합계(3)'!$A$1:$AJ$1</definedName>
    <definedName name="_xlnm.Extract" localSheetId="0">'합계(3)'!#REF!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44" i="140" l="1"/>
</calcChain>
</file>

<file path=xl/sharedStrings.xml><?xml version="1.0" encoding="utf-8"?>
<sst xmlns="http://schemas.openxmlformats.org/spreadsheetml/2006/main" count="132" uniqueCount="109">
  <si>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</si>
  <si>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</si>
  <si>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</si>
  <si>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</si>
  <si>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</si>
  <si>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</si>
  <si>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</si>
  <si>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</si>
  <si>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</si>
  <si>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</si>
  <si>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</si>
  <si>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</si>
  <si>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</si>
  <si>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</si>
  <si>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</si>
  <si>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</si>
  <si>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</si>
  <si>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</si>
  <si>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</si>
  <si>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</si>
  <si>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구유</t>
  </si>
  <si>
    <t>로드 오브 머니</t>
  </si>
  <si>
    <t>ktn03_0027</t>
  </si>
  <si>
    <t>블루머니_권별소장_이용권(화) 수</t>
    <phoneticPr fontId="96" type="noConversion"/>
  </si>
  <si>
    <t>블루머니_전권소장_건수</t>
    <phoneticPr fontId="96" type="noConversion"/>
  </si>
  <si>
    <t>계_건수</t>
    <phoneticPr fontId="96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</si>
  <si>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</si>
  <si>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</si>
  <si>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</si>
  <si>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6" type="noConversion"/>
  </si>
  <si>
    <t>블루머니_권별대여_이용권(화) 수</t>
    <phoneticPr fontId="96" type="noConversion"/>
  </si>
  <si>
    <t>블루머니_권별대여_매출액</t>
    <phoneticPr fontId="96" type="noConversion"/>
  </si>
  <si>
    <t>블루머니_권별소장_건수</t>
    <phoneticPr fontId="96" type="noConversion"/>
  </si>
  <si>
    <t>블루머니_권별소장_매출액</t>
    <phoneticPr fontId="96" type="noConversion"/>
  </si>
  <si>
    <t>블루머니_전권대여_이용권(화) 수</t>
    <phoneticPr fontId="96" type="noConversion"/>
  </si>
  <si>
    <t>블루머니_전권대여_매출액</t>
    <phoneticPr fontId="96" type="noConversion"/>
  </si>
  <si>
    <t>블루머니_전권소장_이용권(화) 수</t>
    <phoneticPr fontId="96" type="noConversion"/>
  </si>
  <si>
    <t>계_매출액</t>
    <phoneticPr fontId="96" type="noConversion"/>
  </si>
  <si>
    <t>계_정산액</t>
    <phoneticPr fontId="96" type="noConversion"/>
  </si>
  <si>
    <t>정산액</t>
    <phoneticPr fontId="26" type="noConversion"/>
  </si>
  <si>
    <t>블루머니_전권대여_건수</t>
    <phoneticPr fontId="96" type="noConversion"/>
  </si>
  <si>
    <t>블루머니_전권소장_매출액</t>
    <phoneticPr fontId="96" type="noConversion"/>
  </si>
  <si>
    <t>계_이용권(화)수</t>
    <phoneticPr fontId="96" type="noConversion"/>
  </si>
  <si>
    <t>매출액</t>
    <phoneticPr fontId="26" type="noConversion"/>
  </si>
  <si>
    <t>김광수</t>
  </si>
  <si>
    <t>ktn03_0046</t>
  </si>
  <si>
    <t>SSS급 마왕의 귀환 (연재)</t>
  </si>
  <si>
    <t>ktn03_0020</t>
  </si>
  <si>
    <t>진문</t>
  </si>
  <si>
    <t>회귀의 전설</t>
  </si>
  <si>
    <t>최종 보스 : 빛을 향해 달리는 그림자 (연재)</t>
  </si>
  <si>
    <t>청빙</t>
  </si>
  <si>
    <t>리얼 머니 (연재)</t>
  </si>
  <si>
    <t>유성하소월</t>
  </si>
  <si>
    <t>유성하소월 (연재)</t>
  </si>
  <si>
    <t>최종 보스 : 빛을 향해 달리는 그림자</t>
  </si>
  <si>
    <t>갓 오브 블랙필드</t>
  </si>
  <si>
    <t>mayabooks0148</t>
  </si>
  <si>
    <t>강호유정</t>
  </si>
  <si>
    <t>N0162044</t>
  </si>
  <si>
    <t>그라운드의 지배자</t>
  </si>
  <si>
    <t>mayabooks0041</t>
  </si>
  <si>
    <t>망작 리메이커 (연재)</t>
  </si>
  <si>
    <t>덕킹</t>
  </si>
  <si>
    <t>은천검제 (2부 화산검제) (연재)</t>
  </si>
  <si>
    <t>ktn03_0044</t>
  </si>
  <si>
    <t>디버프 마스터 (연재)</t>
  </si>
  <si>
    <t>담화공</t>
  </si>
  <si>
    <t>리얼 머니</t>
  </si>
  <si>
    <t>온서</t>
  </si>
  <si>
    <t>임신부터 할까요? (연재)</t>
  </si>
  <si>
    <t>세상</t>
  </si>
  <si>
    <t>컬러 러쉬 (연재)</t>
  </si>
  <si>
    <t>도폐풍운록</t>
  </si>
  <si>
    <t>라스트 서바이버 : 진화로 살아남아라! (연재)</t>
  </si>
  <si>
    <t>만렙도끼</t>
  </si>
  <si>
    <t>선유문주</t>
  </si>
  <si>
    <t>모험왕선우</t>
  </si>
  <si>
    <t>은천검제 (2부 화산검제)</t>
  </si>
  <si>
    <t>회귀했는데 FFF급 부두술사 (연재)</t>
  </si>
  <si>
    <t>빡선생</t>
  </si>
  <si>
    <t>[30% 세트 할인] 낚싯대 하나로 세계최강</t>
  </si>
  <si>
    <t>단팥크림빵7</t>
  </si>
  <si>
    <t>검산도해</t>
  </si>
  <si>
    <t>권용찬</t>
  </si>
  <si>
    <t>ktn03_0045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</si>
  <si>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</si>
  <si>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</si>
  <si>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</si>
  <si>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</si>
  <si>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</si>
  <si>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</si>
  <si>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낚싯대 하나로 세계최강</t>
  </si>
  <si>
    <t>낚싯대 하나로 세계최강 (연재)</t>
  </si>
  <si>
    <t>마신부활 (연재)</t>
  </si>
  <si>
    <t>망작 리메이커</t>
  </si>
  <si>
    <t>문답무용 - 삼국지 유비의 모사가 되었다 (연재)</t>
  </si>
  <si>
    <t>신인류 좀비의 아포칼립스</t>
  </si>
  <si>
    <t>얼굴 천재 교주가 되었다 (연재)</t>
  </si>
  <si>
    <t>비고</t>
  </si>
  <si>
    <t>올마스터가 된 비전서고 (연재)</t>
  </si>
  <si>
    <t>글면증</t>
  </si>
  <si>
    <t>와그작 (연재)</t>
  </si>
  <si>
    <t>임신부터 할까요?</t>
  </si>
  <si>
    <t>컬러 러쉬</t>
  </si>
  <si>
    <t>헌터인데 내공이 좀 많네요 (연재)</t>
  </si>
  <si>
    <t>돈문어</t>
  </si>
  <si>
    <t>형사의 게임 (연재)</t>
  </si>
  <si>
    <t>회귀했는데 FFF급 부두술사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</si>
</sst>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0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2F3743"/>
      <name val="돋움"/>
      <family val="3"/>
      <charset val="129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95" fillId="33" borderId="1" xfId="1880" applyFont="1" applyFill="1" applyBorder="1" applyAlignment="1">
      <alignment vertical="center" wrapText="1"/>
    </xf>
    <xf numFmtId="0" fontId="95" fillId="38" borderId="1" xfId="1880" applyFont="1" applyFill="1" applyBorder="1" applyAlignment="1">
      <alignment vertical="center" wrapText="1"/>
    </xf>
    <xf numFmtId="0" fontId="77" fillId="39" borderId="1" xfId="0" applyFont="1" applyFill="1" applyBorder="1" applyAlignment="1">
      <alignment vertical="center" wrapText="1"/>
    </xf>
    <xf numFmtId="0" fontId="77" fillId="40" borderId="1" xfId="0" applyFont="1" applyFill="1" applyBorder="1" applyAlignment="1">
      <alignment vertical="center" wrapText="1"/>
    </xf>
    <xf numFmtId="0" fontId="77" fillId="41" borderId="1" xfId="0" applyFont="1" applyFill="1" applyBorder="1" applyAlignment="1">
      <alignment vertical="center" wrapText="1"/>
    </xf>
    <xf numFmtId="0" fontId="77" fillId="42" borderId="1" xfId="0" applyFont="1" applyFill="1" applyBorder="1" applyAlignment="1">
      <alignment vertical="center" wrapText="1"/>
    </xf>
    <xf numFmtId="0" fontId="97" fillId="0" borderId="19" xfId="0" applyFont="1" applyBorder="1" applyAlignment="1">
      <alignment horizontal="left" vertical="center" wrapText="1"/>
    </xf>
    <xf numFmtId="0" fontId="98" fillId="0" borderId="19" xfId="0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4" fontId="99" fillId="0" borderId="19" xfId="0" applyNumberFormat="1" applyFont="1" applyBorder="1" applyAlignment="1">
      <alignment horizontal="right" vertical="center" wrapText="1"/>
    </xf>
    <xf numFmtId="0" fontId="99" fillId="0" borderId="19" xfId="0" applyFont="1" applyBorder="1" applyAlignment="1">
      <alignment horizontal="right" vertical="center" wrapText="1"/>
    </xf>
    <xf numFmtId="3" fontId="98" fillId="0" borderId="19" xfId="0" applyNumberFormat="1" applyFont="1" applyBorder="1" applyAlignment="1">
      <alignment horizontal="right" vertical="center" wrapText="1"/>
    </xf>
    <xf numFmtId="41" fontId="77" fillId="42" borderId="1" xfId="2353" applyFont="1" applyFill="1" applyBorder="1" applyAlignment="1">
      <alignment vertical="center" wrapText="1"/>
    </xf>
    <xf numFmtId="41" fontId="0" fillId="43" borderId="0" xfId="2353" applyFont="1" applyFill="1">
      <alignment vertical="center"/>
    </xf>
    <xf numFmtId="41" fontId="0" fillId="0" borderId="0" xfId="2353" applyFont="1">
      <alignment vertical="center"/>
    </xf>
    <xf numFmtId="4" fontId="99" fillId="0" borderId="20" xfId="0" applyNumberFormat="1" applyFont="1" applyBorder="1" applyAlignment="1">
      <alignment horizontal="right" vertical="center" wrapText="1"/>
    </xf>
    <xf numFmtId="0" fontId="99" fillId="0" borderId="20" xfId="0" applyFont="1" applyBorder="1" applyAlignment="1">
      <alignment horizontal="right" vertical="center" wrapText="1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44"/>
  <sheetViews>
    <sheetView tabSelected="1" zoomScale="81" zoomScaleNormal="81" workbookViewId="0"/>
  </sheetViews>
  <sheetFormatPr defaultRowHeight="17.399999999999999"/>
  <cols>
    <col min="1" max="1" width="25.19921875" bestFit="1" customWidth="1"/>
    <col min="35" max="35" width="12.8984375" customWidth="1"/>
    <col min="36" max="36" width="13.296875" style="15" bestFit="1" customWidth="1"/>
  </cols>
  <sheetData>
    <row r="1" spans="1:36" ht="63" thickBot="1">
      <c r="A1" s="1" t="s">
        <v>0</v>
      </c>
      <c r="B1" s="1" t="s">
        <v>1</v>
      </c>
      <c r="C1" s="1" t="s">
        <v>2</v>
      </c>
      <c r="D1" s="2" t="s">
        <v>26</v>
      </c>
      <c r="E1" s="2" t="s">
        <v>27</v>
      </c>
      <c r="F1" s="2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23</v>
      </c>
      <c r="L1" s="3" t="s">
        <v>33</v>
      </c>
      <c r="M1" s="3" t="s">
        <v>40</v>
      </c>
      <c r="N1" s="3" t="s">
        <v>34</v>
      </c>
      <c r="O1" s="3" t="s">
        <v>35</v>
      </c>
      <c r="P1" s="3" t="s">
        <v>24</v>
      </c>
      <c r="Q1" s="3" t="s">
        <v>36</v>
      </c>
      <c r="R1" s="3" t="s">
        <v>41</v>
      </c>
      <c r="S1" s="4" t="s">
        <v>3</v>
      </c>
      <c r="T1" s="4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 t="s">
        <v>10</v>
      </c>
      <c r="AA1" s="4" t="s">
        <v>11</v>
      </c>
      <c r="AB1" s="4" t="s">
        <v>12</v>
      </c>
      <c r="AC1" s="4" t="s">
        <v>13</v>
      </c>
      <c r="AD1" s="4" t="s">
        <v>14</v>
      </c>
      <c r="AE1" s="5" t="s">
        <v>25</v>
      </c>
      <c r="AF1" s="5" t="s">
        <v>42</v>
      </c>
      <c r="AG1" s="5" t="s">
        <v>37</v>
      </c>
      <c r="AH1" s="5" t="s">
        <v>38</v>
      </c>
      <c r="AI1" s="6" t="s">
        <v>43</v>
      </c>
      <c r="AJ1" s="13" t="s">
        <v>39</v>
      </c>
    </row>
    <row r="2" spans="1:36" ht="18" thickBot="1">
      <c r="A2" s="7" t="s">
        <v>81</v>
      </c>
      <c r="B2" s="7" t="s">
        <v>82</v>
      </c>
      <c r="C2" s="7"/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117</v>
      </c>
      <c r="N2" s="8">
        <v>585</v>
      </c>
      <c r="O2" s="9">
        <v>368550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1</v>
      </c>
      <c r="Z2" s="8">
        <v>5</v>
      </c>
      <c r="AA2" s="9">
        <v>3780</v>
      </c>
      <c r="AB2" s="8">
        <v>0</v>
      </c>
      <c r="AC2" s="8">
        <v>0</v>
      </c>
      <c r="AD2" s="8">
        <v>0</v>
      </c>
      <c r="AE2" s="8">
        <v>118</v>
      </c>
      <c r="AF2" s="8">
        <v>590</v>
      </c>
      <c r="AG2" s="9">
        <v>372330</v>
      </c>
      <c r="AH2" s="9">
        <v>234454.5</v>
      </c>
      <c r="AI2" s="10">
        <v>372330</v>
      </c>
      <c r="AJ2" s="16">
        <v>234454.5</v>
      </c>
    </row>
    <row r="3" spans="1:36" ht="18.600000000000001" thickBot="1">
      <c r="A3" s="7" t="s">
        <v>56</v>
      </c>
      <c r="B3" s="7" t="s">
        <v>16</v>
      </c>
      <c r="C3" s="7" t="s">
        <v>57</v>
      </c>
      <c r="D3" s="8">
        <v>0</v>
      </c>
      <c r="E3" s="8">
        <v>0</v>
      </c>
      <c r="F3" s="8">
        <v>0</v>
      </c>
      <c r="G3" s="8">
        <v>336</v>
      </c>
      <c r="H3" s="8">
        <v>336</v>
      </c>
      <c r="I3" s="9">
        <v>302400</v>
      </c>
      <c r="J3" s="8">
        <v>104</v>
      </c>
      <c r="K3" s="8">
        <v>104</v>
      </c>
      <c r="L3" s="9">
        <v>332800</v>
      </c>
      <c r="M3" s="8">
        <v>27</v>
      </c>
      <c r="N3" s="8">
        <v>837</v>
      </c>
      <c r="O3" s="9">
        <v>527310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467</v>
      </c>
      <c r="AF3" s="12">
        <v>1277</v>
      </c>
      <c r="AG3" s="9">
        <v>1162510</v>
      </c>
      <c r="AH3" s="9">
        <v>732381.3</v>
      </c>
      <c r="AI3" s="10">
        <v>1162510</v>
      </c>
      <c r="AJ3" s="16">
        <v>732381.3</v>
      </c>
    </row>
    <row r="4" spans="1:36" ht="18" thickBot="1">
      <c r="A4" s="7" t="s">
        <v>58</v>
      </c>
      <c r="B4" s="7" t="s">
        <v>16</v>
      </c>
      <c r="C4" s="7" t="s">
        <v>59</v>
      </c>
      <c r="D4" s="8">
        <v>0</v>
      </c>
      <c r="E4" s="8">
        <v>0</v>
      </c>
      <c r="F4" s="8">
        <v>0</v>
      </c>
      <c r="G4" s="8">
        <v>21</v>
      </c>
      <c r="H4" s="8">
        <v>21</v>
      </c>
      <c r="I4" s="9">
        <v>18900</v>
      </c>
      <c r="J4" s="8">
        <v>1</v>
      </c>
      <c r="K4" s="8">
        <v>1</v>
      </c>
      <c r="L4" s="9">
        <v>3500</v>
      </c>
      <c r="M4" s="8">
        <v>17</v>
      </c>
      <c r="N4" s="8">
        <v>85</v>
      </c>
      <c r="O4" s="9">
        <v>53550</v>
      </c>
      <c r="P4" s="8">
        <v>0</v>
      </c>
      <c r="Q4" s="8">
        <v>0</v>
      </c>
      <c r="R4" s="8">
        <v>0</v>
      </c>
      <c r="S4" s="8">
        <v>1</v>
      </c>
      <c r="T4" s="8">
        <v>1</v>
      </c>
      <c r="U4" s="9">
        <v>1080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40</v>
      </c>
      <c r="AF4" s="8">
        <v>108</v>
      </c>
      <c r="AG4" s="9">
        <v>77030</v>
      </c>
      <c r="AH4" s="9">
        <v>48496.5</v>
      </c>
      <c r="AI4" s="10">
        <v>77030</v>
      </c>
      <c r="AJ4" s="16">
        <v>48496.5</v>
      </c>
    </row>
    <row r="5" spans="1:36" ht="18" thickBot="1">
      <c r="A5" s="7" t="s">
        <v>83</v>
      </c>
      <c r="B5" s="7" t="s">
        <v>84</v>
      </c>
      <c r="C5" s="7" t="s">
        <v>85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1</v>
      </c>
      <c r="K5" s="8">
        <v>1</v>
      </c>
      <c r="L5" s="9">
        <v>3200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1</v>
      </c>
      <c r="AG5" s="9">
        <v>3200</v>
      </c>
      <c r="AH5" s="9">
        <v>2016</v>
      </c>
      <c r="AI5" s="10">
        <v>3200</v>
      </c>
      <c r="AJ5" s="16">
        <v>2016</v>
      </c>
    </row>
    <row r="6" spans="1:36" ht="18.600000000000001" thickBot="1">
      <c r="A6" s="7" t="s">
        <v>60</v>
      </c>
      <c r="B6" s="7" t="s">
        <v>16</v>
      </c>
      <c r="C6" s="7" t="s">
        <v>61</v>
      </c>
      <c r="D6" s="8">
        <v>0</v>
      </c>
      <c r="E6" s="8">
        <v>0</v>
      </c>
      <c r="F6" s="8">
        <v>0</v>
      </c>
      <c r="G6" s="8">
        <v>84</v>
      </c>
      <c r="H6" s="8">
        <v>84</v>
      </c>
      <c r="I6" s="9">
        <v>75600</v>
      </c>
      <c r="J6" s="8">
        <v>11</v>
      </c>
      <c r="K6" s="8">
        <v>11</v>
      </c>
      <c r="L6" s="9">
        <v>35200</v>
      </c>
      <c r="M6" s="8">
        <v>20</v>
      </c>
      <c r="N6" s="8">
        <v>220</v>
      </c>
      <c r="O6" s="9">
        <v>138600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115</v>
      </c>
      <c r="AF6" s="8">
        <v>315</v>
      </c>
      <c r="AG6" s="9">
        <v>249400</v>
      </c>
      <c r="AH6" s="9">
        <v>157122</v>
      </c>
      <c r="AI6" s="10">
        <v>249400</v>
      </c>
      <c r="AJ6" s="16">
        <v>157122</v>
      </c>
    </row>
    <row r="7" spans="1:36" ht="18" thickBot="1">
      <c r="A7" s="7" t="s">
        <v>86</v>
      </c>
      <c r="B7" s="7" t="s">
        <v>87</v>
      </c>
      <c r="C7" s="7" t="s">
        <v>88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91</v>
      </c>
      <c r="K7" s="8">
        <v>91</v>
      </c>
      <c r="L7" s="9">
        <v>9100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91</v>
      </c>
      <c r="AF7" s="8">
        <v>91</v>
      </c>
      <c r="AG7" s="9">
        <v>9100</v>
      </c>
      <c r="AH7" s="9">
        <v>5733</v>
      </c>
      <c r="AI7" s="10">
        <v>9100</v>
      </c>
      <c r="AJ7" s="16">
        <v>5733</v>
      </c>
    </row>
    <row r="8" spans="1:36" ht="18" thickBot="1">
      <c r="A8" s="7" t="s">
        <v>89</v>
      </c>
      <c r="B8" s="7" t="s">
        <v>90</v>
      </c>
      <c r="C8" s="7" t="s">
        <v>91</v>
      </c>
      <c r="D8" s="8">
        <v>0</v>
      </c>
      <c r="E8" s="8">
        <v>0</v>
      </c>
      <c r="F8" s="8">
        <v>0</v>
      </c>
      <c r="G8" s="8">
        <v>7</v>
      </c>
      <c r="H8" s="8">
        <v>7</v>
      </c>
      <c r="I8" s="9">
        <v>6300</v>
      </c>
      <c r="J8" s="8">
        <v>5</v>
      </c>
      <c r="K8" s="8">
        <v>5</v>
      </c>
      <c r="L8" s="9">
        <v>16000</v>
      </c>
      <c r="M8" s="8">
        <v>6</v>
      </c>
      <c r="N8" s="8">
        <v>54</v>
      </c>
      <c r="O8" s="9">
        <v>34020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18</v>
      </c>
      <c r="AF8" s="8">
        <v>66</v>
      </c>
      <c r="AG8" s="9">
        <v>56320</v>
      </c>
      <c r="AH8" s="9">
        <v>35481.599999999999</v>
      </c>
      <c r="AI8" s="10">
        <v>56320</v>
      </c>
      <c r="AJ8" s="16">
        <v>35481.599999999999</v>
      </c>
    </row>
    <row r="9" spans="1:36" ht="18" thickBot="1">
      <c r="A9" s="7" t="s">
        <v>92</v>
      </c>
      <c r="B9" s="7" t="s">
        <v>82</v>
      </c>
      <c r="C9" s="7"/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9</v>
      </c>
      <c r="K9" s="8">
        <v>9</v>
      </c>
      <c r="L9" s="9">
        <v>28800</v>
      </c>
      <c r="M9" s="8">
        <v>0</v>
      </c>
      <c r="N9" s="8">
        <v>0</v>
      </c>
      <c r="O9" s="8">
        <v>0</v>
      </c>
      <c r="P9" s="8">
        <v>2</v>
      </c>
      <c r="Q9" s="8">
        <v>10</v>
      </c>
      <c r="R9" s="9">
        <v>32000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11</v>
      </c>
      <c r="AF9" s="8">
        <v>19</v>
      </c>
      <c r="AG9" s="9">
        <v>60800</v>
      </c>
      <c r="AH9" s="9">
        <v>38304</v>
      </c>
      <c r="AI9" s="10">
        <v>60800</v>
      </c>
      <c r="AJ9" s="16">
        <v>38304</v>
      </c>
    </row>
    <row r="10" spans="1:36" ht="18" thickBot="1">
      <c r="A10" s="7" t="s">
        <v>93</v>
      </c>
      <c r="B10" s="7" t="s">
        <v>82</v>
      </c>
      <c r="C10" s="7"/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90</v>
      </c>
      <c r="K10" s="8">
        <v>90</v>
      </c>
      <c r="L10" s="9">
        <v>9000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90</v>
      </c>
      <c r="AF10" s="8">
        <v>90</v>
      </c>
      <c r="AG10" s="9">
        <v>9000</v>
      </c>
      <c r="AH10" s="9">
        <v>5670</v>
      </c>
      <c r="AI10" s="10">
        <v>9000</v>
      </c>
      <c r="AJ10" s="16">
        <v>5670</v>
      </c>
    </row>
    <row r="11" spans="1:36" ht="18" thickBot="1">
      <c r="A11" s="7" t="s">
        <v>73</v>
      </c>
      <c r="B11" s="7" t="s">
        <v>16</v>
      </c>
      <c r="C11" s="7"/>
      <c r="D11" s="8">
        <v>0</v>
      </c>
      <c r="E11" s="8">
        <v>0</v>
      </c>
      <c r="F11" s="8">
        <v>0</v>
      </c>
      <c r="G11" s="8">
        <v>191</v>
      </c>
      <c r="H11" s="8">
        <v>191</v>
      </c>
      <c r="I11" s="9">
        <v>171900</v>
      </c>
      <c r="J11" s="8">
        <v>22</v>
      </c>
      <c r="K11" s="8">
        <v>22</v>
      </c>
      <c r="L11" s="9">
        <v>70400</v>
      </c>
      <c r="M11" s="8">
        <v>107</v>
      </c>
      <c r="N11" s="8">
        <v>321</v>
      </c>
      <c r="O11" s="9">
        <v>202230</v>
      </c>
      <c r="P11" s="8">
        <v>0</v>
      </c>
      <c r="Q11" s="8">
        <v>0</v>
      </c>
      <c r="R11" s="8">
        <v>0</v>
      </c>
      <c r="S11" s="8">
        <v>6</v>
      </c>
      <c r="T11" s="8">
        <v>6</v>
      </c>
      <c r="U11" s="9">
        <v>6480</v>
      </c>
      <c r="V11" s="8">
        <v>0</v>
      </c>
      <c r="W11" s="8">
        <v>0</v>
      </c>
      <c r="X11" s="8">
        <v>0</v>
      </c>
      <c r="Y11" s="8">
        <v>2</v>
      </c>
      <c r="Z11" s="8">
        <v>6</v>
      </c>
      <c r="AA11" s="9">
        <v>4536</v>
      </c>
      <c r="AB11" s="8">
        <v>0</v>
      </c>
      <c r="AC11" s="8">
        <v>0</v>
      </c>
      <c r="AD11" s="8">
        <v>0</v>
      </c>
      <c r="AE11" s="8">
        <v>328</v>
      </c>
      <c r="AF11" s="8">
        <v>546</v>
      </c>
      <c r="AG11" s="9">
        <v>455546</v>
      </c>
      <c r="AH11" s="9">
        <v>286663.5</v>
      </c>
      <c r="AI11" s="10">
        <v>455546</v>
      </c>
      <c r="AJ11" s="16">
        <v>286663.5</v>
      </c>
    </row>
    <row r="12" spans="1:36" ht="18" thickBot="1">
      <c r="A12" s="7" t="s">
        <v>66</v>
      </c>
      <c r="B12" s="7" t="s">
        <v>67</v>
      </c>
      <c r="C12" s="7"/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12">
        <v>2420</v>
      </c>
      <c r="K12" s="12">
        <v>2420</v>
      </c>
      <c r="L12" s="9">
        <v>242000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12">
        <v>2420</v>
      </c>
      <c r="AF12" s="12">
        <v>2420</v>
      </c>
      <c r="AG12" s="9">
        <v>242000</v>
      </c>
      <c r="AH12" s="9">
        <v>152460</v>
      </c>
      <c r="AI12" s="10">
        <v>242000</v>
      </c>
      <c r="AJ12" s="16">
        <v>152460</v>
      </c>
    </row>
    <row r="13" spans="1:36" ht="18" thickBot="1">
      <c r="A13" s="7" t="s">
        <v>74</v>
      </c>
      <c r="B13" s="7" t="s">
        <v>51</v>
      </c>
      <c r="C13" s="7"/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2</v>
      </c>
      <c r="K13" s="8">
        <v>2</v>
      </c>
      <c r="L13" s="8">
        <v>200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2</v>
      </c>
      <c r="AF13" s="8">
        <v>2</v>
      </c>
      <c r="AG13" s="8">
        <v>200</v>
      </c>
      <c r="AH13" s="8">
        <v>126</v>
      </c>
      <c r="AI13" s="11">
        <v>200</v>
      </c>
      <c r="AJ13" s="17">
        <v>126</v>
      </c>
    </row>
    <row r="14" spans="1:36" ht="18" thickBot="1">
      <c r="A14" s="7" t="s">
        <v>21</v>
      </c>
      <c r="B14" s="7" t="s">
        <v>16</v>
      </c>
      <c r="C14" s="7" t="s">
        <v>22</v>
      </c>
      <c r="D14" s="8">
        <v>0</v>
      </c>
      <c r="E14" s="8">
        <v>0</v>
      </c>
      <c r="F14" s="8">
        <v>0</v>
      </c>
      <c r="G14" s="8">
        <v>382</v>
      </c>
      <c r="H14" s="8">
        <v>382</v>
      </c>
      <c r="I14" s="9">
        <v>343800</v>
      </c>
      <c r="J14" s="8">
        <v>71</v>
      </c>
      <c r="K14" s="8">
        <v>71</v>
      </c>
      <c r="L14" s="9">
        <v>227200</v>
      </c>
      <c r="M14" s="8">
        <v>58</v>
      </c>
      <c r="N14" s="8">
        <v>812</v>
      </c>
      <c r="O14" s="9">
        <v>511560</v>
      </c>
      <c r="P14" s="8">
        <v>0</v>
      </c>
      <c r="Q14" s="8">
        <v>0</v>
      </c>
      <c r="R14" s="8">
        <v>0</v>
      </c>
      <c r="S14" s="8">
        <v>8</v>
      </c>
      <c r="T14" s="8">
        <v>8</v>
      </c>
      <c r="U14" s="9">
        <v>8640</v>
      </c>
      <c r="V14" s="8">
        <v>0</v>
      </c>
      <c r="W14" s="8">
        <v>0</v>
      </c>
      <c r="X14" s="8">
        <v>0</v>
      </c>
      <c r="Y14" s="8">
        <v>2</v>
      </c>
      <c r="Z14" s="8">
        <v>28</v>
      </c>
      <c r="AA14" s="9">
        <v>21168</v>
      </c>
      <c r="AB14" s="8">
        <v>0</v>
      </c>
      <c r="AC14" s="8">
        <v>0</v>
      </c>
      <c r="AD14" s="8">
        <v>0</v>
      </c>
      <c r="AE14" s="8">
        <v>521</v>
      </c>
      <c r="AF14" s="12">
        <v>1301</v>
      </c>
      <c r="AG14" s="9">
        <v>1112368</v>
      </c>
      <c r="AH14" s="9">
        <v>699897.6</v>
      </c>
      <c r="AI14" s="10">
        <v>1112368</v>
      </c>
      <c r="AJ14" s="16">
        <v>699897.6</v>
      </c>
    </row>
    <row r="15" spans="1:36" ht="18" thickBot="1">
      <c r="A15" s="7" t="s">
        <v>15</v>
      </c>
      <c r="B15" s="7" t="s">
        <v>16</v>
      </c>
      <c r="C15" s="7" t="s">
        <v>17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525</v>
      </c>
      <c r="K15" s="8">
        <v>525</v>
      </c>
      <c r="L15" s="9">
        <v>52500</v>
      </c>
      <c r="M15" s="8">
        <v>0</v>
      </c>
      <c r="N15" s="8">
        <v>0</v>
      </c>
      <c r="O15" s="8">
        <v>0</v>
      </c>
      <c r="P15" s="8">
        <v>1</v>
      </c>
      <c r="Q15" s="8">
        <v>292</v>
      </c>
      <c r="R15" s="9">
        <v>29200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526</v>
      </c>
      <c r="AF15" s="8">
        <v>817</v>
      </c>
      <c r="AG15" s="9">
        <v>81700</v>
      </c>
      <c r="AH15" s="9">
        <v>51471</v>
      </c>
      <c r="AI15" s="10">
        <v>81700</v>
      </c>
      <c r="AJ15" s="16">
        <v>51471</v>
      </c>
    </row>
    <row r="16" spans="1:36" ht="18" thickBot="1">
      <c r="A16" s="7" t="s">
        <v>68</v>
      </c>
      <c r="B16" s="7" t="s">
        <v>48</v>
      </c>
      <c r="C16" s="7"/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14</v>
      </c>
      <c r="K16" s="8">
        <v>14</v>
      </c>
      <c r="L16" s="9">
        <v>44800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14</v>
      </c>
      <c r="AF16" s="8">
        <v>14</v>
      </c>
      <c r="AG16" s="9">
        <v>44800</v>
      </c>
      <c r="AH16" s="9">
        <v>28224</v>
      </c>
      <c r="AI16" s="10">
        <v>44800</v>
      </c>
      <c r="AJ16" s="16">
        <v>28224</v>
      </c>
    </row>
    <row r="17" spans="1:36" ht="18" thickBot="1">
      <c r="A17" s="7" t="s">
        <v>52</v>
      </c>
      <c r="B17" s="7" t="s">
        <v>48</v>
      </c>
      <c r="C17" s="7"/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786</v>
      </c>
      <c r="K17" s="8">
        <v>786</v>
      </c>
      <c r="L17" s="9">
        <v>78600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4</v>
      </c>
      <c r="W17" s="8">
        <v>4</v>
      </c>
      <c r="X17" s="8">
        <v>480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790</v>
      </c>
      <c r="AF17" s="8">
        <v>790</v>
      </c>
      <c r="AG17" s="9">
        <v>79080</v>
      </c>
      <c r="AH17" s="9">
        <v>49806</v>
      </c>
      <c r="AI17" s="10">
        <v>79080</v>
      </c>
      <c r="AJ17" s="16">
        <v>49806</v>
      </c>
    </row>
    <row r="18" spans="1:36" ht="18" thickBot="1">
      <c r="A18" s="7" t="s">
        <v>94</v>
      </c>
      <c r="B18" s="7" t="s">
        <v>75</v>
      </c>
      <c r="C18" s="7"/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8">
        <v>600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6</v>
      </c>
      <c r="AF18" s="8">
        <v>6</v>
      </c>
      <c r="AG18" s="8">
        <v>600</v>
      </c>
      <c r="AH18" s="8">
        <v>378</v>
      </c>
      <c r="AI18" s="11">
        <v>600</v>
      </c>
      <c r="AJ18" s="17">
        <v>378</v>
      </c>
    </row>
    <row r="19" spans="1:36" ht="18" thickBot="1">
      <c r="A19" s="7" t="s">
        <v>95</v>
      </c>
      <c r="B19" s="7" t="s">
        <v>63</v>
      </c>
      <c r="C19" s="7"/>
      <c r="D19" s="8">
        <v>0</v>
      </c>
      <c r="E19" s="8">
        <v>0</v>
      </c>
      <c r="F19" s="8">
        <v>0</v>
      </c>
      <c r="G19" s="8">
        <v>54</v>
      </c>
      <c r="H19" s="8">
        <v>54</v>
      </c>
      <c r="I19" s="9">
        <v>48600</v>
      </c>
      <c r="J19" s="8">
        <v>0</v>
      </c>
      <c r="K19" s="8">
        <v>0</v>
      </c>
      <c r="L19" s="8">
        <v>0</v>
      </c>
      <c r="M19" s="8">
        <v>4</v>
      </c>
      <c r="N19" s="8">
        <v>32</v>
      </c>
      <c r="O19" s="9">
        <v>28800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58</v>
      </c>
      <c r="AF19" s="8">
        <v>86</v>
      </c>
      <c r="AG19" s="9">
        <v>77400</v>
      </c>
      <c r="AH19" s="9">
        <v>48762</v>
      </c>
      <c r="AI19" s="10">
        <v>77400</v>
      </c>
      <c r="AJ19" s="16">
        <v>48762</v>
      </c>
    </row>
    <row r="20" spans="1:36" ht="18" thickBot="1">
      <c r="A20" s="7" t="s">
        <v>62</v>
      </c>
      <c r="B20" s="7" t="s">
        <v>63</v>
      </c>
      <c r="C20" s="7"/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1</v>
      </c>
      <c r="K20" s="8">
        <v>1</v>
      </c>
      <c r="L20" s="8">
        <v>100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1</v>
      </c>
      <c r="AG20" s="8">
        <v>100</v>
      </c>
      <c r="AH20" s="8">
        <v>63</v>
      </c>
      <c r="AI20" s="11">
        <v>100</v>
      </c>
      <c r="AJ20" s="17">
        <v>63</v>
      </c>
    </row>
    <row r="21" spans="1:36" ht="18.600000000000001" thickBot="1">
      <c r="A21" s="7" t="s">
        <v>96</v>
      </c>
      <c r="B21" s="7" t="s">
        <v>51</v>
      </c>
      <c r="C21" s="7"/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80</v>
      </c>
      <c r="K21" s="8">
        <v>80</v>
      </c>
      <c r="L21" s="9">
        <v>8000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80</v>
      </c>
      <c r="AF21" s="8">
        <v>80</v>
      </c>
      <c r="AG21" s="9">
        <v>8000</v>
      </c>
      <c r="AH21" s="9">
        <v>5040</v>
      </c>
      <c r="AI21" s="10">
        <v>8000</v>
      </c>
      <c r="AJ21" s="16">
        <v>5040</v>
      </c>
    </row>
    <row r="22" spans="1:36" ht="18" thickBot="1">
      <c r="A22" s="7" t="s">
        <v>76</v>
      </c>
      <c r="B22" s="7" t="s">
        <v>16</v>
      </c>
      <c r="C22" s="7"/>
      <c r="D22" s="8">
        <v>0</v>
      </c>
      <c r="E22" s="8">
        <v>0</v>
      </c>
      <c r="F22" s="8">
        <v>0</v>
      </c>
      <c r="G22" s="8">
        <v>41</v>
      </c>
      <c r="H22" s="8">
        <v>41</v>
      </c>
      <c r="I22" s="9">
        <v>36900</v>
      </c>
      <c r="J22" s="8">
        <v>8</v>
      </c>
      <c r="K22" s="8">
        <v>8</v>
      </c>
      <c r="L22" s="9">
        <v>25600</v>
      </c>
      <c r="M22" s="8">
        <v>12</v>
      </c>
      <c r="N22" s="8">
        <v>48</v>
      </c>
      <c r="O22" s="9">
        <v>30240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61</v>
      </c>
      <c r="AF22" s="8">
        <v>97</v>
      </c>
      <c r="AG22" s="9">
        <v>92740</v>
      </c>
      <c r="AH22" s="9">
        <v>58426.2</v>
      </c>
      <c r="AI22" s="10">
        <v>92740</v>
      </c>
      <c r="AJ22" s="16">
        <v>58426.2</v>
      </c>
    </row>
    <row r="23" spans="1:36" ht="18" thickBot="1">
      <c r="A23" s="7" t="s">
        <v>97</v>
      </c>
      <c r="B23" s="7" t="s">
        <v>77</v>
      </c>
      <c r="C23" s="7"/>
      <c r="D23" s="8">
        <v>0</v>
      </c>
      <c r="E23" s="8">
        <v>0</v>
      </c>
      <c r="F23" s="8">
        <v>0</v>
      </c>
      <c r="G23" s="8">
        <v>2</v>
      </c>
      <c r="H23" s="8">
        <v>2</v>
      </c>
      <c r="I23" s="9">
        <v>1800</v>
      </c>
      <c r="J23" s="8">
        <v>0</v>
      </c>
      <c r="K23" s="8">
        <v>0</v>
      </c>
      <c r="L23" s="8">
        <v>0</v>
      </c>
      <c r="M23" s="8">
        <v>5</v>
      </c>
      <c r="N23" s="8">
        <v>30</v>
      </c>
      <c r="O23" s="9">
        <v>18900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7</v>
      </c>
      <c r="AF23" s="8">
        <v>32</v>
      </c>
      <c r="AG23" s="9">
        <v>20700</v>
      </c>
      <c r="AH23" s="9">
        <v>13041</v>
      </c>
      <c r="AI23" s="10">
        <v>20700</v>
      </c>
      <c r="AJ23" s="16">
        <v>13041</v>
      </c>
    </row>
    <row r="24" spans="1:36" ht="18" thickBot="1">
      <c r="A24" s="7" t="s">
        <v>98</v>
      </c>
      <c r="B24" s="7" t="s">
        <v>99</v>
      </c>
      <c r="C24" s="7"/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</v>
      </c>
      <c r="K24" s="8">
        <v>3</v>
      </c>
      <c r="L24" s="8">
        <v>300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3</v>
      </c>
      <c r="AF24" s="8">
        <v>3</v>
      </c>
      <c r="AG24" s="8">
        <v>300</v>
      </c>
      <c r="AH24" s="8">
        <v>189</v>
      </c>
      <c r="AI24" s="11">
        <v>300</v>
      </c>
      <c r="AJ24" s="17">
        <v>189</v>
      </c>
    </row>
    <row r="25" spans="1:36" ht="18" thickBot="1">
      <c r="A25" s="7" t="s">
        <v>100</v>
      </c>
      <c r="B25" s="7" t="s">
        <v>101</v>
      </c>
      <c r="C25" s="7"/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415</v>
      </c>
      <c r="K25" s="8">
        <v>415</v>
      </c>
      <c r="L25" s="9">
        <v>41500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415</v>
      </c>
      <c r="AF25" s="8">
        <v>415</v>
      </c>
      <c r="AG25" s="9">
        <v>41500</v>
      </c>
      <c r="AH25" s="9">
        <v>26145</v>
      </c>
      <c r="AI25" s="10">
        <v>41500</v>
      </c>
      <c r="AJ25" s="16">
        <v>26145</v>
      </c>
    </row>
    <row r="26" spans="1:36" ht="18" thickBot="1">
      <c r="A26" s="7" t="s">
        <v>102</v>
      </c>
      <c r="B26" s="7" t="s">
        <v>71</v>
      </c>
      <c r="C26" s="7"/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221</v>
      </c>
      <c r="K26" s="8">
        <v>221</v>
      </c>
      <c r="L26" s="9">
        <v>22100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221</v>
      </c>
      <c r="AF26" s="8">
        <v>221</v>
      </c>
      <c r="AG26" s="9">
        <v>22100</v>
      </c>
      <c r="AH26" s="9">
        <v>13923</v>
      </c>
      <c r="AI26" s="10">
        <v>22100</v>
      </c>
      <c r="AJ26" s="16">
        <v>13923</v>
      </c>
    </row>
    <row r="27" spans="1:36" ht="18" thickBot="1">
      <c r="A27" s="7" t="s">
        <v>53</v>
      </c>
      <c r="B27" s="7" t="s">
        <v>16</v>
      </c>
      <c r="C27" s="7"/>
      <c r="D27" s="8">
        <v>0</v>
      </c>
      <c r="E27" s="8">
        <v>0</v>
      </c>
      <c r="F27" s="8">
        <v>0</v>
      </c>
      <c r="G27" s="8">
        <v>47</v>
      </c>
      <c r="H27" s="8">
        <v>47</v>
      </c>
      <c r="I27" s="9">
        <v>42300</v>
      </c>
      <c r="J27" s="8">
        <v>3</v>
      </c>
      <c r="K27" s="8">
        <v>3</v>
      </c>
      <c r="L27" s="9">
        <v>9600</v>
      </c>
      <c r="M27" s="8">
        <v>35</v>
      </c>
      <c r="N27" s="8">
        <v>140</v>
      </c>
      <c r="O27" s="9">
        <v>88200</v>
      </c>
      <c r="P27" s="8">
        <v>1</v>
      </c>
      <c r="Q27" s="8">
        <v>4</v>
      </c>
      <c r="R27" s="9">
        <v>12800</v>
      </c>
      <c r="S27" s="8">
        <v>3</v>
      </c>
      <c r="T27" s="8">
        <v>3</v>
      </c>
      <c r="U27" s="9">
        <v>3240</v>
      </c>
      <c r="V27" s="8">
        <v>0</v>
      </c>
      <c r="W27" s="8">
        <v>0</v>
      </c>
      <c r="X27" s="8">
        <v>0</v>
      </c>
      <c r="Y27" s="8">
        <v>1</v>
      </c>
      <c r="Z27" s="8">
        <v>4</v>
      </c>
      <c r="AA27" s="9">
        <v>3024</v>
      </c>
      <c r="AB27" s="8">
        <v>0</v>
      </c>
      <c r="AC27" s="8">
        <v>0</v>
      </c>
      <c r="AD27" s="8">
        <v>0</v>
      </c>
      <c r="AE27" s="8">
        <v>90</v>
      </c>
      <c r="AF27" s="8">
        <v>201</v>
      </c>
      <c r="AG27" s="9">
        <v>159164</v>
      </c>
      <c r="AH27" s="9">
        <v>100085.4</v>
      </c>
      <c r="AI27" s="10">
        <v>159164</v>
      </c>
      <c r="AJ27" s="16">
        <v>100085.4</v>
      </c>
    </row>
    <row r="28" spans="1:36" ht="18" thickBot="1">
      <c r="A28" s="7" t="s">
        <v>54</v>
      </c>
      <c r="B28" s="7" t="s">
        <v>16</v>
      </c>
      <c r="C28" s="7"/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236</v>
      </c>
      <c r="K28" s="8">
        <v>236</v>
      </c>
      <c r="L28" s="9">
        <v>23600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236</v>
      </c>
      <c r="AF28" s="8">
        <v>236</v>
      </c>
      <c r="AG28" s="9">
        <v>23600</v>
      </c>
      <c r="AH28" s="9">
        <v>14868</v>
      </c>
      <c r="AI28" s="10">
        <v>23600</v>
      </c>
      <c r="AJ28" s="16">
        <v>14868</v>
      </c>
    </row>
    <row r="29" spans="1:36" ht="18" thickBot="1">
      <c r="A29" s="7" t="s">
        <v>78</v>
      </c>
      <c r="B29" s="7" t="s">
        <v>16</v>
      </c>
      <c r="C29" s="7"/>
      <c r="D29" s="8">
        <v>0</v>
      </c>
      <c r="E29" s="8">
        <v>0</v>
      </c>
      <c r="F29" s="8">
        <v>0</v>
      </c>
      <c r="G29" s="8">
        <v>66</v>
      </c>
      <c r="H29" s="8">
        <v>66</v>
      </c>
      <c r="I29" s="9">
        <v>59400</v>
      </c>
      <c r="J29" s="8">
        <v>7</v>
      </c>
      <c r="K29" s="8">
        <v>7</v>
      </c>
      <c r="L29" s="9">
        <v>22400</v>
      </c>
      <c r="M29" s="8">
        <v>11</v>
      </c>
      <c r="N29" s="8">
        <v>154</v>
      </c>
      <c r="O29" s="9">
        <v>97020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84</v>
      </c>
      <c r="AF29" s="8">
        <v>227</v>
      </c>
      <c r="AG29" s="9">
        <v>178820</v>
      </c>
      <c r="AH29" s="9">
        <v>112656.6</v>
      </c>
      <c r="AI29" s="10">
        <v>178820</v>
      </c>
      <c r="AJ29" s="16">
        <v>112656.6</v>
      </c>
    </row>
    <row r="30" spans="1:36" ht="18" thickBot="1">
      <c r="A30" s="7" t="s">
        <v>64</v>
      </c>
      <c r="B30" s="7" t="s">
        <v>16</v>
      </c>
      <c r="C30" s="7" t="s">
        <v>65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27</v>
      </c>
      <c r="K30" s="8">
        <v>27</v>
      </c>
      <c r="L30" s="9">
        <v>2700</v>
      </c>
      <c r="M30" s="8">
        <v>0</v>
      </c>
      <c r="N30" s="8">
        <v>0</v>
      </c>
      <c r="O30" s="8">
        <v>0</v>
      </c>
      <c r="P30" s="8">
        <v>1</v>
      </c>
      <c r="Q30" s="8">
        <v>299</v>
      </c>
      <c r="R30" s="9">
        <v>29900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28</v>
      </c>
      <c r="AF30" s="8">
        <v>326</v>
      </c>
      <c r="AG30" s="9">
        <v>32600</v>
      </c>
      <c r="AH30" s="9">
        <v>20538</v>
      </c>
      <c r="AI30" s="10">
        <v>32600</v>
      </c>
      <c r="AJ30" s="16">
        <v>20538</v>
      </c>
    </row>
    <row r="31" spans="1:36" ht="18" thickBot="1">
      <c r="A31" s="7" t="s">
        <v>103</v>
      </c>
      <c r="B31" s="7" t="s">
        <v>69</v>
      </c>
      <c r="C31" s="7"/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1</v>
      </c>
      <c r="Q31" s="8">
        <v>2</v>
      </c>
      <c r="R31" s="9">
        <v>4800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1</v>
      </c>
      <c r="AF31" s="8">
        <v>2</v>
      </c>
      <c r="AG31" s="9">
        <v>4800</v>
      </c>
      <c r="AH31" s="9">
        <v>3024</v>
      </c>
      <c r="AI31" s="10">
        <v>4800</v>
      </c>
      <c r="AJ31" s="16">
        <v>3024</v>
      </c>
    </row>
    <row r="32" spans="1:36" ht="18" thickBot="1">
      <c r="A32" s="7" t="s">
        <v>70</v>
      </c>
      <c r="B32" s="7" t="s">
        <v>69</v>
      </c>
      <c r="C32" s="7"/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55</v>
      </c>
      <c r="K32" s="8">
        <v>55</v>
      </c>
      <c r="L32" s="9">
        <v>5500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55</v>
      </c>
      <c r="AF32" s="8">
        <v>55</v>
      </c>
      <c r="AG32" s="9">
        <v>5500</v>
      </c>
      <c r="AH32" s="9">
        <v>3465</v>
      </c>
      <c r="AI32" s="10">
        <v>5500</v>
      </c>
      <c r="AJ32" s="16">
        <v>3465</v>
      </c>
    </row>
    <row r="33" spans="1:36" ht="18" thickBot="1">
      <c r="A33" s="7" t="s">
        <v>55</v>
      </c>
      <c r="B33" s="7" t="s">
        <v>16</v>
      </c>
      <c r="C33" s="7"/>
      <c r="D33" s="8">
        <v>0</v>
      </c>
      <c r="E33" s="8">
        <v>0</v>
      </c>
      <c r="F33" s="8">
        <v>0</v>
      </c>
      <c r="G33" s="12">
        <v>3411</v>
      </c>
      <c r="H33" s="12">
        <v>3411</v>
      </c>
      <c r="I33" s="9">
        <v>3069900</v>
      </c>
      <c r="J33" s="8">
        <v>450</v>
      </c>
      <c r="K33" s="8">
        <v>450</v>
      </c>
      <c r="L33" s="9">
        <v>1440000</v>
      </c>
      <c r="M33" s="8">
        <v>210</v>
      </c>
      <c r="N33" s="12">
        <v>5040</v>
      </c>
      <c r="O33" s="9">
        <v>3175200</v>
      </c>
      <c r="P33" s="8">
        <v>2</v>
      </c>
      <c r="Q33" s="8">
        <v>48</v>
      </c>
      <c r="R33" s="9">
        <v>145920</v>
      </c>
      <c r="S33" s="8">
        <v>58</v>
      </c>
      <c r="T33" s="8">
        <v>58</v>
      </c>
      <c r="U33" s="9">
        <v>62640</v>
      </c>
      <c r="V33" s="8">
        <v>0</v>
      </c>
      <c r="W33" s="8">
        <v>0</v>
      </c>
      <c r="X33" s="8">
        <v>0</v>
      </c>
      <c r="Y33" s="8">
        <v>3</v>
      </c>
      <c r="Z33" s="8">
        <v>72</v>
      </c>
      <c r="AA33" s="9">
        <v>54432</v>
      </c>
      <c r="AB33" s="8">
        <v>0</v>
      </c>
      <c r="AC33" s="8">
        <v>0</v>
      </c>
      <c r="AD33" s="8">
        <v>0</v>
      </c>
      <c r="AE33" s="12">
        <v>4134</v>
      </c>
      <c r="AF33" s="12">
        <v>9079</v>
      </c>
      <c r="AG33" s="9">
        <v>7948092</v>
      </c>
      <c r="AH33" s="9">
        <v>5003785.8</v>
      </c>
      <c r="AI33" s="10">
        <v>7948092</v>
      </c>
      <c r="AJ33" s="16">
        <v>5003785.8</v>
      </c>
    </row>
    <row r="34" spans="1:36" ht="18" thickBot="1">
      <c r="A34" s="7" t="s">
        <v>50</v>
      </c>
      <c r="B34" s="7" t="s">
        <v>16</v>
      </c>
      <c r="C34" s="7"/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12">
        <v>2216</v>
      </c>
      <c r="K34" s="12">
        <v>2216</v>
      </c>
      <c r="L34" s="9">
        <v>221600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12">
        <v>2216</v>
      </c>
      <c r="AF34" s="12">
        <v>2216</v>
      </c>
      <c r="AG34" s="9">
        <v>221600</v>
      </c>
      <c r="AH34" s="9">
        <v>139608</v>
      </c>
      <c r="AI34" s="10">
        <v>221600</v>
      </c>
      <c r="AJ34" s="16">
        <v>139608</v>
      </c>
    </row>
    <row r="35" spans="1:36" ht="18" thickBot="1">
      <c r="A35" s="7" t="s">
        <v>104</v>
      </c>
      <c r="B35" s="7" t="s">
        <v>71</v>
      </c>
      <c r="C35" s="7"/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8</v>
      </c>
      <c r="K35" s="8">
        <v>8</v>
      </c>
      <c r="L35" s="9">
        <v>17000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8</v>
      </c>
      <c r="AF35" s="8">
        <v>8</v>
      </c>
      <c r="AG35" s="9">
        <v>17000</v>
      </c>
      <c r="AH35" s="9">
        <v>10710</v>
      </c>
      <c r="AI35" s="10">
        <v>17000</v>
      </c>
      <c r="AJ35" s="16">
        <v>10710</v>
      </c>
    </row>
    <row r="36" spans="1:36" ht="18" thickBot="1">
      <c r="A36" s="7" t="s">
        <v>72</v>
      </c>
      <c r="B36" s="7" t="s">
        <v>71</v>
      </c>
      <c r="C36" s="7"/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2</v>
      </c>
      <c r="K36" s="8">
        <v>2</v>
      </c>
      <c r="L36" s="8">
        <v>200</v>
      </c>
      <c r="M36" s="8">
        <v>0</v>
      </c>
      <c r="N36" s="8">
        <v>0</v>
      </c>
      <c r="O36" s="8">
        <v>0</v>
      </c>
      <c r="P36" s="8">
        <v>1</v>
      </c>
      <c r="Q36" s="8">
        <v>94</v>
      </c>
      <c r="R36" s="9">
        <v>9400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3</v>
      </c>
      <c r="AF36" s="8">
        <v>96</v>
      </c>
      <c r="AG36" s="9">
        <v>9600</v>
      </c>
      <c r="AH36" s="9">
        <v>6048</v>
      </c>
      <c r="AI36" s="10">
        <v>9600</v>
      </c>
      <c r="AJ36" s="16">
        <v>6048</v>
      </c>
    </row>
    <row r="37" spans="1:36" ht="18" thickBot="1">
      <c r="A37" s="7" t="s">
        <v>105</v>
      </c>
      <c r="B37" s="7" t="s">
        <v>106</v>
      </c>
      <c r="C37" s="7"/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166</v>
      </c>
      <c r="K37" s="8">
        <v>166</v>
      </c>
      <c r="L37" s="9">
        <v>16600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166</v>
      </c>
      <c r="AF37" s="8">
        <v>166</v>
      </c>
      <c r="AG37" s="9">
        <v>16600</v>
      </c>
      <c r="AH37" s="9">
        <v>10458</v>
      </c>
      <c r="AI37" s="10">
        <v>16600</v>
      </c>
      <c r="AJ37" s="16">
        <v>10458</v>
      </c>
    </row>
    <row r="38" spans="1:36" ht="18" thickBot="1">
      <c r="A38" s="7" t="s">
        <v>18</v>
      </c>
      <c r="B38" s="7" t="s">
        <v>16</v>
      </c>
      <c r="C38" s="7" t="s">
        <v>19</v>
      </c>
      <c r="D38" s="8">
        <v>0</v>
      </c>
      <c r="E38" s="8">
        <v>0</v>
      </c>
      <c r="F38" s="8">
        <v>0</v>
      </c>
      <c r="G38" s="8">
        <v>98</v>
      </c>
      <c r="H38" s="8">
        <v>98</v>
      </c>
      <c r="I38" s="9">
        <v>88200</v>
      </c>
      <c r="J38" s="8">
        <v>0</v>
      </c>
      <c r="K38" s="8">
        <v>0</v>
      </c>
      <c r="L38" s="8">
        <v>0</v>
      </c>
      <c r="M38" s="8">
        <v>13</v>
      </c>
      <c r="N38" s="8">
        <v>143</v>
      </c>
      <c r="O38" s="9">
        <v>96030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</v>
      </c>
      <c r="Z38" s="8">
        <v>11</v>
      </c>
      <c r="AA38" s="9">
        <v>8316</v>
      </c>
      <c r="AB38" s="8">
        <v>0</v>
      </c>
      <c r="AC38" s="8">
        <v>0</v>
      </c>
      <c r="AD38" s="8">
        <v>0</v>
      </c>
      <c r="AE38" s="8">
        <v>112</v>
      </c>
      <c r="AF38" s="8">
        <v>252</v>
      </c>
      <c r="AG38" s="9">
        <v>192546</v>
      </c>
      <c r="AH38" s="9">
        <v>121054.5</v>
      </c>
      <c r="AI38" s="10">
        <v>192546</v>
      </c>
      <c r="AJ38" s="16">
        <v>121054.5</v>
      </c>
    </row>
    <row r="39" spans="1:36" ht="18" thickBot="1">
      <c r="A39" s="7" t="s">
        <v>107</v>
      </c>
      <c r="B39" s="7" t="s">
        <v>16</v>
      </c>
      <c r="C39" s="7"/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160</v>
      </c>
      <c r="K39" s="8">
        <v>160</v>
      </c>
      <c r="L39" s="9">
        <v>16000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160</v>
      </c>
      <c r="AF39" s="8">
        <v>160</v>
      </c>
      <c r="AG39" s="9">
        <v>16000</v>
      </c>
      <c r="AH39" s="9">
        <v>10080</v>
      </c>
      <c r="AI39" s="10">
        <v>16000</v>
      </c>
      <c r="AJ39" s="16">
        <v>10080</v>
      </c>
    </row>
    <row r="40" spans="1:36" ht="18" thickBot="1">
      <c r="A40" s="7" t="s">
        <v>49</v>
      </c>
      <c r="B40" s="7" t="s">
        <v>44</v>
      </c>
      <c r="C40" s="7" t="s">
        <v>45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669</v>
      </c>
      <c r="K40" s="8">
        <v>669</v>
      </c>
      <c r="L40" s="9">
        <v>2140800</v>
      </c>
      <c r="M40" s="8">
        <v>0</v>
      </c>
      <c r="N40" s="8">
        <v>0</v>
      </c>
      <c r="O40" s="8">
        <v>0</v>
      </c>
      <c r="P40" s="8">
        <v>1</v>
      </c>
      <c r="Q40" s="8">
        <v>51</v>
      </c>
      <c r="R40" s="9">
        <v>163200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670</v>
      </c>
      <c r="AF40" s="8">
        <v>720</v>
      </c>
      <c r="AG40" s="9">
        <v>2304000</v>
      </c>
      <c r="AH40" s="9">
        <v>1451520</v>
      </c>
      <c r="AI40" s="10">
        <v>2304000</v>
      </c>
      <c r="AJ40" s="16">
        <v>1451520</v>
      </c>
    </row>
    <row r="41" spans="1:36" ht="18" thickBot="1">
      <c r="A41" s="7" t="s">
        <v>108</v>
      </c>
      <c r="B41" s="7" t="s">
        <v>80</v>
      </c>
      <c r="C41" s="7"/>
      <c r="D41" s="8">
        <v>0</v>
      </c>
      <c r="E41" s="8">
        <v>0</v>
      </c>
      <c r="F41" s="8">
        <v>0</v>
      </c>
      <c r="G41" s="8">
        <v>27</v>
      </c>
      <c r="H41" s="8">
        <v>27</v>
      </c>
      <c r="I41" s="9">
        <v>24300</v>
      </c>
      <c r="J41" s="8">
        <v>0</v>
      </c>
      <c r="K41" s="8">
        <v>0</v>
      </c>
      <c r="L41" s="8">
        <v>0</v>
      </c>
      <c r="M41" s="8">
        <v>10</v>
      </c>
      <c r="N41" s="8">
        <v>90</v>
      </c>
      <c r="O41" s="9">
        <v>56700</v>
      </c>
      <c r="P41" s="8">
        <v>0</v>
      </c>
      <c r="Q41" s="8">
        <v>0</v>
      </c>
      <c r="R41" s="8">
        <v>0</v>
      </c>
      <c r="S41" s="8">
        <v>1</v>
      </c>
      <c r="T41" s="8">
        <v>1</v>
      </c>
      <c r="U41" s="9">
        <v>1080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38</v>
      </c>
      <c r="AF41" s="8">
        <v>118</v>
      </c>
      <c r="AG41" s="9">
        <v>82080</v>
      </c>
      <c r="AH41" s="9">
        <v>51678</v>
      </c>
      <c r="AI41" s="10">
        <v>82080</v>
      </c>
      <c r="AJ41" s="16">
        <v>51678</v>
      </c>
    </row>
    <row r="42" spans="1:36" ht="18" thickBot="1">
      <c r="A42" s="7" t="s">
        <v>79</v>
      </c>
      <c r="B42" s="7" t="s">
        <v>80</v>
      </c>
      <c r="C42" s="7"/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136</v>
      </c>
      <c r="K42" s="8">
        <v>136</v>
      </c>
      <c r="L42" s="9">
        <v>13600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136</v>
      </c>
      <c r="AF42" s="8">
        <v>136</v>
      </c>
      <c r="AG42" s="9">
        <v>13600</v>
      </c>
      <c r="AH42" s="9">
        <v>8568</v>
      </c>
      <c r="AI42" s="10">
        <v>13600</v>
      </c>
      <c r="AJ42" s="16">
        <v>8568</v>
      </c>
    </row>
    <row r="43" spans="1:36">
      <c r="A43" s="7" t="s">
        <v>46</v>
      </c>
      <c r="B43" s="7" t="s">
        <v>20</v>
      </c>
      <c r="C43" s="7" t="s">
        <v>47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224</v>
      </c>
      <c r="K43" s="8">
        <v>224</v>
      </c>
      <c r="L43" s="9">
        <v>22400</v>
      </c>
      <c r="M43" s="8">
        <v>0</v>
      </c>
      <c r="N43" s="8">
        <v>0</v>
      </c>
      <c r="O43" s="8">
        <v>0</v>
      </c>
      <c r="P43" s="8">
        <v>1</v>
      </c>
      <c r="Q43" s="8">
        <v>200</v>
      </c>
      <c r="R43" s="9">
        <v>20000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225</v>
      </c>
      <c r="AF43" s="8">
        <v>424</v>
      </c>
      <c r="AG43" s="9">
        <v>42400</v>
      </c>
      <c r="AH43" s="9">
        <v>26712</v>
      </c>
      <c r="AI43" s="10">
        <v>42400</v>
      </c>
      <c r="AJ43" s="16">
        <v>26712</v>
      </c>
    </row>
    <row r="44" spans="1:36">
      <c r="AJ44" s="14">
        <f>SUM(AJ2:AJ43)</f>
        <v>9789133.5</v>
      </c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합계(3)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2022-04-06T08:23:35Z</dcterms:modified>
</cp:coreProperties>
</file>