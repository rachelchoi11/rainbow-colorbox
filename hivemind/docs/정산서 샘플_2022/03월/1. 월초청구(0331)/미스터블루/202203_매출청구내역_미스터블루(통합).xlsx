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3월 마감\1. 월초청구(0331)\미스터블루\"/>
    </mc:Choice>
  </mc:AlternateContent>
  <bookViews>
    <workbookView xWindow="0" yWindow="0" windowWidth="23040" windowHeight="8952"/>
  </bookViews>
  <sheets>
    <sheet name="정산내역서" sheetId="88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88" l="1"/>
  <c r="P9" i="88"/>
  <c r="N8" i="88" l="1"/>
  <c r="K8" i="88"/>
  <c r="O8" i="88" s="1"/>
  <c r="J8" i="88"/>
  <c r="F8" i="88"/>
  <c r="L8" i="88" l="1"/>
  <c r="P8" i="88" s="1"/>
  <c r="N7" i="88"/>
  <c r="K7" i="88"/>
  <c r="O7" i="88" s="1"/>
  <c r="J7" i="88"/>
  <c r="F7" i="88"/>
  <c r="N6" i="88"/>
  <c r="K6" i="88"/>
  <c r="O6" i="88" s="1"/>
  <c r="J6" i="88"/>
  <c r="F6" i="88"/>
  <c r="N5" i="88"/>
  <c r="K5" i="88"/>
  <c r="O5" i="88" s="1"/>
  <c r="J5" i="88"/>
  <c r="F5" i="88"/>
  <c r="L7" i="88" l="1"/>
  <c r="P7" i="88" s="1"/>
  <c r="L6" i="88"/>
  <c r="P6" i="88" s="1"/>
  <c r="L5" i="88"/>
  <c r="P5" i="88" s="1"/>
  <c r="E13" i="88" l="1"/>
</calcChain>
</file>

<file path=xl/sharedStrings.xml><?xml version="1.0" encoding="utf-8"?>
<sst xmlns="http://schemas.openxmlformats.org/spreadsheetml/2006/main" count="53" uniqueCount="39">
  <si>
    <t>(세금)계산서 발행일자</t>
  </si>
  <si>
    <t>(세금)계산서 보내실 곳</t>
  </si>
  <si>
    <t>계산서 기입 내용</t>
  </si>
  <si>
    <t>2. 법인명 : 미스터블루㈜</t>
  </si>
  <si>
    <t>3. 대표자명: 조승진</t>
  </si>
  <si>
    <t>5. 업태 : 서비스 외</t>
  </si>
  <si>
    <t>6. 종목 : 온라인정보제공 외</t>
  </si>
  <si>
    <t>서울시 마포구 월드컵북로6길 18 미스터블루빌딩 7층</t>
    <phoneticPr fontId="17" type="noConversion"/>
  </si>
  <si>
    <t>1. 사업자등록번호 : 107-88-30967</t>
    <phoneticPr fontId="17" type="noConversion"/>
  </si>
  <si>
    <t>이메일 : account@mrblue.com</t>
    <phoneticPr fontId="2" type="noConversion"/>
  </si>
  <si>
    <t>정산내역 문의</t>
    <phoneticPr fontId="17" type="noConversion"/>
  </si>
  <si>
    <t>내역</t>
    <phoneticPr fontId="17" type="noConversion"/>
  </si>
  <si>
    <t>공급가액</t>
    <phoneticPr fontId="17" type="noConversion"/>
  </si>
  <si>
    <t>세액</t>
    <phoneticPr fontId="17" type="noConversion"/>
  </si>
  <si>
    <t>합계액</t>
    <phoneticPr fontId="17" type="noConversion"/>
  </si>
  <si>
    <t>mrbluetax@mrblue.com</t>
    <phoneticPr fontId="17" type="noConversion"/>
  </si>
  <si>
    <t>1. 정산내역</t>
    <phoneticPr fontId="17" type="noConversion"/>
  </si>
  <si>
    <t>제공사명</t>
  </si>
  <si>
    <t>계정ID</t>
  </si>
  <si>
    <t>종량제</t>
    <phoneticPr fontId="17" type="noConversion"/>
  </si>
  <si>
    <t>정액제</t>
    <phoneticPr fontId="17" type="noConversion"/>
  </si>
  <si>
    <t>총 합계액</t>
    <phoneticPr fontId="17" type="noConversion"/>
  </si>
  <si>
    <t>블루머니 + A.앱머니</t>
  </si>
  <si>
    <t>I.앱머니</t>
  </si>
  <si>
    <t>합계</t>
    <phoneticPr fontId="17" type="noConversion"/>
  </si>
  <si>
    <t>판매액</t>
  </si>
  <si>
    <t>수익배분율(%)</t>
    <phoneticPr fontId="17" type="noConversion"/>
  </si>
  <si>
    <t>제반수수료(%)</t>
    <phoneticPr fontId="17" type="noConversion"/>
  </si>
  <si>
    <t>정산액</t>
  </si>
  <si>
    <t xml:space="preserve">2. 계산서 발행 </t>
    <phoneticPr fontId="17" type="noConversion"/>
  </si>
  <si>
    <t>3. 공급받는자 정보</t>
    <phoneticPr fontId="17" type="noConversion"/>
  </si>
  <si>
    <t>KT_n</t>
  </si>
  <si>
    <t>KT_n_02</t>
  </si>
  <si>
    <t>KT_n_03</t>
    <phoneticPr fontId="7" type="noConversion"/>
  </si>
  <si>
    <t>박아영 02-337-0610(#256)</t>
    <phoneticPr fontId="2" type="noConversion"/>
  </si>
  <si>
    <t>스토리위즈</t>
  </si>
  <si>
    <t>KT_n_04</t>
    <phoneticPr fontId="7" type="noConversion"/>
  </si>
  <si>
    <t>연락처 : 02-337-0610(#206)</t>
    <phoneticPr fontId="2" type="noConversion"/>
  </si>
  <si>
    <t>콘텐츠제공(3월)_소설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</si>
</sst>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&quot;₩&quot;#,##0.00;[Red]&quot;₩&quot;&quot;₩&quot;&quot;₩&quot;&quot;₩&quot;&quot;₩&quot;&quot;₩&quot;&quot;₩&quot;\-#,##0.00"/>
    <numFmt numFmtId="179" formatCode="#,##0_);[Red]\(#,##0\)"/>
  </numFmts>
  <fonts count="39">
    <font>
      <sz val="10"/>
      <color theme="1"/>
      <name val="나눔고딕"/>
      <family val="2"/>
      <charset val="129"/>
    </font>
    <font>
      <sz val="10"/>
      <color theme="1"/>
      <name val="나눔고딕"/>
      <family val="2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8"/>
      <name val="돋움"/>
      <family val="3"/>
      <charset val="129"/>
    </font>
    <font>
      <b/>
      <sz val="10"/>
      <color theme="4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rgb="FF0070C0"/>
      <name val="맑은 고딕"/>
      <family val="3"/>
      <charset val="129"/>
      <scheme val="major"/>
    </font>
    <font>
      <sz val="18"/>
      <color theme="3"/>
      <name val="맑은 고딕"/>
      <family val="2"/>
      <charset val="129"/>
      <scheme val="major"/>
    </font>
    <font>
      <sz val="10"/>
      <name val="맑은 고딕"/>
      <family val="3"/>
      <charset val="129"/>
    </font>
    <font>
      <sz val="10"/>
      <color theme="0"/>
      <name val="나눔고딕"/>
      <family val="2"/>
      <charset val="129"/>
    </font>
    <font>
      <sz val="10"/>
      <color rgb="FFFF0000"/>
      <name val="나눔고딕"/>
      <family val="2"/>
      <charset val="129"/>
    </font>
    <font>
      <b/>
      <sz val="10"/>
      <color rgb="FFFA7D00"/>
      <name val="나눔고딕"/>
      <family val="2"/>
      <charset val="129"/>
    </font>
    <font>
      <sz val="10"/>
      <color rgb="FF9C0006"/>
      <name val="나눔고딕"/>
      <family val="2"/>
      <charset val="129"/>
    </font>
    <font>
      <sz val="10"/>
      <color rgb="FF9C5700"/>
      <name val="나눔고딕"/>
      <family val="2"/>
      <charset val="129"/>
    </font>
    <font>
      <i/>
      <sz val="10"/>
      <color rgb="FF7F7F7F"/>
      <name val="나눔고딕"/>
      <family val="2"/>
      <charset val="129"/>
    </font>
    <font>
      <b/>
      <sz val="10"/>
      <color theme="0"/>
      <name val="나눔고딕"/>
      <family val="2"/>
      <charset val="129"/>
    </font>
    <font>
      <sz val="10"/>
      <color rgb="FFFA7D00"/>
      <name val="나눔고딕"/>
      <family val="2"/>
      <charset val="129"/>
    </font>
    <font>
      <b/>
      <sz val="10"/>
      <color theme="1"/>
      <name val="나눔고딕"/>
      <family val="2"/>
      <charset val="129"/>
    </font>
    <font>
      <sz val="10"/>
      <color rgb="FF3F3F76"/>
      <name val="나눔고딕"/>
      <family val="2"/>
      <charset val="129"/>
    </font>
    <font>
      <b/>
      <sz val="15"/>
      <color theme="3"/>
      <name val="나눔고딕"/>
      <family val="2"/>
      <charset val="129"/>
    </font>
    <font>
      <b/>
      <sz val="13"/>
      <color theme="3"/>
      <name val="나눔고딕"/>
      <family val="2"/>
      <charset val="129"/>
    </font>
    <font>
      <b/>
      <sz val="11"/>
      <color theme="3"/>
      <name val="나눔고딕"/>
      <family val="2"/>
      <charset val="129"/>
    </font>
    <font>
      <sz val="10"/>
      <color rgb="FF006100"/>
      <name val="나눔고딕"/>
      <family val="2"/>
      <charset val="129"/>
    </font>
    <font>
      <b/>
      <sz val="10"/>
      <color rgb="FF3F3F3F"/>
      <name val="나눔고딕"/>
      <family val="2"/>
      <charset val="129"/>
    </font>
  </fonts>
  <fills count="4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9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6" borderId="3" applyNumberFormat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3" fillId="28" borderId="4" applyNumberFormat="0" applyFont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0" borderId="5" applyNumberFormat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31" borderId="3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26" borderId="11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/>
    <xf numFmtId="0" fontId="14" fillId="0" borderId="0"/>
    <xf numFmtId="0" fontId="14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9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9" fillId="0" borderId="0"/>
    <xf numFmtId="0" fontId="10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19" fillId="38" borderId="1" xfId="0" applyFont="1" applyFill="1" applyBorder="1" applyAlignment="1">
      <alignment horizontal="center" vertical="center"/>
    </xf>
    <xf numFmtId="0" fontId="19" fillId="39" borderId="1" xfId="0" applyFont="1" applyFill="1" applyBorder="1" applyAlignment="1">
      <alignment horizontal="center" vertical="center"/>
    </xf>
    <xf numFmtId="0" fontId="20" fillId="37" borderId="1" xfId="0" applyFont="1" applyFill="1" applyBorder="1" applyAlignment="1">
      <alignment horizontal="center" vertical="center"/>
    </xf>
    <xf numFmtId="0" fontId="19" fillId="0" borderId="1" xfId="0" applyFont="1" applyBorder="1">
      <alignment vertical="center"/>
    </xf>
    <xf numFmtId="179" fontId="19" fillId="0" borderId="1" xfId="0" applyNumberFormat="1" applyFont="1" applyBorder="1">
      <alignment vertical="center"/>
    </xf>
    <xf numFmtId="49" fontId="5" fillId="0" borderId="0" xfId="0" applyNumberFormat="1" applyFont="1" applyAlignment="1">
      <alignment horizontal="left" vertical="center"/>
    </xf>
    <xf numFmtId="49" fontId="21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 indent="1"/>
    </xf>
    <xf numFmtId="49" fontId="6" fillId="0" borderId="0" xfId="0" applyNumberFormat="1" applyFont="1">
      <alignment vertical="center"/>
    </xf>
    <xf numFmtId="3" fontId="6" fillId="40" borderId="1" xfId="0" applyNumberFormat="1" applyFont="1" applyFill="1" applyBorder="1" applyAlignment="1">
      <alignment horizontal="center" vertical="center" wrapText="1"/>
    </xf>
    <xf numFmtId="9" fontId="6" fillId="40" borderId="1" xfId="0" applyNumberFormat="1" applyFont="1" applyFill="1" applyBorder="1" applyAlignment="1">
      <alignment horizontal="center" vertical="center" wrapText="1"/>
    </xf>
    <xf numFmtId="0" fontId="6" fillId="33" borderId="0" xfId="0" applyFont="1" applyFill="1">
      <alignment vertical="center"/>
    </xf>
    <xf numFmtId="179" fontId="6" fillId="33" borderId="1" xfId="0" applyNumberFormat="1" applyFont="1" applyFill="1" applyBorder="1" applyAlignment="1">
      <alignment vertical="center" wrapText="1"/>
    </xf>
    <xf numFmtId="0" fontId="6" fillId="33" borderId="0" xfId="0" applyFont="1" applyFill="1" applyAlignment="1">
      <alignment horizontal="center" vertical="center" wrapText="1"/>
    </xf>
    <xf numFmtId="179" fontId="6" fillId="33" borderId="0" xfId="0" applyNumberFormat="1" applyFont="1" applyFill="1" applyAlignment="1">
      <alignment vertical="center" wrapText="1"/>
    </xf>
    <xf numFmtId="0" fontId="6" fillId="40" borderId="14" xfId="0" applyFont="1" applyFill="1" applyBorder="1">
      <alignment vertical="center"/>
    </xf>
    <xf numFmtId="0" fontId="6" fillId="40" borderId="17" xfId="0" applyFont="1" applyFill="1" applyBorder="1">
      <alignment vertical="center"/>
    </xf>
    <xf numFmtId="0" fontId="6" fillId="40" borderId="16" xfId="0" applyFont="1" applyFill="1" applyBorder="1">
      <alignment vertical="center"/>
    </xf>
    <xf numFmtId="0" fontId="6" fillId="40" borderId="12" xfId="0" applyFont="1" applyFill="1" applyBorder="1">
      <alignment vertical="center"/>
    </xf>
    <xf numFmtId="0" fontId="6" fillId="40" borderId="15" xfId="0" applyFont="1" applyFill="1" applyBorder="1">
      <alignment vertical="center"/>
    </xf>
    <xf numFmtId="0" fontId="6" fillId="40" borderId="18" xfId="0" applyFont="1" applyFill="1" applyBorder="1">
      <alignment vertical="center"/>
    </xf>
    <xf numFmtId="0" fontId="6" fillId="0" borderId="0" xfId="0" applyFont="1" applyAlignment="1">
      <alignment horizontal="center" vertical="center"/>
    </xf>
    <xf numFmtId="38" fontId="19" fillId="38" borderId="1" xfId="0" applyNumberFormat="1" applyFont="1" applyFill="1" applyBorder="1" applyAlignment="1">
      <alignment horizontal="center" vertical="center"/>
    </xf>
    <xf numFmtId="9" fontId="19" fillId="0" borderId="1" xfId="78" applyFont="1" applyBorder="1">
      <alignment vertical="center"/>
    </xf>
    <xf numFmtId="179" fontId="23" fillId="0" borderId="19" xfId="0" applyNumberFormat="1" applyFont="1" applyBorder="1">
      <alignment vertical="center"/>
    </xf>
    <xf numFmtId="0" fontId="19" fillId="0" borderId="1" xfId="0" applyFont="1" applyBorder="1" applyAlignment="1">
      <alignment horizontal="center" vertical="center"/>
    </xf>
    <xf numFmtId="179" fontId="6" fillId="0" borderId="0" xfId="0" applyNumberFormat="1" applyFont="1">
      <alignment vertical="center"/>
    </xf>
    <xf numFmtId="0" fontId="20" fillId="37" borderId="1" xfId="0" applyNumberFormat="1" applyFont="1" applyFill="1" applyBorder="1" applyAlignment="1">
      <alignment horizontal="center" vertical="center"/>
    </xf>
    <xf numFmtId="0" fontId="19" fillId="38" borderId="1" xfId="0" applyNumberFormat="1" applyFont="1" applyFill="1" applyBorder="1" applyAlignment="1">
      <alignment horizontal="center" vertical="center"/>
    </xf>
    <xf numFmtId="38" fontId="19" fillId="38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9" fillId="35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center" vertical="center"/>
    </xf>
    <xf numFmtId="0" fontId="6" fillId="40" borderId="13" xfId="0" applyFont="1" applyFill="1" applyBorder="1" applyAlignment="1">
      <alignment horizontal="center" vertical="center" wrapText="1"/>
    </xf>
    <xf numFmtId="0" fontId="6" fillId="40" borderId="2" xfId="0" applyFont="1" applyFill="1" applyBorder="1" applyAlignment="1">
      <alignment horizontal="center" vertical="center" wrapText="1"/>
    </xf>
    <xf numFmtId="0" fontId="6" fillId="33" borderId="13" xfId="0" applyFont="1" applyFill="1" applyBorder="1" applyAlignment="1">
      <alignment horizontal="center" vertical="center" wrapText="1"/>
    </xf>
    <xf numFmtId="0" fontId="6" fillId="33" borderId="2" xfId="0" applyFont="1" applyFill="1" applyBorder="1" applyAlignment="1">
      <alignment horizontal="center" vertical="center" wrapText="1"/>
    </xf>
    <xf numFmtId="0" fontId="6" fillId="40" borderId="13" xfId="0" applyFont="1" applyFill="1" applyBorder="1" applyAlignment="1">
      <alignment horizontal="left" vertical="center"/>
    </xf>
    <xf numFmtId="0" fontId="6" fillId="40" borderId="2" xfId="0" applyFont="1" applyFill="1" applyBorder="1" applyAlignment="1">
      <alignment horizontal="left" vertical="center"/>
    </xf>
    <xf numFmtId="31" fontId="8" fillId="0" borderId="1" xfId="0" applyNumberFormat="1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</cellXfs>
  <cellStyles count="79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ÅëÈ­ [0]_INQUIRY ¿µ¾÷ÃßÁø " xfId="44"/>
    <cellStyle name="AeE­ [0]_INQUIRY ¿μ¾÷AßAø " xfId="45"/>
    <cellStyle name="ÅëÈ­_INQUIRY ¿µ¾÷ÃßÁø " xfId="46"/>
    <cellStyle name="AeE­_INQUIRY ¿μ¾÷AßAø " xfId="47"/>
    <cellStyle name="AÞ¸¶ [0]_½CAuCoE² " xfId="48"/>
    <cellStyle name="ÄÞ¸¶ [0]_INQUIRY ¿µ¾÷ÃßÁø " xfId="49"/>
    <cellStyle name="AÞ¸¶ [0]_INQUIRY ¿μ¾÷AßAø " xfId="50"/>
    <cellStyle name="AÞ¸¶_½CAuCoE² " xfId="51"/>
    <cellStyle name="ÄÞ¸¶_INQUIRY ¿µ¾÷ÃßÁø " xfId="52"/>
    <cellStyle name="AÞ¸¶_INQUIRY ¿μ¾÷AßAø " xfId="53"/>
    <cellStyle name="C￥AØ_¿μ¾÷CoE² " xfId="54"/>
    <cellStyle name="Ç¥ÁØ_»ç¾÷ºÎº° ÃÑ°è " xfId="55"/>
    <cellStyle name="C￥AØ_≫c¾÷ºIº° AN°e " xfId="56"/>
    <cellStyle name="Ç¥ÁØ_0N-HANDLING " xfId="57"/>
    <cellStyle name="C￥AØ_5-1±¤°i " xfId="58"/>
    <cellStyle name="Ç¥ÁØ_5-1±¤°í " xfId="59"/>
    <cellStyle name="C￥AØ_CoAo¹yAI °A¾×¿ⓒ½A " xfId="60"/>
    <cellStyle name="Ç¥ÁØ_Sheet1_¿µ¾÷ÇöÈ² " xfId="61"/>
    <cellStyle name="C￥AØ_Sheet1_¿μ¾÷CoE² " xfId="62"/>
    <cellStyle name="Ç¥ÁØ_Sheet1_0N-HANDLING " xfId="63"/>
    <cellStyle name="C￥AØ_Sheet1_Ay°eC￥(2¿u) " xfId="64"/>
    <cellStyle name="Ç¥ÁØ_Sheet1_Áý°èÇ¥(2¿ù) " xfId="65"/>
    <cellStyle name="comma" xfId="66"/>
    <cellStyle name="Comma [0]" xfId="67"/>
    <cellStyle name="Comma^ODCOS " xfId="68"/>
    <cellStyle name="Comma_ SG&amp;A Bridge " xfId="69"/>
    <cellStyle name="Currency [0]" xfId="70"/>
    <cellStyle name="Currency_ SG&amp;A Bridge " xfId="71"/>
    <cellStyle name="Currency1" xfId="72"/>
    <cellStyle name="Normal_ SG&amp;A Bridge " xfId="73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백분율" xfId="78" builtinId="5"/>
    <cellStyle name="보통" xfId="29" builtinId="28" customBuiltin="1"/>
    <cellStyle name="새귑[0]_롤痰삠悧 " xfId="74"/>
    <cellStyle name="새귑_롤痰삠悧 " xfId="75"/>
    <cellStyle name="설명 텍스트" xfId="30" builtinId="53" customBuiltin="1"/>
    <cellStyle name="셀 확인" xfId="31" builtinId="23" customBuiltin="1"/>
    <cellStyle name="연결된 셀" xfId="32" builtinId="24" customBuiltin="1"/>
    <cellStyle name="열어 본 하이퍼링크" xfId="33" builtinId="9" hidden="1" customBuiltin="1"/>
    <cellStyle name="요약" xfId="34" builtinId="25" customBuiltin="1"/>
    <cellStyle name="입력" xfId="35" builtinId="20" customBuiltin="1"/>
    <cellStyle name="제목" xfId="36" builtinId="15" customBuiltin="1"/>
    <cellStyle name="제목 1" xfId="37" builtinId="16" customBuiltin="1"/>
    <cellStyle name="제목 2" xfId="38" builtinId="17" customBuiltin="1"/>
    <cellStyle name="제목 3" xfId="39" builtinId="18" customBuiltin="1"/>
    <cellStyle name="제목 4" xfId="40" builtinId="19" customBuiltin="1"/>
    <cellStyle name="좋음" xfId="41" builtinId="26" customBuiltin="1"/>
    <cellStyle name="출력" xfId="42" builtinId="21" customBuiltin="1"/>
    <cellStyle name="콤마 [0]_  종  합  " xfId="76"/>
    <cellStyle name="콤마_  종  합  " xfId="77"/>
    <cellStyle name="표준" xfId="0" builtinId="0" customBuiltin="1"/>
    <cellStyle name="하이퍼링크" xfId="43" builtinId="8" hidden="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showGridLines="0" tabSelected="1" zoomScale="83" zoomScaleNormal="83" workbookViewId="0"/>
  </sheetViews>
  <sheetFormatPr defaultColWidth="10" defaultRowHeight="20.100000000000001" customHeight="1"/>
  <cols>
    <col min="1" max="1" width="15.21875" style="24" customWidth="1"/>
    <col min="2" max="2" width="13.33203125" style="2" customWidth="1"/>
    <col min="3" max="16" width="11.33203125" style="2" customWidth="1"/>
    <col min="17" max="16384" width="10" style="2"/>
  </cols>
  <sheetData>
    <row r="1" spans="1:16" ht="20.100000000000001" customHeight="1">
      <c r="A1" s="1" t="s">
        <v>16</v>
      </c>
    </row>
    <row r="2" spans="1:16" ht="20.100000000000001" customHeight="1">
      <c r="A2" s="34" t="s">
        <v>17</v>
      </c>
      <c r="B2" s="34" t="s">
        <v>18</v>
      </c>
      <c r="C2" s="35" t="s">
        <v>19</v>
      </c>
      <c r="D2" s="35"/>
      <c r="E2" s="35"/>
      <c r="F2" s="35"/>
      <c r="G2" s="35"/>
      <c r="H2" s="35"/>
      <c r="I2" s="35"/>
      <c r="J2" s="35"/>
      <c r="K2" s="35"/>
      <c r="L2" s="35"/>
      <c r="M2" s="36" t="s">
        <v>20</v>
      </c>
      <c r="N2" s="36"/>
      <c r="O2" s="30" t="s">
        <v>21</v>
      </c>
      <c r="P2" s="30"/>
    </row>
    <row r="3" spans="1:16" ht="20.100000000000001" customHeight="1">
      <c r="A3" s="34"/>
      <c r="B3" s="34"/>
      <c r="C3" s="31" t="s">
        <v>22</v>
      </c>
      <c r="D3" s="31"/>
      <c r="E3" s="31"/>
      <c r="F3" s="31"/>
      <c r="G3" s="31" t="s">
        <v>23</v>
      </c>
      <c r="H3" s="31"/>
      <c r="I3" s="31"/>
      <c r="J3" s="31"/>
      <c r="K3" s="32" t="s">
        <v>24</v>
      </c>
      <c r="L3" s="32"/>
      <c r="M3" s="36"/>
      <c r="N3" s="36"/>
      <c r="O3" s="30"/>
      <c r="P3" s="30"/>
    </row>
    <row r="4" spans="1:16" ht="20.100000000000001" customHeight="1">
      <c r="A4" s="34"/>
      <c r="B4" s="34"/>
      <c r="C4" s="25" t="s">
        <v>25</v>
      </c>
      <c r="D4" s="3" t="s">
        <v>26</v>
      </c>
      <c r="E4" s="3" t="s">
        <v>27</v>
      </c>
      <c r="F4" s="25" t="s">
        <v>28</v>
      </c>
      <c r="G4" s="25" t="s">
        <v>25</v>
      </c>
      <c r="H4" s="3" t="s">
        <v>26</v>
      </c>
      <c r="I4" s="3" t="s">
        <v>27</v>
      </c>
      <c r="J4" s="25" t="s">
        <v>28</v>
      </c>
      <c r="K4" s="25" t="s">
        <v>25</v>
      </c>
      <c r="L4" s="25" t="s">
        <v>28</v>
      </c>
      <c r="M4" s="4" t="s">
        <v>25</v>
      </c>
      <c r="N4" s="4" t="s">
        <v>28</v>
      </c>
      <c r="O4" s="5" t="s">
        <v>25</v>
      </c>
      <c r="P4" s="5" t="s">
        <v>28</v>
      </c>
    </row>
    <row r="5" spans="1:16" ht="20.100000000000001" customHeight="1">
      <c r="A5" s="28" t="s">
        <v>35</v>
      </c>
      <c r="B5" s="6" t="s">
        <v>31</v>
      </c>
      <c r="C5" s="27">
        <v>1967100</v>
      </c>
      <c r="D5" s="26">
        <v>0.7</v>
      </c>
      <c r="E5" s="26">
        <v>0.1</v>
      </c>
      <c r="F5" s="7">
        <f>(C5-(C5*E5))*D5</f>
        <v>1239273</v>
      </c>
      <c r="G5" s="27">
        <v>31320</v>
      </c>
      <c r="H5" s="26">
        <v>0.6</v>
      </c>
      <c r="I5" s="26">
        <v>0</v>
      </c>
      <c r="J5" s="7">
        <f>(G5-(G5*I5))*H5</f>
        <v>18792</v>
      </c>
      <c r="K5" s="7">
        <f>C5+G5</f>
        <v>1998420</v>
      </c>
      <c r="L5" s="7">
        <f>F5+J5</f>
        <v>1258065</v>
      </c>
      <c r="M5" s="7">
        <v>0</v>
      </c>
      <c r="N5" s="7">
        <f>M5*63%</f>
        <v>0</v>
      </c>
      <c r="O5" s="7">
        <f>K5+M5</f>
        <v>1998420</v>
      </c>
      <c r="P5" s="7">
        <f>L5+N5</f>
        <v>1258065</v>
      </c>
    </row>
    <row r="6" spans="1:16" ht="20.100000000000001" customHeight="1">
      <c r="A6" s="28" t="s">
        <v>35</v>
      </c>
      <c r="B6" s="6" t="s">
        <v>32</v>
      </c>
      <c r="C6" s="27">
        <v>7436070</v>
      </c>
      <c r="D6" s="26">
        <v>0.7</v>
      </c>
      <c r="E6" s="26">
        <v>0.1</v>
      </c>
      <c r="F6" s="7">
        <f t="shared" ref="F6:F7" si="0">(C6-(C6*E6))*D6</f>
        <v>4684724.0999999996</v>
      </c>
      <c r="G6" s="27">
        <v>63720</v>
      </c>
      <c r="H6" s="26">
        <v>0.6</v>
      </c>
      <c r="I6" s="26">
        <v>0</v>
      </c>
      <c r="J6" s="7">
        <f t="shared" ref="J6:J7" si="1">(G6-(G6*I6))*H6</f>
        <v>38232</v>
      </c>
      <c r="K6" s="7">
        <f t="shared" ref="K6:K7" si="2">C6+G6</f>
        <v>7499790</v>
      </c>
      <c r="L6" s="7">
        <f t="shared" ref="L6:L7" si="3">F6+J6</f>
        <v>4722956.0999999996</v>
      </c>
      <c r="M6" s="7">
        <v>0</v>
      </c>
      <c r="N6" s="7">
        <f t="shared" ref="N6:N7" si="4">M6*63%</f>
        <v>0</v>
      </c>
      <c r="O6" s="7">
        <f t="shared" ref="O6:P7" si="5">K6+M6</f>
        <v>7499790</v>
      </c>
      <c r="P6" s="7">
        <f t="shared" si="5"/>
        <v>4722956.0999999996</v>
      </c>
    </row>
    <row r="7" spans="1:16" ht="20.100000000000001" customHeight="1">
      <c r="A7" s="28" t="s">
        <v>35</v>
      </c>
      <c r="B7" s="6" t="s">
        <v>33</v>
      </c>
      <c r="C7" s="27">
        <v>15367930</v>
      </c>
      <c r="D7" s="26">
        <v>0.7</v>
      </c>
      <c r="E7" s="26">
        <v>0.1</v>
      </c>
      <c r="F7" s="7">
        <f t="shared" si="0"/>
        <v>9681795.8999999985</v>
      </c>
      <c r="G7" s="27">
        <v>178896</v>
      </c>
      <c r="H7" s="26">
        <v>0.6</v>
      </c>
      <c r="I7" s="26">
        <v>0</v>
      </c>
      <c r="J7" s="7">
        <f t="shared" si="1"/>
        <v>107337.59999999999</v>
      </c>
      <c r="K7" s="7">
        <f t="shared" si="2"/>
        <v>15546826</v>
      </c>
      <c r="L7" s="7">
        <f t="shared" si="3"/>
        <v>9789133.4999999981</v>
      </c>
      <c r="M7" s="7">
        <v>0</v>
      </c>
      <c r="N7" s="7">
        <f t="shared" si="4"/>
        <v>0</v>
      </c>
      <c r="O7" s="7">
        <f t="shared" si="5"/>
        <v>15546826</v>
      </c>
      <c r="P7" s="7">
        <f t="shared" si="5"/>
        <v>9789133.4999999981</v>
      </c>
    </row>
    <row r="8" spans="1:16" ht="20.100000000000001" customHeight="1">
      <c r="A8" s="28" t="s">
        <v>35</v>
      </c>
      <c r="B8" s="6" t="s">
        <v>36</v>
      </c>
      <c r="C8" s="27">
        <v>6955410</v>
      </c>
      <c r="D8" s="26">
        <v>0.7</v>
      </c>
      <c r="E8" s="26">
        <v>0.1</v>
      </c>
      <c r="F8" s="7">
        <f t="shared" ref="F8" si="6">(C8-(C8*E8))*D8</f>
        <v>4381908.3</v>
      </c>
      <c r="G8" s="27">
        <v>23652</v>
      </c>
      <c r="H8" s="26">
        <v>0.6</v>
      </c>
      <c r="I8" s="26">
        <v>0</v>
      </c>
      <c r="J8" s="7">
        <f t="shared" ref="J8" si="7">(G8-(G8*I8))*H8</f>
        <v>14191.199999999999</v>
      </c>
      <c r="K8" s="7">
        <f t="shared" ref="K8" si="8">C8+G8</f>
        <v>6979062</v>
      </c>
      <c r="L8" s="7">
        <f t="shared" ref="L8" si="9">F8+J8</f>
        <v>4396099.5</v>
      </c>
      <c r="M8" s="7">
        <v>0</v>
      </c>
      <c r="N8" s="7">
        <f t="shared" ref="N8" si="10">M8*63%</f>
        <v>0</v>
      </c>
      <c r="O8" s="7">
        <f t="shared" ref="O8" si="11">K8+M8</f>
        <v>6979062</v>
      </c>
      <c r="P8" s="7">
        <f t="shared" ref="P8" si="12">L8+N8</f>
        <v>4396099.5</v>
      </c>
    </row>
    <row r="9" spans="1:16" ht="20.100000000000001" customHeight="1">
      <c r="A9" s="2"/>
      <c r="O9" s="29"/>
      <c r="P9" s="29">
        <f>SUM(P5:P8)</f>
        <v>20166254.099999998</v>
      </c>
    </row>
    <row r="10" spans="1:16" ht="20.100000000000001" customHeight="1">
      <c r="A10" s="2"/>
    </row>
    <row r="11" spans="1:16" ht="20.100000000000001" customHeight="1">
      <c r="A11" s="8" t="s">
        <v>29</v>
      </c>
      <c r="B11" s="9"/>
      <c r="C11" s="10"/>
      <c r="D11" s="11"/>
      <c r="E11" s="11"/>
      <c r="F11" s="11"/>
    </row>
    <row r="12" spans="1:16" ht="20.100000000000001" customHeight="1">
      <c r="A12" s="37" t="s">
        <v>11</v>
      </c>
      <c r="B12" s="38"/>
      <c r="C12" s="12" t="s">
        <v>12</v>
      </c>
      <c r="D12" s="13" t="s">
        <v>13</v>
      </c>
      <c r="E12" s="12" t="s">
        <v>14</v>
      </c>
      <c r="F12" s="14"/>
    </row>
    <row r="13" spans="1:16" ht="20.100000000000001" customHeight="1">
      <c r="A13" s="39" t="s">
        <v>38</v>
      </c>
      <c r="B13" s="40"/>
      <c r="C13" s="15">
        <f>P6+P5+P7+P8</f>
        <v>20166254.099999998</v>
      </c>
      <c r="D13" s="15">
        <v>0</v>
      </c>
      <c r="E13" s="15">
        <f>C13+D13</f>
        <v>20166254.099999998</v>
      </c>
      <c r="F13" s="14"/>
    </row>
    <row r="14" spans="1:16" ht="20.100000000000001" customHeight="1">
      <c r="A14" s="16"/>
      <c r="B14" s="16"/>
      <c r="C14" s="17"/>
      <c r="D14" s="17"/>
      <c r="E14" s="17"/>
      <c r="F14" s="14"/>
    </row>
    <row r="15" spans="1:16" ht="20.100000000000001" customHeight="1">
      <c r="A15" s="14"/>
      <c r="B15" s="14"/>
      <c r="C15" s="14"/>
      <c r="D15" s="14"/>
      <c r="E15" s="14"/>
      <c r="F15" s="14"/>
    </row>
    <row r="16" spans="1:16" ht="20.100000000000001" customHeight="1">
      <c r="A16" s="8" t="s">
        <v>30</v>
      </c>
      <c r="B16" s="9"/>
      <c r="C16" s="10"/>
      <c r="D16" s="11"/>
      <c r="E16" s="11"/>
      <c r="F16" s="11"/>
    </row>
    <row r="17" spans="1:6" ht="20.100000000000001" customHeight="1">
      <c r="A17" s="41" t="s">
        <v>0</v>
      </c>
      <c r="B17" s="42"/>
      <c r="C17" s="43">
        <v>44651</v>
      </c>
      <c r="D17" s="43"/>
      <c r="E17" s="43"/>
      <c r="F17" s="43"/>
    </row>
    <row r="18" spans="1:6" ht="20.100000000000001" customHeight="1">
      <c r="A18" s="18" t="s">
        <v>1</v>
      </c>
      <c r="B18" s="19"/>
      <c r="C18" s="44" t="s">
        <v>34</v>
      </c>
      <c r="D18" s="44"/>
      <c r="E18" s="44"/>
      <c r="F18" s="44"/>
    </row>
    <row r="19" spans="1:6" ht="20.100000000000001" customHeight="1">
      <c r="A19" s="20"/>
      <c r="B19" s="21"/>
      <c r="C19" s="33" t="s">
        <v>15</v>
      </c>
      <c r="D19" s="33"/>
      <c r="E19" s="33"/>
      <c r="F19" s="33"/>
    </row>
    <row r="20" spans="1:6" ht="20.100000000000001" customHeight="1">
      <c r="A20" s="22"/>
      <c r="B20" s="23"/>
      <c r="C20" s="45" t="s">
        <v>7</v>
      </c>
      <c r="D20" s="45"/>
      <c r="E20" s="45"/>
      <c r="F20" s="45"/>
    </row>
    <row r="21" spans="1:6" ht="20.100000000000001" customHeight="1">
      <c r="A21" s="18" t="s">
        <v>2</v>
      </c>
      <c r="B21" s="19"/>
      <c r="C21" s="45" t="s">
        <v>8</v>
      </c>
      <c r="D21" s="45"/>
      <c r="E21" s="45"/>
      <c r="F21" s="45"/>
    </row>
    <row r="22" spans="1:6" ht="20.100000000000001" customHeight="1">
      <c r="A22" s="20"/>
      <c r="B22" s="21"/>
      <c r="C22" s="45" t="s">
        <v>3</v>
      </c>
      <c r="D22" s="45"/>
      <c r="E22" s="45"/>
      <c r="F22" s="45"/>
    </row>
    <row r="23" spans="1:6" ht="20.100000000000001" customHeight="1">
      <c r="A23" s="20"/>
      <c r="B23" s="21"/>
      <c r="C23" s="45" t="s">
        <v>4</v>
      </c>
      <c r="D23" s="45"/>
      <c r="E23" s="45"/>
      <c r="F23" s="45"/>
    </row>
    <row r="24" spans="1:6" ht="20.100000000000001" customHeight="1">
      <c r="A24" s="20"/>
      <c r="B24" s="21"/>
      <c r="C24" s="45" t="s">
        <v>7</v>
      </c>
      <c r="D24" s="45"/>
      <c r="E24" s="45"/>
      <c r="F24" s="45"/>
    </row>
    <row r="25" spans="1:6" ht="20.100000000000001" customHeight="1">
      <c r="A25" s="20"/>
      <c r="B25" s="21"/>
      <c r="C25" s="45" t="s">
        <v>5</v>
      </c>
      <c r="D25" s="45"/>
      <c r="E25" s="45"/>
      <c r="F25" s="45"/>
    </row>
    <row r="26" spans="1:6" ht="20.100000000000001" customHeight="1">
      <c r="A26" s="22"/>
      <c r="B26" s="23"/>
      <c r="C26" s="45" t="s">
        <v>6</v>
      </c>
      <c r="D26" s="45"/>
      <c r="E26" s="45"/>
      <c r="F26" s="45"/>
    </row>
    <row r="27" spans="1:6" ht="20.100000000000001" customHeight="1">
      <c r="A27" s="18" t="s">
        <v>10</v>
      </c>
      <c r="B27" s="19"/>
      <c r="C27" s="45" t="s">
        <v>37</v>
      </c>
      <c r="D27" s="45"/>
      <c r="E27" s="45"/>
      <c r="F27" s="45"/>
    </row>
    <row r="28" spans="1:6" ht="20.100000000000001" customHeight="1">
      <c r="A28" s="22"/>
      <c r="B28" s="23"/>
      <c r="C28" s="45" t="s">
        <v>9</v>
      </c>
      <c r="D28" s="45"/>
      <c r="E28" s="45"/>
      <c r="F28" s="45"/>
    </row>
  </sheetData>
  <mergeCells count="23">
    <mergeCell ref="C27:F27"/>
    <mergeCell ref="C28:F28"/>
    <mergeCell ref="C20:F20"/>
    <mergeCell ref="C21:F21"/>
    <mergeCell ref="C22:F22"/>
    <mergeCell ref="C23:F23"/>
    <mergeCell ref="C24:F24"/>
    <mergeCell ref="C25:F25"/>
    <mergeCell ref="A13:B13"/>
    <mergeCell ref="A17:B17"/>
    <mergeCell ref="C17:F17"/>
    <mergeCell ref="C18:F18"/>
    <mergeCell ref="C26:F26"/>
    <mergeCell ref="A2:A4"/>
    <mergeCell ref="B2:B4"/>
    <mergeCell ref="C2:L2"/>
    <mergeCell ref="M2:N3"/>
    <mergeCell ref="A12:B12"/>
    <mergeCell ref="O2:P3"/>
    <mergeCell ref="C3:F3"/>
    <mergeCell ref="G3:J3"/>
    <mergeCell ref="K3:L3"/>
    <mergeCell ref="C19:F19"/>
  </mergeCells>
  <phoneticPr fontId="7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정산내역서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2022-04-06T08:26:58Z</dcterms:modified>
</cp:coreProperties>
</file>