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카카오페이지\"/>
    </mc:Choice>
  </mc:AlternateContent>
  <bookViews>
    <workbookView xWindow="0" yWindow="0" windowWidth="23040" windowHeight="9300"/>
  </bookViews>
  <sheets>
    <sheet name="전체(3)" sheetId="88" r:id="rId1"/>
    <sheet name="컨헤라_마딸,옹주" sheetId="92" r:id="rId2"/>
    <sheet name="컨헤라_회귀" sheetId="91" r:id="rId3"/>
  </sheets>
  <definedNames>
    <definedName name="_xlnm._FilterDatabase" localSheetId="0" hidden="1">'전체(3)'!$A$1:$AP$24</definedName>
    <definedName name="_xlnm.Extract" localSheetId="0">'전체(3)'!#REF!</definedName>
    <definedName name="_xlnm.Extract" localSheetId="1">'컨헤라_마딸,옹주'!$A$1:$AP$1</definedName>
    <definedName name="_xlnm.Extract" localSheetId="2">컨헤라_회귀!$A$1:$AP$1</definedName>
  </definedNames>
  <calcPr calcId="152511"/>
</workbook>
</file>

<file path=xl/calcChain.xml><?xml version="1.0" encoding="utf-8"?>
<calcChain xmlns="http://schemas.openxmlformats.org/spreadsheetml/2006/main">
  <c r="B24" i="91" l="1"/>
  <c r="C24" i="91"/>
  <c r="D19" i="91"/>
  <c r="C19" i="91"/>
  <c r="AP10" i="91"/>
  <c r="D13" i="91"/>
  <c r="D14" i="91" s="1"/>
  <c r="D15" i="91" s="1"/>
  <c r="D16" i="91" s="1"/>
  <c r="D17" i="91" s="1"/>
  <c r="B55" i="92"/>
  <c r="C55" i="92"/>
  <c r="D53" i="92"/>
  <c r="C53" i="92"/>
  <c r="D32" i="92"/>
  <c r="D33" i="92" s="1"/>
  <c r="D34" i="92" s="1"/>
  <c r="D35" i="92" s="1"/>
  <c r="D36" i="92" s="1"/>
  <c r="D37" i="92" s="1"/>
  <c r="D38" i="92" s="1"/>
  <c r="D39" i="92" s="1"/>
  <c r="D40" i="92" s="1"/>
  <c r="D41" i="92" s="1"/>
  <c r="D42" i="92" s="1"/>
  <c r="D43" i="92" s="1"/>
  <c r="D44" i="92" s="1"/>
  <c r="D45" i="92" s="1"/>
  <c r="D46" i="92" s="1"/>
  <c r="D47" i="92" s="1"/>
  <c r="D48" i="92" s="1"/>
  <c r="D49" i="92" s="1"/>
  <c r="D50" i="92" s="1"/>
  <c r="D51" i="92" s="1"/>
  <c r="AP16" i="92"/>
  <c r="D18" i="91" l="1"/>
  <c r="D52" i="92"/>
  <c r="AP24" i="88" l="1"/>
</calcChain>
</file>

<file path=xl/comments1.xml><?xml version="1.0" encoding="utf-8"?>
<comments xmlns="http://schemas.openxmlformats.org/spreadsheetml/2006/main">
  <authors>
    <author>jihui</author>
  </authors>
  <commentLis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<sst xmlns="http://schemas.openxmlformats.org/spreadsheetml/2006/main" count="721" uniqueCount="106">
  <si>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</si>
  <si>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</si>
  <si>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</si>
  <si>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</si>
  <si>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</si>
  <si>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</si>
  <si>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</si>
  <si>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</si>
  <si>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</si>
  <si>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</si>
  <si>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</si>
  <si>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</si>
  <si>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</si>
  <si>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</si>
  <si>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</si>
  <si>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</si>
  <si>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</si>
  <si>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</si>
  <si>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</si>
  <si>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</si>
  <si>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</si>
  <si>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</si>
  <si>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</si>
  <si>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</si>
  <si>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</si>
  <si>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만화</t>
  </si>
  <si>
    <t>시리즈 대여 이용권 패키지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</si>
  <si>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</si>
  <si>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</si>
  <si>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</si>
  <si>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</si>
  <si>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</si>
  <si>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</si>
  <si>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</si>
  <si>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</si>
  <si>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</si>
  <si>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</si>
  <si>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</si>
  <si>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</si>
  <si>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</si>
  <si>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</si>
  <si>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</si>
  <si>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</si>
  <si>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</si>
  <si>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</si>
  <si>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</si>
  <si>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</si>
  <si>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</si>
  <si>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</si>
  <si>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단일 대여 이용권</t>
  </si>
  <si>
    <t>특별계약</t>
  </si>
  <si>
    <t>선투자</t>
  </si>
  <si>
    <t>정훈,수국</t>
  </si>
  <si>
    <t>은민,여울</t>
  </si>
  <si>
    <t>마왕의 딸로 태어났습니다</t>
  </si>
  <si>
    <t>옹주의 호위무사</t>
  </si>
  <si>
    <t>주식회사 스토리위즈</t>
  </si>
  <si>
    <t>3828601768</t>
  </si>
  <si>
    <t>1944.0</t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</si>
  <si>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</si>
  <si>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</si>
  <si>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</si>
  <si>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</si>
  <si>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합계</t>
    <phoneticPr fontId="1" type="noConversion"/>
  </si>
  <si>
    <t>※ 1차 계약('19.10) 시 선MG 일시인식 진행</t>
    <phoneticPr fontId="1" type="noConversion"/>
  </si>
  <si>
    <t>storywiz</t>
  </si>
  <si>
    <t>※ &lt;마왕의 딸로 태어났습니다&gt;, &lt;옹주의 호위무사&gt;</t>
    <phoneticPr fontId="1" type="noConversion"/>
  </si>
  <si>
    <t>발행자가 부여하는 코드</t>
    <phoneticPr fontId="1" type="noConversion"/>
  </si>
  <si>
    <t>레이블</t>
    <phoneticPr fontId="1" type="noConversion"/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</si>
  <si>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</si>
  <si>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</si>
  <si>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</si>
  <si>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</si>
  <si>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</si>
  <si>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</si>
  <si>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</si>
  <si>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</si>
  <si>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</si>
  <si>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</si>
  <si>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</si>
  <si>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</si>
  <si>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</si>
  <si>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</si>
  <si>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</si>
  <si>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</si>
  <si>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</si>
  <si>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</si>
  <si>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</si>
  <si>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</si>
  <si>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2531.0</t>
  </si>
  <si>
    <t>회귀의 전설</t>
  </si>
  <si>
    <t>송진우,김광수</t>
  </si>
  <si>
    <t xml:space="preserve">스토리위즈 매출 </t>
    <phoneticPr fontId="3" type="noConversion"/>
  </si>
  <si>
    <t>202111(카카오웹툰9,10월)</t>
    <phoneticPr fontId="1" type="noConversion"/>
  </si>
  <si>
    <t>ㅇ MG차감 내역(회귀의 전설)</t>
    <phoneticPr fontId="1" type="noConversion"/>
  </si>
  <si>
    <t>202112(카카오웹툰11월)</t>
    <phoneticPr fontId="1" type="noConversion"/>
  </si>
  <si>
    <t>ㅇ MG차감 내역(마딸 외 2종)</t>
    <phoneticPr fontId="1" type="noConversion"/>
  </si>
  <si>
    <t>유통년월</t>
    <phoneticPr fontId="1" type="noConversion"/>
  </si>
  <si>
    <t>202201(카카오웹툰12월)</t>
    <phoneticPr fontId="1" type="noConversion"/>
  </si>
  <si>
    <t>202202(카카오웹툰1월)</t>
    <phoneticPr fontId="1" type="noConversion"/>
  </si>
  <si>
    <t>합계</t>
    <phoneticPr fontId="1" type="noConversion"/>
  </si>
  <si>
    <t>※ 2차 계약('19.11)부터 선MG 분할인식 진행</t>
    <phoneticPr fontId="1" type="noConversion"/>
  </si>
  <si>
    <t>※ '21.01 선MG 분할인식 금액</t>
    <phoneticPr fontId="1" type="noConversion"/>
  </si>
  <si>
    <t>※ 2021.05.01 특별계약 1차 체결(국내 MG 5천만원)</t>
    <phoneticPr fontId="1" type="noConversion"/>
  </si>
  <si>
    <t>※ 2021.11 특별계약 2차 체결(국내 MG 5천만원)</t>
    <phoneticPr fontId="1" type="noConversion"/>
  </si>
  <si>
    <t>※ 2022.02 특별계약 3차 체결(국내 MG 5천만원)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</si>
</sst>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8"/>
      <color rgb="FF999999"/>
      <name val="돋움"/>
      <family val="3"/>
      <charset val="129"/>
    </font>
    <font>
      <sz val="11"/>
      <color indexed="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15" fillId="0" borderId="0">
      <alignment vertical="center"/>
    </xf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5" fillId="0" borderId="0">
      <alignment vertical="center"/>
    </xf>
    <xf numFmtId="0" fontId="16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4" xfId="3" applyFont="1" applyFill="1" applyBorder="1">
      <alignment vertical="center"/>
    </xf>
    <xf numFmtId="41" fontId="0" fillId="0" borderId="3" xfId="0" applyNumberFormat="1" applyBorder="1">
      <alignment vertical="center"/>
    </xf>
    <xf numFmtId="41" fontId="6" fillId="0" borderId="3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3" xfId="0" applyBorder="1">
      <alignment vertical="center"/>
    </xf>
    <xf numFmtId="0" fontId="8" fillId="0" borderId="3" xfId="0" applyFont="1" applyBorder="1" applyAlignment="1">
      <alignment horizontal="center" vertical="center"/>
    </xf>
    <xf numFmtId="41" fontId="8" fillId="0" borderId="3" xfId="0" applyNumberFormat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1" fontId="11" fillId="0" borderId="0" xfId="0" applyNumberFormat="1" applyFont="1">
      <alignment vertical="center"/>
    </xf>
    <xf numFmtId="0" fontId="1" fillId="0" borderId="0" xfId="0" quotePrefix="1" applyFont="1">
      <alignment vertical="center"/>
    </xf>
    <xf numFmtId="0" fontId="0" fillId="0" borderId="3" xfId="0" applyBorder="1" applyAlignment="1">
      <alignment horizontal="left" vertical="center"/>
    </xf>
    <xf numFmtId="3" fontId="17" fillId="0" borderId="0" xfId="0" applyNumberFormat="1" applyFont="1">
      <alignment vertical="center"/>
    </xf>
    <xf numFmtId="3" fontId="0" fillId="3" borderId="0" xfId="0" applyNumberFormat="1" applyFill="1">
      <alignment vertical="center"/>
    </xf>
    <xf numFmtId="41" fontId="18" fillId="0" borderId="3" xfId="0" applyNumberFormat="1" applyFont="1" applyFill="1" applyBorder="1">
      <alignment vertical="center"/>
    </xf>
    <xf numFmtId="41" fontId="18" fillId="0" borderId="3" xfId="3" applyFont="1" applyFill="1" applyBorder="1">
      <alignment vertical="center"/>
    </xf>
  </cellXfs>
  <cellStyles count="18">
    <cellStyle name="백분율 2" xfId="7"/>
    <cellStyle name="백분율 3" xfId="15"/>
    <cellStyle name="백분율 4" xfId="17"/>
    <cellStyle name="쉼표 [0]" xfId="3" builtinId="6"/>
    <cellStyle name="쉼표 [0] 2" xfId="8"/>
    <cellStyle name="쉼표 [0] 3" xfId="2"/>
    <cellStyle name="쉼표 [0] 3 2" xfId="11"/>
    <cellStyle name="쉼표 [0] 4" xfId="9"/>
    <cellStyle name="쉼표 [0] 5" xfId="14"/>
    <cellStyle name="쉼표 [0] 6" xfId="16"/>
    <cellStyle name="표준" xfId="0" builtinId="0"/>
    <cellStyle name="표준 2" xfId="13"/>
    <cellStyle name="표준 2 2" xfId="6"/>
    <cellStyle name="표준 2 2 2" xfId="12"/>
    <cellStyle name="표준 3" xfId="1"/>
    <cellStyle name="표준 3 2" xfId="10"/>
    <cellStyle name="표준 4" xfId="4"/>
    <cellStyle name="표준 5" xfId="5"/>
  </cellStyles>
  <dxfs count="12"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</dxfs>
  <tableStyles count="5" defaultTableStyle="TableStyleMedium2" defaultPivotStyle="PivotStyleLight16">
    <tableStyle name="Invisible" pivot="0" table="0" count="0"/>
    <tableStyle name="표 스타일 1" pivot="0" count="3">
      <tableStyleElement type="wholeTable" dxfId="11"/>
      <tableStyleElement type="headerRow" dxfId="10"/>
      <tableStyleElement type="firstRowStripe" dxfId="9"/>
    </tableStyle>
    <tableStyle name="표 스타일 2" pivot="0" count="1">
      <tableStyleElement type="wholeTable" dxfId="8"/>
    </tableStyle>
    <tableStyle name="피벗 테이블 스타일 1" table="0" count="4">
      <tableStyleElement type="wholeTable" dxfId="7"/>
      <tableStyleElement type="headerRow" dxfId="6"/>
      <tableStyleElement type="pageFieldLabels" dxfId="5"/>
      <tableStyleElement type="pageFieldValues" dxfId="4"/>
    </tableStyle>
    <tableStyle name="피벗 테이블 스타일 1 2" table="0" count="4">
      <tableStyleElement type="wholeTable" dxfId="3"/>
      <tableStyleElement type="headerRow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24"/>
  <sheetViews>
    <sheetView tabSelected="1" zoomScale="66" zoomScaleNormal="66" workbookViewId="0"/>
  </sheetViews>
  <sheetFormatPr defaultRowHeight="17.399999999999999"/>
  <cols>
    <col min="11" max="11" width="24.5" bestFit="1" customWidth="1"/>
    <col min="22" max="22" width="0" hidden="1" customWidth="1"/>
    <col min="23" max="24" width="8.796875" hidden="1" customWidth="1"/>
    <col min="27" max="28" width="3.19921875" customWidth="1"/>
    <col min="32" max="32" width="0" hidden="1" customWidth="1"/>
    <col min="33" max="34" width="8.796875" hidden="1" customWidth="1"/>
    <col min="37" max="37" width="2.5" customWidth="1"/>
    <col min="38" max="38" width="8.796875" hidden="1" customWidth="1"/>
    <col min="42" max="42" width="13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67</v>
      </c>
      <c r="M1" s="1" t="s">
        <v>68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2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65</v>
      </c>
      <c r="E2" s="3" t="s">
        <v>58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53361778</v>
      </c>
      <c r="K2" s="3" t="s">
        <v>55</v>
      </c>
      <c r="L2" s="3"/>
      <c r="M2" s="3"/>
      <c r="N2" s="3" t="s">
        <v>52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800</v>
      </c>
      <c r="U2" s="4">
        <v>800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800</v>
      </c>
      <c r="AE2" s="4">
        <v>800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440</v>
      </c>
      <c r="AO2" s="4">
        <v>0</v>
      </c>
      <c r="AP2" s="4">
        <v>440</v>
      </c>
    </row>
    <row r="3" spans="1:42">
      <c r="A3" s="3" t="s">
        <v>50</v>
      </c>
      <c r="B3" s="3" t="s">
        <v>56</v>
      </c>
      <c r="C3" s="3" t="s">
        <v>57</v>
      </c>
      <c r="D3" s="3" t="s">
        <v>65</v>
      </c>
      <c r="E3" s="3" t="s">
        <v>58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53361778</v>
      </c>
      <c r="K3" s="3" t="s">
        <v>55</v>
      </c>
      <c r="L3" s="3"/>
      <c r="M3" s="3"/>
      <c r="N3" s="3" t="s">
        <v>52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3600</v>
      </c>
      <c r="U3" s="4">
        <v>3600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3600</v>
      </c>
      <c r="AE3" s="4">
        <v>3600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1980</v>
      </c>
      <c r="AO3" s="4">
        <v>0</v>
      </c>
      <c r="AP3" s="4">
        <v>1980</v>
      </c>
    </row>
    <row r="4" spans="1:42">
      <c r="A4" s="3" t="s">
        <v>50</v>
      </c>
      <c r="B4" s="3" t="s">
        <v>56</v>
      </c>
      <c r="C4" s="3" t="s">
        <v>57</v>
      </c>
      <c r="D4" s="3" t="s">
        <v>65</v>
      </c>
      <c r="E4" s="3" t="s">
        <v>58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53361778</v>
      </c>
      <c r="K4" s="3" t="s">
        <v>55</v>
      </c>
      <c r="L4" s="3"/>
      <c r="M4" s="3"/>
      <c r="N4" s="3" t="s">
        <v>52</v>
      </c>
      <c r="O4" s="3" t="s">
        <v>22</v>
      </c>
      <c r="P4" s="3">
        <v>0.55000000000000004</v>
      </c>
      <c r="Q4" s="3">
        <v>0.55000000000000004</v>
      </c>
      <c r="R4" s="4" t="s">
        <v>49</v>
      </c>
      <c r="S4" s="4">
        <v>200</v>
      </c>
      <c r="T4" s="4">
        <v>120800</v>
      </c>
      <c r="U4" s="4">
        <v>46000</v>
      </c>
      <c r="V4" s="4">
        <v>0</v>
      </c>
      <c r="W4" s="4">
        <v>0</v>
      </c>
      <c r="X4" s="4">
        <v>0</v>
      </c>
      <c r="Y4" s="4">
        <v>2400</v>
      </c>
      <c r="Z4" s="4">
        <v>2600</v>
      </c>
      <c r="AA4" s="4">
        <v>0</v>
      </c>
      <c r="AB4" s="4">
        <v>0</v>
      </c>
      <c r="AC4" s="4">
        <v>69800</v>
      </c>
      <c r="AD4" s="4">
        <v>121540</v>
      </c>
      <c r="AE4" s="4">
        <v>46000</v>
      </c>
      <c r="AF4" s="4">
        <v>0</v>
      </c>
      <c r="AG4" s="4">
        <v>0</v>
      </c>
      <c r="AH4" s="4">
        <v>0</v>
      </c>
      <c r="AI4" s="4">
        <v>2880</v>
      </c>
      <c r="AJ4" s="4">
        <v>2860</v>
      </c>
      <c r="AK4" s="4">
        <v>0</v>
      </c>
      <c r="AL4" s="4">
        <v>0</v>
      </c>
      <c r="AM4" s="4">
        <v>69800</v>
      </c>
      <c r="AN4" s="4">
        <v>66847</v>
      </c>
      <c r="AO4" s="4">
        <v>0</v>
      </c>
      <c r="AP4" s="4">
        <v>66847</v>
      </c>
    </row>
    <row r="5" spans="1:42">
      <c r="A5" s="3" t="s">
        <v>50</v>
      </c>
      <c r="B5" s="3" t="s">
        <v>56</v>
      </c>
      <c r="C5" s="3" t="s">
        <v>57</v>
      </c>
      <c r="D5" s="3" t="s">
        <v>65</v>
      </c>
      <c r="E5" s="3" t="s">
        <v>58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53361778</v>
      </c>
      <c r="K5" s="3" t="s">
        <v>55</v>
      </c>
      <c r="L5" s="3"/>
      <c r="M5" s="3"/>
      <c r="N5" s="3" t="s">
        <v>52</v>
      </c>
      <c r="O5" s="3" t="s">
        <v>22</v>
      </c>
      <c r="P5" s="3">
        <v>0.55000000000000004</v>
      </c>
      <c r="Q5" s="3">
        <v>0.55000000000000004</v>
      </c>
      <c r="R5" s="4" t="s">
        <v>26</v>
      </c>
      <c r="S5" s="4">
        <v>1800</v>
      </c>
      <c r="T5" s="4">
        <v>82800</v>
      </c>
      <c r="U5" s="4">
        <v>62900</v>
      </c>
      <c r="V5" s="4">
        <v>0</v>
      </c>
      <c r="W5" s="4">
        <v>0</v>
      </c>
      <c r="X5" s="4">
        <v>0</v>
      </c>
      <c r="Y5" s="4">
        <v>0</v>
      </c>
      <c r="Z5" s="4">
        <v>9000</v>
      </c>
      <c r="AA5" s="4">
        <v>0</v>
      </c>
      <c r="AB5" s="4">
        <v>0</v>
      </c>
      <c r="AC5" s="4">
        <v>10900</v>
      </c>
      <c r="AD5" s="4">
        <v>83700</v>
      </c>
      <c r="AE5" s="4">
        <v>62900</v>
      </c>
      <c r="AF5" s="4">
        <v>0</v>
      </c>
      <c r="AG5" s="4">
        <v>0</v>
      </c>
      <c r="AH5" s="4">
        <v>0</v>
      </c>
      <c r="AI5" s="4">
        <v>0</v>
      </c>
      <c r="AJ5" s="4">
        <v>9900</v>
      </c>
      <c r="AK5" s="4">
        <v>0</v>
      </c>
      <c r="AL5" s="4">
        <v>0</v>
      </c>
      <c r="AM5" s="4">
        <v>10900</v>
      </c>
      <c r="AN5" s="4">
        <v>46035</v>
      </c>
      <c r="AO5" s="4">
        <v>0</v>
      </c>
      <c r="AP5" s="4">
        <v>46035</v>
      </c>
    </row>
    <row r="6" spans="1:42">
      <c r="A6" s="3" t="s">
        <v>50</v>
      </c>
      <c r="B6" s="3" t="s">
        <v>56</v>
      </c>
      <c r="C6" s="3" t="s">
        <v>57</v>
      </c>
      <c r="D6" s="3" t="s">
        <v>65</v>
      </c>
      <c r="E6" s="3" t="s">
        <v>58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53361778</v>
      </c>
      <c r="K6" s="3" t="s">
        <v>55</v>
      </c>
      <c r="L6" s="3"/>
      <c r="M6" s="3"/>
      <c r="N6" s="3" t="s">
        <v>52</v>
      </c>
      <c r="O6" s="3" t="s">
        <v>22</v>
      </c>
      <c r="P6" s="3">
        <v>0.55000000000000004</v>
      </c>
      <c r="Q6" s="3">
        <v>0.55000000000000004</v>
      </c>
      <c r="R6" s="4" t="s">
        <v>26</v>
      </c>
      <c r="S6" s="4">
        <v>5400</v>
      </c>
      <c r="T6" s="4">
        <v>38000</v>
      </c>
      <c r="U6" s="4">
        <v>38000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38000</v>
      </c>
      <c r="AE6" s="4">
        <v>38000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20900</v>
      </c>
      <c r="AO6" s="4">
        <v>0</v>
      </c>
      <c r="AP6" s="4">
        <v>20900</v>
      </c>
    </row>
    <row r="7" spans="1:42">
      <c r="A7" s="3" t="s">
        <v>50</v>
      </c>
      <c r="B7" s="3" t="s">
        <v>56</v>
      </c>
      <c r="C7" s="3" t="s">
        <v>57</v>
      </c>
      <c r="D7" s="3" t="s">
        <v>65</v>
      </c>
      <c r="E7" s="3" t="s">
        <v>58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53361778</v>
      </c>
      <c r="K7" s="3" t="s">
        <v>55</v>
      </c>
      <c r="L7" s="3"/>
      <c r="M7" s="3"/>
      <c r="N7" s="3" t="s">
        <v>52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9000</v>
      </c>
      <c r="T7" s="4">
        <v>2400</v>
      </c>
      <c r="U7" s="4">
        <v>1900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500</v>
      </c>
      <c r="AD7" s="4">
        <v>2400</v>
      </c>
      <c r="AE7" s="4">
        <v>1900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500</v>
      </c>
      <c r="AN7" s="4">
        <v>1320</v>
      </c>
      <c r="AO7" s="4">
        <v>0</v>
      </c>
      <c r="AP7" s="4">
        <v>1320</v>
      </c>
    </row>
    <row r="8" spans="1:42">
      <c r="A8" s="3" t="s">
        <v>50</v>
      </c>
      <c r="B8" s="3" t="s">
        <v>56</v>
      </c>
      <c r="C8" s="3" t="s">
        <v>57</v>
      </c>
      <c r="D8" s="3" t="s">
        <v>65</v>
      </c>
      <c r="E8" s="3" t="s">
        <v>89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90</v>
      </c>
      <c r="L8" s="3"/>
      <c r="M8" s="3"/>
      <c r="N8" s="3" t="s">
        <v>91</v>
      </c>
      <c r="O8" s="3" t="s">
        <v>22</v>
      </c>
      <c r="P8" s="3">
        <v>0.55000000000000004</v>
      </c>
      <c r="Q8" s="3">
        <v>0.55000000000000004</v>
      </c>
      <c r="R8" s="4" t="s">
        <v>24</v>
      </c>
      <c r="S8" s="4">
        <v>400</v>
      </c>
      <c r="T8" s="4">
        <v>522400</v>
      </c>
      <c r="U8" s="4">
        <v>373750</v>
      </c>
      <c r="V8" s="4">
        <v>0</v>
      </c>
      <c r="W8" s="4">
        <v>0</v>
      </c>
      <c r="X8" s="4">
        <v>0</v>
      </c>
      <c r="Y8" s="4">
        <v>400</v>
      </c>
      <c r="Z8" s="4">
        <v>13600</v>
      </c>
      <c r="AA8" s="4">
        <v>0</v>
      </c>
      <c r="AB8" s="4">
        <v>0</v>
      </c>
      <c r="AC8" s="4">
        <v>134650</v>
      </c>
      <c r="AD8" s="4">
        <v>523840</v>
      </c>
      <c r="AE8" s="4">
        <v>373750</v>
      </c>
      <c r="AF8" s="4">
        <v>0</v>
      </c>
      <c r="AG8" s="4">
        <v>0</v>
      </c>
      <c r="AH8" s="4">
        <v>0</v>
      </c>
      <c r="AI8" s="4">
        <v>480</v>
      </c>
      <c r="AJ8" s="4">
        <v>14960</v>
      </c>
      <c r="AK8" s="4">
        <v>0</v>
      </c>
      <c r="AL8" s="4">
        <v>0</v>
      </c>
      <c r="AM8" s="4">
        <v>134650</v>
      </c>
      <c r="AN8" s="4">
        <v>288112</v>
      </c>
      <c r="AO8" s="4">
        <v>0</v>
      </c>
      <c r="AP8" s="4">
        <v>288112</v>
      </c>
    </row>
    <row r="9" spans="1:42">
      <c r="A9" s="3" t="s">
        <v>50</v>
      </c>
      <c r="B9" s="3" t="s">
        <v>56</v>
      </c>
      <c r="C9" s="3" t="s">
        <v>57</v>
      </c>
      <c r="D9" s="3" t="s">
        <v>65</v>
      </c>
      <c r="E9" s="3" t="s">
        <v>89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90</v>
      </c>
      <c r="L9" s="3"/>
      <c r="M9" s="3"/>
      <c r="N9" s="3" t="s">
        <v>91</v>
      </c>
      <c r="O9" s="3" t="s">
        <v>22</v>
      </c>
      <c r="P9" s="3">
        <v>0.55000000000000004</v>
      </c>
      <c r="Q9" s="3">
        <v>0.55000000000000004</v>
      </c>
      <c r="R9" s="4" t="s">
        <v>23</v>
      </c>
      <c r="S9" s="4">
        <v>3600</v>
      </c>
      <c r="T9" s="4">
        <v>557600</v>
      </c>
      <c r="U9" s="4">
        <v>415600</v>
      </c>
      <c r="V9" s="4">
        <v>0</v>
      </c>
      <c r="W9" s="4">
        <v>0</v>
      </c>
      <c r="X9" s="4">
        <v>0</v>
      </c>
      <c r="Y9" s="4">
        <v>0</v>
      </c>
      <c r="Z9" s="4">
        <v>32400</v>
      </c>
      <c r="AA9" s="4">
        <v>0</v>
      </c>
      <c r="AB9" s="4">
        <v>0</v>
      </c>
      <c r="AC9" s="4">
        <v>109600</v>
      </c>
      <c r="AD9" s="4">
        <v>560840</v>
      </c>
      <c r="AE9" s="4">
        <v>415600</v>
      </c>
      <c r="AF9" s="4">
        <v>0</v>
      </c>
      <c r="AG9" s="4">
        <v>0</v>
      </c>
      <c r="AH9" s="4">
        <v>0</v>
      </c>
      <c r="AI9" s="4">
        <v>0</v>
      </c>
      <c r="AJ9" s="4">
        <v>35640</v>
      </c>
      <c r="AK9" s="4">
        <v>0</v>
      </c>
      <c r="AL9" s="4">
        <v>0</v>
      </c>
      <c r="AM9" s="4">
        <v>109600</v>
      </c>
      <c r="AN9" s="4">
        <v>308462</v>
      </c>
      <c r="AO9" s="4">
        <v>0</v>
      </c>
      <c r="AP9" s="4">
        <v>308462</v>
      </c>
    </row>
    <row r="10" spans="1:42">
      <c r="A10" s="3" t="s">
        <v>50</v>
      </c>
      <c r="B10" s="3" t="s">
        <v>56</v>
      </c>
      <c r="C10" s="3" t="s">
        <v>57</v>
      </c>
      <c r="D10" s="3" t="s">
        <v>65</v>
      </c>
      <c r="E10" s="3" t="s">
        <v>89</v>
      </c>
      <c r="F10" s="3" t="s">
        <v>51</v>
      </c>
      <c r="G10" s="3" t="s">
        <v>20</v>
      </c>
      <c r="H10" s="3" t="s">
        <v>21</v>
      </c>
      <c r="I10" s="3" t="s">
        <v>25</v>
      </c>
      <c r="J10" s="3">
        <v>57928448</v>
      </c>
      <c r="K10" s="3" t="s">
        <v>90</v>
      </c>
      <c r="L10" s="3"/>
      <c r="M10" s="3"/>
      <c r="N10" s="3" t="s">
        <v>91</v>
      </c>
      <c r="O10" s="3" t="s">
        <v>22</v>
      </c>
      <c r="P10" s="3">
        <v>0.55000000000000004</v>
      </c>
      <c r="Q10" s="3">
        <v>0.55000000000000004</v>
      </c>
      <c r="R10" s="4" t="s">
        <v>23</v>
      </c>
      <c r="S10" s="4">
        <v>10800</v>
      </c>
      <c r="T10" s="4">
        <v>271600</v>
      </c>
      <c r="U10" s="4">
        <v>244900</v>
      </c>
      <c r="V10" s="4">
        <v>0</v>
      </c>
      <c r="W10" s="4">
        <v>0</v>
      </c>
      <c r="X10" s="4">
        <v>0</v>
      </c>
      <c r="Y10" s="4">
        <v>0</v>
      </c>
      <c r="Z10" s="4">
        <v>10800</v>
      </c>
      <c r="AA10" s="4">
        <v>0</v>
      </c>
      <c r="AB10" s="4">
        <v>0</v>
      </c>
      <c r="AC10" s="4">
        <v>15900</v>
      </c>
      <c r="AD10" s="4">
        <v>272680</v>
      </c>
      <c r="AE10" s="4">
        <v>244900</v>
      </c>
      <c r="AF10" s="4">
        <v>0</v>
      </c>
      <c r="AG10" s="4">
        <v>0</v>
      </c>
      <c r="AH10" s="4">
        <v>0</v>
      </c>
      <c r="AI10" s="4">
        <v>0</v>
      </c>
      <c r="AJ10" s="4">
        <v>11880</v>
      </c>
      <c r="AK10" s="4">
        <v>0</v>
      </c>
      <c r="AL10" s="4">
        <v>0</v>
      </c>
      <c r="AM10" s="4">
        <v>15900</v>
      </c>
      <c r="AN10" s="4">
        <v>149974</v>
      </c>
      <c r="AO10" s="4">
        <v>0</v>
      </c>
      <c r="AP10" s="4">
        <v>149974</v>
      </c>
    </row>
    <row r="11" spans="1:42">
      <c r="A11" s="3" t="s">
        <v>50</v>
      </c>
      <c r="B11" s="3" t="s">
        <v>56</v>
      </c>
      <c r="C11" s="3" t="s">
        <v>57</v>
      </c>
      <c r="D11" s="3" t="s">
        <v>65</v>
      </c>
      <c r="E11" s="3" t="s">
        <v>89</v>
      </c>
      <c r="F11" s="3" t="s">
        <v>51</v>
      </c>
      <c r="G11" s="3" t="s">
        <v>20</v>
      </c>
      <c r="H11" s="3" t="s">
        <v>21</v>
      </c>
      <c r="I11" s="3" t="s">
        <v>25</v>
      </c>
      <c r="J11" s="3">
        <v>57928448</v>
      </c>
      <c r="K11" s="3" t="s">
        <v>90</v>
      </c>
      <c r="L11" s="3"/>
      <c r="M11" s="3"/>
      <c r="N11" s="3" t="s">
        <v>91</v>
      </c>
      <c r="O11" s="3" t="s">
        <v>22</v>
      </c>
      <c r="P11" s="3">
        <v>0.55000000000000004</v>
      </c>
      <c r="Q11" s="3">
        <v>0.55000000000000004</v>
      </c>
      <c r="R11" s="4" t="s">
        <v>23</v>
      </c>
      <c r="S11" s="4">
        <v>18000</v>
      </c>
      <c r="T11" s="4">
        <v>385200</v>
      </c>
      <c r="U11" s="4">
        <v>381800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3400</v>
      </c>
      <c r="AD11" s="4">
        <v>385200</v>
      </c>
      <c r="AE11" s="4">
        <v>381800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3400</v>
      </c>
      <c r="AN11" s="4">
        <v>211860</v>
      </c>
      <c r="AO11" s="4">
        <v>0</v>
      </c>
      <c r="AP11" s="4">
        <v>211860</v>
      </c>
    </row>
    <row r="12" spans="1:42">
      <c r="A12" s="3" t="s">
        <v>50</v>
      </c>
      <c r="B12" s="3" t="s">
        <v>56</v>
      </c>
      <c r="C12" s="3" t="s">
        <v>57</v>
      </c>
      <c r="D12" s="3" t="s">
        <v>65</v>
      </c>
      <c r="E12" s="3" t="s">
        <v>89</v>
      </c>
      <c r="F12" s="3" t="s">
        <v>51</v>
      </c>
      <c r="G12" s="3" t="s">
        <v>20</v>
      </c>
      <c r="H12" s="3" t="s">
        <v>21</v>
      </c>
      <c r="I12" s="3" t="s">
        <v>25</v>
      </c>
      <c r="J12" s="3">
        <v>57928448</v>
      </c>
      <c r="K12" s="3" t="s">
        <v>90</v>
      </c>
      <c r="L12" s="3"/>
      <c r="M12" s="3"/>
      <c r="N12" s="3" t="s">
        <v>91</v>
      </c>
      <c r="O12" s="3" t="s">
        <v>22</v>
      </c>
      <c r="P12" s="3">
        <v>0.55000000000000004</v>
      </c>
      <c r="Q12" s="3">
        <v>0.55000000000000004</v>
      </c>
      <c r="R12" s="4" t="s">
        <v>49</v>
      </c>
      <c r="S12" s="4">
        <v>200</v>
      </c>
      <c r="T12" s="4">
        <v>18871600</v>
      </c>
      <c r="U12" s="4">
        <v>9406500</v>
      </c>
      <c r="V12" s="4">
        <v>0</v>
      </c>
      <c r="W12" s="4">
        <v>0</v>
      </c>
      <c r="X12" s="4">
        <v>100</v>
      </c>
      <c r="Y12" s="4">
        <v>230200</v>
      </c>
      <c r="Z12" s="4">
        <v>654950</v>
      </c>
      <c r="AA12" s="4">
        <v>0</v>
      </c>
      <c r="AB12" s="4">
        <v>0</v>
      </c>
      <c r="AC12" s="4">
        <v>8579850</v>
      </c>
      <c r="AD12" s="4">
        <v>18983168.092300002</v>
      </c>
      <c r="AE12" s="4">
        <v>9406500</v>
      </c>
      <c r="AF12" s="4">
        <v>0</v>
      </c>
      <c r="AG12" s="4">
        <v>0</v>
      </c>
      <c r="AH12" s="4">
        <v>133.09229999999999</v>
      </c>
      <c r="AI12" s="4">
        <v>276240</v>
      </c>
      <c r="AJ12" s="4">
        <v>720445</v>
      </c>
      <c r="AK12" s="4">
        <v>0</v>
      </c>
      <c r="AL12" s="4">
        <v>0</v>
      </c>
      <c r="AM12" s="4">
        <v>8579850</v>
      </c>
      <c r="AN12" s="4">
        <v>10440742</v>
      </c>
      <c r="AO12" s="4">
        <v>0</v>
      </c>
      <c r="AP12" s="4">
        <v>10440742</v>
      </c>
    </row>
    <row r="13" spans="1:42">
      <c r="A13" s="3" t="s">
        <v>50</v>
      </c>
      <c r="B13" s="3" t="s">
        <v>56</v>
      </c>
      <c r="C13" s="3" t="s">
        <v>57</v>
      </c>
      <c r="D13" s="3" t="s">
        <v>65</v>
      </c>
      <c r="E13" s="3" t="s">
        <v>89</v>
      </c>
      <c r="F13" s="3" t="s">
        <v>51</v>
      </c>
      <c r="G13" s="3" t="s">
        <v>20</v>
      </c>
      <c r="H13" s="3" t="s">
        <v>21</v>
      </c>
      <c r="I13" s="3" t="s">
        <v>25</v>
      </c>
      <c r="J13" s="3">
        <v>57928448</v>
      </c>
      <c r="K13" s="3" t="s">
        <v>90</v>
      </c>
      <c r="L13" s="3"/>
      <c r="M13" s="3"/>
      <c r="N13" s="3" t="s">
        <v>91</v>
      </c>
      <c r="O13" s="3" t="s">
        <v>22</v>
      </c>
      <c r="P13" s="3">
        <v>0.55000000000000004</v>
      </c>
      <c r="Q13" s="3">
        <v>0.55000000000000004</v>
      </c>
      <c r="R13" s="4" t="s">
        <v>26</v>
      </c>
      <c r="S13" s="4">
        <v>1800</v>
      </c>
      <c r="T13" s="4">
        <v>13198200</v>
      </c>
      <c r="U13" s="4">
        <v>10320640</v>
      </c>
      <c r="V13" s="4">
        <v>0</v>
      </c>
      <c r="W13" s="4">
        <v>0</v>
      </c>
      <c r="X13" s="4">
        <v>0</v>
      </c>
      <c r="Y13" s="4">
        <v>67100</v>
      </c>
      <c r="Z13" s="4">
        <v>532930</v>
      </c>
      <c r="AA13" s="4">
        <v>0</v>
      </c>
      <c r="AB13" s="4">
        <v>0</v>
      </c>
      <c r="AC13" s="4">
        <v>2277530</v>
      </c>
      <c r="AD13" s="4">
        <v>13264913</v>
      </c>
      <c r="AE13" s="4">
        <v>10320640</v>
      </c>
      <c r="AF13" s="4">
        <v>0</v>
      </c>
      <c r="AG13" s="4">
        <v>0</v>
      </c>
      <c r="AH13" s="4">
        <v>0</v>
      </c>
      <c r="AI13" s="4">
        <v>80520</v>
      </c>
      <c r="AJ13" s="4">
        <v>586223</v>
      </c>
      <c r="AK13" s="4">
        <v>0</v>
      </c>
      <c r="AL13" s="4">
        <v>0</v>
      </c>
      <c r="AM13" s="4">
        <v>2277530</v>
      </c>
      <c r="AN13" s="4">
        <v>7295702</v>
      </c>
      <c r="AO13" s="4">
        <v>0</v>
      </c>
      <c r="AP13" s="4">
        <v>7295702</v>
      </c>
    </row>
    <row r="14" spans="1:42">
      <c r="A14" s="3" t="s">
        <v>50</v>
      </c>
      <c r="B14" s="3" t="s">
        <v>56</v>
      </c>
      <c r="C14" s="3" t="s">
        <v>57</v>
      </c>
      <c r="D14" s="3" t="s">
        <v>65</v>
      </c>
      <c r="E14" s="3" t="s">
        <v>89</v>
      </c>
      <c r="F14" s="3" t="s">
        <v>51</v>
      </c>
      <c r="G14" s="3" t="s">
        <v>20</v>
      </c>
      <c r="H14" s="3" t="s">
        <v>21</v>
      </c>
      <c r="I14" s="3" t="s">
        <v>25</v>
      </c>
      <c r="J14" s="3">
        <v>57928448</v>
      </c>
      <c r="K14" s="3" t="s">
        <v>90</v>
      </c>
      <c r="L14" s="3"/>
      <c r="M14" s="3"/>
      <c r="N14" s="3" t="s">
        <v>91</v>
      </c>
      <c r="O14" s="3" t="s">
        <v>22</v>
      </c>
      <c r="P14" s="3">
        <v>0.55000000000000004</v>
      </c>
      <c r="Q14" s="3">
        <v>0.55000000000000004</v>
      </c>
      <c r="R14" s="4" t="s">
        <v>26</v>
      </c>
      <c r="S14" s="4">
        <v>5400</v>
      </c>
      <c r="T14" s="4">
        <v>5676800</v>
      </c>
      <c r="U14" s="4">
        <v>4933100</v>
      </c>
      <c r="V14" s="4">
        <v>0</v>
      </c>
      <c r="W14" s="4">
        <v>0</v>
      </c>
      <c r="X14" s="4">
        <v>0</v>
      </c>
      <c r="Y14" s="4">
        <v>53900</v>
      </c>
      <c r="Z14" s="4">
        <v>292300</v>
      </c>
      <c r="AA14" s="4">
        <v>0</v>
      </c>
      <c r="AB14" s="4">
        <v>0</v>
      </c>
      <c r="AC14" s="4">
        <v>397500</v>
      </c>
      <c r="AD14" s="4">
        <v>5716810</v>
      </c>
      <c r="AE14" s="4">
        <v>4933100</v>
      </c>
      <c r="AF14" s="4">
        <v>0</v>
      </c>
      <c r="AG14" s="4">
        <v>0</v>
      </c>
      <c r="AH14" s="4">
        <v>0</v>
      </c>
      <c r="AI14" s="4">
        <v>64680</v>
      </c>
      <c r="AJ14" s="4">
        <v>321530</v>
      </c>
      <c r="AK14" s="4">
        <v>0</v>
      </c>
      <c r="AL14" s="4">
        <v>0</v>
      </c>
      <c r="AM14" s="4">
        <v>397500</v>
      </c>
      <c r="AN14" s="4">
        <v>3144246</v>
      </c>
      <c r="AO14" s="4">
        <v>0</v>
      </c>
      <c r="AP14" s="4">
        <v>3144246</v>
      </c>
    </row>
    <row r="15" spans="1:42">
      <c r="A15" s="3" t="s">
        <v>50</v>
      </c>
      <c r="B15" s="3" t="s">
        <v>56</v>
      </c>
      <c r="C15" s="3" t="s">
        <v>57</v>
      </c>
      <c r="D15" s="3" t="s">
        <v>65</v>
      </c>
      <c r="E15" s="3" t="s">
        <v>89</v>
      </c>
      <c r="F15" s="3" t="s">
        <v>51</v>
      </c>
      <c r="G15" s="3" t="s">
        <v>20</v>
      </c>
      <c r="H15" s="3" t="s">
        <v>21</v>
      </c>
      <c r="I15" s="3" t="s">
        <v>25</v>
      </c>
      <c r="J15" s="3">
        <v>57928448</v>
      </c>
      <c r="K15" s="3" t="s">
        <v>90</v>
      </c>
      <c r="L15" s="3"/>
      <c r="M15" s="3"/>
      <c r="N15" s="3" t="s">
        <v>91</v>
      </c>
      <c r="O15" s="3" t="s">
        <v>22</v>
      </c>
      <c r="P15" s="3">
        <v>0.55000000000000004</v>
      </c>
      <c r="Q15" s="3">
        <v>0.55000000000000004</v>
      </c>
      <c r="R15" s="4" t="s">
        <v>26</v>
      </c>
      <c r="S15" s="4">
        <v>9000</v>
      </c>
      <c r="T15" s="4">
        <v>1661600</v>
      </c>
      <c r="U15" s="4">
        <v>1439800</v>
      </c>
      <c r="V15" s="4">
        <v>0</v>
      </c>
      <c r="W15" s="4">
        <v>0</v>
      </c>
      <c r="X15" s="4">
        <v>0</v>
      </c>
      <c r="Y15" s="4">
        <v>0</v>
      </c>
      <c r="Z15" s="4">
        <v>143900</v>
      </c>
      <c r="AA15" s="4">
        <v>0</v>
      </c>
      <c r="AB15" s="4">
        <v>0</v>
      </c>
      <c r="AC15" s="4">
        <v>77900</v>
      </c>
      <c r="AD15" s="4">
        <v>1675990</v>
      </c>
      <c r="AE15" s="4">
        <v>1439800</v>
      </c>
      <c r="AF15" s="4">
        <v>0</v>
      </c>
      <c r="AG15" s="4">
        <v>0</v>
      </c>
      <c r="AH15" s="4">
        <v>0</v>
      </c>
      <c r="AI15" s="4">
        <v>0</v>
      </c>
      <c r="AJ15" s="4">
        <v>158290</v>
      </c>
      <c r="AK15" s="4">
        <v>0</v>
      </c>
      <c r="AL15" s="4">
        <v>0</v>
      </c>
      <c r="AM15" s="4">
        <v>77900</v>
      </c>
      <c r="AN15" s="4">
        <v>921795</v>
      </c>
      <c r="AO15" s="4">
        <v>0</v>
      </c>
      <c r="AP15" s="4">
        <v>921795</v>
      </c>
    </row>
    <row r="16" spans="1:42">
      <c r="A16" s="3" t="s">
        <v>50</v>
      </c>
      <c r="B16" s="3" t="s">
        <v>56</v>
      </c>
      <c r="C16" s="3" t="s">
        <v>57</v>
      </c>
      <c r="D16" s="3" t="s">
        <v>65</v>
      </c>
      <c r="E16" s="3" t="s">
        <v>58</v>
      </c>
      <c r="F16" s="3" t="s">
        <v>51</v>
      </c>
      <c r="G16" s="3" t="s">
        <v>20</v>
      </c>
      <c r="H16" s="3" t="s">
        <v>21</v>
      </c>
      <c r="I16" s="3" t="s">
        <v>25</v>
      </c>
      <c r="J16" s="3">
        <v>53361105</v>
      </c>
      <c r="K16" s="3" t="s">
        <v>54</v>
      </c>
      <c r="L16" s="3"/>
      <c r="M16" s="3"/>
      <c r="N16" s="3" t="s">
        <v>53</v>
      </c>
      <c r="O16" s="3" t="s">
        <v>22</v>
      </c>
      <c r="P16" s="3">
        <v>0.55000000000000004</v>
      </c>
      <c r="Q16" s="3">
        <v>0.55000000000000004</v>
      </c>
      <c r="R16" s="4" t="s">
        <v>24</v>
      </c>
      <c r="S16" s="4">
        <v>400</v>
      </c>
      <c r="T16" s="4">
        <v>142800</v>
      </c>
      <c r="U16" s="4">
        <v>112800</v>
      </c>
      <c r="V16" s="4">
        <v>0</v>
      </c>
      <c r="W16" s="4">
        <v>0</v>
      </c>
      <c r="X16" s="4">
        <v>0</v>
      </c>
      <c r="Y16" s="4">
        <v>0</v>
      </c>
      <c r="Z16" s="4">
        <v>5600</v>
      </c>
      <c r="AA16" s="4">
        <v>0</v>
      </c>
      <c r="AB16" s="4">
        <v>0</v>
      </c>
      <c r="AC16" s="4">
        <v>24400</v>
      </c>
      <c r="AD16" s="4">
        <v>143360</v>
      </c>
      <c r="AE16" s="4">
        <v>112800</v>
      </c>
      <c r="AF16" s="4">
        <v>0</v>
      </c>
      <c r="AG16" s="4">
        <v>0</v>
      </c>
      <c r="AH16" s="4">
        <v>0</v>
      </c>
      <c r="AI16" s="4">
        <v>0</v>
      </c>
      <c r="AJ16" s="4">
        <v>6160</v>
      </c>
      <c r="AK16" s="4">
        <v>0</v>
      </c>
      <c r="AL16" s="4">
        <v>0</v>
      </c>
      <c r="AM16" s="4">
        <v>24400</v>
      </c>
      <c r="AN16" s="4">
        <v>78848</v>
      </c>
      <c r="AO16" s="4">
        <v>0</v>
      </c>
      <c r="AP16" s="4">
        <v>78848</v>
      </c>
    </row>
    <row r="17" spans="1:42">
      <c r="A17" s="3" t="s">
        <v>50</v>
      </c>
      <c r="B17" s="3" t="s">
        <v>56</v>
      </c>
      <c r="C17" s="3" t="s">
        <v>57</v>
      </c>
      <c r="D17" s="3" t="s">
        <v>65</v>
      </c>
      <c r="E17" s="3" t="s">
        <v>58</v>
      </c>
      <c r="F17" s="3" t="s">
        <v>51</v>
      </c>
      <c r="G17" s="3" t="s">
        <v>20</v>
      </c>
      <c r="H17" s="3" t="s">
        <v>21</v>
      </c>
      <c r="I17" s="3" t="s">
        <v>25</v>
      </c>
      <c r="J17" s="3">
        <v>53361105</v>
      </c>
      <c r="K17" s="3" t="s">
        <v>54</v>
      </c>
      <c r="L17" s="3"/>
      <c r="M17" s="3"/>
      <c r="N17" s="3" t="s">
        <v>53</v>
      </c>
      <c r="O17" s="3" t="s">
        <v>22</v>
      </c>
      <c r="P17" s="3">
        <v>0.55000000000000004</v>
      </c>
      <c r="Q17" s="3">
        <v>0.55000000000000004</v>
      </c>
      <c r="R17" s="4" t="s">
        <v>23</v>
      </c>
      <c r="S17" s="4">
        <v>3600</v>
      </c>
      <c r="T17" s="4">
        <v>126000</v>
      </c>
      <c r="U17" s="4">
        <v>121600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4400</v>
      </c>
      <c r="AD17" s="4">
        <v>126000</v>
      </c>
      <c r="AE17" s="4">
        <v>121600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4400</v>
      </c>
      <c r="AN17" s="4">
        <v>69300</v>
      </c>
      <c r="AO17" s="4">
        <v>0</v>
      </c>
      <c r="AP17" s="4">
        <v>69300</v>
      </c>
    </row>
    <row r="18" spans="1:42">
      <c r="A18" s="3" t="s">
        <v>50</v>
      </c>
      <c r="B18" s="3" t="s">
        <v>56</v>
      </c>
      <c r="C18" s="3" t="s">
        <v>57</v>
      </c>
      <c r="D18" s="3" t="s">
        <v>65</v>
      </c>
      <c r="E18" s="3" t="s">
        <v>58</v>
      </c>
      <c r="F18" s="3" t="s">
        <v>51</v>
      </c>
      <c r="G18" s="3" t="s">
        <v>20</v>
      </c>
      <c r="H18" s="3" t="s">
        <v>21</v>
      </c>
      <c r="I18" s="3" t="s">
        <v>25</v>
      </c>
      <c r="J18" s="3">
        <v>53361105</v>
      </c>
      <c r="K18" s="3" t="s">
        <v>54</v>
      </c>
      <c r="L18" s="3"/>
      <c r="M18" s="3"/>
      <c r="N18" s="3" t="s">
        <v>53</v>
      </c>
      <c r="O18" s="3" t="s">
        <v>22</v>
      </c>
      <c r="P18" s="3">
        <v>0.55000000000000004</v>
      </c>
      <c r="Q18" s="3">
        <v>0.55000000000000004</v>
      </c>
      <c r="R18" s="4" t="s">
        <v>23</v>
      </c>
      <c r="S18" s="4">
        <v>10800</v>
      </c>
      <c r="T18" s="4">
        <v>100000</v>
      </c>
      <c r="U18" s="4">
        <v>99500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500</v>
      </c>
      <c r="AD18" s="4">
        <v>100000</v>
      </c>
      <c r="AE18" s="4">
        <v>99500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500</v>
      </c>
      <c r="AN18" s="4">
        <v>55000</v>
      </c>
      <c r="AO18" s="4">
        <v>0</v>
      </c>
      <c r="AP18" s="4">
        <v>55000</v>
      </c>
    </row>
    <row r="19" spans="1:42">
      <c r="A19" s="3" t="s">
        <v>50</v>
      </c>
      <c r="B19" s="3" t="s">
        <v>56</v>
      </c>
      <c r="C19" s="3" t="s">
        <v>57</v>
      </c>
      <c r="D19" s="3" t="s">
        <v>65</v>
      </c>
      <c r="E19" s="3" t="s">
        <v>58</v>
      </c>
      <c r="F19" s="3" t="s">
        <v>51</v>
      </c>
      <c r="G19" s="3" t="s">
        <v>20</v>
      </c>
      <c r="H19" s="3" t="s">
        <v>21</v>
      </c>
      <c r="I19" s="3" t="s">
        <v>25</v>
      </c>
      <c r="J19" s="3">
        <v>53361105</v>
      </c>
      <c r="K19" s="3" t="s">
        <v>54</v>
      </c>
      <c r="L19" s="3"/>
      <c r="M19" s="3"/>
      <c r="N19" s="3" t="s">
        <v>53</v>
      </c>
      <c r="O19" s="3" t="s">
        <v>22</v>
      </c>
      <c r="P19" s="3">
        <v>0.55000000000000004</v>
      </c>
      <c r="Q19" s="3">
        <v>0.55000000000000004</v>
      </c>
      <c r="R19" s="4" t="s">
        <v>23</v>
      </c>
      <c r="S19" s="4">
        <v>18000</v>
      </c>
      <c r="T19" s="4">
        <v>93600</v>
      </c>
      <c r="U19" s="4">
        <v>93600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93600</v>
      </c>
      <c r="AE19" s="4">
        <v>93600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51480</v>
      </c>
      <c r="AO19" s="4">
        <v>0</v>
      </c>
      <c r="AP19" s="4">
        <v>51480</v>
      </c>
    </row>
    <row r="20" spans="1:42">
      <c r="A20" s="3" t="s">
        <v>50</v>
      </c>
      <c r="B20" s="3" t="s">
        <v>56</v>
      </c>
      <c r="C20" s="3" t="s">
        <v>57</v>
      </c>
      <c r="D20" s="3" t="s">
        <v>65</v>
      </c>
      <c r="E20" s="3" t="s">
        <v>58</v>
      </c>
      <c r="F20" s="3" t="s">
        <v>51</v>
      </c>
      <c r="G20" s="3" t="s">
        <v>20</v>
      </c>
      <c r="H20" s="3" t="s">
        <v>21</v>
      </c>
      <c r="I20" s="3" t="s">
        <v>25</v>
      </c>
      <c r="J20" s="3">
        <v>53361105</v>
      </c>
      <c r="K20" s="3" t="s">
        <v>54</v>
      </c>
      <c r="L20" s="3"/>
      <c r="M20" s="3"/>
      <c r="N20" s="3" t="s">
        <v>53</v>
      </c>
      <c r="O20" s="3" t="s">
        <v>22</v>
      </c>
      <c r="P20" s="3">
        <v>0.55000000000000004</v>
      </c>
      <c r="Q20" s="3">
        <v>0.55000000000000004</v>
      </c>
      <c r="R20" s="4" t="s">
        <v>49</v>
      </c>
      <c r="S20" s="4">
        <v>200</v>
      </c>
      <c r="T20" s="4">
        <v>2292400</v>
      </c>
      <c r="U20" s="4">
        <v>1060850</v>
      </c>
      <c r="V20" s="4">
        <v>0</v>
      </c>
      <c r="W20" s="4">
        <v>0</v>
      </c>
      <c r="X20" s="4">
        <v>0</v>
      </c>
      <c r="Y20" s="4">
        <v>50500</v>
      </c>
      <c r="Z20" s="4">
        <v>101500</v>
      </c>
      <c r="AA20" s="4">
        <v>0</v>
      </c>
      <c r="AB20" s="4">
        <v>0</v>
      </c>
      <c r="AC20" s="4">
        <v>1079550</v>
      </c>
      <c r="AD20" s="4">
        <v>2312650</v>
      </c>
      <c r="AE20" s="4">
        <v>1060850</v>
      </c>
      <c r="AF20" s="4">
        <v>0</v>
      </c>
      <c r="AG20" s="4">
        <v>0</v>
      </c>
      <c r="AH20" s="4">
        <v>0</v>
      </c>
      <c r="AI20" s="4">
        <v>60600</v>
      </c>
      <c r="AJ20" s="4">
        <v>111650</v>
      </c>
      <c r="AK20" s="4">
        <v>0</v>
      </c>
      <c r="AL20" s="4">
        <v>0</v>
      </c>
      <c r="AM20" s="4">
        <v>1079550</v>
      </c>
      <c r="AN20" s="4">
        <v>1271958</v>
      </c>
      <c r="AO20" s="4">
        <v>0</v>
      </c>
      <c r="AP20" s="4">
        <v>1271958</v>
      </c>
    </row>
    <row r="21" spans="1:42">
      <c r="A21" s="3" t="s">
        <v>50</v>
      </c>
      <c r="B21" s="3" t="s">
        <v>56</v>
      </c>
      <c r="C21" s="3" t="s">
        <v>57</v>
      </c>
      <c r="D21" s="3" t="s">
        <v>65</v>
      </c>
      <c r="E21" s="3" t="s">
        <v>58</v>
      </c>
      <c r="F21" s="3" t="s">
        <v>51</v>
      </c>
      <c r="G21" s="3" t="s">
        <v>20</v>
      </c>
      <c r="H21" s="3" t="s">
        <v>21</v>
      </c>
      <c r="I21" s="3" t="s">
        <v>25</v>
      </c>
      <c r="J21" s="3">
        <v>53361105</v>
      </c>
      <c r="K21" s="3" t="s">
        <v>54</v>
      </c>
      <c r="L21" s="3"/>
      <c r="M21" s="3"/>
      <c r="N21" s="3" t="s">
        <v>53</v>
      </c>
      <c r="O21" s="3" t="s">
        <v>22</v>
      </c>
      <c r="P21" s="3">
        <v>0.55000000000000004</v>
      </c>
      <c r="Q21" s="3">
        <v>0.55000000000000004</v>
      </c>
      <c r="R21" s="4" t="s">
        <v>26</v>
      </c>
      <c r="S21" s="4">
        <v>1800</v>
      </c>
      <c r="T21" s="4">
        <v>962400</v>
      </c>
      <c r="U21" s="4">
        <v>763700</v>
      </c>
      <c r="V21" s="4">
        <v>0</v>
      </c>
      <c r="W21" s="4">
        <v>0</v>
      </c>
      <c r="X21" s="4">
        <v>0</v>
      </c>
      <c r="Y21" s="4">
        <v>9600</v>
      </c>
      <c r="Z21" s="4">
        <v>50300</v>
      </c>
      <c r="AA21" s="4">
        <v>0</v>
      </c>
      <c r="AB21" s="4">
        <v>0</v>
      </c>
      <c r="AC21" s="4">
        <v>138800</v>
      </c>
      <c r="AD21" s="4">
        <v>969350</v>
      </c>
      <c r="AE21" s="4">
        <v>763700</v>
      </c>
      <c r="AF21" s="4">
        <v>0</v>
      </c>
      <c r="AG21" s="4">
        <v>0</v>
      </c>
      <c r="AH21" s="4">
        <v>0</v>
      </c>
      <c r="AI21" s="4">
        <v>11520</v>
      </c>
      <c r="AJ21" s="4">
        <v>55330</v>
      </c>
      <c r="AK21" s="4">
        <v>0</v>
      </c>
      <c r="AL21" s="4">
        <v>0</v>
      </c>
      <c r="AM21" s="4">
        <v>138800</v>
      </c>
      <c r="AN21" s="4">
        <v>533143</v>
      </c>
      <c r="AO21" s="4">
        <v>0</v>
      </c>
      <c r="AP21" s="4">
        <v>533143</v>
      </c>
    </row>
    <row r="22" spans="1:42">
      <c r="A22" s="3" t="s">
        <v>50</v>
      </c>
      <c r="B22" s="3" t="s">
        <v>56</v>
      </c>
      <c r="C22" s="3" t="s">
        <v>57</v>
      </c>
      <c r="D22" s="3" t="s">
        <v>65</v>
      </c>
      <c r="E22" s="3" t="s">
        <v>58</v>
      </c>
      <c r="F22" s="3" t="s">
        <v>51</v>
      </c>
      <c r="G22" s="3" t="s">
        <v>20</v>
      </c>
      <c r="H22" s="3" t="s">
        <v>21</v>
      </c>
      <c r="I22" s="3" t="s">
        <v>25</v>
      </c>
      <c r="J22" s="3">
        <v>53361105</v>
      </c>
      <c r="K22" s="3" t="s">
        <v>54</v>
      </c>
      <c r="L22" s="3"/>
      <c r="M22" s="3"/>
      <c r="N22" s="3" t="s">
        <v>53</v>
      </c>
      <c r="O22" s="3" t="s">
        <v>22</v>
      </c>
      <c r="P22" s="3">
        <v>0.55000000000000004</v>
      </c>
      <c r="Q22" s="3">
        <v>0.55000000000000004</v>
      </c>
      <c r="R22" s="4" t="s">
        <v>26</v>
      </c>
      <c r="S22" s="4">
        <v>5400</v>
      </c>
      <c r="T22" s="4">
        <v>366200</v>
      </c>
      <c r="U22" s="4">
        <v>322900</v>
      </c>
      <c r="V22" s="4">
        <v>0</v>
      </c>
      <c r="W22" s="4">
        <v>0</v>
      </c>
      <c r="X22" s="4">
        <v>0</v>
      </c>
      <c r="Y22" s="4">
        <v>0</v>
      </c>
      <c r="Z22" s="4">
        <v>32300</v>
      </c>
      <c r="AA22" s="4">
        <v>0</v>
      </c>
      <c r="AB22" s="4">
        <v>0</v>
      </c>
      <c r="AC22" s="4">
        <v>11000</v>
      </c>
      <c r="AD22" s="4">
        <v>369430</v>
      </c>
      <c r="AE22" s="4">
        <v>322900</v>
      </c>
      <c r="AF22" s="4">
        <v>0</v>
      </c>
      <c r="AG22" s="4">
        <v>0</v>
      </c>
      <c r="AH22" s="4">
        <v>0</v>
      </c>
      <c r="AI22" s="4">
        <v>0</v>
      </c>
      <c r="AJ22" s="4">
        <v>35530</v>
      </c>
      <c r="AK22" s="4">
        <v>0</v>
      </c>
      <c r="AL22" s="4">
        <v>0</v>
      </c>
      <c r="AM22" s="4">
        <v>11000</v>
      </c>
      <c r="AN22" s="4">
        <v>203187</v>
      </c>
      <c r="AO22" s="4">
        <v>0</v>
      </c>
      <c r="AP22" s="4">
        <v>203187</v>
      </c>
    </row>
    <row r="23" spans="1:42">
      <c r="A23" s="3" t="s">
        <v>50</v>
      </c>
      <c r="B23" s="3" t="s">
        <v>56</v>
      </c>
      <c r="C23" s="3" t="s">
        <v>57</v>
      </c>
      <c r="D23" s="3" t="s">
        <v>65</v>
      </c>
      <c r="E23" s="3" t="s">
        <v>58</v>
      </c>
      <c r="F23" s="3" t="s">
        <v>51</v>
      </c>
      <c r="G23" s="3" t="s">
        <v>20</v>
      </c>
      <c r="H23" s="3" t="s">
        <v>21</v>
      </c>
      <c r="I23" s="3" t="s">
        <v>25</v>
      </c>
      <c r="J23" s="3">
        <v>53361105</v>
      </c>
      <c r="K23" s="3" t="s">
        <v>54</v>
      </c>
      <c r="L23" s="3"/>
      <c r="M23" s="3"/>
      <c r="N23" s="3" t="s">
        <v>53</v>
      </c>
      <c r="O23" s="3" t="s">
        <v>22</v>
      </c>
      <c r="P23" s="3">
        <v>0.55000000000000004</v>
      </c>
      <c r="Q23" s="3">
        <v>0.55000000000000004</v>
      </c>
      <c r="R23" s="4" t="s">
        <v>26</v>
      </c>
      <c r="S23" s="4">
        <v>9000</v>
      </c>
      <c r="T23" s="4">
        <v>451600</v>
      </c>
      <c r="U23" s="4">
        <v>348500</v>
      </c>
      <c r="V23" s="4">
        <v>0</v>
      </c>
      <c r="W23" s="4">
        <v>0</v>
      </c>
      <c r="X23" s="4">
        <v>0</v>
      </c>
      <c r="Y23" s="4">
        <v>0</v>
      </c>
      <c r="Z23" s="4">
        <v>99000</v>
      </c>
      <c r="AA23" s="4">
        <v>0</v>
      </c>
      <c r="AB23" s="4">
        <v>0</v>
      </c>
      <c r="AC23" s="4">
        <v>4100</v>
      </c>
      <c r="AD23" s="4">
        <v>461500</v>
      </c>
      <c r="AE23" s="4">
        <v>348500</v>
      </c>
      <c r="AF23" s="4">
        <v>0</v>
      </c>
      <c r="AG23" s="4">
        <v>0</v>
      </c>
      <c r="AH23" s="4">
        <v>0</v>
      </c>
      <c r="AI23" s="4">
        <v>0</v>
      </c>
      <c r="AJ23" s="4">
        <v>108900</v>
      </c>
      <c r="AK23" s="4">
        <v>0</v>
      </c>
      <c r="AL23" s="4">
        <v>0</v>
      </c>
      <c r="AM23" s="4">
        <v>4100</v>
      </c>
      <c r="AN23" s="4">
        <v>253825</v>
      </c>
      <c r="AO23" s="4">
        <v>0</v>
      </c>
      <c r="AP23" s="4">
        <v>253825</v>
      </c>
    </row>
    <row r="24" spans="1:42">
      <c r="AP24" s="25">
        <f>SUM(AP2:AP23)</f>
        <v>25415156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P61"/>
  <sheetViews>
    <sheetView workbookViewId="0"/>
  </sheetViews>
  <sheetFormatPr defaultRowHeight="17.399999999999999"/>
  <cols>
    <col min="1" max="1" width="9.296875" bestFit="1" customWidth="1"/>
    <col min="2" max="2" width="18.8984375" bestFit="1" customWidth="1"/>
    <col min="3" max="3" width="13" bestFit="1" customWidth="1"/>
    <col min="4" max="4" width="12.7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9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48</v>
      </c>
      <c r="M1" s="1" t="s">
        <v>47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2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65</v>
      </c>
      <c r="E2" s="3" t="s">
        <v>58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53361105</v>
      </c>
      <c r="K2" s="3" t="s">
        <v>54</v>
      </c>
      <c r="L2" s="3"/>
      <c r="M2" s="3"/>
      <c r="N2" s="3" t="s">
        <v>53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142800</v>
      </c>
      <c r="U2" s="4">
        <v>112800</v>
      </c>
      <c r="V2" s="4">
        <v>0</v>
      </c>
      <c r="W2" s="4">
        <v>0</v>
      </c>
      <c r="X2" s="4">
        <v>0</v>
      </c>
      <c r="Y2" s="4">
        <v>0</v>
      </c>
      <c r="Z2" s="4">
        <v>5600</v>
      </c>
      <c r="AA2" s="4">
        <v>0</v>
      </c>
      <c r="AB2" s="4">
        <v>0</v>
      </c>
      <c r="AC2" s="4">
        <v>24400</v>
      </c>
      <c r="AD2" s="4">
        <v>143360</v>
      </c>
      <c r="AE2" s="4">
        <v>112800</v>
      </c>
      <c r="AF2" s="4">
        <v>0</v>
      </c>
      <c r="AG2" s="4">
        <v>0</v>
      </c>
      <c r="AH2" s="4">
        <v>0</v>
      </c>
      <c r="AI2" s="4">
        <v>0</v>
      </c>
      <c r="AJ2" s="4">
        <v>6160</v>
      </c>
      <c r="AK2" s="4">
        <v>0</v>
      </c>
      <c r="AL2" s="4">
        <v>0</v>
      </c>
      <c r="AM2" s="4">
        <v>24400</v>
      </c>
      <c r="AN2" s="4">
        <v>78848</v>
      </c>
      <c r="AO2" s="4">
        <v>0</v>
      </c>
      <c r="AP2" s="4">
        <v>78848</v>
      </c>
    </row>
    <row r="3" spans="1:42">
      <c r="A3" s="3" t="s">
        <v>50</v>
      </c>
      <c r="B3" s="3" t="s">
        <v>56</v>
      </c>
      <c r="C3" s="3" t="s">
        <v>57</v>
      </c>
      <c r="D3" s="3" t="s">
        <v>65</v>
      </c>
      <c r="E3" s="3" t="s">
        <v>58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53361105</v>
      </c>
      <c r="K3" s="3" t="s">
        <v>54</v>
      </c>
      <c r="L3" s="3"/>
      <c r="M3" s="3"/>
      <c r="N3" s="3" t="s">
        <v>53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126000</v>
      </c>
      <c r="U3" s="4">
        <v>121600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4400</v>
      </c>
      <c r="AD3" s="4">
        <v>126000</v>
      </c>
      <c r="AE3" s="4">
        <v>121600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4400</v>
      </c>
      <c r="AN3" s="4">
        <v>69300</v>
      </c>
      <c r="AO3" s="4">
        <v>0</v>
      </c>
      <c r="AP3" s="4">
        <v>69300</v>
      </c>
    </row>
    <row r="4" spans="1:42">
      <c r="A4" s="3" t="s">
        <v>50</v>
      </c>
      <c r="B4" s="3" t="s">
        <v>56</v>
      </c>
      <c r="C4" s="3" t="s">
        <v>57</v>
      </c>
      <c r="D4" s="3" t="s">
        <v>65</v>
      </c>
      <c r="E4" s="3" t="s">
        <v>58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53361105</v>
      </c>
      <c r="K4" s="3" t="s">
        <v>54</v>
      </c>
      <c r="L4" s="3"/>
      <c r="M4" s="3"/>
      <c r="N4" s="3" t="s">
        <v>53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100000</v>
      </c>
      <c r="U4" s="4">
        <v>99500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500</v>
      </c>
      <c r="AD4" s="4">
        <v>100000</v>
      </c>
      <c r="AE4" s="4">
        <v>99500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500</v>
      </c>
      <c r="AN4" s="4">
        <v>55000</v>
      </c>
      <c r="AO4" s="4">
        <v>0</v>
      </c>
      <c r="AP4" s="4">
        <v>55000</v>
      </c>
    </row>
    <row r="5" spans="1:42">
      <c r="A5" s="3" t="s">
        <v>50</v>
      </c>
      <c r="B5" s="3" t="s">
        <v>56</v>
      </c>
      <c r="C5" s="3" t="s">
        <v>57</v>
      </c>
      <c r="D5" s="3" t="s">
        <v>65</v>
      </c>
      <c r="E5" s="3" t="s">
        <v>58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53361105</v>
      </c>
      <c r="K5" s="3" t="s">
        <v>54</v>
      </c>
      <c r="L5" s="3"/>
      <c r="M5" s="3"/>
      <c r="N5" s="3" t="s">
        <v>53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93600</v>
      </c>
      <c r="U5" s="4">
        <v>93600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93600</v>
      </c>
      <c r="AE5" s="4">
        <v>93600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51480</v>
      </c>
      <c r="AO5" s="4">
        <v>0</v>
      </c>
      <c r="AP5" s="4">
        <v>51480</v>
      </c>
    </row>
    <row r="6" spans="1:42">
      <c r="A6" s="3" t="s">
        <v>50</v>
      </c>
      <c r="B6" s="3" t="s">
        <v>56</v>
      </c>
      <c r="C6" s="3" t="s">
        <v>57</v>
      </c>
      <c r="D6" s="3" t="s">
        <v>65</v>
      </c>
      <c r="E6" s="3" t="s">
        <v>58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53361105</v>
      </c>
      <c r="K6" s="3" t="s">
        <v>54</v>
      </c>
      <c r="L6" s="3"/>
      <c r="M6" s="3"/>
      <c r="N6" s="3" t="s">
        <v>53</v>
      </c>
      <c r="O6" s="3" t="s">
        <v>22</v>
      </c>
      <c r="P6" s="3">
        <v>0.55000000000000004</v>
      </c>
      <c r="Q6" s="3">
        <v>0.55000000000000004</v>
      </c>
      <c r="R6" s="4" t="s">
        <v>49</v>
      </c>
      <c r="S6" s="4">
        <v>200</v>
      </c>
      <c r="T6" s="4">
        <v>2292400</v>
      </c>
      <c r="U6" s="4">
        <v>1060850</v>
      </c>
      <c r="V6" s="4">
        <v>0</v>
      </c>
      <c r="W6" s="4">
        <v>0</v>
      </c>
      <c r="X6" s="4">
        <v>0</v>
      </c>
      <c r="Y6" s="4">
        <v>50500</v>
      </c>
      <c r="Z6" s="4">
        <v>101500</v>
      </c>
      <c r="AA6" s="4">
        <v>0</v>
      </c>
      <c r="AB6" s="4">
        <v>0</v>
      </c>
      <c r="AC6" s="4">
        <v>1079550</v>
      </c>
      <c r="AD6" s="4">
        <v>2312650</v>
      </c>
      <c r="AE6" s="4">
        <v>1060850</v>
      </c>
      <c r="AF6" s="4">
        <v>0</v>
      </c>
      <c r="AG6" s="4">
        <v>0</v>
      </c>
      <c r="AH6" s="4">
        <v>0</v>
      </c>
      <c r="AI6" s="4">
        <v>60600</v>
      </c>
      <c r="AJ6" s="4">
        <v>111650</v>
      </c>
      <c r="AK6" s="4">
        <v>0</v>
      </c>
      <c r="AL6" s="4">
        <v>0</v>
      </c>
      <c r="AM6" s="4">
        <v>1079550</v>
      </c>
      <c r="AN6" s="4">
        <v>1271958</v>
      </c>
      <c r="AO6" s="4">
        <v>0</v>
      </c>
      <c r="AP6" s="4">
        <v>1271958</v>
      </c>
    </row>
    <row r="7" spans="1:42">
      <c r="A7" s="3" t="s">
        <v>50</v>
      </c>
      <c r="B7" s="3" t="s">
        <v>56</v>
      </c>
      <c r="C7" s="3" t="s">
        <v>57</v>
      </c>
      <c r="D7" s="3" t="s">
        <v>65</v>
      </c>
      <c r="E7" s="3" t="s">
        <v>58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53361105</v>
      </c>
      <c r="K7" s="3" t="s">
        <v>54</v>
      </c>
      <c r="L7" s="3"/>
      <c r="M7" s="3"/>
      <c r="N7" s="3" t="s">
        <v>53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962400</v>
      </c>
      <c r="U7" s="4">
        <v>763700</v>
      </c>
      <c r="V7" s="4">
        <v>0</v>
      </c>
      <c r="W7" s="4">
        <v>0</v>
      </c>
      <c r="X7" s="4">
        <v>0</v>
      </c>
      <c r="Y7" s="4">
        <v>9600</v>
      </c>
      <c r="Z7" s="4">
        <v>50300</v>
      </c>
      <c r="AA7" s="4">
        <v>0</v>
      </c>
      <c r="AB7" s="4">
        <v>0</v>
      </c>
      <c r="AC7" s="4">
        <v>138800</v>
      </c>
      <c r="AD7" s="4">
        <v>969350</v>
      </c>
      <c r="AE7" s="4">
        <v>763700</v>
      </c>
      <c r="AF7" s="4">
        <v>0</v>
      </c>
      <c r="AG7" s="4">
        <v>0</v>
      </c>
      <c r="AH7" s="4">
        <v>0</v>
      </c>
      <c r="AI7" s="4">
        <v>11520</v>
      </c>
      <c r="AJ7" s="4">
        <v>55330</v>
      </c>
      <c r="AK7" s="4">
        <v>0</v>
      </c>
      <c r="AL7" s="4">
        <v>0</v>
      </c>
      <c r="AM7" s="4">
        <v>138800</v>
      </c>
      <c r="AN7" s="4">
        <v>533143</v>
      </c>
      <c r="AO7" s="4">
        <v>0</v>
      </c>
      <c r="AP7" s="4">
        <v>533143</v>
      </c>
    </row>
    <row r="8" spans="1:42">
      <c r="A8" s="3" t="s">
        <v>50</v>
      </c>
      <c r="B8" s="3" t="s">
        <v>56</v>
      </c>
      <c r="C8" s="3" t="s">
        <v>57</v>
      </c>
      <c r="D8" s="3" t="s">
        <v>65</v>
      </c>
      <c r="E8" s="3" t="s">
        <v>58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53361105</v>
      </c>
      <c r="K8" s="3" t="s">
        <v>54</v>
      </c>
      <c r="L8" s="3"/>
      <c r="M8" s="3"/>
      <c r="N8" s="3" t="s">
        <v>53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366200</v>
      </c>
      <c r="U8" s="4">
        <v>322900</v>
      </c>
      <c r="V8" s="4">
        <v>0</v>
      </c>
      <c r="W8" s="4">
        <v>0</v>
      </c>
      <c r="X8" s="4">
        <v>0</v>
      </c>
      <c r="Y8" s="4">
        <v>0</v>
      </c>
      <c r="Z8" s="4">
        <v>32300</v>
      </c>
      <c r="AA8" s="4">
        <v>0</v>
      </c>
      <c r="AB8" s="4">
        <v>0</v>
      </c>
      <c r="AC8" s="4">
        <v>11000</v>
      </c>
      <c r="AD8" s="4">
        <v>369430</v>
      </c>
      <c r="AE8" s="4">
        <v>322900</v>
      </c>
      <c r="AF8" s="4">
        <v>0</v>
      </c>
      <c r="AG8" s="4">
        <v>0</v>
      </c>
      <c r="AH8" s="4">
        <v>0</v>
      </c>
      <c r="AI8" s="4">
        <v>0</v>
      </c>
      <c r="AJ8" s="4">
        <v>35530</v>
      </c>
      <c r="AK8" s="4">
        <v>0</v>
      </c>
      <c r="AL8" s="4">
        <v>0</v>
      </c>
      <c r="AM8" s="4">
        <v>11000</v>
      </c>
      <c r="AN8" s="4">
        <v>203187</v>
      </c>
      <c r="AO8" s="4">
        <v>0</v>
      </c>
      <c r="AP8" s="4">
        <v>203187</v>
      </c>
    </row>
    <row r="9" spans="1:42">
      <c r="A9" s="3" t="s">
        <v>50</v>
      </c>
      <c r="B9" s="3" t="s">
        <v>56</v>
      </c>
      <c r="C9" s="3" t="s">
        <v>57</v>
      </c>
      <c r="D9" s="3" t="s">
        <v>65</v>
      </c>
      <c r="E9" s="3" t="s">
        <v>58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53361105</v>
      </c>
      <c r="K9" s="3" t="s">
        <v>54</v>
      </c>
      <c r="L9" s="3"/>
      <c r="M9" s="3"/>
      <c r="N9" s="3" t="s">
        <v>53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451600</v>
      </c>
      <c r="U9" s="4">
        <v>348500</v>
      </c>
      <c r="V9" s="4">
        <v>0</v>
      </c>
      <c r="W9" s="4">
        <v>0</v>
      </c>
      <c r="X9" s="4">
        <v>0</v>
      </c>
      <c r="Y9" s="4">
        <v>0</v>
      </c>
      <c r="Z9" s="4">
        <v>99000</v>
      </c>
      <c r="AA9" s="4">
        <v>0</v>
      </c>
      <c r="AB9" s="4">
        <v>0</v>
      </c>
      <c r="AC9" s="4">
        <v>4100</v>
      </c>
      <c r="AD9" s="4">
        <v>461500</v>
      </c>
      <c r="AE9" s="4">
        <v>348500</v>
      </c>
      <c r="AF9" s="4">
        <v>0</v>
      </c>
      <c r="AG9" s="4">
        <v>0</v>
      </c>
      <c r="AH9" s="4">
        <v>0</v>
      </c>
      <c r="AI9" s="4">
        <v>0</v>
      </c>
      <c r="AJ9" s="4">
        <v>108900</v>
      </c>
      <c r="AK9" s="4">
        <v>0</v>
      </c>
      <c r="AL9" s="4">
        <v>0</v>
      </c>
      <c r="AM9" s="4">
        <v>4100</v>
      </c>
      <c r="AN9" s="4">
        <v>253825</v>
      </c>
      <c r="AO9" s="4">
        <v>0</v>
      </c>
      <c r="AP9" s="4">
        <v>253825</v>
      </c>
    </row>
    <row r="10" spans="1:42">
      <c r="A10" s="3" t="s">
        <v>50</v>
      </c>
      <c r="B10" s="3" t="s">
        <v>56</v>
      </c>
      <c r="C10" s="3" t="s">
        <v>57</v>
      </c>
      <c r="D10" s="3" t="s">
        <v>65</v>
      </c>
      <c r="E10" s="3" t="s">
        <v>58</v>
      </c>
      <c r="F10" s="3" t="s">
        <v>51</v>
      </c>
      <c r="G10" s="3" t="s">
        <v>20</v>
      </c>
      <c r="H10" s="3" t="s">
        <v>21</v>
      </c>
      <c r="I10" s="3" t="s">
        <v>25</v>
      </c>
      <c r="J10" s="3">
        <v>53361778</v>
      </c>
      <c r="K10" s="3" t="s">
        <v>55</v>
      </c>
      <c r="L10" s="3"/>
      <c r="M10" s="3"/>
      <c r="N10" s="3" t="s">
        <v>52</v>
      </c>
      <c r="O10" s="3" t="s">
        <v>22</v>
      </c>
      <c r="P10" s="3">
        <v>0.55000000000000004</v>
      </c>
      <c r="Q10" s="3">
        <v>0.55000000000000004</v>
      </c>
      <c r="R10" s="4" t="s">
        <v>24</v>
      </c>
      <c r="S10" s="4">
        <v>400</v>
      </c>
      <c r="T10" s="4">
        <v>800</v>
      </c>
      <c r="U10" s="4">
        <v>800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800</v>
      </c>
      <c r="AE10" s="4">
        <v>800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440</v>
      </c>
      <c r="AO10" s="4">
        <v>0</v>
      </c>
      <c r="AP10" s="4">
        <v>440</v>
      </c>
    </row>
    <row r="11" spans="1:42">
      <c r="A11" s="3" t="s">
        <v>50</v>
      </c>
      <c r="B11" s="3" t="s">
        <v>56</v>
      </c>
      <c r="C11" s="3" t="s">
        <v>57</v>
      </c>
      <c r="D11" s="3" t="s">
        <v>65</v>
      </c>
      <c r="E11" s="3" t="s">
        <v>58</v>
      </c>
      <c r="F11" s="3" t="s">
        <v>51</v>
      </c>
      <c r="G11" s="3" t="s">
        <v>20</v>
      </c>
      <c r="H11" s="3" t="s">
        <v>21</v>
      </c>
      <c r="I11" s="3" t="s">
        <v>25</v>
      </c>
      <c r="J11" s="3">
        <v>53361778</v>
      </c>
      <c r="K11" s="3" t="s">
        <v>55</v>
      </c>
      <c r="L11" s="3"/>
      <c r="M11" s="3"/>
      <c r="N11" s="3" t="s">
        <v>52</v>
      </c>
      <c r="O11" s="3" t="s">
        <v>22</v>
      </c>
      <c r="P11" s="3">
        <v>0.55000000000000004</v>
      </c>
      <c r="Q11" s="3">
        <v>0.55000000000000004</v>
      </c>
      <c r="R11" s="4" t="s">
        <v>23</v>
      </c>
      <c r="S11" s="4">
        <v>3600</v>
      </c>
      <c r="T11" s="4">
        <v>3600</v>
      </c>
      <c r="U11" s="4">
        <v>3600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3600</v>
      </c>
      <c r="AE11" s="4">
        <v>3600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1980</v>
      </c>
      <c r="AO11" s="4">
        <v>0</v>
      </c>
      <c r="AP11" s="4">
        <v>1980</v>
      </c>
    </row>
    <row r="12" spans="1:42">
      <c r="A12" s="3" t="s">
        <v>50</v>
      </c>
      <c r="B12" s="3" t="s">
        <v>56</v>
      </c>
      <c r="C12" s="3" t="s">
        <v>57</v>
      </c>
      <c r="D12" s="3" t="s">
        <v>65</v>
      </c>
      <c r="E12" s="3" t="s">
        <v>58</v>
      </c>
      <c r="F12" s="3" t="s">
        <v>51</v>
      </c>
      <c r="G12" s="3" t="s">
        <v>20</v>
      </c>
      <c r="H12" s="3" t="s">
        <v>21</v>
      </c>
      <c r="I12" s="3" t="s">
        <v>25</v>
      </c>
      <c r="J12" s="3">
        <v>53361778</v>
      </c>
      <c r="K12" s="3" t="s">
        <v>55</v>
      </c>
      <c r="L12" s="3"/>
      <c r="M12" s="3"/>
      <c r="N12" s="3" t="s">
        <v>52</v>
      </c>
      <c r="O12" s="3" t="s">
        <v>22</v>
      </c>
      <c r="P12" s="3">
        <v>0.55000000000000004</v>
      </c>
      <c r="Q12" s="3">
        <v>0.55000000000000004</v>
      </c>
      <c r="R12" s="4" t="s">
        <v>49</v>
      </c>
      <c r="S12" s="4">
        <v>200</v>
      </c>
      <c r="T12" s="4">
        <v>120800</v>
      </c>
      <c r="U12" s="4">
        <v>46000</v>
      </c>
      <c r="V12" s="4">
        <v>0</v>
      </c>
      <c r="W12" s="4">
        <v>0</v>
      </c>
      <c r="X12" s="4">
        <v>0</v>
      </c>
      <c r="Y12" s="4">
        <v>2400</v>
      </c>
      <c r="Z12" s="4">
        <v>2600</v>
      </c>
      <c r="AA12" s="4">
        <v>0</v>
      </c>
      <c r="AB12" s="4">
        <v>0</v>
      </c>
      <c r="AC12" s="4">
        <v>69800</v>
      </c>
      <c r="AD12" s="4">
        <v>121540</v>
      </c>
      <c r="AE12" s="4">
        <v>46000</v>
      </c>
      <c r="AF12" s="4">
        <v>0</v>
      </c>
      <c r="AG12" s="4">
        <v>0</v>
      </c>
      <c r="AH12" s="4">
        <v>0</v>
      </c>
      <c r="AI12" s="4">
        <v>2880</v>
      </c>
      <c r="AJ12" s="4">
        <v>2860</v>
      </c>
      <c r="AK12" s="4">
        <v>0</v>
      </c>
      <c r="AL12" s="4">
        <v>0</v>
      </c>
      <c r="AM12" s="4">
        <v>69800</v>
      </c>
      <c r="AN12" s="4">
        <v>66847</v>
      </c>
      <c r="AO12" s="4">
        <v>0</v>
      </c>
      <c r="AP12" s="4">
        <v>66847</v>
      </c>
    </row>
    <row r="13" spans="1:42">
      <c r="A13" s="3" t="s">
        <v>50</v>
      </c>
      <c r="B13" s="3" t="s">
        <v>56</v>
      </c>
      <c r="C13" s="3" t="s">
        <v>57</v>
      </c>
      <c r="D13" s="3" t="s">
        <v>65</v>
      </c>
      <c r="E13" s="3" t="s">
        <v>58</v>
      </c>
      <c r="F13" s="3" t="s">
        <v>51</v>
      </c>
      <c r="G13" s="3" t="s">
        <v>20</v>
      </c>
      <c r="H13" s="3" t="s">
        <v>21</v>
      </c>
      <c r="I13" s="3" t="s">
        <v>25</v>
      </c>
      <c r="J13" s="3">
        <v>53361778</v>
      </c>
      <c r="K13" s="3" t="s">
        <v>55</v>
      </c>
      <c r="L13" s="3"/>
      <c r="M13" s="3"/>
      <c r="N13" s="3" t="s">
        <v>52</v>
      </c>
      <c r="O13" s="3" t="s">
        <v>22</v>
      </c>
      <c r="P13" s="3">
        <v>0.55000000000000004</v>
      </c>
      <c r="Q13" s="3">
        <v>0.55000000000000004</v>
      </c>
      <c r="R13" s="4" t="s">
        <v>26</v>
      </c>
      <c r="S13" s="4">
        <v>1800</v>
      </c>
      <c r="T13" s="4">
        <v>82800</v>
      </c>
      <c r="U13" s="4">
        <v>62900</v>
      </c>
      <c r="V13" s="4">
        <v>0</v>
      </c>
      <c r="W13" s="4">
        <v>0</v>
      </c>
      <c r="X13" s="4">
        <v>0</v>
      </c>
      <c r="Y13" s="4">
        <v>0</v>
      </c>
      <c r="Z13" s="4">
        <v>9000</v>
      </c>
      <c r="AA13" s="4">
        <v>0</v>
      </c>
      <c r="AB13" s="4">
        <v>0</v>
      </c>
      <c r="AC13" s="4">
        <v>10900</v>
      </c>
      <c r="AD13" s="4">
        <v>83700</v>
      </c>
      <c r="AE13" s="4">
        <v>62900</v>
      </c>
      <c r="AF13" s="4">
        <v>0</v>
      </c>
      <c r="AG13" s="4">
        <v>0</v>
      </c>
      <c r="AH13" s="4">
        <v>0</v>
      </c>
      <c r="AI13" s="4">
        <v>0</v>
      </c>
      <c r="AJ13" s="4">
        <v>9900</v>
      </c>
      <c r="AK13" s="4">
        <v>0</v>
      </c>
      <c r="AL13" s="4">
        <v>0</v>
      </c>
      <c r="AM13" s="4">
        <v>10900</v>
      </c>
      <c r="AN13" s="4">
        <v>46035</v>
      </c>
      <c r="AO13" s="4">
        <v>0</v>
      </c>
      <c r="AP13" s="4">
        <v>46035</v>
      </c>
    </row>
    <row r="14" spans="1:42">
      <c r="A14" s="3" t="s">
        <v>50</v>
      </c>
      <c r="B14" s="3" t="s">
        <v>56</v>
      </c>
      <c r="C14" s="3" t="s">
        <v>57</v>
      </c>
      <c r="D14" s="3" t="s">
        <v>65</v>
      </c>
      <c r="E14" s="3" t="s">
        <v>58</v>
      </c>
      <c r="F14" s="3" t="s">
        <v>51</v>
      </c>
      <c r="G14" s="3" t="s">
        <v>20</v>
      </c>
      <c r="H14" s="3" t="s">
        <v>21</v>
      </c>
      <c r="I14" s="3" t="s">
        <v>25</v>
      </c>
      <c r="J14" s="3">
        <v>53361778</v>
      </c>
      <c r="K14" s="3" t="s">
        <v>55</v>
      </c>
      <c r="L14" s="3"/>
      <c r="M14" s="3"/>
      <c r="N14" s="3" t="s">
        <v>52</v>
      </c>
      <c r="O14" s="3" t="s">
        <v>22</v>
      </c>
      <c r="P14" s="3">
        <v>0.55000000000000004</v>
      </c>
      <c r="Q14" s="3">
        <v>0.55000000000000004</v>
      </c>
      <c r="R14" s="4" t="s">
        <v>26</v>
      </c>
      <c r="S14" s="4">
        <v>5400</v>
      </c>
      <c r="T14" s="4">
        <v>38000</v>
      </c>
      <c r="U14" s="4">
        <v>38000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38000</v>
      </c>
      <c r="AE14" s="4">
        <v>38000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20900</v>
      </c>
      <c r="AO14" s="4">
        <v>0</v>
      </c>
      <c r="AP14" s="4">
        <v>20900</v>
      </c>
    </row>
    <row r="15" spans="1:42">
      <c r="A15" s="3" t="s">
        <v>50</v>
      </c>
      <c r="B15" s="3" t="s">
        <v>56</v>
      </c>
      <c r="C15" s="3" t="s">
        <v>57</v>
      </c>
      <c r="D15" s="3" t="s">
        <v>65</v>
      </c>
      <c r="E15" s="3" t="s">
        <v>58</v>
      </c>
      <c r="F15" s="3" t="s">
        <v>51</v>
      </c>
      <c r="G15" s="3" t="s">
        <v>20</v>
      </c>
      <c r="H15" s="3" t="s">
        <v>21</v>
      </c>
      <c r="I15" s="3" t="s">
        <v>25</v>
      </c>
      <c r="J15" s="3">
        <v>53361778</v>
      </c>
      <c r="K15" s="3" t="s">
        <v>55</v>
      </c>
      <c r="L15" s="3"/>
      <c r="M15" s="3"/>
      <c r="N15" s="3" t="s">
        <v>52</v>
      </c>
      <c r="O15" s="3" t="s">
        <v>22</v>
      </c>
      <c r="P15" s="3">
        <v>0.55000000000000004</v>
      </c>
      <c r="Q15" s="3">
        <v>0.55000000000000004</v>
      </c>
      <c r="R15" s="4" t="s">
        <v>26</v>
      </c>
      <c r="S15" s="4">
        <v>9000</v>
      </c>
      <c r="T15" s="4">
        <v>2400</v>
      </c>
      <c r="U15" s="4">
        <v>1900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500</v>
      </c>
      <c r="AD15" s="4">
        <v>2400</v>
      </c>
      <c r="AE15" s="4">
        <v>1900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500</v>
      </c>
      <c r="AN15" s="4">
        <v>1320</v>
      </c>
      <c r="AO15" s="4">
        <v>0</v>
      </c>
      <c r="AP15" s="4">
        <v>1320</v>
      </c>
    </row>
    <row r="16" spans="1:42">
      <c r="AP16" s="25">
        <f>SUM(AP2:AP15)</f>
        <v>2654263</v>
      </c>
    </row>
    <row r="18" spans="1:4">
      <c r="A18" s="5" t="s">
        <v>96</v>
      </c>
      <c r="B18" s="6"/>
      <c r="C18" s="6"/>
      <c r="D18" s="7"/>
    </row>
    <row r="19" spans="1:4">
      <c r="A19" s="8" t="s">
        <v>97</v>
      </c>
      <c r="B19" s="8" t="s">
        <v>60</v>
      </c>
      <c r="C19" s="8" t="s">
        <v>61</v>
      </c>
      <c r="D19" s="8" t="s">
        <v>62</v>
      </c>
    </row>
    <row r="20" spans="1:4">
      <c r="A20" s="9">
        <v>201910</v>
      </c>
      <c r="B20" s="10">
        <v>100000000</v>
      </c>
      <c r="C20" s="11">
        <v>15070</v>
      </c>
      <c r="D20" s="12">
        <v>99984930</v>
      </c>
    </row>
    <row r="21" spans="1:4">
      <c r="A21" s="9">
        <v>201911</v>
      </c>
      <c r="B21" s="10">
        <v>100000000</v>
      </c>
      <c r="C21" s="13">
        <v>146479031</v>
      </c>
      <c r="D21" s="12">
        <v>53505899</v>
      </c>
    </row>
    <row r="22" spans="1:4">
      <c r="A22" s="9">
        <v>201912</v>
      </c>
      <c r="B22" s="10"/>
      <c r="C22" s="10">
        <v>39056831</v>
      </c>
      <c r="D22" s="12">
        <v>14449068</v>
      </c>
    </row>
    <row r="23" spans="1:4">
      <c r="A23" s="9">
        <v>202001</v>
      </c>
      <c r="B23" s="10">
        <v>100000000</v>
      </c>
      <c r="C23" s="10">
        <v>23647656</v>
      </c>
      <c r="D23" s="12">
        <v>90801412</v>
      </c>
    </row>
    <row r="24" spans="1:4">
      <c r="A24" s="9">
        <v>202002</v>
      </c>
      <c r="B24" s="10"/>
      <c r="C24" s="10">
        <v>21109952</v>
      </c>
      <c r="D24" s="12">
        <v>69691460</v>
      </c>
    </row>
    <row r="25" spans="1:4">
      <c r="A25" s="9">
        <v>202003</v>
      </c>
      <c r="B25" s="10"/>
      <c r="C25" s="10">
        <v>21756214</v>
      </c>
      <c r="D25" s="12">
        <v>47935246</v>
      </c>
    </row>
    <row r="26" spans="1:4">
      <c r="A26" s="9">
        <v>202004</v>
      </c>
      <c r="B26" s="10"/>
      <c r="C26" s="10">
        <v>24261551</v>
      </c>
      <c r="D26" s="12">
        <v>23673695</v>
      </c>
    </row>
    <row r="27" spans="1:4">
      <c r="A27" s="9">
        <v>202005</v>
      </c>
      <c r="B27" s="10">
        <v>100000000</v>
      </c>
      <c r="C27" s="12">
        <v>23103063</v>
      </c>
      <c r="D27" s="12">
        <v>100570632</v>
      </c>
    </row>
    <row r="28" spans="1:4">
      <c r="A28" s="9">
        <v>202006</v>
      </c>
      <c r="B28" s="14"/>
      <c r="C28" s="12">
        <v>8596724</v>
      </c>
      <c r="D28" s="12">
        <v>91973908</v>
      </c>
    </row>
    <row r="29" spans="1:4">
      <c r="A29" s="9">
        <v>202007</v>
      </c>
      <c r="B29" s="15"/>
      <c r="C29" s="12">
        <v>13651567</v>
      </c>
      <c r="D29" s="12">
        <v>78322341</v>
      </c>
    </row>
    <row r="30" spans="1:4">
      <c r="A30" s="9">
        <v>202008</v>
      </c>
      <c r="B30" s="15"/>
      <c r="C30" s="12">
        <v>18343073</v>
      </c>
      <c r="D30" s="12">
        <v>59979268</v>
      </c>
    </row>
    <row r="31" spans="1:4">
      <c r="A31" s="9">
        <v>202009</v>
      </c>
      <c r="B31" s="15"/>
      <c r="C31" s="12">
        <v>14450305</v>
      </c>
      <c r="D31" s="12">
        <v>45528963</v>
      </c>
    </row>
    <row r="32" spans="1:4">
      <c r="A32" s="9">
        <v>202010</v>
      </c>
      <c r="B32" s="15"/>
      <c r="C32" s="12">
        <v>12527006</v>
      </c>
      <c r="D32" s="12">
        <f>D31-C32</f>
        <v>33001957</v>
      </c>
    </row>
    <row r="33" spans="1:18">
      <c r="A33" s="9">
        <v>202011</v>
      </c>
      <c r="B33" s="15"/>
      <c r="C33" s="12">
        <v>12821778</v>
      </c>
      <c r="D33" s="12">
        <f>D32-C33</f>
        <v>20180179</v>
      </c>
      <c r="R33" s="24"/>
    </row>
    <row r="34" spans="1:18">
      <c r="A34" s="9">
        <v>202012</v>
      </c>
      <c r="B34" s="15"/>
      <c r="C34" s="12">
        <v>15223282</v>
      </c>
      <c r="D34" s="12">
        <f>D33-C34</f>
        <v>4956897</v>
      </c>
      <c r="R34" s="24"/>
    </row>
    <row r="35" spans="1:18">
      <c r="A35" s="9">
        <v>202101</v>
      </c>
      <c r="B35" s="10">
        <v>50000000</v>
      </c>
      <c r="C35" s="12">
        <v>17914270</v>
      </c>
      <c r="D35" s="12">
        <f>D34-C35+B35</f>
        <v>37042627</v>
      </c>
    </row>
    <row r="36" spans="1:18">
      <c r="A36" s="9">
        <v>202102</v>
      </c>
      <c r="B36" s="10"/>
      <c r="C36" s="12">
        <v>10971546</v>
      </c>
      <c r="D36" s="12">
        <f>D35-C36</f>
        <v>26071081</v>
      </c>
    </row>
    <row r="37" spans="1:18">
      <c r="A37" s="9">
        <v>202103</v>
      </c>
      <c r="B37" s="10"/>
      <c r="C37" s="12">
        <v>6609889</v>
      </c>
      <c r="D37" s="12">
        <f>D36-C37</f>
        <v>19461192</v>
      </c>
    </row>
    <row r="38" spans="1:18">
      <c r="A38" s="9">
        <v>202104</v>
      </c>
      <c r="B38" s="10"/>
      <c r="C38" s="12">
        <v>9397257</v>
      </c>
      <c r="D38" s="12">
        <f>D37-C38</f>
        <v>10063935</v>
      </c>
    </row>
    <row r="39" spans="1:18">
      <c r="A39" s="9">
        <v>202105</v>
      </c>
      <c r="B39" s="10">
        <v>50000000</v>
      </c>
      <c r="C39" s="12">
        <v>9786615</v>
      </c>
      <c r="D39" s="12">
        <f t="shared" ref="D39:D45" si="0">D38+B39-C39</f>
        <v>50277320</v>
      </c>
    </row>
    <row r="40" spans="1:18">
      <c r="A40" s="9">
        <v>202106</v>
      </c>
      <c r="B40" s="10"/>
      <c r="C40" s="12">
        <v>7451661</v>
      </c>
      <c r="D40" s="12">
        <f t="shared" si="0"/>
        <v>42825659</v>
      </c>
    </row>
    <row r="41" spans="1:18">
      <c r="A41" s="9">
        <v>202107</v>
      </c>
      <c r="B41" s="10"/>
      <c r="C41" s="12">
        <v>5117057</v>
      </c>
      <c r="D41" s="12">
        <f t="shared" si="0"/>
        <v>37708602</v>
      </c>
    </row>
    <row r="42" spans="1:18">
      <c r="A42" s="9">
        <v>202108</v>
      </c>
      <c r="B42" s="10"/>
      <c r="C42" s="12">
        <v>5697726</v>
      </c>
      <c r="D42" s="12">
        <f t="shared" si="0"/>
        <v>32010876</v>
      </c>
    </row>
    <row r="43" spans="1:18">
      <c r="A43" s="9">
        <v>202109</v>
      </c>
      <c r="B43" s="10"/>
      <c r="C43" s="12">
        <v>7919559</v>
      </c>
      <c r="D43" s="12">
        <f t="shared" si="0"/>
        <v>24091317</v>
      </c>
    </row>
    <row r="44" spans="1:18">
      <c r="A44" s="9">
        <v>202110</v>
      </c>
      <c r="B44" s="10"/>
      <c r="C44" s="12">
        <v>5921272</v>
      </c>
      <c r="D44" s="12">
        <f t="shared" si="0"/>
        <v>18170045</v>
      </c>
    </row>
    <row r="45" spans="1:18">
      <c r="A45" s="23" t="s">
        <v>93</v>
      </c>
      <c r="B45" s="15"/>
      <c r="C45" s="12">
        <v>10692025</v>
      </c>
      <c r="D45" s="12">
        <f t="shared" si="0"/>
        <v>7478020</v>
      </c>
    </row>
    <row r="46" spans="1:18">
      <c r="A46" s="9">
        <v>202111</v>
      </c>
      <c r="B46" s="10">
        <v>50000000</v>
      </c>
      <c r="C46" s="12">
        <v>4749362</v>
      </c>
      <c r="D46" s="12">
        <f>D45-C46+B46</f>
        <v>52728658</v>
      </c>
    </row>
    <row r="47" spans="1:18">
      <c r="A47" s="23" t="s">
        <v>95</v>
      </c>
      <c r="B47" s="15"/>
      <c r="C47" s="12">
        <v>1882176</v>
      </c>
      <c r="D47" s="12">
        <f t="shared" ref="D47" si="1">D46-C47</f>
        <v>50846482</v>
      </c>
    </row>
    <row r="48" spans="1:18">
      <c r="A48" s="9">
        <v>202112</v>
      </c>
      <c r="B48" s="15"/>
      <c r="C48" s="12">
        <v>4278025</v>
      </c>
      <c r="D48" s="12">
        <f>D47-C48</f>
        <v>46568457</v>
      </c>
    </row>
    <row r="49" spans="1:4">
      <c r="A49" s="9" t="s">
        <v>98</v>
      </c>
      <c r="B49" s="15"/>
      <c r="C49" s="12">
        <v>1862306</v>
      </c>
      <c r="D49" s="12">
        <f>D48-C49</f>
        <v>44706151</v>
      </c>
    </row>
    <row r="50" spans="1:4">
      <c r="A50" s="9">
        <v>202201</v>
      </c>
      <c r="B50" s="15"/>
      <c r="C50" s="12">
        <v>3517155</v>
      </c>
      <c r="D50" s="12">
        <f>D49-C50</f>
        <v>41188996</v>
      </c>
    </row>
    <row r="51" spans="1:4">
      <c r="A51" s="9" t="s">
        <v>99</v>
      </c>
      <c r="B51" s="15"/>
      <c r="C51" s="12">
        <v>4017673</v>
      </c>
      <c r="D51" s="12">
        <f>D50-C51</f>
        <v>37171323</v>
      </c>
    </row>
    <row r="52" spans="1:4">
      <c r="A52" s="9">
        <v>202202</v>
      </c>
      <c r="B52" s="15"/>
      <c r="C52" s="26">
        <v>2302285</v>
      </c>
      <c r="D52" s="12">
        <f>D51-C52</f>
        <v>34869038</v>
      </c>
    </row>
    <row r="53" spans="1:4">
      <c r="A53" s="9">
        <v>202203</v>
      </c>
      <c r="B53" s="15"/>
      <c r="C53" s="26">
        <f>AP16</f>
        <v>2654263</v>
      </c>
      <c r="D53" s="12">
        <f>D52-C53</f>
        <v>32214775</v>
      </c>
    </row>
    <row r="54" spans="1:4">
      <c r="A54" s="9"/>
      <c r="B54" s="15"/>
      <c r="C54" s="12"/>
      <c r="D54" s="12"/>
    </row>
    <row r="55" spans="1:4">
      <c r="A55" s="16" t="s">
        <v>100</v>
      </c>
      <c r="B55" s="17">
        <f>SUM(B20:B54)</f>
        <v>550000000</v>
      </c>
      <c r="C55" s="17">
        <f>SUM(C20:C54)</f>
        <v>517785225</v>
      </c>
      <c r="D55" s="17"/>
    </row>
    <row r="57" spans="1:4">
      <c r="A57" s="18" t="s">
        <v>66</v>
      </c>
    </row>
    <row r="58" spans="1:4">
      <c r="A58" s="18" t="s">
        <v>64</v>
      </c>
    </row>
    <row r="59" spans="1:4">
      <c r="A59" s="18" t="s">
        <v>101</v>
      </c>
    </row>
    <row r="60" spans="1:4">
      <c r="A60" s="19" t="s">
        <v>102</v>
      </c>
      <c r="B60" s="20"/>
      <c r="C60" s="20"/>
      <c r="D60" s="21"/>
    </row>
    <row r="61" spans="1:4">
      <c r="A61" s="20"/>
      <c r="B61" s="20"/>
      <c r="C61" s="20"/>
      <c r="D61" s="22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28"/>
  <sheetViews>
    <sheetView workbookViewId="0"/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3" width="6.796875" bestFit="1" customWidth="1"/>
    <col min="14" max="14" width="12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1" width="10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1" width="10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10.19921875" bestFit="1" customWidth="1"/>
    <col min="41" max="41" width="6.796875" bestFit="1" customWidth="1"/>
    <col min="42" max="42" width="10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48</v>
      </c>
      <c r="M1" s="1" t="s">
        <v>47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2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65</v>
      </c>
      <c r="E2" s="3" t="s">
        <v>89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57928448</v>
      </c>
      <c r="K2" s="3" t="s">
        <v>90</v>
      </c>
      <c r="L2" s="3"/>
      <c r="M2" s="3"/>
      <c r="N2" s="3" t="s">
        <v>91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522400</v>
      </c>
      <c r="U2" s="4">
        <v>373750</v>
      </c>
      <c r="V2" s="4">
        <v>0</v>
      </c>
      <c r="W2" s="4">
        <v>0</v>
      </c>
      <c r="X2" s="4">
        <v>0</v>
      </c>
      <c r="Y2" s="4">
        <v>400</v>
      </c>
      <c r="Z2" s="4">
        <v>13600</v>
      </c>
      <c r="AA2" s="4">
        <v>0</v>
      </c>
      <c r="AB2" s="4">
        <v>0</v>
      </c>
      <c r="AC2" s="4">
        <v>134650</v>
      </c>
      <c r="AD2" s="4">
        <v>523840</v>
      </c>
      <c r="AE2" s="4">
        <v>373750</v>
      </c>
      <c r="AF2" s="4">
        <v>0</v>
      </c>
      <c r="AG2" s="4">
        <v>0</v>
      </c>
      <c r="AH2" s="4">
        <v>0</v>
      </c>
      <c r="AI2" s="4">
        <v>480</v>
      </c>
      <c r="AJ2" s="4">
        <v>14960</v>
      </c>
      <c r="AK2" s="4">
        <v>0</v>
      </c>
      <c r="AL2" s="4">
        <v>0</v>
      </c>
      <c r="AM2" s="4">
        <v>134650</v>
      </c>
      <c r="AN2" s="4">
        <v>288112</v>
      </c>
      <c r="AO2" s="4">
        <v>0</v>
      </c>
      <c r="AP2" s="4">
        <v>288112</v>
      </c>
    </row>
    <row r="3" spans="1:42">
      <c r="A3" s="3" t="s">
        <v>50</v>
      </c>
      <c r="B3" s="3" t="s">
        <v>56</v>
      </c>
      <c r="C3" s="3" t="s">
        <v>57</v>
      </c>
      <c r="D3" s="3" t="s">
        <v>65</v>
      </c>
      <c r="E3" s="3" t="s">
        <v>89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57928448</v>
      </c>
      <c r="K3" s="3" t="s">
        <v>90</v>
      </c>
      <c r="L3" s="3"/>
      <c r="M3" s="3"/>
      <c r="N3" s="3" t="s">
        <v>91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557600</v>
      </c>
      <c r="U3" s="4">
        <v>415600</v>
      </c>
      <c r="V3" s="4">
        <v>0</v>
      </c>
      <c r="W3" s="4">
        <v>0</v>
      </c>
      <c r="X3" s="4">
        <v>0</v>
      </c>
      <c r="Y3" s="4">
        <v>0</v>
      </c>
      <c r="Z3" s="4">
        <v>32400</v>
      </c>
      <c r="AA3" s="4">
        <v>0</v>
      </c>
      <c r="AB3" s="4">
        <v>0</v>
      </c>
      <c r="AC3" s="4">
        <v>109600</v>
      </c>
      <c r="AD3" s="4">
        <v>560840</v>
      </c>
      <c r="AE3" s="4">
        <v>415600</v>
      </c>
      <c r="AF3" s="4">
        <v>0</v>
      </c>
      <c r="AG3" s="4">
        <v>0</v>
      </c>
      <c r="AH3" s="4">
        <v>0</v>
      </c>
      <c r="AI3" s="4">
        <v>0</v>
      </c>
      <c r="AJ3" s="4">
        <v>35640</v>
      </c>
      <c r="AK3" s="4">
        <v>0</v>
      </c>
      <c r="AL3" s="4">
        <v>0</v>
      </c>
      <c r="AM3" s="4">
        <v>109600</v>
      </c>
      <c r="AN3" s="4">
        <v>308462</v>
      </c>
      <c r="AO3" s="4">
        <v>0</v>
      </c>
      <c r="AP3" s="4">
        <v>308462</v>
      </c>
    </row>
    <row r="4" spans="1:42">
      <c r="A4" s="3" t="s">
        <v>50</v>
      </c>
      <c r="B4" s="3" t="s">
        <v>56</v>
      </c>
      <c r="C4" s="3" t="s">
        <v>57</v>
      </c>
      <c r="D4" s="3" t="s">
        <v>65</v>
      </c>
      <c r="E4" s="3" t="s">
        <v>89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57928448</v>
      </c>
      <c r="K4" s="3" t="s">
        <v>90</v>
      </c>
      <c r="L4" s="3"/>
      <c r="M4" s="3"/>
      <c r="N4" s="3" t="s">
        <v>91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271600</v>
      </c>
      <c r="U4" s="4">
        <v>244900</v>
      </c>
      <c r="V4" s="4">
        <v>0</v>
      </c>
      <c r="W4" s="4">
        <v>0</v>
      </c>
      <c r="X4" s="4">
        <v>0</v>
      </c>
      <c r="Y4" s="4">
        <v>0</v>
      </c>
      <c r="Z4" s="4">
        <v>10800</v>
      </c>
      <c r="AA4" s="4">
        <v>0</v>
      </c>
      <c r="AB4" s="4">
        <v>0</v>
      </c>
      <c r="AC4" s="4">
        <v>15900</v>
      </c>
      <c r="AD4" s="4">
        <v>272680</v>
      </c>
      <c r="AE4" s="4">
        <v>244900</v>
      </c>
      <c r="AF4" s="4">
        <v>0</v>
      </c>
      <c r="AG4" s="4">
        <v>0</v>
      </c>
      <c r="AH4" s="4">
        <v>0</v>
      </c>
      <c r="AI4" s="4">
        <v>0</v>
      </c>
      <c r="AJ4" s="4">
        <v>11880</v>
      </c>
      <c r="AK4" s="4">
        <v>0</v>
      </c>
      <c r="AL4" s="4">
        <v>0</v>
      </c>
      <c r="AM4" s="4">
        <v>15900</v>
      </c>
      <c r="AN4" s="4">
        <v>149974</v>
      </c>
      <c r="AO4" s="4">
        <v>0</v>
      </c>
      <c r="AP4" s="4">
        <v>149974</v>
      </c>
    </row>
    <row r="5" spans="1:42">
      <c r="A5" s="3" t="s">
        <v>50</v>
      </c>
      <c r="B5" s="3" t="s">
        <v>56</v>
      </c>
      <c r="C5" s="3" t="s">
        <v>57</v>
      </c>
      <c r="D5" s="3" t="s">
        <v>65</v>
      </c>
      <c r="E5" s="3" t="s">
        <v>89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57928448</v>
      </c>
      <c r="K5" s="3" t="s">
        <v>90</v>
      </c>
      <c r="L5" s="3"/>
      <c r="M5" s="3"/>
      <c r="N5" s="3" t="s">
        <v>91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385200</v>
      </c>
      <c r="U5" s="4">
        <v>381800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3400</v>
      </c>
      <c r="AD5" s="4">
        <v>385200</v>
      </c>
      <c r="AE5" s="4">
        <v>381800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3400</v>
      </c>
      <c r="AN5" s="4">
        <v>211860</v>
      </c>
      <c r="AO5" s="4">
        <v>0</v>
      </c>
      <c r="AP5" s="4">
        <v>211860</v>
      </c>
    </row>
    <row r="6" spans="1:42">
      <c r="A6" s="3" t="s">
        <v>50</v>
      </c>
      <c r="B6" s="3" t="s">
        <v>56</v>
      </c>
      <c r="C6" s="3" t="s">
        <v>57</v>
      </c>
      <c r="D6" s="3" t="s">
        <v>65</v>
      </c>
      <c r="E6" s="3" t="s">
        <v>89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57928448</v>
      </c>
      <c r="K6" s="3" t="s">
        <v>90</v>
      </c>
      <c r="L6" s="3"/>
      <c r="M6" s="3"/>
      <c r="N6" s="3" t="s">
        <v>91</v>
      </c>
      <c r="O6" s="3" t="s">
        <v>22</v>
      </c>
      <c r="P6" s="3">
        <v>0.55000000000000004</v>
      </c>
      <c r="Q6" s="3">
        <v>0.55000000000000004</v>
      </c>
      <c r="R6" s="4" t="s">
        <v>49</v>
      </c>
      <c r="S6" s="4">
        <v>200</v>
      </c>
      <c r="T6" s="4">
        <v>18871600</v>
      </c>
      <c r="U6" s="4">
        <v>9406500</v>
      </c>
      <c r="V6" s="4">
        <v>0</v>
      </c>
      <c r="W6" s="4">
        <v>0</v>
      </c>
      <c r="X6" s="4">
        <v>100</v>
      </c>
      <c r="Y6" s="4">
        <v>230200</v>
      </c>
      <c r="Z6" s="4">
        <v>654950</v>
      </c>
      <c r="AA6" s="4">
        <v>0</v>
      </c>
      <c r="AB6" s="4">
        <v>0</v>
      </c>
      <c r="AC6" s="4">
        <v>8579850</v>
      </c>
      <c r="AD6" s="4">
        <v>18983168.092300002</v>
      </c>
      <c r="AE6" s="4">
        <v>9406500</v>
      </c>
      <c r="AF6" s="4">
        <v>0</v>
      </c>
      <c r="AG6" s="4">
        <v>0</v>
      </c>
      <c r="AH6" s="4">
        <v>133.09229999999999</v>
      </c>
      <c r="AI6" s="4">
        <v>276240</v>
      </c>
      <c r="AJ6" s="4">
        <v>720445</v>
      </c>
      <c r="AK6" s="4">
        <v>0</v>
      </c>
      <c r="AL6" s="4">
        <v>0</v>
      </c>
      <c r="AM6" s="4">
        <v>8579850</v>
      </c>
      <c r="AN6" s="4">
        <v>10440742</v>
      </c>
      <c r="AO6" s="4">
        <v>0</v>
      </c>
      <c r="AP6" s="4">
        <v>10440742</v>
      </c>
    </row>
    <row r="7" spans="1:42">
      <c r="A7" s="3" t="s">
        <v>50</v>
      </c>
      <c r="B7" s="3" t="s">
        <v>56</v>
      </c>
      <c r="C7" s="3" t="s">
        <v>57</v>
      </c>
      <c r="D7" s="3" t="s">
        <v>65</v>
      </c>
      <c r="E7" s="3" t="s">
        <v>89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57928448</v>
      </c>
      <c r="K7" s="3" t="s">
        <v>90</v>
      </c>
      <c r="L7" s="3"/>
      <c r="M7" s="3"/>
      <c r="N7" s="3" t="s">
        <v>91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13198200</v>
      </c>
      <c r="U7" s="4">
        <v>10320640</v>
      </c>
      <c r="V7" s="4">
        <v>0</v>
      </c>
      <c r="W7" s="4">
        <v>0</v>
      </c>
      <c r="X7" s="4">
        <v>0</v>
      </c>
      <c r="Y7" s="4">
        <v>67100</v>
      </c>
      <c r="Z7" s="4">
        <v>532930</v>
      </c>
      <c r="AA7" s="4">
        <v>0</v>
      </c>
      <c r="AB7" s="4">
        <v>0</v>
      </c>
      <c r="AC7" s="4">
        <v>2277530</v>
      </c>
      <c r="AD7" s="4">
        <v>13264913</v>
      </c>
      <c r="AE7" s="4">
        <v>10320640</v>
      </c>
      <c r="AF7" s="4">
        <v>0</v>
      </c>
      <c r="AG7" s="4">
        <v>0</v>
      </c>
      <c r="AH7" s="4">
        <v>0</v>
      </c>
      <c r="AI7" s="4">
        <v>80520</v>
      </c>
      <c r="AJ7" s="4">
        <v>586223</v>
      </c>
      <c r="AK7" s="4">
        <v>0</v>
      </c>
      <c r="AL7" s="4">
        <v>0</v>
      </c>
      <c r="AM7" s="4">
        <v>2277530</v>
      </c>
      <c r="AN7" s="4">
        <v>7295702</v>
      </c>
      <c r="AO7" s="4">
        <v>0</v>
      </c>
      <c r="AP7" s="4">
        <v>7295702</v>
      </c>
    </row>
    <row r="8" spans="1:42">
      <c r="A8" s="3" t="s">
        <v>50</v>
      </c>
      <c r="B8" s="3" t="s">
        <v>56</v>
      </c>
      <c r="C8" s="3" t="s">
        <v>57</v>
      </c>
      <c r="D8" s="3" t="s">
        <v>65</v>
      </c>
      <c r="E8" s="3" t="s">
        <v>89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90</v>
      </c>
      <c r="L8" s="3"/>
      <c r="M8" s="3"/>
      <c r="N8" s="3" t="s">
        <v>91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5676800</v>
      </c>
      <c r="U8" s="4">
        <v>4933100</v>
      </c>
      <c r="V8" s="4">
        <v>0</v>
      </c>
      <c r="W8" s="4">
        <v>0</v>
      </c>
      <c r="X8" s="4">
        <v>0</v>
      </c>
      <c r="Y8" s="4">
        <v>53900</v>
      </c>
      <c r="Z8" s="4">
        <v>292300</v>
      </c>
      <c r="AA8" s="4">
        <v>0</v>
      </c>
      <c r="AB8" s="4">
        <v>0</v>
      </c>
      <c r="AC8" s="4">
        <v>397500</v>
      </c>
      <c r="AD8" s="4">
        <v>5716810</v>
      </c>
      <c r="AE8" s="4">
        <v>4933100</v>
      </c>
      <c r="AF8" s="4">
        <v>0</v>
      </c>
      <c r="AG8" s="4">
        <v>0</v>
      </c>
      <c r="AH8" s="4">
        <v>0</v>
      </c>
      <c r="AI8" s="4">
        <v>64680</v>
      </c>
      <c r="AJ8" s="4">
        <v>321530</v>
      </c>
      <c r="AK8" s="4">
        <v>0</v>
      </c>
      <c r="AL8" s="4">
        <v>0</v>
      </c>
      <c r="AM8" s="4">
        <v>397500</v>
      </c>
      <c r="AN8" s="4">
        <v>3144246</v>
      </c>
      <c r="AO8" s="4">
        <v>0</v>
      </c>
      <c r="AP8" s="4">
        <v>3144246</v>
      </c>
    </row>
    <row r="9" spans="1:42">
      <c r="A9" s="3" t="s">
        <v>50</v>
      </c>
      <c r="B9" s="3" t="s">
        <v>56</v>
      </c>
      <c r="C9" s="3" t="s">
        <v>57</v>
      </c>
      <c r="D9" s="3" t="s">
        <v>65</v>
      </c>
      <c r="E9" s="3" t="s">
        <v>89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90</v>
      </c>
      <c r="L9" s="3"/>
      <c r="M9" s="3"/>
      <c r="N9" s="3" t="s">
        <v>91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1661600</v>
      </c>
      <c r="U9" s="4">
        <v>1439800</v>
      </c>
      <c r="V9" s="4">
        <v>0</v>
      </c>
      <c r="W9" s="4">
        <v>0</v>
      </c>
      <c r="X9" s="4">
        <v>0</v>
      </c>
      <c r="Y9" s="4">
        <v>0</v>
      </c>
      <c r="Z9" s="4">
        <v>143900</v>
      </c>
      <c r="AA9" s="4">
        <v>0</v>
      </c>
      <c r="AB9" s="4">
        <v>0</v>
      </c>
      <c r="AC9" s="4">
        <v>77900</v>
      </c>
      <c r="AD9" s="4">
        <v>1675990</v>
      </c>
      <c r="AE9" s="4">
        <v>1439800</v>
      </c>
      <c r="AF9" s="4">
        <v>0</v>
      </c>
      <c r="AG9" s="4">
        <v>0</v>
      </c>
      <c r="AH9" s="4">
        <v>0</v>
      </c>
      <c r="AI9" s="4">
        <v>0</v>
      </c>
      <c r="AJ9" s="4">
        <v>158290</v>
      </c>
      <c r="AK9" s="4">
        <v>0</v>
      </c>
      <c r="AL9" s="4">
        <v>0</v>
      </c>
      <c r="AM9" s="4">
        <v>77900</v>
      </c>
      <c r="AN9" s="4">
        <v>921795</v>
      </c>
      <c r="AO9" s="4">
        <v>0</v>
      </c>
      <c r="AP9" s="4">
        <v>921795</v>
      </c>
    </row>
    <row r="10" spans="1:42">
      <c r="AP10" s="25">
        <f>SUM(AP2:AP9)</f>
        <v>22760893</v>
      </c>
    </row>
    <row r="11" spans="1:42">
      <c r="A11" s="5" t="s">
        <v>94</v>
      </c>
      <c r="B11" s="6"/>
      <c r="C11" s="6"/>
      <c r="D11" s="7"/>
    </row>
    <row r="12" spans="1:42">
      <c r="A12" s="8" t="s">
        <v>59</v>
      </c>
      <c r="B12" s="8" t="s">
        <v>60</v>
      </c>
      <c r="C12" s="8" t="s">
        <v>92</v>
      </c>
      <c r="D12" s="8" t="s">
        <v>62</v>
      </c>
    </row>
    <row r="13" spans="1:42">
      <c r="A13" s="9">
        <v>202109</v>
      </c>
      <c r="B13" s="10">
        <v>50000000</v>
      </c>
      <c r="C13" s="11">
        <v>83595</v>
      </c>
      <c r="D13" s="12">
        <f>B13-C13</f>
        <v>49916405</v>
      </c>
    </row>
    <row r="14" spans="1:42">
      <c r="A14" s="9">
        <v>202110</v>
      </c>
      <c r="B14" s="10"/>
      <c r="C14" s="13">
        <v>46964380</v>
      </c>
      <c r="D14" s="12">
        <f>D13-C14</f>
        <v>2952025</v>
      </c>
    </row>
    <row r="15" spans="1:42">
      <c r="A15" s="9">
        <v>202111</v>
      </c>
      <c r="B15" s="10">
        <v>50000000</v>
      </c>
      <c r="C15" s="10">
        <v>12173136</v>
      </c>
      <c r="D15" s="12">
        <f>D14+B15-C15</f>
        <v>40778889</v>
      </c>
    </row>
    <row r="16" spans="1:42">
      <c r="A16" s="9">
        <v>202112</v>
      </c>
      <c r="B16" s="10"/>
      <c r="C16" s="10">
        <v>16953709</v>
      </c>
      <c r="D16" s="12">
        <f>D15+B16-C16</f>
        <v>23825180</v>
      </c>
    </row>
    <row r="17" spans="1:4">
      <c r="A17" s="9">
        <v>202201</v>
      </c>
      <c r="B17" s="10"/>
      <c r="C17" s="10">
        <v>15233547</v>
      </c>
      <c r="D17" s="12">
        <f>D16-C17</f>
        <v>8591633</v>
      </c>
    </row>
    <row r="18" spans="1:4">
      <c r="A18" s="9">
        <v>202202</v>
      </c>
      <c r="B18" s="10">
        <v>50000000</v>
      </c>
      <c r="C18" s="27">
        <v>12280571</v>
      </c>
      <c r="D18" s="12">
        <f>D17-C18+B18</f>
        <v>46311062</v>
      </c>
    </row>
    <row r="19" spans="1:4">
      <c r="A19" s="9">
        <v>202203</v>
      </c>
      <c r="B19" s="10"/>
      <c r="C19" s="10">
        <f>AP10</f>
        <v>22760893</v>
      </c>
      <c r="D19" s="12">
        <f>D18-C19+B19</f>
        <v>23550169</v>
      </c>
    </row>
    <row r="20" spans="1:4">
      <c r="A20" s="9"/>
      <c r="B20" s="10"/>
      <c r="C20" s="12"/>
      <c r="D20" s="12"/>
    </row>
    <row r="21" spans="1:4">
      <c r="A21" s="9"/>
      <c r="B21" s="10"/>
      <c r="C21" s="12"/>
      <c r="D21" s="12"/>
    </row>
    <row r="22" spans="1:4">
      <c r="A22" s="9"/>
      <c r="B22" s="10"/>
      <c r="C22" s="12"/>
      <c r="D22" s="12"/>
    </row>
    <row r="23" spans="1:4">
      <c r="A23" s="9"/>
      <c r="B23" s="15"/>
      <c r="C23" s="12"/>
      <c r="D23" s="12"/>
    </row>
    <row r="24" spans="1:4">
      <c r="A24" s="16" t="s">
        <v>63</v>
      </c>
      <c r="B24" s="17">
        <f>SUM(B13:B23)</f>
        <v>150000000</v>
      </c>
      <c r="C24" s="17">
        <f>SUM(C13:C23)</f>
        <v>126449831</v>
      </c>
      <c r="D24" s="17"/>
    </row>
    <row r="26" spans="1:4">
      <c r="A26" s="18" t="s">
        <v>103</v>
      </c>
    </row>
    <row r="27" spans="1:4">
      <c r="A27" s="18" t="s">
        <v>104</v>
      </c>
    </row>
    <row r="28" spans="1:4">
      <c r="A28" s="18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전체(3)</vt:lpstr>
      <vt:lpstr>컨헤라_마딸,옹주</vt:lpstr>
      <vt:lpstr>컨헤라_회귀</vt:lpstr>
      <vt:lpstr>'컨헤라_마딸,옹주'!Extract</vt:lpstr>
      <vt:lpstr>컨헤라_회귀!Extract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2022-04-06T02:14:35Z</dcterms:modified>
</cp:coreProperties>
</file>